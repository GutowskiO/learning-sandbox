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2021\marzec\"/>
    </mc:Choice>
  </mc:AlternateContent>
  <xr:revisionPtr revIDLastSave="0" documentId="13_ncr:1_{55113821-B27D-40A5-B8D1-DBDB4124A20C}" xr6:coauthVersionLast="47" xr6:coauthVersionMax="47" xr10:uidLastSave="{00000000-0000-0000-0000-000000000000}"/>
  <bookViews>
    <workbookView xWindow="-110" yWindow="-110" windowWidth="19420" windowHeight="10300" activeTab="4" xr2:uid="{67E51530-7BB0-4E3C-B857-2798FF36EED2}"/>
  </bookViews>
  <sheets>
    <sheet name="telefony" sheetId="2" r:id="rId1"/>
    <sheet name="5.1" sheetId="3" r:id="rId2"/>
    <sheet name="5.2" sheetId="4" r:id="rId3"/>
    <sheet name="5.3" sheetId="5" r:id="rId4"/>
    <sheet name="5.4" sheetId="7" r:id="rId5"/>
  </sheets>
  <calcPr calcId="191029"/>
  <pivotCaches>
    <pivotCache cacheId="3" r:id="rId6"/>
    <pivotCache cacheId="4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9" i="7" l="1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" i="7"/>
  <c r="R6" i="7"/>
  <c r="Q6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E2097" i="7"/>
  <c r="E2098" i="7"/>
  <c r="E2099" i="7"/>
  <c r="E2100" i="7"/>
  <c r="E2101" i="7"/>
  <c r="E2102" i="7"/>
  <c r="E2103" i="7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" i="7"/>
  <c r="F3" i="7"/>
  <c r="I3" i="7" s="1"/>
  <c r="F4" i="7"/>
  <c r="F5" i="7"/>
  <c r="I5" i="7" s="1"/>
  <c r="F6" i="7"/>
  <c r="I6" i="7" s="1"/>
  <c r="F7" i="7"/>
  <c r="I7" i="7" s="1"/>
  <c r="F8" i="7"/>
  <c r="I8" i="7" s="1"/>
  <c r="F9" i="7"/>
  <c r="I9" i="7" s="1"/>
  <c r="F10" i="7"/>
  <c r="I10" i="7" s="1"/>
  <c r="F11" i="7"/>
  <c r="F12" i="7"/>
  <c r="I12" i="7" s="1"/>
  <c r="F13" i="7"/>
  <c r="I13" i="7" s="1"/>
  <c r="F14" i="7"/>
  <c r="I14" i="7" s="1"/>
  <c r="F15" i="7"/>
  <c r="I15" i="7" s="1"/>
  <c r="F16" i="7"/>
  <c r="I16" i="7" s="1"/>
  <c r="F17" i="7"/>
  <c r="I17" i="7" s="1"/>
  <c r="F18" i="7"/>
  <c r="I18" i="7" s="1"/>
  <c r="F19" i="7"/>
  <c r="I19" i="7" s="1"/>
  <c r="F20" i="7"/>
  <c r="I20" i="7" s="1"/>
  <c r="F21" i="7"/>
  <c r="I21" i="7" s="1"/>
  <c r="F22" i="7"/>
  <c r="I22" i="7" s="1"/>
  <c r="F23" i="7"/>
  <c r="I23" i="7" s="1"/>
  <c r="F24" i="7"/>
  <c r="I24" i="7" s="1"/>
  <c r="F25" i="7"/>
  <c r="I25" i="7" s="1"/>
  <c r="F26" i="7"/>
  <c r="I26" i="7" s="1"/>
  <c r="F27" i="7"/>
  <c r="I27" i="7" s="1"/>
  <c r="F28" i="7"/>
  <c r="I28" i="7" s="1"/>
  <c r="F29" i="7"/>
  <c r="I29" i="7" s="1"/>
  <c r="F30" i="7"/>
  <c r="I30" i="7" s="1"/>
  <c r="F31" i="7"/>
  <c r="I31" i="7" s="1"/>
  <c r="F32" i="7"/>
  <c r="I32" i="7" s="1"/>
  <c r="F33" i="7"/>
  <c r="I33" i="7" s="1"/>
  <c r="F34" i="7"/>
  <c r="I34" i="7" s="1"/>
  <c r="F35" i="7"/>
  <c r="I35" i="7" s="1"/>
  <c r="F36" i="7"/>
  <c r="I36" i="7" s="1"/>
  <c r="F37" i="7"/>
  <c r="I37" i="7" s="1"/>
  <c r="F38" i="7"/>
  <c r="I38" i="7" s="1"/>
  <c r="F39" i="7"/>
  <c r="I39" i="7" s="1"/>
  <c r="F40" i="7"/>
  <c r="I40" i="7" s="1"/>
  <c r="F41" i="7"/>
  <c r="I41" i="7" s="1"/>
  <c r="F42" i="7"/>
  <c r="I42" i="7" s="1"/>
  <c r="F43" i="7"/>
  <c r="I43" i="7" s="1"/>
  <c r="F44" i="7"/>
  <c r="I44" i="7" s="1"/>
  <c r="F45" i="7"/>
  <c r="I45" i="7" s="1"/>
  <c r="F46" i="7"/>
  <c r="F47" i="7"/>
  <c r="I47" i="7" s="1"/>
  <c r="F48" i="7"/>
  <c r="I48" i="7" s="1"/>
  <c r="F49" i="7"/>
  <c r="I49" i="7" s="1"/>
  <c r="F50" i="7"/>
  <c r="I50" i="7" s="1"/>
  <c r="F51" i="7"/>
  <c r="I51" i="7" s="1"/>
  <c r="F52" i="7"/>
  <c r="I52" i="7" s="1"/>
  <c r="F53" i="7"/>
  <c r="I53" i="7" s="1"/>
  <c r="F54" i="7"/>
  <c r="I54" i="7" s="1"/>
  <c r="F55" i="7"/>
  <c r="I55" i="7" s="1"/>
  <c r="F56" i="7"/>
  <c r="I56" i="7" s="1"/>
  <c r="F57" i="7"/>
  <c r="I57" i="7" s="1"/>
  <c r="F58" i="7"/>
  <c r="I58" i="7" s="1"/>
  <c r="F59" i="7"/>
  <c r="I59" i="7" s="1"/>
  <c r="F60" i="7"/>
  <c r="I60" i="7" s="1"/>
  <c r="F61" i="7"/>
  <c r="I61" i="7" s="1"/>
  <c r="F62" i="7"/>
  <c r="I62" i="7" s="1"/>
  <c r="F63" i="7"/>
  <c r="I63" i="7" s="1"/>
  <c r="F64" i="7"/>
  <c r="I64" i="7" s="1"/>
  <c r="F65" i="7"/>
  <c r="I65" i="7" s="1"/>
  <c r="F66" i="7"/>
  <c r="I66" i="7" s="1"/>
  <c r="F67" i="7"/>
  <c r="I67" i="7" s="1"/>
  <c r="F68" i="7"/>
  <c r="I68" i="7" s="1"/>
  <c r="F69" i="7"/>
  <c r="I69" i="7" s="1"/>
  <c r="F70" i="7"/>
  <c r="I70" i="7" s="1"/>
  <c r="F71" i="7"/>
  <c r="I71" i="7" s="1"/>
  <c r="F72" i="7"/>
  <c r="I72" i="7" s="1"/>
  <c r="F73" i="7"/>
  <c r="I73" i="7" s="1"/>
  <c r="F74" i="7"/>
  <c r="I74" i="7" s="1"/>
  <c r="F75" i="7"/>
  <c r="I75" i="7" s="1"/>
  <c r="F76" i="7"/>
  <c r="I76" i="7" s="1"/>
  <c r="F77" i="7"/>
  <c r="I77" i="7" s="1"/>
  <c r="F78" i="7"/>
  <c r="I78" i="7" s="1"/>
  <c r="F79" i="7"/>
  <c r="I79" i="7" s="1"/>
  <c r="F80" i="7"/>
  <c r="I80" i="7" s="1"/>
  <c r="F81" i="7"/>
  <c r="I81" i="7" s="1"/>
  <c r="F82" i="7"/>
  <c r="I82" i="7" s="1"/>
  <c r="F83" i="7"/>
  <c r="I83" i="7" s="1"/>
  <c r="F84" i="7"/>
  <c r="I84" i="7" s="1"/>
  <c r="F85" i="7"/>
  <c r="I85" i="7" s="1"/>
  <c r="F86" i="7"/>
  <c r="I86" i="7" s="1"/>
  <c r="F87" i="7"/>
  <c r="I87" i="7" s="1"/>
  <c r="F88" i="7"/>
  <c r="I88" i="7" s="1"/>
  <c r="F89" i="7"/>
  <c r="I89" i="7" s="1"/>
  <c r="F90" i="7"/>
  <c r="I90" i="7" s="1"/>
  <c r="F91" i="7"/>
  <c r="I91" i="7" s="1"/>
  <c r="F92" i="7"/>
  <c r="I92" i="7" s="1"/>
  <c r="F93" i="7"/>
  <c r="I93" i="7" s="1"/>
  <c r="F94" i="7"/>
  <c r="I94" i="7" s="1"/>
  <c r="F95" i="7"/>
  <c r="I95" i="7" s="1"/>
  <c r="F96" i="7"/>
  <c r="I96" i="7" s="1"/>
  <c r="F97" i="7"/>
  <c r="I97" i="7" s="1"/>
  <c r="F98" i="7"/>
  <c r="I98" i="7" s="1"/>
  <c r="F99" i="7"/>
  <c r="I99" i="7" s="1"/>
  <c r="F100" i="7"/>
  <c r="I100" i="7" s="1"/>
  <c r="F101" i="7"/>
  <c r="I101" i="7" s="1"/>
  <c r="F102" i="7"/>
  <c r="I102" i="7" s="1"/>
  <c r="F103" i="7"/>
  <c r="I103" i="7" s="1"/>
  <c r="F104" i="7"/>
  <c r="I104" i="7" s="1"/>
  <c r="F105" i="7"/>
  <c r="I105" i="7" s="1"/>
  <c r="F106" i="7"/>
  <c r="I106" i="7" s="1"/>
  <c r="F107" i="7"/>
  <c r="I107" i="7" s="1"/>
  <c r="F108" i="7"/>
  <c r="I108" i="7" s="1"/>
  <c r="F109" i="7"/>
  <c r="I109" i="7" s="1"/>
  <c r="F110" i="7"/>
  <c r="I110" i="7" s="1"/>
  <c r="F111" i="7"/>
  <c r="I111" i="7" s="1"/>
  <c r="F112" i="7"/>
  <c r="I112" i="7" s="1"/>
  <c r="F113" i="7"/>
  <c r="I113" i="7" s="1"/>
  <c r="F114" i="7"/>
  <c r="I114" i="7" s="1"/>
  <c r="F115" i="7"/>
  <c r="I115" i="7" s="1"/>
  <c r="F116" i="7"/>
  <c r="I116" i="7" s="1"/>
  <c r="F117" i="7"/>
  <c r="I117" i="7" s="1"/>
  <c r="F118" i="7"/>
  <c r="I118" i="7" s="1"/>
  <c r="F119" i="7"/>
  <c r="I119" i="7" s="1"/>
  <c r="F120" i="7"/>
  <c r="I120" i="7" s="1"/>
  <c r="F121" i="7"/>
  <c r="I121" i="7" s="1"/>
  <c r="F122" i="7"/>
  <c r="I122" i="7" s="1"/>
  <c r="F123" i="7"/>
  <c r="I123" i="7" s="1"/>
  <c r="F124" i="7"/>
  <c r="I124" i="7" s="1"/>
  <c r="F125" i="7"/>
  <c r="I125" i="7" s="1"/>
  <c r="F126" i="7"/>
  <c r="I126" i="7" s="1"/>
  <c r="F127" i="7"/>
  <c r="I127" i="7" s="1"/>
  <c r="F128" i="7"/>
  <c r="I128" i="7" s="1"/>
  <c r="F129" i="7"/>
  <c r="I129" i="7" s="1"/>
  <c r="F130" i="7"/>
  <c r="I130" i="7" s="1"/>
  <c r="F131" i="7"/>
  <c r="I131" i="7" s="1"/>
  <c r="F132" i="7"/>
  <c r="I132" i="7" s="1"/>
  <c r="F133" i="7"/>
  <c r="I133" i="7" s="1"/>
  <c r="F134" i="7"/>
  <c r="I134" i="7" s="1"/>
  <c r="F135" i="7"/>
  <c r="I135" i="7" s="1"/>
  <c r="F136" i="7"/>
  <c r="I136" i="7" s="1"/>
  <c r="F137" i="7"/>
  <c r="I137" i="7" s="1"/>
  <c r="F138" i="7"/>
  <c r="I138" i="7" s="1"/>
  <c r="F139" i="7"/>
  <c r="I139" i="7" s="1"/>
  <c r="F140" i="7"/>
  <c r="I140" i="7" s="1"/>
  <c r="F141" i="7"/>
  <c r="I141" i="7" s="1"/>
  <c r="F142" i="7"/>
  <c r="I142" i="7" s="1"/>
  <c r="F143" i="7"/>
  <c r="I143" i="7" s="1"/>
  <c r="F144" i="7"/>
  <c r="I144" i="7" s="1"/>
  <c r="F145" i="7"/>
  <c r="I145" i="7" s="1"/>
  <c r="F146" i="7"/>
  <c r="I146" i="7" s="1"/>
  <c r="F147" i="7"/>
  <c r="I147" i="7" s="1"/>
  <c r="F148" i="7"/>
  <c r="I148" i="7" s="1"/>
  <c r="F149" i="7"/>
  <c r="I149" i="7" s="1"/>
  <c r="F150" i="7"/>
  <c r="I150" i="7" s="1"/>
  <c r="F151" i="7"/>
  <c r="I151" i="7" s="1"/>
  <c r="F152" i="7"/>
  <c r="I152" i="7" s="1"/>
  <c r="F153" i="7"/>
  <c r="I153" i="7" s="1"/>
  <c r="F154" i="7"/>
  <c r="I154" i="7" s="1"/>
  <c r="F155" i="7"/>
  <c r="I155" i="7" s="1"/>
  <c r="F156" i="7"/>
  <c r="I156" i="7" s="1"/>
  <c r="F157" i="7"/>
  <c r="I157" i="7" s="1"/>
  <c r="F158" i="7"/>
  <c r="I158" i="7" s="1"/>
  <c r="F159" i="7"/>
  <c r="I159" i="7" s="1"/>
  <c r="F160" i="7"/>
  <c r="I160" i="7" s="1"/>
  <c r="F161" i="7"/>
  <c r="I161" i="7" s="1"/>
  <c r="F162" i="7"/>
  <c r="I162" i="7" s="1"/>
  <c r="F163" i="7"/>
  <c r="I163" i="7" s="1"/>
  <c r="F164" i="7"/>
  <c r="I164" i="7" s="1"/>
  <c r="F165" i="7"/>
  <c r="I165" i="7" s="1"/>
  <c r="F166" i="7"/>
  <c r="I166" i="7" s="1"/>
  <c r="F167" i="7"/>
  <c r="I167" i="7" s="1"/>
  <c r="F168" i="7"/>
  <c r="I168" i="7" s="1"/>
  <c r="F169" i="7"/>
  <c r="I169" i="7" s="1"/>
  <c r="F170" i="7"/>
  <c r="I170" i="7" s="1"/>
  <c r="F171" i="7"/>
  <c r="I171" i="7" s="1"/>
  <c r="F172" i="7"/>
  <c r="I172" i="7" s="1"/>
  <c r="F173" i="7"/>
  <c r="I173" i="7" s="1"/>
  <c r="F174" i="7"/>
  <c r="I174" i="7" s="1"/>
  <c r="F175" i="7"/>
  <c r="I175" i="7" s="1"/>
  <c r="F176" i="7"/>
  <c r="I176" i="7" s="1"/>
  <c r="F177" i="7"/>
  <c r="I177" i="7" s="1"/>
  <c r="F178" i="7"/>
  <c r="I178" i="7" s="1"/>
  <c r="F179" i="7"/>
  <c r="I179" i="7" s="1"/>
  <c r="F180" i="7"/>
  <c r="I180" i="7" s="1"/>
  <c r="F181" i="7"/>
  <c r="I181" i="7" s="1"/>
  <c r="F182" i="7"/>
  <c r="I182" i="7" s="1"/>
  <c r="F183" i="7"/>
  <c r="I183" i="7" s="1"/>
  <c r="F184" i="7"/>
  <c r="I184" i="7" s="1"/>
  <c r="F185" i="7"/>
  <c r="I185" i="7" s="1"/>
  <c r="F186" i="7"/>
  <c r="I186" i="7" s="1"/>
  <c r="F187" i="7"/>
  <c r="I187" i="7" s="1"/>
  <c r="F188" i="7"/>
  <c r="I188" i="7" s="1"/>
  <c r="F189" i="7"/>
  <c r="I189" i="7" s="1"/>
  <c r="F190" i="7"/>
  <c r="I190" i="7" s="1"/>
  <c r="F191" i="7"/>
  <c r="I191" i="7" s="1"/>
  <c r="F192" i="7"/>
  <c r="I192" i="7" s="1"/>
  <c r="F193" i="7"/>
  <c r="I193" i="7" s="1"/>
  <c r="F194" i="7"/>
  <c r="I194" i="7" s="1"/>
  <c r="F195" i="7"/>
  <c r="I195" i="7" s="1"/>
  <c r="F196" i="7"/>
  <c r="I196" i="7" s="1"/>
  <c r="F197" i="7"/>
  <c r="I197" i="7" s="1"/>
  <c r="F198" i="7"/>
  <c r="I198" i="7" s="1"/>
  <c r="F199" i="7"/>
  <c r="I199" i="7" s="1"/>
  <c r="F200" i="7"/>
  <c r="I200" i="7" s="1"/>
  <c r="F201" i="7"/>
  <c r="I201" i="7" s="1"/>
  <c r="F202" i="7"/>
  <c r="I202" i="7" s="1"/>
  <c r="F203" i="7"/>
  <c r="I203" i="7" s="1"/>
  <c r="F204" i="7"/>
  <c r="I204" i="7" s="1"/>
  <c r="F205" i="7"/>
  <c r="I205" i="7" s="1"/>
  <c r="F206" i="7"/>
  <c r="I206" i="7" s="1"/>
  <c r="F207" i="7"/>
  <c r="I207" i="7" s="1"/>
  <c r="F208" i="7"/>
  <c r="I208" i="7" s="1"/>
  <c r="F209" i="7"/>
  <c r="I209" i="7" s="1"/>
  <c r="F210" i="7"/>
  <c r="I210" i="7" s="1"/>
  <c r="F211" i="7"/>
  <c r="I211" i="7" s="1"/>
  <c r="F212" i="7"/>
  <c r="I212" i="7" s="1"/>
  <c r="F213" i="7"/>
  <c r="I213" i="7" s="1"/>
  <c r="F214" i="7"/>
  <c r="F215" i="7"/>
  <c r="I215" i="7" s="1"/>
  <c r="F216" i="7"/>
  <c r="I216" i="7" s="1"/>
  <c r="F217" i="7"/>
  <c r="I217" i="7" s="1"/>
  <c r="F218" i="7"/>
  <c r="I218" i="7" s="1"/>
  <c r="F219" i="7"/>
  <c r="I219" i="7" s="1"/>
  <c r="F220" i="7"/>
  <c r="I220" i="7" s="1"/>
  <c r="F221" i="7"/>
  <c r="I221" i="7" s="1"/>
  <c r="F222" i="7"/>
  <c r="F223" i="7"/>
  <c r="I223" i="7" s="1"/>
  <c r="F224" i="7"/>
  <c r="I224" i="7" s="1"/>
  <c r="F225" i="7"/>
  <c r="I225" i="7" s="1"/>
  <c r="F226" i="7"/>
  <c r="I226" i="7" s="1"/>
  <c r="F227" i="7"/>
  <c r="I227" i="7" s="1"/>
  <c r="F228" i="7"/>
  <c r="I228" i="7" s="1"/>
  <c r="F229" i="7"/>
  <c r="I229" i="7" s="1"/>
  <c r="F230" i="7"/>
  <c r="I230" i="7" s="1"/>
  <c r="F231" i="7"/>
  <c r="I231" i="7" s="1"/>
  <c r="F232" i="7"/>
  <c r="I232" i="7" s="1"/>
  <c r="F233" i="7"/>
  <c r="I233" i="7" s="1"/>
  <c r="F234" i="7"/>
  <c r="I234" i="7" s="1"/>
  <c r="F235" i="7"/>
  <c r="I235" i="7" s="1"/>
  <c r="F236" i="7"/>
  <c r="I236" i="7" s="1"/>
  <c r="F237" i="7"/>
  <c r="I237" i="7" s="1"/>
  <c r="F238" i="7"/>
  <c r="I238" i="7" s="1"/>
  <c r="F239" i="7"/>
  <c r="I239" i="7" s="1"/>
  <c r="F240" i="7"/>
  <c r="I240" i="7" s="1"/>
  <c r="F241" i="7"/>
  <c r="I241" i="7" s="1"/>
  <c r="F242" i="7"/>
  <c r="I242" i="7" s="1"/>
  <c r="F243" i="7"/>
  <c r="I243" i="7" s="1"/>
  <c r="F244" i="7"/>
  <c r="I244" i="7" s="1"/>
  <c r="F245" i="7"/>
  <c r="I245" i="7" s="1"/>
  <c r="F246" i="7"/>
  <c r="I246" i="7" s="1"/>
  <c r="F247" i="7"/>
  <c r="I247" i="7" s="1"/>
  <c r="F248" i="7"/>
  <c r="I248" i="7" s="1"/>
  <c r="F249" i="7"/>
  <c r="I249" i="7" s="1"/>
  <c r="F250" i="7"/>
  <c r="I250" i="7" s="1"/>
  <c r="F251" i="7"/>
  <c r="I251" i="7" s="1"/>
  <c r="F252" i="7"/>
  <c r="I252" i="7" s="1"/>
  <c r="F253" i="7"/>
  <c r="I253" i="7" s="1"/>
  <c r="F254" i="7"/>
  <c r="F255" i="7"/>
  <c r="I255" i="7" s="1"/>
  <c r="F256" i="7"/>
  <c r="I256" i="7" s="1"/>
  <c r="F257" i="7"/>
  <c r="I257" i="7" s="1"/>
  <c r="F258" i="7"/>
  <c r="I258" i="7" s="1"/>
  <c r="F259" i="7"/>
  <c r="I259" i="7" s="1"/>
  <c r="F260" i="7"/>
  <c r="I260" i="7" s="1"/>
  <c r="F261" i="7"/>
  <c r="I261" i="7" s="1"/>
  <c r="F262" i="7"/>
  <c r="I262" i="7" s="1"/>
  <c r="F263" i="7"/>
  <c r="I263" i="7" s="1"/>
  <c r="F264" i="7"/>
  <c r="I264" i="7" s="1"/>
  <c r="F265" i="7"/>
  <c r="I265" i="7" s="1"/>
  <c r="F266" i="7"/>
  <c r="I266" i="7" s="1"/>
  <c r="F267" i="7"/>
  <c r="I267" i="7" s="1"/>
  <c r="F268" i="7"/>
  <c r="I268" i="7" s="1"/>
  <c r="F269" i="7"/>
  <c r="I269" i="7" s="1"/>
  <c r="F270" i="7"/>
  <c r="I270" i="7" s="1"/>
  <c r="F271" i="7"/>
  <c r="I271" i="7" s="1"/>
  <c r="F272" i="7"/>
  <c r="I272" i="7" s="1"/>
  <c r="F273" i="7"/>
  <c r="I273" i="7" s="1"/>
  <c r="F274" i="7"/>
  <c r="I274" i="7" s="1"/>
  <c r="F275" i="7"/>
  <c r="I275" i="7" s="1"/>
  <c r="F276" i="7"/>
  <c r="I276" i="7" s="1"/>
  <c r="F277" i="7"/>
  <c r="I277" i="7" s="1"/>
  <c r="F278" i="7"/>
  <c r="I278" i="7" s="1"/>
  <c r="F279" i="7"/>
  <c r="I279" i="7" s="1"/>
  <c r="F280" i="7"/>
  <c r="I280" i="7" s="1"/>
  <c r="F281" i="7"/>
  <c r="I281" i="7" s="1"/>
  <c r="F282" i="7"/>
  <c r="I282" i="7" s="1"/>
  <c r="F283" i="7"/>
  <c r="I283" i="7" s="1"/>
  <c r="F284" i="7"/>
  <c r="I284" i="7" s="1"/>
  <c r="F285" i="7"/>
  <c r="I285" i="7" s="1"/>
  <c r="F286" i="7"/>
  <c r="I286" i="7" s="1"/>
  <c r="F287" i="7"/>
  <c r="I287" i="7" s="1"/>
  <c r="F288" i="7"/>
  <c r="I288" i="7" s="1"/>
  <c r="F289" i="7"/>
  <c r="I289" i="7" s="1"/>
  <c r="F290" i="7"/>
  <c r="I290" i="7" s="1"/>
  <c r="F291" i="7"/>
  <c r="I291" i="7" s="1"/>
  <c r="F292" i="7"/>
  <c r="I292" i="7" s="1"/>
  <c r="F293" i="7"/>
  <c r="I293" i="7" s="1"/>
  <c r="F294" i="7"/>
  <c r="I294" i="7" s="1"/>
  <c r="F295" i="7"/>
  <c r="I295" i="7" s="1"/>
  <c r="F296" i="7"/>
  <c r="I296" i="7" s="1"/>
  <c r="F297" i="7"/>
  <c r="I297" i="7" s="1"/>
  <c r="F298" i="7"/>
  <c r="I298" i="7" s="1"/>
  <c r="F299" i="7"/>
  <c r="I299" i="7" s="1"/>
  <c r="F300" i="7"/>
  <c r="I300" i="7" s="1"/>
  <c r="F301" i="7"/>
  <c r="I301" i="7" s="1"/>
  <c r="F302" i="7"/>
  <c r="I302" i="7" s="1"/>
  <c r="F303" i="7"/>
  <c r="I303" i="7" s="1"/>
  <c r="F304" i="7"/>
  <c r="I304" i="7" s="1"/>
  <c r="F305" i="7"/>
  <c r="I305" i="7" s="1"/>
  <c r="F306" i="7"/>
  <c r="I306" i="7" s="1"/>
  <c r="F307" i="7"/>
  <c r="I307" i="7" s="1"/>
  <c r="F308" i="7"/>
  <c r="I308" i="7" s="1"/>
  <c r="F309" i="7"/>
  <c r="I309" i="7" s="1"/>
  <c r="F310" i="7"/>
  <c r="I310" i="7" s="1"/>
  <c r="F311" i="7"/>
  <c r="I311" i="7" s="1"/>
  <c r="F312" i="7"/>
  <c r="I312" i="7" s="1"/>
  <c r="F313" i="7"/>
  <c r="I313" i="7" s="1"/>
  <c r="F314" i="7"/>
  <c r="I314" i="7" s="1"/>
  <c r="F315" i="7"/>
  <c r="I315" i="7" s="1"/>
  <c r="F316" i="7"/>
  <c r="I316" i="7" s="1"/>
  <c r="F317" i="7"/>
  <c r="I317" i="7" s="1"/>
  <c r="F318" i="7"/>
  <c r="I318" i="7" s="1"/>
  <c r="F319" i="7"/>
  <c r="I319" i="7" s="1"/>
  <c r="F320" i="7"/>
  <c r="I320" i="7" s="1"/>
  <c r="F321" i="7"/>
  <c r="I321" i="7" s="1"/>
  <c r="F322" i="7"/>
  <c r="I322" i="7" s="1"/>
  <c r="F323" i="7"/>
  <c r="I323" i="7" s="1"/>
  <c r="F324" i="7"/>
  <c r="I324" i="7" s="1"/>
  <c r="F325" i="7"/>
  <c r="I325" i="7" s="1"/>
  <c r="F326" i="7"/>
  <c r="I326" i="7" s="1"/>
  <c r="F327" i="7"/>
  <c r="I327" i="7" s="1"/>
  <c r="F328" i="7"/>
  <c r="I328" i="7" s="1"/>
  <c r="F329" i="7"/>
  <c r="I329" i="7" s="1"/>
  <c r="F330" i="7"/>
  <c r="I330" i="7" s="1"/>
  <c r="F331" i="7"/>
  <c r="I331" i="7" s="1"/>
  <c r="F332" i="7"/>
  <c r="I332" i="7" s="1"/>
  <c r="F333" i="7"/>
  <c r="I333" i="7" s="1"/>
  <c r="F334" i="7"/>
  <c r="I334" i="7" s="1"/>
  <c r="F335" i="7"/>
  <c r="I335" i="7" s="1"/>
  <c r="F336" i="7"/>
  <c r="I336" i="7" s="1"/>
  <c r="F337" i="7"/>
  <c r="I337" i="7" s="1"/>
  <c r="F338" i="7"/>
  <c r="I338" i="7" s="1"/>
  <c r="F339" i="7"/>
  <c r="I339" i="7" s="1"/>
  <c r="F340" i="7"/>
  <c r="I340" i="7" s="1"/>
  <c r="F341" i="7"/>
  <c r="I341" i="7" s="1"/>
  <c r="F342" i="7"/>
  <c r="I342" i="7" s="1"/>
  <c r="F343" i="7"/>
  <c r="I343" i="7" s="1"/>
  <c r="F344" i="7"/>
  <c r="I344" i="7" s="1"/>
  <c r="F345" i="7"/>
  <c r="I345" i="7" s="1"/>
  <c r="F346" i="7"/>
  <c r="I346" i="7" s="1"/>
  <c r="F347" i="7"/>
  <c r="I347" i="7" s="1"/>
  <c r="F348" i="7"/>
  <c r="I348" i="7" s="1"/>
  <c r="F349" i="7"/>
  <c r="I349" i="7" s="1"/>
  <c r="F350" i="7"/>
  <c r="I350" i="7" s="1"/>
  <c r="F351" i="7"/>
  <c r="I351" i="7" s="1"/>
  <c r="F352" i="7"/>
  <c r="I352" i="7" s="1"/>
  <c r="F353" i="7"/>
  <c r="I353" i="7" s="1"/>
  <c r="F354" i="7"/>
  <c r="I354" i="7" s="1"/>
  <c r="F355" i="7"/>
  <c r="I355" i="7" s="1"/>
  <c r="F356" i="7"/>
  <c r="I356" i="7" s="1"/>
  <c r="F357" i="7"/>
  <c r="I357" i="7" s="1"/>
  <c r="F358" i="7"/>
  <c r="I358" i="7" s="1"/>
  <c r="F359" i="7"/>
  <c r="I359" i="7" s="1"/>
  <c r="F360" i="7"/>
  <c r="I360" i="7" s="1"/>
  <c r="F361" i="7"/>
  <c r="I361" i="7" s="1"/>
  <c r="F362" i="7"/>
  <c r="I362" i="7" s="1"/>
  <c r="F363" i="7"/>
  <c r="I363" i="7" s="1"/>
  <c r="F364" i="7"/>
  <c r="I364" i="7" s="1"/>
  <c r="F365" i="7"/>
  <c r="I365" i="7" s="1"/>
  <c r="F366" i="7"/>
  <c r="I366" i="7" s="1"/>
  <c r="F367" i="7"/>
  <c r="I367" i="7" s="1"/>
  <c r="F368" i="7"/>
  <c r="I368" i="7" s="1"/>
  <c r="F369" i="7"/>
  <c r="I369" i="7" s="1"/>
  <c r="F370" i="7"/>
  <c r="I370" i="7" s="1"/>
  <c r="F371" i="7"/>
  <c r="I371" i="7" s="1"/>
  <c r="F372" i="7"/>
  <c r="I372" i="7" s="1"/>
  <c r="F373" i="7"/>
  <c r="I373" i="7" s="1"/>
  <c r="F374" i="7"/>
  <c r="I374" i="7" s="1"/>
  <c r="F375" i="7"/>
  <c r="I375" i="7" s="1"/>
  <c r="F376" i="7"/>
  <c r="I376" i="7" s="1"/>
  <c r="F377" i="7"/>
  <c r="I377" i="7" s="1"/>
  <c r="F378" i="7"/>
  <c r="I378" i="7" s="1"/>
  <c r="F379" i="7"/>
  <c r="I379" i="7" s="1"/>
  <c r="F380" i="7"/>
  <c r="I380" i="7" s="1"/>
  <c r="F381" i="7"/>
  <c r="I381" i="7" s="1"/>
  <c r="F382" i="7"/>
  <c r="I382" i="7" s="1"/>
  <c r="F383" i="7"/>
  <c r="I383" i="7" s="1"/>
  <c r="F384" i="7"/>
  <c r="I384" i="7" s="1"/>
  <c r="F385" i="7"/>
  <c r="I385" i="7" s="1"/>
  <c r="F386" i="7"/>
  <c r="I386" i="7" s="1"/>
  <c r="F387" i="7"/>
  <c r="I387" i="7" s="1"/>
  <c r="F388" i="7"/>
  <c r="I388" i="7" s="1"/>
  <c r="F389" i="7"/>
  <c r="I389" i="7" s="1"/>
  <c r="F390" i="7"/>
  <c r="I390" i="7" s="1"/>
  <c r="F391" i="7"/>
  <c r="I391" i="7" s="1"/>
  <c r="F392" i="7"/>
  <c r="I392" i="7" s="1"/>
  <c r="F393" i="7"/>
  <c r="I393" i="7" s="1"/>
  <c r="F394" i="7"/>
  <c r="I394" i="7" s="1"/>
  <c r="F395" i="7"/>
  <c r="I395" i="7" s="1"/>
  <c r="F396" i="7"/>
  <c r="I396" i="7" s="1"/>
  <c r="F397" i="7"/>
  <c r="I397" i="7" s="1"/>
  <c r="F398" i="7"/>
  <c r="I398" i="7" s="1"/>
  <c r="F399" i="7"/>
  <c r="I399" i="7" s="1"/>
  <c r="F400" i="7"/>
  <c r="I400" i="7" s="1"/>
  <c r="F401" i="7"/>
  <c r="I401" i="7" s="1"/>
  <c r="F402" i="7"/>
  <c r="I402" i="7" s="1"/>
  <c r="F403" i="7"/>
  <c r="I403" i="7" s="1"/>
  <c r="F404" i="7"/>
  <c r="I404" i="7" s="1"/>
  <c r="F405" i="7"/>
  <c r="I405" i="7" s="1"/>
  <c r="F406" i="7"/>
  <c r="I406" i="7" s="1"/>
  <c r="F407" i="7"/>
  <c r="I407" i="7" s="1"/>
  <c r="F408" i="7"/>
  <c r="I408" i="7" s="1"/>
  <c r="F409" i="7"/>
  <c r="I409" i="7" s="1"/>
  <c r="F410" i="7"/>
  <c r="I410" i="7" s="1"/>
  <c r="F411" i="7"/>
  <c r="I411" i="7" s="1"/>
  <c r="F412" i="7"/>
  <c r="I412" i="7" s="1"/>
  <c r="F413" i="7"/>
  <c r="I413" i="7" s="1"/>
  <c r="F414" i="7"/>
  <c r="I414" i="7" s="1"/>
  <c r="F415" i="7"/>
  <c r="I415" i="7" s="1"/>
  <c r="F416" i="7"/>
  <c r="I416" i="7" s="1"/>
  <c r="F417" i="7"/>
  <c r="I417" i="7" s="1"/>
  <c r="F418" i="7"/>
  <c r="I418" i="7" s="1"/>
  <c r="F419" i="7"/>
  <c r="I419" i="7" s="1"/>
  <c r="F420" i="7"/>
  <c r="I420" i="7" s="1"/>
  <c r="F421" i="7"/>
  <c r="I421" i="7" s="1"/>
  <c r="F422" i="7"/>
  <c r="I422" i="7" s="1"/>
  <c r="F423" i="7"/>
  <c r="I423" i="7" s="1"/>
  <c r="F424" i="7"/>
  <c r="I424" i="7" s="1"/>
  <c r="F425" i="7"/>
  <c r="I425" i="7" s="1"/>
  <c r="F426" i="7"/>
  <c r="I426" i="7" s="1"/>
  <c r="F427" i="7"/>
  <c r="I427" i="7" s="1"/>
  <c r="F428" i="7"/>
  <c r="I428" i="7" s="1"/>
  <c r="F429" i="7"/>
  <c r="I429" i="7" s="1"/>
  <c r="F430" i="7"/>
  <c r="I430" i="7" s="1"/>
  <c r="F431" i="7"/>
  <c r="I431" i="7" s="1"/>
  <c r="F432" i="7"/>
  <c r="I432" i="7" s="1"/>
  <c r="F433" i="7"/>
  <c r="I433" i="7" s="1"/>
  <c r="F434" i="7"/>
  <c r="I434" i="7" s="1"/>
  <c r="F435" i="7"/>
  <c r="I435" i="7" s="1"/>
  <c r="F436" i="7"/>
  <c r="I436" i="7" s="1"/>
  <c r="F437" i="7"/>
  <c r="I437" i="7" s="1"/>
  <c r="F438" i="7"/>
  <c r="I438" i="7" s="1"/>
  <c r="F439" i="7"/>
  <c r="I439" i="7" s="1"/>
  <c r="F440" i="7"/>
  <c r="I440" i="7" s="1"/>
  <c r="F441" i="7"/>
  <c r="I441" i="7" s="1"/>
  <c r="F442" i="7"/>
  <c r="I442" i="7" s="1"/>
  <c r="F443" i="7"/>
  <c r="I443" i="7" s="1"/>
  <c r="F444" i="7"/>
  <c r="I444" i="7" s="1"/>
  <c r="F445" i="7"/>
  <c r="I445" i="7" s="1"/>
  <c r="F446" i="7"/>
  <c r="I446" i="7" s="1"/>
  <c r="F447" i="7"/>
  <c r="I447" i="7" s="1"/>
  <c r="F448" i="7"/>
  <c r="I448" i="7" s="1"/>
  <c r="F449" i="7"/>
  <c r="I449" i="7" s="1"/>
  <c r="F450" i="7"/>
  <c r="I450" i="7" s="1"/>
  <c r="F451" i="7"/>
  <c r="I451" i="7" s="1"/>
  <c r="F452" i="7"/>
  <c r="I452" i="7" s="1"/>
  <c r="F453" i="7"/>
  <c r="I453" i="7" s="1"/>
  <c r="F454" i="7"/>
  <c r="I454" i="7" s="1"/>
  <c r="F455" i="7"/>
  <c r="I455" i="7" s="1"/>
  <c r="F456" i="7"/>
  <c r="I456" i="7" s="1"/>
  <c r="F457" i="7"/>
  <c r="I457" i="7" s="1"/>
  <c r="F458" i="7"/>
  <c r="I458" i="7" s="1"/>
  <c r="F459" i="7"/>
  <c r="I459" i="7" s="1"/>
  <c r="F460" i="7"/>
  <c r="I460" i="7" s="1"/>
  <c r="F461" i="7"/>
  <c r="I461" i="7" s="1"/>
  <c r="F462" i="7"/>
  <c r="I462" i="7" s="1"/>
  <c r="F463" i="7"/>
  <c r="I463" i="7" s="1"/>
  <c r="F464" i="7"/>
  <c r="I464" i="7" s="1"/>
  <c r="F465" i="7"/>
  <c r="I465" i="7" s="1"/>
  <c r="F466" i="7"/>
  <c r="I466" i="7" s="1"/>
  <c r="F467" i="7"/>
  <c r="I467" i="7" s="1"/>
  <c r="F468" i="7"/>
  <c r="I468" i="7" s="1"/>
  <c r="F469" i="7"/>
  <c r="I469" i="7" s="1"/>
  <c r="F470" i="7"/>
  <c r="I470" i="7" s="1"/>
  <c r="F471" i="7"/>
  <c r="I471" i="7" s="1"/>
  <c r="F472" i="7"/>
  <c r="I472" i="7" s="1"/>
  <c r="F473" i="7"/>
  <c r="I473" i="7" s="1"/>
  <c r="F474" i="7"/>
  <c r="I474" i="7" s="1"/>
  <c r="F475" i="7"/>
  <c r="I475" i="7" s="1"/>
  <c r="F476" i="7"/>
  <c r="I476" i="7" s="1"/>
  <c r="F477" i="7"/>
  <c r="I477" i="7" s="1"/>
  <c r="F478" i="7"/>
  <c r="I478" i="7" s="1"/>
  <c r="F479" i="7"/>
  <c r="I479" i="7" s="1"/>
  <c r="F480" i="7"/>
  <c r="I480" i="7" s="1"/>
  <c r="F481" i="7"/>
  <c r="I481" i="7" s="1"/>
  <c r="F482" i="7"/>
  <c r="I482" i="7" s="1"/>
  <c r="F483" i="7"/>
  <c r="I483" i="7" s="1"/>
  <c r="F484" i="7"/>
  <c r="I484" i="7" s="1"/>
  <c r="F485" i="7"/>
  <c r="I485" i="7" s="1"/>
  <c r="F486" i="7"/>
  <c r="I486" i="7" s="1"/>
  <c r="F487" i="7"/>
  <c r="I487" i="7" s="1"/>
  <c r="F488" i="7"/>
  <c r="I488" i="7" s="1"/>
  <c r="F489" i="7"/>
  <c r="I489" i="7" s="1"/>
  <c r="F490" i="7"/>
  <c r="I490" i="7" s="1"/>
  <c r="F491" i="7"/>
  <c r="I491" i="7" s="1"/>
  <c r="F492" i="7"/>
  <c r="I492" i="7" s="1"/>
  <c r="F493" i="7"/>
  <c r="I493" i="7" s="1"/>
  <c r="F494" i="7"/>
  <c r="I494" i="7" s="1"/>
  <c r="F495" i="7"/>
  <c r="I495" i="7" s="1"/>
  <c r="F496" i="7"/>
  <c r="I496" i="7" s="1"/>
  <c r="F497" i="7"/>
  <c r="I497" i="7" s="1"/>
  <c r="F498" i="7"/>
  <c r="I498" i="7" s="1"/>
  <c r="F499" i="7"/>
  <c r="I499" i="7" s="1"/>
  <c r="F500" i="7"/>
  <c r="I500" i="7" s="1"/>
  <c r="F501" i="7"/>
  <c r="I501" i="7" s="1"/>
  <c r="F502" i="7"/>
  <c r="I502" i="7" s="1"/>
  <c r="F503" i="7"/>
  <c r="I503" i="7" s="1"/>
  <c r="F504" i="7"/>
  <c r="I504" i="7" s="1"/>
  <c r="F505" i="7"/>
  <c r="I505" i="7" s="1"/>
  <c r="F506" i="7"/>
  <c r="I506" i="7" s="1"/>
  <c r="F507" i="7"/>
  <c r="I507" i="7" s="1"/>
  <c r="F508" i="7"/>
  <c r="I508" i="7" s="1"/>
  <c r="F509" i="7"/>
  <c r="I509" i="7" s="1"/>
  <c r="F510" i="7"/>
  <c r="I510" i="7" s="1"/>
  <c r="F511" i="7"/>
  <c r="I511" i="7" s="1"/>
  <c r="F512" i="7"/>
  <c r="I512" i="7" s="1"/>
  <c r="F513" i="7"/>
  <c r="I513" i="7" s="1"/>
  <c r="F514" i="7"/>
  <c r="I514" i="7" s="1"/>
  <c r="F515" i="7"/>
  <c r="I515" i="7" s="1"/>
  <c r="F516" i="7"/>
  <c r="I516" i="7" s="1"/>
  <c r="F517" i="7"/>
  <c r="I517" i="7" s="1"/>
  <c r="F518" i="7"/>
  <c r="I518" i="7" s="1"/>
  <c r="F519" i="7"/>
  <c r="I519" i="7" s="1"/>
  <c r="F520" i="7"/>
  <c r="I520" i="7" s="1"/>
  <c r="F521" i="7"/>
  <c r="I521" i="7" s="1"/>
  <c r="F522" i="7"/>
  <c r="I522" i="7" s="1"/>
  <c r="F523" i="7"/>
  <c r="I523" i="7" s="1"/>
  <c r="F524" i="7"/>
  <c r="I524" i="7" s="1"/>
  <c r="F525" i="7"/>
  <c r="I525" i="7" s="1"/>
  <c r="F526" i="7"/>
  <c r="I526" i="7" s="1"/>
  <c r="F527" i="7"/>
  <c r="I527" i="7" s="1"/>
  <c r="F528" i="7"/>
  <c r="I528" i="7" s="1"/>
  <c r="F529" i="7"/>
  <c r="I529" i="7" s="1"/>
  <c r="F530" i="7"/>
  <c r="I530" i="7" s="1"/>
  <c r="F531" i="7"/>
  <c r="I531" i="7" s="1"/>
  <c r="F532" i="7"/>
  <c r="I532" i="7" s="1"/>
  <c r="F533" i="7"/>
  <c r="I533" i="7" s="1"/>
  <c r="F534" i="7"/>
  <c r="I534" i="7" s="1"/>
  <c r="F535" i="7"/>
  <c r="I535" i="7" s="1"/>
  <c r="F536" i="7"/>
  <c r="I536" i="7" s="1"/>
  <c r="F537" i="7"/>
  <c r="I537" i="7" s="1"/>
  <c r="F538" i="7"/>
  <c r="I538" i="7" s="1"/>
  <c r="F539" i="7"/>
  <c r="I539" i="7" s="1"/>
  <c r="F540" i="7"/>
  <c r="I540" i="7" s="1"/>
  <c r="F541" i="7"/>
  <c r="I541" i="7" s="1"/>
  <c r="F542" i="7"/>
  <c r="I542" i="7" s="1"/>
  <c r="F543" i="7"/>
  <c r="I543" i="7" s="1"/>
  <c r="F544" i="7"/>
  <c r="I544" i="7" s="1"/>
  <c r="F545" i="7"/>
  <c r="I545" i="7" s="1"/>
  <c r="F546" i="7"/>
  <c r="I546" i="7" s="1"/>
  <c r="F547" i="7"/>
  <c r="I547" i="7" s="1"/>
  <c r="F548" i="7"/>
  <c r="I548" i="7" s="1"/>
  <c r="F549" i="7"/>
  <c r="I549" i="7" s="1"/>
  <c r="F550" i="7"/>
  <c r="I550" i="7" s="1"/>
  <c r="F551" i="7"/>
  <c r="I551" i="7" s="1"/>
  <c r="F552" i="7"/>
  <c r="I552" i="7" s="1"/>
  <c r="F553" i="7"/>
  <c r="I553" i="7" s="1"/>
  <c r="F554" i="7"/>
  <c r="I554" i="7" s="1"/>
  <c r="F555" i="7"/>
  <c r="I555" i="7" s="1"/>
  <c r="F556" i="7"/>
  <c r="I556" i="7" s="1"/>
  <c r="F557" i="7"/>
  <c r="I557" i="7" s="1"/>
  <c r="F558" i="7"/>
  <c r="I558" i="7" s="1"/>
  <c r="F559" i="7"/>
  <c r="I559" i="7" s="1"/>
  <c r="F560" i="7"/>
  <c r="I560" i="7" s="1"/>
  <c r="F561" i="7"/>
  <c r="I561" i="7" s="1"/>
  <c r="F562" i="7"/>
  <c r="I562" i="7" s="1"/>
  <c r="F563" i="7"/>
  <c r="I563" i="7" s="1"/>
  <c r="F564" i="7"/>
  <c r="I564" i="7" s="1"/>
  <c r="F565" i="7"/>
  <c r="I565" i="7" s="1"/>
  <c r="F566" i="7"/>
  <c r="F567" i="7"/>
  <c r="I567" i="7" s="1"/>
  <c r="F568" i="7"/>
  <c r="I568" i="7" s="1"/>
  <c r="F569" i="7"/>
  <c r="I569" i="7" s="1"/>
  <c r="F570" i="7"/>
  <c r="I570" i="7" s="1"/>
  <c r="F571" i="7"/>
  <c r="I571" i="7" s="1"/>
  <c r="F572" i="7"/>
  <c r="I572" i="7" s="1"/>
  <c r="F573" i="7"/>
  <c r="I573" i="7" s="1"/>
  <c r="F574" i="7"/>
  <c r="I574" i="7" s="1"/>
  <c r="F575" i="7"/>
  <c r="I575" i="7" s="1"/>
  <c r="F576" i="7"/>
  <c r="I576" i="7" s="1"/>
  <c r="F577" i="7"/>
  <c r="I577" i="7" s="1"/>
  <c r="F578" i="7"/>
  <c r="I578" i="7" s="1"/>
  <c r="F579" i="7"/>
  <c r="I579" i="7" s="1"/>
  <c r="F580" i="7"/>
  <c r="I580" i="7" s="1"/>
  <c r="F581" i="7"/>
  <c r="I581" i="7" s="1"/>
  <c r="F582" i="7"/>
  <c r="I582" i="7" s="1"/>
  <c r="F583" i="7"/>
  <c r="I583" i="7" s="1"/>
  <c r="F584" i="7"/>
  <c r="I584" i="7" s="1"/>
  <c r="F585" i="7"/>
  <c r="I585" i="7" s="1"/>
  <c r="F586" i="7"/>
  <c r="I586" i="7" s="1"/>
  <c r="F587" i="7"/>
  <c r="I587" i="7" s="1"/>
  <c r="F588" i="7"/>
  <c r="I588" i="7" s="1"/>
  <c r="F589" i="7"/>
  <c r="I589" i="7" s="1"/>
  <c r="F590" i="7"/>
  <c r="I590" i="7" s="1"/>
  <c r="F591" i="7"/>
  <c r="I591" i="7" s="1"/>
  <c r="F592" i="7"/>
  <c r="I592" i="7" s="1"/>
  <c r="F593" i="7"/>
  <c r="I593" i="7" s="1"/>
  <c r="F594" i="7"/>
  <c r="I594" i="7" s="1"/>
  <c r="F595" i="7"/>
  <c r="I595" i="7" s="1"/>
  <c r="F596" i="7"/>
  <c r="I596" i="7" s="1"/>
  <c r="F597" i="7"/>
  <c r="I597" i="7" s="1"/>
  <c r="F598" i="7"/>
  <c r="I598" i="7" s="1"/>
  <c r="F599" i="7"/>
  <c r="I599" i="7" s="1"/>
  <c r="F600" i="7"/>
  <c r="I600" i="7" s="1"/>
  <c r="F601" i="7"/>
  <c r="I601" i="7" s="1"/>
  <c r="F602" i="7"/>
  <c r="I602" i="7" s="1"/>
  <c r="F603" i="7"/>
  <c r="I603" i="7" s="1"/>
  <c r="F604" i="7"/>
  <c r="I604" i="7" s="1"/>
  <c r="F605" i="7"/>
  <c r="I605" i="7" s="1"/>
  <c r="F606" i="7"/>
  <c r="I606" i="7" s="1"/>
  <c r="F607" i="7"/>
  <c r="I607" i="7" s="1"/>
  <c r="F608" i="7"/>
  <c r="I608" i="7" s="1"/>
  <c r="F609" i="7"/>
  <c r="I609" i="7" s="1"/>
  <c r="F610" i="7"/>
  <c r="I610" i="7" s="1"/>
  <c r="F611" i="7"/>
  <c r="I611" i="7" s="1"/>
  <c r="F612" i="7"/>
  <c r="I612" i="7" s="1"/>
  <c r="F613" i="7"/>
  <c r="I613" i="7" s="1"/>
  <c r="F614" i="7"/>
  <c r="I614" i="7" s="1"/>
  <c r="F615" i="7"/>
  <c r="I615" i="7" s="1"/>
  <c r="F616" i="7"/>
  <c r="I616" i="7" s="1"/>
  <c r="F617" i="7"/>
  <c r="I617" i="7" s="1"/>
  <c r="F618" i="7"/>
  <c r="I618" i="7" s="1"/>
  <c r="F619" i="7"/>
  <c r="I619" i="7" s="1"/>
  <c r="F620" i="7"/>
  <c r="I620" i="7" s="1"/>
  <c r="F621" i="7"/>
  <c r="I621" i="7" s="1"/>
  <c r="F622" i="7"/>
  <c r="I622" i="7" s="1"/>
  <c r="F623" i="7"/>
  <c r="I623" i="7" s="1"/>
  <c r="F624" i="7"/>
  <c r="I624" i="7" s="1"/>
  <c r="F625" i="7"/>
  <c r="I625" i="7" s="1"/>
  <c r="F626" i="7"/>
  <c r="I626" i="7" s="1"/>
  <c r="F627" i="7"/>
  <c r="I627" i="7" s="1"/>
  <c r="F628" i="7"/>
  <c r="I628" i="7" s="1"/>
  <c r="F629" i="7"/>
  <c r="I629" i="7" s="1"/>
  <c r="F630" i="7"/>
  <c r="F631" i="7"/>
  <c r="I631" i="7" s="1"/>
  <c r="F632" i="7"/>
  <c r="I632" i="7" s="1"/>
  <c r="F633" i="7"/>
  <c r="I633" i="7" s="1"/>
  <c r="F634" i="7"/>
  <c r="I634" i="7" s="1"/>
  <c r="F635" i="7"/>
  <c r="I635" i="7" s="1"/>
  <c r="F636" i="7"/>
  <c r="I636" i="7" s="1"/>
  <c r="F637" i="7"/>
  <c r="I637" i="7" s="1"/>
  <c r="F638" i="7"/>
  <c r="F639" i="7"/>
  <c r="I639" i="7" s="1"/>
  <c r="F640" i="7"/>
  <c r="I640" i="7" s="1"/>
  <c r="F641" i="7"/>
  <c r="I641" i="7" s="1"/>
  <c r="F642" i="7"/>
  <c r="I642" i="7" s="1"/>
  <c r="F643" i="7"/>
  <c r="I643" i="7" s="1"/>
  <c r="F644" i="7"/>
  <c r="I644" i="7" s="1"/>
  <c r="F645" i="7"/>
  <c r="I645" i="7" s="1"/>
  <c r="F646" i="7"/>
  <c r="I646" i="7" s="1"/>
  <c r="F647" i="7"/>
  <c r="I647" i="7" s="1"/>
  <c r="F648" i="7"/>
  <c r="I648" i="7" s="1"/>
  <c r="F649" i="7"/>
  <c r="I649" i="7" s="1"/>
  <c r="F650" i="7"/>
  <c r="I650" i="7" s="1"/>
  <c r="F651" i="7"/>
  <c r="I651" i="7" s="1"/>
  <c r="F652" i="7"/>
  <c r="I652" i="7" s="1"/>
  <c r="F653" i="7"/>
  <c r="I653" i="7" s="1"/>
  <c r="F654" i="7"/>
  <c r="I654" i="7" s="1"/>
  <c r="F655" i="7"/>
  <c r="I655" i="7" s="1"/>
  <c r="F656" i="7"/>
  <c r="I656" i="7" s="1"/>
  <c r="F657" i="7"/>
  <c r="I657" i="7" s="1"/>
  <c r="F658" i="7"/>
  <c r="I658" i="7" s="1"/>
  <c r="F659" i="7"/>
  <c r="I659" i="7" s="1"/>
  <c r="F660" i="7"/>
  <c r="I660" i="7" s="1"/>
  <c r="F661" i="7"/>
  <c r="I661" i="7" s="1"/>
  <c r="F662" i="7"/>
  <c r="I662" i="7" s="1"/>
  <c r="F663" i="7"/>
  <c r="I663" i="7" s="1"/>
  <c r="F664" i="7"/>
  <c r="I664" i="7" s="1"/>
  <c r="F665" i="7"/>
  <c r="I665" i="7" s="1"/>
  <c r="F666" i="7"/>
  <c r="I666" i="7" s="1"/>
  <c r="F667" i="7"/>
  <c r="I667" i="7" s="1"/>
  <c r="F668" i="7"/>
  <c r="I668" i="7" s="1"/>
  <c r="F669" i="7"/>
  <c r="I669" i="7" s="1"/>
  <c r="F670" i="7"/>
  <c r="I670" i="7" s="1"/>
  <c r="F671" i="7"/>
  <c r="I671" i="7" s="1"/>
  <c r="F672" i="7"/>
  <c r="I672" i="7" s="1"/>
  <c r="F673" i="7"/>
  <c r="I673" i="7" s="1"/>
  <c r="F674" i="7"/>
  <c r="I674" i="7" s="1"/>
  <c r="F675" i="7"/>
  <c r="I675" i="7" s="1"/>
  <c r="F676" i="7"/>
  <c r="I676" i="7" s="1"/>
  <c r="F677" i="7"/>
  <c r="I677" i="7" s="1"/>
  <c r="F678" i="7"/>
  <c r="I678" i="7" s="1"/>
  <c r="F679" i="7"/>
  <c r="I679" i="7" s="1"/>
  <c r="F680" i="7"/>
  <c r="I680" i="7" s="1"/>
  <c r="F681" i="7"/>
  <c r="I681" i="7" s="1"/>
  <c r="F682" i="7"/>
  <c r="I682" i="7" s="1"/>
  <c r="F683" i="7"/>
  <c r="I683" i="7" s="1"/>
  <c r="F684" i="7"/>
  <c r="I684" i="7" s="1"/>
  <c r="F685" i="7"/>
  <c r="I685" i="7" s="1"/>
  <c r="F686" i="7"/>
  <c r="I686" i="7" s="1"/>
  <c r="F687" i="7"/>
  <c r="I687" i="7" s="1"/>
  <c r="F688" i="7"/>
  <c r="I688" i="7" s="1"/>
  <c r="F689" i="7"/>
  <c r="I689" i="7" s="1"/>
  <c r="F690" i="7"/>
  <c r="I690" i="7" s="1"/>
  <c r="F691" i="7"/>
  <c r="I691" i="7" s="1"/>
  <c r="F692" i="7"/>
  <c r="I692" i="7" s="1"/>
  <c r="F693" i="7"/>
  <c r="I693" i="7" s="1"/>
  <c r="F694" i="7"/>
  <c r="I694" i="7" s="1"/>
  <c r="F695" i="7"/>
  <c r="I695" i="7" s="1"/>
  <c r="F696" i="7"/>
  <c r="I696" i="7" s="1"/>
  <c r="F697" i="7"/>
  <c r="I697" i="7" s="1"/>
  <c r="F698" i="7"/>
  <c r="I698" i="7" s="1"/>
  <c r="F699" i="7"/>
  <c r="I699" i="7" s="1"/>
  <c r="F700" i="7"/>
  <c r="I700" i="7" s="1"/>
  <c r="F701" i="7"/>
  <c r="I701" i="7" s="1"/>
  <c r="F702" i="7"/>
  <c r="I702" i="7" s="1"/>
  <c r="F703" i="7"/>
  <c r="I703" i="7" s="1"/>
  <c r="F704" i="7"/>
  <c r="I704" i="7" s="1"/>
  <c r="F705" i="7"/>
  <c r="I705" i="7" s="1"/>
  <c r="F706" i="7"/>
  <c r="I706" i="7" s="1"/>
  <c r="F707" i="7"/>
  <c r="I707" i="7" s="1"/>
  <c r="F708" i="7"/>
  <c r="I708" i="7" s="1"/>
  <c r="F709" i="7"/>
  <c r="I709" i="7" s="1"/>
  <c r="F710" i="7"/>
  <c r="F711" i="7"/>
  <c r="I711" i="7" s="1"/>
  <c r="F712" i="7"/>
  <c r="I712" i="7" s="1"/>
  <c r="F713" i="7"/>
  <c r="I713" i="7" s="1"/>
  <c r="F714" i="7"/>
  <c r="I714" i="7" s="1"/>
  <c r="F715" i="7"/>
  <c r="I715" i="7" s="1"/>
  <c r="F716" i="7"/>
  <c r="I716" i="7" s="1"/>
  <c r="F717" i="7"/>
  <c r="I717" i="7" s="1"/>
  <c r="F718" i="7"/>
  <c r="I718" i="7" s="1"/>
  <c r="F719" i="7"/>
  <c r="I719" i="7" s="1"/>
  <c r="F720" i="7"/>
  <c r="I720" i="7" s="1"/>
  <c r="F721" i="7"/>
  <c r="I721" i="7" s="1"/>
  <c r="F722" i="7"/>
  <c r="I722" i="7" s="1"/>
  <c r="F723" i="7"/>
  <c r="I723" i="7" s="1"/>
  <c r="F724" i="7"/>
  <c r="I724" i="7" s="1"/>
  <c r="F725" i="7"/>
  <c r="I725" i="7" s="1"/>
  <c r="F726" i="7"/>
  <c r="I726" i="7" s="1"/>
  <c r="F727" i="7"/>
  <c r="I727" i="7" s="1"/>
  <c r="F728" i="7"/>
  <c r="I728" i="7" s="1"/>
  <c r="F729" i="7"/>
  <c r="I729" i="7" s="1"/>
  <c r="F730" i="7"/>
  <c r="I730" i="7" s="1"/>
  <c r="F731" i="7"/>
  <c r="I731" i="7" s="1"/>
  <c r="F732" i="7"/>
  <c r="I732" i="7" s="1"/>
  <c r="F733" i="7"/>
  <c r="I733" i="7" s="1"/>
  <c r="F734" i="7"/>
  <c r="I734" i="7" s="1"/>
  <c r="F735" i="7"/>
  <c r="I735" i="7" s="1"/>
  <c r="F736" i="7"/>
  <c r="I736" i="7" s="1"/>
  <c r="F737" i="7"/>
  <c r="I737" i="7" s="1"/>
  <c r="F738" i="7"/>
  <c r="I738" i="7" s="1"/>
  <c r="F739" i="7"/>
  <c r="I739" i="7" s="1"/>
  <c r="F740" i="7"/>
  <c r="I740" i="7" s="1"/>
  <c r="F741" i="7"/>
  <c r="I741" i="7" s="1"/>
  <c r="F742" i="7"/>
  <c r="I742" i="7" s="1"/>
  <c r="F743" i="7"/>
  <c r="I743" i="7" s="1"/>
  <c r="F744" i="7"/>
  <c r="I744" i="7" s="1"/>
  <c r="F745" i="7"/>
  <c r="I745" i="7" s="1"/>
  <c r="F746" i="7"/>
  <c r="I746" i="7" s="1"/>
  <c r="F747" i="7"/>
  <c r="I747" i="7" s="1"/>
  <c r="F748" i="7"/>
  <c r="I748" i="7" s="1"/>
  <c r="F749" i="7"/>
  <c r="I749" i="7" s="1"/>
  <c r="F750" i="7"/>
  <c r="I750" i="7" s="1"/>
  <c r="F751" i="7"/>
  <c r="I751" i="7" s="1"/>
  <c r="F752" i="7"/>
  <c r="I752" i="7" s="1"/>
  <c r="F753" i="7"/>
  <c r="I753" i="7" s="1"/>
  <c r="F754" i="7"/>
  <c r="I754" i="7" s="1"/>
  <c r="F755" i="7"/>
  <c r="I755" i="7" s="1"/>
  <c r="F756" i="7"/>
  <c r="I756" i="7" s="1"/>
  <c r="F757" i="7"/>
  <c r="I757" i="7" s="1"/>
  <c r="F758" i="7"/>
  <c r="I758" i="7" s="1"/>
  <c r="F759" i="7"/>
  <c r="I759" i="7" s="1"/>
  <c r="F760" i="7"/>
  <c r="I760" i="7" s="1"/>
  <c r="F761" i="7"/>
  <c r="I761" i="7" s="1"/>
  <c r="F762" i="7"/>
  <c r="I762" i="7" s="1"/>
  <c r="F763" i="7"/>
  <c r="I763" i="7" s="1"/>
  <c r="F764" i="7"/>
  <c r="I764" i="7" s="1"/>
  <c r="F765" i="7"/>
  <c r="I765" i="7" s="1"/>
  <c r="F766" i="7"/>
  <c r="I766" i="7" s="1"/>
  <c r="F767" i="7"/>
  <c r="I767" i="7" s="1"/>
  <c r="F768" i="7"/>
  <c r="I768" i="7" s="1"/>
  <c r="F769" i="7"/>
  <c r="I769" i="7" s="1"/>
  <c r="F770" i="7"/>
  <c r="I770" i="7" s="1"/>
  <c r="F771" i="7"/>
  <c r="I771" i="7" s="1"/>
  <c r="F772" i="7"/>
  <c r="I772" i="7" s="1"/>
  <c r="F773" i="7"/>
  <c r="I773" i="7" s="1"/>
  <c r="F774" i="7"/>
  <c r="F775" i="7"/>
  <c r="I775" i="7" s="1"/>
  <c r="F776" i="7"/>
  <c r="I776" i="7" s="1"/>
  <c r="F777" i="7"/>
  <c r="I777" i="7" s="1"/>
  <c r="F778" i="7"/>
  <c r="I778" i="7" s="1"/>
  <c r="F779" i="7"/>
  <c r="I779" i="7" s="1"/>
  <c r="F780" i="7"/>
  <c r="I780" i="7" s="1"/>
  <c r="F781" i="7"/>
  <c r="I781" i="7" s="1"/>
  <c r="F782" i="7"/>
  <c r="I782" i="7" s="1"/>
  <c r="F783" i="7"/>
  <c r="I783" i="7" s="1"/>
  <c r="F784" i="7"/>
  <c r="I784" i="7" s="1"/>
  <c r="F785" i="7"/>
  <c r="I785" i="7" s="1"/>
  <c r="F786" i="7"/>
  <c r="I786" i="7" s="1"/>
  <c r="F787" i="7"/>
  <c r="I787" i="7" s="1"/>
  <c r="F788" i="7"/>
  <c r="I788" i="7" s="1"/>
  <c r="F789" i="7"/>
  <c r="I789" i="7" s="1"/>
  <c r="F790" i="7"/>
  <c r="I790" i="7" s="1"/>
  <c r="F791" i="7"/>
  <c r="I791" i="7" s="1"/>
  <c r="F792" i="7"/>
  <c r="I792" i="7" s="1"/>
  <c r="F793" i="7"/>
  <c r="I793" i="7" s="1"/>
  <c r="F794" i="7"/>
  <c r="I794" i="7" s="1"/>
  <c r="F795" i="7"/>
  <c r="I795" i="7" s="1"/>
  <c r="F796" i="7"/>
  <c r="I796" i="7" s="1"/>
  <c r="F797" i="7"/>
  <c r="I797" i="7" s="1"/>
  <c r="F798" i="7"/>
  <c r="F799" i="7"/>
  <c r="I799" i="7" s="1"/>
  <c r="F800" i="7"/>
  <c r="I800" i="7" s="1"/>
  <c r="F801" i="7"/>
  <c r="I801" i="7" s="1"/>
  <c r="F802" i="7"/>
  <c r="I802" i="7" s="1"/>
  <c r="F803" i="7"/>
  <c r="I803" i="7" s="1"/>
  <c r="F804" i="7"/>
  <c r="I804" i="7" s="1"/>
  <c r="F805" i="7"/>
  <c r="I805" i="7" s="1"/>
  <c r="F806" i="7"/>
  <c r="I806" i="7" s="1"/>
  <c r="F807" i="7"/>
  <c r="I807" i="7" s="1"/>
  <c r="F808" i="7"/>
  <c r="I808" i="7" s="1"/>
  <c r="F809" i="7"/>
  <c r="I809" i="7" s="1"/>
  <c r="F810" i="7"/>
  <c r="I810" i="7" s="1"/>
  <c r="F811" i="7"/>
  <c r="I811" i="7" s="1"/>
  <c r="F812" i="7"/>
  <c r="I812" i="7" s="1"/>
  <c r="F813" i="7"/>
  <c r="I813" i="7" s="1"/>
  <c r="F814" i="7"/>
  <c r="I814" i="7" s="1"/>
  <c r="F815" i="7"/>
  <c r="I815" i="7" s="1"/>
  <c r="F816" i="7"/>
  <c r="I816" i="7" s="1"/>
  <c r="F817" i="7"/>
  <c r="I817" i="7" s="1"/>
  <c r="F818" i="7"/>
  <c r="I818" i="7" s="1"/>
  <c r="F819" i="7"/>
  <c r="I819" i="7" s="1"/>
  <c r="F820" i="7"/>
  <c r="I820" i="7" s="1"/>
  <c r="F821" i="7"/>
  <c r="I821" i="7" s="1"/>
  <c r="F822" i="7"/>
  <c r="I822" i="7" s="1"/>
  <c r="F823" i="7"/>
  <c r="I823" i="7" s="1"/>
  <c r="F824" i="7"/>
  <c r="I824" i="7" s="1"/>
  <c r="F825" i="7"/>
  <c r="I825" i="7" s="1"/>
  <c r="F826" i="7"/>
  <c r="I826" i="7" s="1"/>
  <c r="F827" i="7"/>
  <c r="I827" i="7" s="1"/>
  <c r="F828" i="7"/>
  <c r="I828" i="7" s="1"/>
  <c r="F829" i="7"/>
  <c r="I829" i="7" s="1"/>
  <c r="F830" i="7"/>
  <c r="I830" i="7" s="1"/>
  <c r="F831" i="7"/>
  <c r="I831" i="7" s="1"/>
  <c r="F832" i="7"/>
  <c r="I832" i="7" s="1"/>
  <c r="F833" i="7"/>
  <c r="I833" i="7" s="1"/>
  <c r="F834" i="7"/>
  <c r="I834" i="7" s="1"/>
  <c r="F835" i="7"/>
  <c r="I835" i="7" s="1"/>
  <c r="F836" i="7"/>
  <c r="I836" i="7" s="1"/>
  <c r="F837" i="7"/>
  <c r="I837" i="7" s="1"/>
  <c r="F838" i="7"/>
  <c r="I838" i="7" s="1"/>
  <c r="F839" i="7"/>
  <c r="I839" i="7" s="1"/>
  <c r="F840" i="7"/>
  <c r="I840" i="7" s="1"/>
  <c r="F841" i="7"/>
  <c r="I841" i="7" s="1"/>
  <c r="F842" i="7"/>
  <c r="I842" i="7" s="1"/>
  <c r="F843" i="7"/>
  <c r="I843" i="7" s="1"/>
  <c r="F844" i="7"/>
  <c r="I844" i="7" s="1"/>
  <c r="F845" i="7"/>
  <c r="I845" i="7" s="1"/>
  <c r="F846" i="7"/>
  <c r="I846" i="7" s="1"/>
  <c r="F847" i="7"/>
  <c r="I847" i="7" s="1"/>
  <c r="F848" i="7"/>
  <c r="I848" i="7" s="1"/>
  <c r="F849" i="7"/>
  <c r="I849" i="7" s="1"/>
  <c r="F850" i="7"/>
  <c r="I850" i="7" s="1"/>
  <c r="F851" i="7"/>
  <c r="I851" i="7" s="1"/>
  <c r="F852" i="7"/>
  <c r="I852" i="7" s="1"/>
  <c r="F853" i="7"/>
  <c r="I853" i="7" s="1"/>
  <c r="F854" i="7"/>
  <c r="I854" i="7" s="1"/>
  <c r="F855" i="7"/>
  <c r="I855" i="7" s="1"/>
  <c r="F856" i="7"/>
  <c r="I856" i="7" s="1"/>
  <c r="F857" i="7"/>
  <c r="I857" i="7" s="1"/>
  <c r="F858" i="7"/>
  <c r="I858" i="7" s="1"/>
  <c r="F859" i="7"/>
  <c r="I859" i="7" s="1"/>
  <c r="F860" i="7"/>
  <c r="I860" i="7" s="1"/>
  <c r="F861" i="7"/>
  <c r="I861" i="7" s="1"/>
  <c r="F862" i="7"/>
  <c r="I862" i="7" s="1"/>
  <c r="F863" i="7"/>
  <c r="I863" i="7" s="1"/>
  <c r="F864" i="7"/>
  <c r="I864" i="7" s="1"/>
  <c r="F865" i="7"/>
  <c r="I865" i="7" s="1"/>
  <c r="F866" i="7"/>
  <c r="I866" i="7" s="1"/>
  <c r="F867" i="7"/>
  <c r="I867" i="7" s="1"/>
  <c r="F868" i="7"/>
  <c r="I868" i="7" s="1"/>
  <c r="F869" i="7"/>
  <c r="I869" i="7" s="1"/>
  <c r="F870" i="7"/>
  <c r="I870" i="7" s="1"/>
  <c r="F871" i="7"/>
  <c r="I871" i="7" s="1"/>
  <c r="F872" i="7"/>
  <c r="I872" i="7" s="1"/>
  <c r="F873" i="7"/>
  <c r="I873" i="7" s="1"/>
  <c r="F874" i="7"/>
  <c r="I874" i="7" s="1"/>
  <c r="F875" i="7"/>
  <c r="I875" i="7" s="1"/>
  <c r="F876" i="7"/>
  <c r="I876" i="7" s="1"/>
  <c r="F877" i="7"/>
  <c r="I877" i="7" s="1"/>
  <c r="F878" i="7"/>
  <c r="I878" i="7" s="1"/>
  <c r="F879" i="7"/>
  <c r="I879" i="7" s="1"/>
  <c r="F880" i="7"/>
  <c r="I880" i="7" s="1"/>
  <c r="F881" i="7"/>
  <c r="I881" i="7" s="1"/>
  <c r="F882" i="7"/>
  <c r="I882" i="7" s="1"/>
  <c r="F883" i="7"/>
  <c r="I883" i="7" s="1"/>
  <c r="F884" i="7"/>
  <c r="I884" i="7" s="1"/>
  <c r="F885" i="7"/>
  <c r="I885" i="7" s="1"/>
  <c r="F886" i="7"/>
  <c r="I886" i="7" s="1"/>
  <c r="F887" i="7"/>
  <c r="I887" i="7" s="1"/>
  <c r="F888" i="7"/>
  <c r="I888" i="7" s="1"/>
  <c r="F889" i="7"/>
  <c r="I889" i="7" s="1"/>
  <c r="F890" i="7"/>
  <c r="I890" i="7" s="1"/>
  <c r="F891" i="7"/>
  <c r="I891" i="7" s="1"/>
  <c r="F892" i="7"/>
  <c r="I892" i="7" s="1"/>
  <c r="F893" i="7"/>
  <c r="I893" i="7" s="1"/>
  <c r="F894" i="7"/>
  <c r="I894" i="7" s="1"/>
  <c r="F895" i="7"/>
  <c r="I895" i="7" s="1"/>
  <c r="F896" i="7"/>
  <c r="I896" i="7" s="1"/>
  <c r="F897" i="7"/>
  <c r="I897" i="7" s="1"/>
  <c r="F898" i="7"/>
  <c r="I898" i="7" s="1"/>
  <c r="F899" i="7"/>
  <c r="I899" i="7" s="1"/>
  <c r="F900" i="7"/>
  <c r="I900" i="7" s="1"/>
  <c r="F901" i="7"/>
  <c r="I901" i="7" s="1"/>
  <c r="F902" i="7"/>
  <c r="I902" i="7" s="1"/>
  <c r="F903" i="7"/>
  <c r="I903" i="7" s="1"/>
  <c r="F904" i="7"/>
  <c r="I904" i="7" s="1"/>
  <c r="F905" i="7"/>
  <c r="I905" i="7" s="1"/>
  <c r="F906" i="7"/>
  <c r="I906" i="7" s="1"/>
  <c r="F907" i="7"/>
  <c r="I907" i="7" s="1"/>
  <c r="F908" i="7"/>
  <c r="I908" i="7" s="1"/>
  <c r="F909" i="7"/>
  <c r="I909" i="7" s="1"/>
  <c r="F910" i="7"/>
  <c r="I910" i="7" s="1"/>
  <c r="F911" i="7"/>
  <c r="I911" i="7" s="1"/>
  <c r="F912" i="7"/>
  <c r="I912" i="7" s="1"/>
  <c r="F913" i="7"/>
  <c r="I913" i="7" s="1"/>
  <c r="F914" i="7"/>
  <c r="I914" i="7" s="1"/>
  <c r="F915" i="7"/>
  <c r="I915" i="7" s="1"/>
  <c r="F916" i="7"/>
  <c r="I916" i="7" s="1"/>
  <c r="F917" i="7"/>
  <c r="I917" i="7" s="1"/>
  <c r="F918" i="7"/>
  <c r="I918" i="7" s="1"/>
  <c r="F919" i="7"/>
  <c r="I919" i="7" s="1"/>
  <c r="F920" i="7"/>
  <c r="I920" i="7" s="1"/>
  <c r="F921" i="7"/>
  <c r="I921" i="7" s="1"/>
  <c r="F922" i="7"/>
  <c r="I922" i="7" s="1"/>
  <c r="F923" i="7"/>
  <c r="I923" i="7" s="1"/>
  <c r="F924" i="7"/>
  <c r="I924" i="7" s="1"/>
  <c r="F925" i="7"/>
  <c r="I925" i="7" s="1"/>
  <c r="F926" i="7"/>
  <c r="I926" i="7" s="1"/>
  <c r="F927" i="7"/>
  <c r="I927" i="7" s="1"/>
  <c r="F928" i="7"/>
  <c r="I928" i="7" s="1"/>
  <c r="F929" i="7"/>
  <c r="I929" i="7" s="1"/>
  <c r="F930" i="7"/>
  <c r="I930" i="7" s="1"/>
  <c r="F931" i="7"/>
  <c r="I931" i="7" s="1"/>
  <c r="F932" i="7"/>
  <c r="I932" i="7" s="1"/>
  <c r="F933" i="7"/>
  <c r="I933" i="7" s="1"/>
  <c r="F934" i="7"/>
  <c r="I934" i="7" s="1"/>
  <c r="F935" i="7"/>
  <c r="I935" i="7" s="1"/>
  <c r="F936" i="7"/>
  <c r="I936" i="7" s="1"/>
  <c r="F937" i="7"/>
  <c r="I937" i="7" s="1"/>
  <c r="F938" i="7"/>
  <c r="I938" i="7" s="1"/>
  <c r="F939" i="7"/>
  <c r="I939" i="7" s="1"/>
  <c r="F940" i="7"/>
  <c r="I940" i="7" s="1"/>
  <c r="F941" i="7"/>
  <c r="I941" i="7" s="1"/>
  <c r="F942" i="7"/>
  <c r="I942" i="7" s="1"/>
  <c r="F943" i="7"/>
  <c r="I943" i="7" s="1"/>
  <c r="F944" i="7"/>
  <c r="I944" i="7" s="1"/>
  <c r="F945" i="7"/>
  <c r="I945" i="7" s="1"/>
  <c r="F946" i="7"/>
  <c r="I946" i="7" s="1"/>
  <c r="F947" i="7"/>
  <c r="I947" i="7" s="1"/>
  <c r="F948" i="7"/>
  <c r="I948" i="7" s="1"/>
  <c r="F949" i="7"/>
  <c r="I949" i="7" s="1"/>
  <c r="F950" i="7"/>
  <c r="I950" i="7" s="1"/>
  <c r="F951" i="7"/>
  <c r="I951" i="7" s="1"/>
  <c r="F952" i="7"/>
  <c r="I952" i="7" s="1"/>
  <c r="F953" i="7"/>
  <c r="I953" i="7" s="1"/>
  <c r="F954" i="7"/>
  <c r="I954" i="7" s="1"/>
  <c r="F955" i="7"/>
  <c r="I955" i="7" s="1"/>
  <c r="F956" i="7"/>
  <c r="I956" i="7" s="1"/>
  <c r="F957" i="7"/>
  <c r="I957" i="7" s="1"/>
  <c r="F958" i="7"/>
  <c r="I958" i="7" s="1"/>
  <c r="F959" i="7"/>
  <c r="I959" i="7" s="1"/>
  <c r="F960" i="7"/>
  <c r="I960" i="7" s="1"/>
  <c r="F961" i="7"/>
  <c r="I961" i="7" s="1"/>
  <c r="F962" i="7"/>
  <c r="I962" i="7" s="1"/>
  <c r="F963" i="7"/>
  <c r="I963" i="7" s="1"/>
  <c r="F964" i="7"/>
  <c r="I964" i="7" s="1"/>
  <c r="F965" i="7"/>
  <c r="I965" i="7" s="1"/>
  <c r="F966" i="7"/>
  <c r="I966" i="7" s="1"/>
  <c r="F967" i="7"/>
  <c r="I967" i="7" s="1"/>
  <c r="F968" i="7"/>
  <c r="I968" i="7" s="1"/>
  <c r="F969" i="7"/>
  <c r="I969" i="7" s="1"/>
  <c r="F970" i="7"/>
  <c r="I970" i="7" s="1"/>
  <c r="F971" i="7"/>
  <c r="I971" i="7" s="1"/>
  <c r="F972" i="7"/>
  <c r="I972" i="7" s="1"/>
  <c r="F973" i="7"/>
  <c r="I973" i="7" s="1"/>
  <c r="F974" i="7"/>
  <c r="I974" i="7" s="1"/>
  <c r="F975" i="7"/>
  <c r="I975" i="7" s="1"/>
  <c r="F976" i="7"/>
  <c r="I976" i="7" s="1"/>
  <c r="F977" i="7"/>
  <c r="I977" i="7" s="1"/>
  <c r="F978" i="7"/>
  <c r="I978" i="7" s="1"/>
  <c r="F979" i="7"/>
  <c r="I979" i="7" s="1"/>
  <c r="F980" i="7"/>
  <c r="I980" i="7" s="1"/>
  <c r="F981" i="7"/>
  <c r="I981" i="7" s="1"/>
  <c r="F982" i="7"/>
  <c r="I982" i="7" s="1"/>
  <c r="F983" i="7"/>
  <c r="I983" i="7" s="1"/>
  <c r="F984" i="7"/>
  <c r="I984" i="7" s="1"/>
  <c r="F985" i="7"/>
  <c r="I985" i="7" s="1"/>
  <c r="F986" i="7"/>
  <c r="I986" i="7" s="1"/>
  <c r="F987" i="7"/>
  <c r="I987" i="7" s="1"/>
  <c r="F988" i="7"/>
  <c r="I988" i="7" s="1"/>
  <c r="F989" i="7"/>
  <c r="I989" i="7" s="1"/>
  <c r="F990" i="7"/>
  <c r="I990" i="7" s="1"/>
  <c r="F991" i="7"/>
  <c r="I991" i="7" s="1"/>
  <c r="F992" i="7"/>
  <c r="I992" i="7" s="1"/>
  <c r="F993" i="7"/>
  <c r="I993" i="7" s="1"/>
  <c r="F994" i="7"/>
  <c r="I994" i="7" s="1"/>
  <c r="F995" i="7"/>
  <c r="I995" i="7" s="1"/>
  <c r="F996" i="7"/>
  <c r="I996" i="7" s="1"/>
  <c r="F997" i="7"/>
  <c r="I997" i="7" s="1"/>
  <c r="F998" i="7"/>
  <c r="I998" i="7" s="1"/>
  <c r="F999" i="7"/>
  <c r="I999" i="7" s="1"/>
  <c r="F1000" i="7"/>
  <c r="I1000" i="7" s="1"/>
  <c r="F1001" i="7"/>
  <c r="I1001" i="7" s="1"/>
  <c r="F1002" i="7"/>
  <c r="I1002" i="7" s="1"/>
  <c r="F1003" i="7"/>
  <c r="I1003" i="7" s="1"/>
  <c r="F1004" i="7"/>
  <c r="I1004" i="7" s="1"/>
  <c r="F1005" i="7"/>
  <c r="I1005" i="7" s="1"/>
  <c r="F1006" i="7"/>
  <c r="I1006" i="7" s="1"/>
  <c r="F1007" i="7"/>
  <c r="I1007" i="7" s="1"/>
  <c r="F1008" i="7"/>
  <c r="I1008" i="7" s="1"/>
  <c r="F1009" i="7"/>
  <c r="I1009" i="7" s="1"/>
  <c r="F1010" i="7"/>
  <c r="I1010" i="7" s="1"/>
  <c r="F1011" i="7"/>
  <c r="I1011" i="7" s="1"/>
  <c r="F1012" i="7"/>
  <c r="I1012" i="7" s="1"/>
  <c r="F1013" i="7"/>
  <c r="I1013" i="7" s="1"/>
  <c r="F1014" i="7"/>
  <c r="I1014" i="7" s="1"/>
  <c r="F1015" i="7"/>
  <c r="I1015" i="7" s="1"/>
  <c r="F1016" i="7"/>
  <c r="I1016" i="7" s="1"/>
  <c r="F1017" i="7"/>
  <c r="I1017" i="7" s="1"/>
  <c r="F1018" i="7"/>
  <c r="I1018" i="7" s="1"/>
  <c r="F1019" i="7"/>
  <c r="I1019" i="7" s="1"/>
  <c r="F1020" i="7"/>
  <c r="I1020" i="7" s="1"/>
  <c r="F1021" i="7"/>
  <c r="I1021" i="7" s="1"/>
  <c r="F1022" i="7"/>
  <c r="I1022" i="7" s="1"/>
  <c r="F1023" i="7"/>
  <c r="I1023" i="7" s="1"/>
  <c r="F1024" i="7"/>
  <c r="I1024" i="7" s="1"/>
  <c r="F1025" i="7"/>
  <c r="I1025" i="7" s="1"/>
  <c r="F1026" i="7"/>
  <c r="I1026" i="7" s="1"/>
  <c r="F1027" i="7"/>
  <c r="I1027" i="7" s="1"/>
  <c r="F1028" i="7"/>
  <c r="I1028" i="7" s="1"/>
  <c r="F1029" i="7"/>
  <c r="I1029" i="7" s="1"/>
  <c r="F1030" i="7"/>
  <c r="I1030" i="7" s="1"/>
  <c r="F1031" i="7"/>
  <c r="I1031" i="7" s="1"/>
  <c r="F1032" i="7"/>
  <c r="I1032" i="7" s="1"/>
  <c r="F1033" i="7"/>
  <c r="I1033" i="7" s="1"/>
  <c r="F1034" i="7"/>
  <c r="I1034" i="7" s="1"/>
  <c r="F1035" i="7"/>
  <c r="I1035" i="7" s="1"/>
  <c r="F1036" i="7"/>
  <c r="I1036" i="7" s="1"/>
  <c r="F1037" i="7"/>
  <c r="I1037" i="7" s="1"/>
  <c r="F1038" i="7"/>
  <c r="I1038" i="7" s="1"/>
  <c r="F1039" i="7"/>
  <c r="I1039" i="7" s="1"/>
  <c r="F1040" i="7"/>
  <c r="I1040" i="7" s="1"/>
  <c r="F1041" i="7"/>
  <c r="I1041" i="7" s="1"/>
  <c r="F1042" i="7"/>
  <c r="I1042" i="7" s="1"/>
  <c r="F1043" i="7"/>
  <c r="I1043" i="7" s="1"/>
  <c r="F1044" i="7"/>
  <c r="I1044" i="7" s="1"/>
  <c r="F1045" i="7"/>
  <c r="I1045" i="7" s="1"/>
  <c r="F1046" i="7"/>
  <c r="I1046" i="7" s="1"/>
  <c r="F1047" i="7"/>
  <c r="I1047" i="7" s="1"/>
  <c r="F1048" i="7"/>
  <c r="I1048" i="7" s="1"/>
  <c r="F1049" i="7"/>
  <c r="I1049" i="7" s="1"/>
  <c r="F1050" i="7"/>
  <c r="I1050" i="7" s="1"/>
  <c r="F1051" i="7"/>
  <c r="I1051" i="7" s="1"/>
  <c r="F1052" i="7"/>
  <c r="I1052" i="7" s="1"/>
  <c r="F1053" i="7"/>
  <c r="I1053" i="7" s="1"/>
  <c r="F1054" i="7"/>
  <c r="I1054" i="7" s="1"/>
  <c r="F1055" i="7"/>
  <c r="I1055" i="7" s="1"/>
  <c r="F1056" i="7"/>
  <c r="I1056" i="7" s="1"/>
  <c r="F1057" i="7"/>
  <c r="I1057" i="7" s="1"/>
  <c r="F1058" i="7"/>
  <c r="I1058" i="7" s="1"/>
  <c r="F1059" i="7"/>
  <c r="I1059" i="7" s="1"/>
  <c r="F1060" i="7"/>
  <c r="I1060" i="7" s="1"/>
  <c r="F1061" i="7"/>
  <c r="I1061" i="7" s="1"/>
  <c r="F1062" i="7"/>
  <c r="I1062" i="7" s="1"/>
  <c r="F1063" i="7"/>
  <c r="I1063" i="7" s="1"/>
  <c r="F1064" i="7"/>
  <c r="I1064" i="7" s="1"/>
  <c r="F1065" i="7"/>
  <c r="I1065" i="7" s="1"/>
  <c r="F1066" i="7"/>
  <c r="I1066" i="7" s="1"/>
  <c r="F1067" i="7"/>
  <c r="I1067" i="7" s="1"/>
  <c r="F1068" i="7"/>
  <c r="I1068" i="7" s="1"/>
  <c r="F1069" i="7"/>
  <c r="I1069" i="7" s="1"/>
  <c r="F1070" i="7"/>
  <c r="I1070" i="7" s="1"/>
  <c r="F1071" i="7"/>
  <c r="I1071" i="7" s="1"/>
  <c r="F1072" i="7"/>
  <c r="I1072" i="7" s="1"/>
  <c r="F1073" i="7"/>
  <c r="I1073" i="7" s="1"/>
  <c r="F1074" i="7"/>
  <c r="I1074" i="7" s="1"/>
  <c r="F1075" i="7"/>
  <c r="I1075" i="7" s="1"/>
  <c r="F1076" i="7"/>
  <c r="I1076" i="7" s="1"/>
  <c r="F1077" i="7"/>
  <c r="I1077" i="7" s="1"/>
  <c r="F1078" i="7"/>
  <c r="I1078" i="7" s="1"/>
  <c r="F1079" i="7"/>
  <c r="I1079" i="7" s="1"/>
  <c r="F1080" i="7"/>
  <c r="I1080" i="7" s="1"/>
  <c r="F1081" i="7"/>
  <c r="I1081" i="7" s="1"/>
  <c r="F1082" i="7"/>
  <c r="I1082" i="7" s="1"/>
  <c r="F1083" i="7"/>
  <c r="I1083" i="7" s="1"/>
  <c r="F1084" i="7"/>
  <c r="I1084" i="7" s="1"/>
  <c r="F1085" i="7"/>
  <c r="I1085" i="7" s="1"/>
  <c r="F1086" i="7"/>
  <c r="I1086" i="7" s="1"/>
  <c r="F1087" i="7"/>
  <c r="I1087" i="7" s="1"/>
  <c r="F1088" i="7"/>
  <c r="I1088" i="7" s="1"/>
  <c r="F1089" i="7"/>
  <c r="I1089" i="7" s="1"/>
  <c r="F1090" i="7"/>
  <c r="I1090" i="7" s="1"/>
  <c r="F1091" i="7"/>
  <c r="I1091" i="7" s="1"/>
  <c r="F1092" i="7"/>
  <c r="I1092" i="7" s="1"/>
  <c r="F1093" i="7"/>
  <c r="I1093" i="7" s="1"/>
  <c r="F1094" i="7"/>
  <c r="I1094" i="7" s="1"/>
  <c r="F1095" i="7"/>
  <c r="I1095" i="7" s="1"/>
  <c r="F1096" i="7"/>
  <c r="I1096" i="7" s="1"/>
  <c r="F1097" i="7"/>
  <c r="I1097" i="7" s="1"/>
  <c r="F1098" i="7"/>
  <c r="I1098" i="7" s="1"/>
  <c r="F1099" i="7"/>
  <c r="I1099" i="7" s="1"/>
  <c r="F1100" i="7"/>
  <c r="I1100" i="7" s="1"/>
  <c r="F1101" i="7"/>
  <c r="I1101" i="7" s="1"/>
  <c r="F1102" i="7"/>
  <c r="I1102" i="7" s="1"/>
  <c r="F1103" i="7"/>
  <c r="I1103" i="7" s="1"/>
  <c r="F1104" i="7"/>
  <c r="I1104" i="7" s="1"/>
  <c r="F1105" i="7"/>
  <c r="I1105" i="7" s="1"/>
  <c r="F1106" i="7"/>
  <c r="I1106" i="7" s="1"/>
  <c r="F1107" i="7"/>
  <c r="I1107" i="7" s="1"/>
  <c r="F1108" i="7"/>
  <c r="I1108" i="7" s="1"/>
  <c r="F1109" i="7"/>
  <c r="I1109" i="7" s="1"/>
  <c r="F1110" i="7"/>
  <c r="I1110" i="7" s="1"/>
  <c r="F1111" i="7"/>
  <c r="I1111" i="7" s="1"/>
  <c r="F1112" i="7"/>
  <c r="I1112" i="7" s="1"/>
  <c r="F1113" i="7"/>
  <c r="I1113" i="7" s="1"/>
  <c r="F1114" i="7"/>
  <c r="I1114" i="7" s="1"/>
  <c r="F1115" i="7"/>
  <c r="I1115" i="7" s="1"/>
  <c r="F1116" i="7"/>
  <c r="I1116" i="7" s="1"/>
  <c r="F1117" i="7"/>
  <c r="I1117" i="7" s="1"/>
  <c r="F1118" i="7"/>
  <c r="I1118" i="7" s="1"/>
  <c r="F1119" i="7"/>
  <c r="I1119" i="7" s="1"/>
  <c r="F1120" i="7"/>
  <c r="I1120" i="7" s="1"/>
  <c r="F1121" i="7"/>
  <c r="I1121" i="7" s="1"/>
  <c r="F1122" i="7"/>
  <c r="I1122" i="7" s="1"/>
  <c r="F1123" i="7"/>
  <c r="I1123" i="7" s="1"/>
  <c r="F1124" i="7"/>
  <c r="I1124" i="7" s="1"/>
  <c r="F1125" i="7"/>
  <c r="I1125" i="7" s="1"/>
  <c r="F1126" i="7"/>
  <c r="I1126" i="7" s="1"/>
  <c r="F1127" i="7"/>
  <c r="I1127" i="7" s="1"/>
  <c r="F1128" i="7"/>
  <c r="I1128" i="7" s="1"/>
  <c r="F1129" i="7"/>
  <c r="I1129" i="7" s="1"/>
  <c r="F1130" i="7"/>
  <c r="I1130" i="7" s="1"/>
  <c r="F1131" i="7"/>
  <c r="I1131" i="7" s="1"/>
  <c r="F1132" i="7"/>
  <c r="I1132" i="7" s="1"/>
  <c r="F1133" i="7"/>
  <c r="I1133" i="7" s="1"/>
  <c r="F1134" i="7"/>
  <c r="I1134" i="7" s="1"/>
  <c r="F1135" i="7"/>
  <c r="I1135" i="7" s="1"/>
  <c r="F1136" i="7"/>
  <c r="I1136" i="7" s="1"/>
  <c r="F1137" i="7"/>
  <c r="I1137" i="7" s="1"/>
  <c r="F1138" i="7"/>
  <c r="I1138" i="7" s="1"/>
  <c r="F1139" i="7"/>
  <c r="I1139" i="7" s="1"/>
  <c r="F1140" i="7"/>
  <c r="I1140" i="7" s="1"/>
  <c r="F1141" i="7"/>
  <c r="I1141" i="7" s="1"/>
  <c r="F1142" i="7"/>
  <c r="I1142" i="7" s="1"/>
  <c r="F1143" i="7"/>
  <c r="I1143" i="7" s="1"/>
  <c r="F1144" i="7"/>
  <c r="I1144" i="7" s="1"/>
  <c r="F1145" i="7"/>
  <c r="I1145" i="7" s="1"/>
  <c r="F1146" i="7"/>
  <c r="I1146" i="7" s="1"/>
  <c r="F1147" i="7"/>
  <c r="I1147" i="7" s="1"/>
  <c r="F1148" i="7"/>
  <c r="I1148" i="7" s="1"/>
  <c r="F1149" i="7"/>
  <c r="I1149" i="7" s="1"/>
  <c r="F1150" i="7"/>
  <c r="I1150" i="7" s="1"/>
  <c r="F1151" i="7"/>
  <c r="I1151" i="7" s="1"/>
  <c r="F1152" i="7"/>
  <c r="I1152" i="7" s="1"/>
  <c r="F1153" i="7"/>
  <c r="I1153" i="7" s="1"/>
  <c r="F1154" i="7"/>
  <c r="I1154" i="7" s="1"/>
  <c r="F1155" i="7"/>
  <c r="I1155" i="7" s="1"/>
  <c r="F1156" i="7"/>
  <c r="I1156" i="7" s="1"/>
  <c r="F1157" i="7"/>
  <c r="I1157" i="7" s="1"/>
  <c r="F1158" i="7"/>
  <c r="I1158" i="7" s="1"/>
  <c r="F1159" i="7"/>
  <c r="I1159" i="7" s="1"/>
  <c r="F1160" i="7"/>
  <c r="I1160" i="7" s="1"/>
  <c r="F1161" i="7"/>
  <c r="I1161" i="7" s="1"/>
  <c r="F1162" i="7"/>
  <c r="I1162" i="7" s="1"/>
  <c r="F1163" i="7"/>
  <c r="I1163" i="7" s="1"/>
  <c r="F1164" i="7"/>
  <c r="I1164" i="7" s="1"/>
  <c r="F1165" i="7"/>
  <c r="I1165" i="7" s="1"/>
  <c r="F1166" i="7"/>
  <c r="I1166" i="7" s="1"/>
  <c r="F1167" i="7"/>
  <c r="I1167" i="7" s="1"/>
  <c r="F1168" i="7"/>
  <c r="I1168" i="7" s="1"/>
  <c r="F1169" i="7"/>
  <c r="I1169" i="7" s="1"/>
  <c r="F1170" i="7"/>
  <c r="I1170" i="7" s="1"/>
  <c r="F1171" i="7"/>
  <c r="I1171" i="7" s="1"/>
  <c r="F1172" i="7"/>
  <c r="I1172" i="7" s="1"/>
  <c r="F1173" i="7"/>
  <c r="I1173" i="7" s="1"/>
  <c r="F1174" i="7"/>
  <c r="I1174" i="7" s="1"/>
  <c r="F1175" i="7"/>
  <c r="I1175" i="7" s="1"/>
  <c r="F1176" i="7"/>
  <c r="I1176" i="7" s="1"/>
  <c r="F1177" i="7"/>
  <c r="I1177" i="7" s="1"/>
  <c r="F1178" i="7"/>
  <c r="I1178" i="7" s="1"/>
  <c r="F1179" i="7"/>
  <c r="I1179" i="7" s="1"/>
  <c r="F1180" i="7"/>
  <c r="I1180" i="7" s="1"/>
  <c r="F1181" i="7"/>
  <c r="I1181" i="7" s="1"/>
  <c r="F1182" i="7"/>
  <c r="I1182" i="7" s="1"/>
  <c r="F1183" i="7"/>
  <c r="I1183" i="7" s="1"/>
  <c r="F1184" i="7"/>
  <c r="I1184" i="7" s="1"/>
  <c r="F1185" i="7"/>
  <c r="I1185" i="7" s="1"/>
  <c r="F1186" i="7"/>
  <c r="I1186" i="7" s="1"/>
  <c r="F1187" i="7"/>
  <c r="I1187" i="7" s="1"/>
  <c r="F1188" i="7"/>
  <c r="I1188" i="7" s="1"/>
  <c r="F1189" i="7"/>
  <c r="I1189" i="7" s="1"/>
  <c r="F1190" i="7"/>
  <c r="I1190" i="7" s="1"/>
  <c r="F1191" i="7"/>
  <c r="I1191" i="7" s="1"/>
  <c r="F1192" i="7"/>
  <c r="I1192" i="7" s="1"/>
  <c r="F1193" i="7"/>
  <c r="I1193" i="7" s="1"/>
  <c r="F1194" i="7"/>
  <c r="I1194" i="7" s="1"/>
  <c r="F1195" i="7"/>
  <c r="I1195" i="7" s="1"/>
  <c r="F1196" i="7"/>
  <c r="I1196" i="7" s="1"/>
  <c r="F1197" i="7"/>
  <c r="I1197" i="7" s="1"/>
  <c r="F1198" i="7"/>
  <c r="I1198" i="7" s="1"/>
  <c r="F1199" i="7"/>
  <c r="I1199" i="7" s="1"/>
  <c r="F1200" i="7"/>
  <c r="I1200" i="7" s="1"/>
  <c r="F1201" i="7"/>
  <c r="I1201" i="7" s="1"/>
  <c r="F1202" i="7"/>
  <c r="I1202" i="7" s="1"/>
  <c r="F1203" i="7"/>
  <c r="I1203" i="7" s="1"/>
  <c r="F1204" i="7"/>
  <c r="I1204" i="7" s="1"/>
  <c r="F1205" i="7"/>
  <c r="I1205" i="7" s="1"/>
  <c r="F1206" i="7"/>
  <c r="I1206" i="7" s="1"/>
  <c r="F1207" i="7"/>
  <c r="I1207" i="7" s="1"/>
  <c r="F1208" i="7"/>
  <c r="I1208" i="7" s="1"/>
  <c r="F1209" i="7"/>
  <c r="I1209" i="7" s="1"/>
  <c r="F1210" i="7"/>
  <c r="I1210" i="7" s="1"/>
  <c r="F1211" i="7"/>
  <c r="I1211" i="7" s="1"/>
  <c r="F1212" i="7"/>
  <c r="I1212" i="7" s="1"/>
  <c r="F1213" i="7"/>
  <c r="I1213" i="7" s="1"/>
  <c r="F1214" i="7"/>
  <c r="I1214" i="7" s="1"/>
  <c r="F1215" i="7"/>
  <c r="I1215" i="7" s="1"/>
  <c r="F1216" i="7"/>
  <c r="I1216" i="7" s="1"/>
  <c r="F1217" i="7"/>
  <c r="I1217" i="7" s="1"/>
  <c r="F1218" i="7"/>
  <c r="I1218" i="7" s="1"/>
  <c r="F1219" i="7"/>
  <c r="I1219" i="7" s="1"/>
  <c r="F1220" i="7"/>
  <c r="I1220" i="7" s="1"/>
  <c r="F1221" i="7"/>
  <c r="I1221" i="7" s="1"/>
  <c r="F1222" i="7"/>
  <c r="I1222" i="7" s="1"/>
  <c r="F1223" i="7"/>
  <c r="I1223" i="7" s="1"/>
  <c r="F1224" i="7"/>
  <c r="I1224" i="7" s="1"/>
  <c r="F1225" i="7"/>
  <c r="I1225" i="7" s="1"/>
  <c r="F1226" i="7"/>
  <c r="I1226" i="7" s="1"/>
  <c r="F1227" i="7"/>
  <c r="I1227" i="7" s="1"/>
  <c r="F1228" i="7"/>
  <c r="I1228" i="7" s="1"/>
  <c r="F1229" i="7"/>
  <c r="I1229" i="7" s="1"/>
  <c r="F1230" i="7"/>
  <c r="I1230" i="7" s="1"/>
  <c r="F1231" i="7"/>
  <c r="I1231" i="7" s="1"/>
  <c r="F1232" i="7"/>
  <c r="I1232" i="7" s="1"/>
  <c r="F1233" i="7"/>
  <c r="I1233" i="7" s="1"/>
  <c r="F1234" i="7"/>
  <c r="I1234" i="7" s="1"/>
  <c r="F1235" i="7"/>
  <c r="I1235" i="7" s="1"/>
  <c r="F1236" i="7"/>
  <c r="I1236" i="7" s="1"/>
  <c r="F1237" i="7"/>
  <c r="I1237" i="7" s="1"/>
  <c r="F1238" i="7"/>
  <c r="I1238" i="7" s="1"/>
  <c r="F1239" i="7"/>
  <c r="I1239" i="7" s="1"/>
  <c r="F1240" i="7"/>
  <c r="I1240" i="7" s="1"/>
  <c r="F1241" i="7"/>
  <c r="I1241" i="7" s="1"/>
  <c r="F1242" i="7"/>
  <c r="I1242" i="7" s="1"/>
  <c r="F1243" i="7"/>
  <c r="I1243" i="7" s="1"/>
  <c r="F1244" i="7"/>
  <c r="I1244" i="7" s="1"/>
  <c r="F1245" i="7"/>
  <c r="I1245" i="7" s="1"/>
  <c r="F1246" i="7"/>
  <c r="I1246" i="7" s="1"/>
  <c r="F1247" i="7"/>
  <c r="I1247" i="7" s="1"/>
  <c r="F1248" i="7"/>
  <c r="I1248" i="7" s="1"/>
  <c r="F1249" i="7"/>
  <c r="I1249" i="7" s="1"/>
  <c r="F1250" i="7"/>
  <c r="I1250" i="7" s="1"/>
  <c r="F1251" i="7"/>
  <c r="I1251" i="7" s="1"/>
  <c r="F1252" i="7"/>
  <c r="I1252" i="7" s="1"/>
  <c r="F1253" i="7"/>
  <c r="I1253" i="7" s="1"/>
  <c r="F1254" i="7"/>
  <c r="I1254" i="7" s="1"/>
  <c r="F1255" i="7"/>
  <c r="I1255" i="7" s="1"/>
  <c r="F1256" i="7"/>
  <c r="I1256" i="7" s="1"/>
  <c r="F1257" i="7"/>
  <c r="I1257" i="7" s="1"/>
  <c r="F1258" i="7"/>
  <c r="I1258" i="7" s="1"/>
  <c r="F1259" i="7"/>
  <c r="I1259" i="7" s="1"/>
  <c r="F1260" i="7"/>
  <c r="I1260" i="7" s="1"/>
  <c r="F1261" i="7"/>
  <c r="I1261" i="7" s="1"/>
  <c r="F1262" i="7"/>
  <c r="I1262" i="7" s="1"/>
  <c r="F1263" i="7"/>
  <c r="I1263" i="7" s="1"/>
  <c r="F1264" i="7"/>
  <c r="I1264" i="7" s="1"/>
  <c r="F1265" i="7"/>
  <c r="I1265" i="7" s="1"/>
  <c r="F1266" i="7"/>
  <c r="I1266" i="7" s="1"/>
  <c r="F1267" i="7"/>
  <c r="I1267" i="7" s="1"/>
  <c r="F1268" i="7"/>
  <c r="I1268" i="7" s="1"/>
  <c r="F1269" i="7"/>
  <c r="I1269" i="7" s="1"/>
  <c r="F1270" i="7"/>
  <c r="I1270" i="7" s="1"/>
  <c r="F1271" i="7"/>
  <c r="I1271" i="7" s="1"/>
  <c r="F1272" i="7"/>
  <c r="I1272" i="7" s="1"/>
  <c r="F1273" i="7"/>
  <c r="I1273" i="7" s="1"/>
  <c r="F1274" i="7"/>
  <c r="I1274" i="7" s="1"/>
  <c r="F1275" i="7"/>
  <c r="I1275" i="7" s="1"/>
  <c r="F1276" i="7"/>
  <c r="I1276" i="7" s="1"/>
  <c r="F1277" i="7"/>
  <c r="I1277" i="7" s="1"/>
  <c r="F1278" i="7"/>
  <c r="I1278" i="7" s="1"/>
  <c r="F1279" i="7"/>
  <c r="I1279" i="7" s="1"/>
  <c r="F1280" i="7"/>
  <c r="I1280" i="7" s="1"/>
  <c r="F1281" i="7"/>
  <c r="I1281" i="7" s="1"/>
  <c r="F1282" i="7"/>
  <c r="I1282" i="7" s="1"/>
  <c r="F1283" i="7"/>
  <c r="I1283" i="7" s="1"/>
  <c r="F1284" i="7"/>
  <c r="I1284" i="7" s="1"/>
  <c r="F1285" i="7"/>
  <c r="I1285" i="7" s="1"/>
  <c r="F1286" i="7"/>
  <c r="I1286" i="7" s="1"/>
  <c r="F1287" i="7"/>
  <c r="I1287" i="7" s="1"/>
  <c r="F1288" i="7"/>
  <c r="I1288" i="7" s="1"/>
  <c r="F1289" i="7"/>
  <c r="I1289" i="7" s="1"/>
  <c r="F1290" i="7"/>
  <c r="I1290" i="7" s="1"/>
  <c r="F1291" i="7"/>
  <c r="I1291" i="7" s="1"/>
  <c r="F1292" i="7"/>
  <c r="I1292" i="7" s="1"/>
  <c r="F1293" i="7"/>
  <c r="I1293" i="7" s="1"/>
  <c r="F1294" i="7"/>
  <c r="I1294" i="7" s="1"/>
  <c r="F1295" i="7"/>
  <c r="I1295" i="7" s="1"/>
  <c r="F1296" i="7"/>
  <c r="I1296" i="7" s="1"/>
  <c r="F1297" i="7"/>
  <c r="I1297" i="7" s="1"/>
  <c r="F1298" i="7"/>
  <c r="I1298" i="7" s="1"/>
  <c r="F1299" i="7"/>
  <c r="I1299" i="7" s="1"/>
  <c r="F1300" i="7"/>
  <c r="I1300" i="7" s="1"/>
  <c r="F1301" i="7"/>
  <c r="I1301" i="7" s="1"/>
  <c r="F1302" i="7"/>
  <c r="I1302" i="7" s="1"/>
  <c r="F1303" i="7"/>
  <c r="I1303" i="7" s="1"/>
  <c r="F1304" i="7"/>
  <c r="I1304" i="7" s="1"/>
  <c r="F1305" i="7"/>
  <c r="I1305" i="7" s="1"/>
  <c r="F1306" i="7"/>
  <c r="I1306" i="7" s="1"/>
  <c r="F1307" i="7"/>
  <c r="I1307" i="7" s="1"/>
  <c r="F1308" i="7"/>
  <c r="I1308" i="7" s="1"/>
  <c r="F1309" i="7"/>
  <c r="I1309" i="7" s="1"/>
  <c r="F1310" i="7"/>
  <c r="I1310" i="7" s="1"/>
  <c r="F1311" i="7"/>
  <c r="I1311" i="7" s="1"/>
  <c r="F1312" i="7"/>
  <c r="I1312" i="7" s="1"/>
  <c r="F1313" i="7"/>
  <c r="I1313" i="7" s="1"/>
  <c r="F1314" i="7"/>
  <c r="I1314" i="7" s="1"/>
  <c r="F1315" i="7"/>
  <c r="I1315" i="7" s="1"/>
  <c r="F1316" i="7"/>
  <c r="I1316" i="7" s="1"/>
  <c r="F1317" i="7"/>
  <c r="I1317" i="7" s="1"/>
  <c r="F1318" i="7"/>
  <c r="I1318" i="7" s="1"/>
  <c r="F1319" i="7"/>
  <c r="I1319" i="7" s="1"/>
  <c r="F1320" i="7"/>
  <c r="I1320" i="7" s="1"/>
  <c r="F1321" i="7"/>
  <c r="I1321" i="7" s="1"/>
  <c r="F1322" i="7"/>
  <c r="I1322" i="7" s="1"/>
  <c r="F1323" i="7"/>
  <c r="I1323" i="7" s="1"/>
  <c r="F1324" i="7"/>
  <c r="I1324" i="7" s="1"/>
  <c r="F1325" i="7"/>
  <c r="I1325" i="7" s="1"/>
  <c r="F1326" i="7"/>
  <c r="I1326" i="7" s="1"/>
  <c r="F1327" i="7"/>
  <c r="I1327" i="7" s="1"/>
  <c r="F1328" i="7"/>
  <c r="I1328" i="7" s="1"/>
  <c r="F1329" i="7"/>
  <c r="I1329" i="7" s="1"/>
  <c r="F1330" i="7"/>
  <c r="I1330" i="7" s="1"/>
  <c r="F1331" i="7"/>
  <c r="I1331" i="7" s="1"/>
  <c r="F1332" i="7"/>
  <c r="I1332" i="7" s="1"/>
  <c r="F1333" i="7"/>
  <c r="I1333" i="7" s="1"/>
  <c r="F1334" i="7"/>
  <c r="I1334" i="7" s="1"/>
  <c r="F1335" i="7"/>
  <c r="I1335" i="7" s="1"/>
  <c r="F1336" i="7"/>
  <c r="I1336" i="7" s="1"/>
  <c r="F1337" i="7"/>
  <c r="I1337" i="7" s="1"/>
  <c r="F1338" i="7"/>
  <c r="I1338" i="7" s="1"/>
  <c r="F1339" i="7"/>
  <c r="I1339" i="7" s="1"/>
  <c r="F1340" i="7"/>
  <c r="I1340" i="7" s="1"/>
  <c r="F1341" i="7"/>
  <c r="I1341" i="7" s="1"/>
  <c r="F1342" i="7"/>
  <c r="I1342" i="7" s="1"/>
  <c r="F1343" i="7"/>
  <c r="I1343" i="7" s="1"/>
  <c r="F1344" i="7"/>
  <c r="I1344" i="7" s="1"/>
  <c r="F1345" i="7"/>
  <c r="I1345" i="7" s="1"/>
  <c r="F1346" i="7"/>
  <c r="I1346" i="7" s="1"/>
  <c r="F1347" i="7"/>
  <c r="I1347" i="7" s="1"/>
  <c r="F1348" i="7"/>
  <c r="I1348" i="7" s="1"/>
  <c r="F1349" i="7"/>
  <c r="I1349" i="7" s="1"/>
  <c r="F1350" i="7"/>
  <c r="I1350" i="7" s="1"/>
  <c r="F1351" i="7"/>
  <c r="I1351" i="7" s="1"/>
  <c r="F1352" i="7"/>
  <c r="I1352" i="7" s="1"/>
  <c r="F1353" i="7"/>
  <c r="I1353" i="7" s="1"/>
  <c r="F1354" i="7"/>
  <c r="I1354" i="7" s="1"/>
  <c r="F1355" i="7"/>
  <c r="I1355" i="7" s="1"/>
  <c r="F1356" i="7"/>
  <c r="I1356" i="7" s="1"/>
  <c r="F1357" i="7"/>
  <c r="I1357" i="7" s="1"/>
  <c r="F1358" i="7"/>
  <c r="I1358" i="7" s="1"/>
  <c r="F1359" i="7"/>
  <c r="I1359" i="7" s="1"/>
  <c r="F1360" i="7"/>
  <c r="I1360" i="7" s="1"/>
  <c r="F1361" i="7"/>
  <c r="I1361" i="7" s="1"/>
  <c r="F1362" i="7"/>
  <c r="I1362" i="7" s="1"/>
  <c r="F1363" i="7"/>
  <c r="I1363" i="7" s="1"/>
  <c r="F1364" i="7"/>
  <c r="I1364" i="7" s="1"/>
  <c r="F1365" i="7"/>
  <c r="I1365" i="7" s="1"/>
  <c r="F1366" i="7"/>
  <c r="I1366" i="7" s="1"/>
  <c r="F1367" i="7"/>
  <c r="I1367" i="7" s="1"/>
  <c r="F1368" i="7"/>
  <c r="I1368" i="7" s="1"/>
  <c r="F1369" i="7"/>
  <c r="I1369" i="7" s="1"/>
  <c r="F1370" i="7"/>
  <c r="I1370" i="7" s="1"/>
  <c r="F1371" i="7"/>
  <c r="I1371" i="7" s="1"/>
  <c r="F1372" i="7"/>
  <c r="I1372" i="7" s="1"/>
  <c r="F1373" i="7"/>
  <c r="I1373" i="7" s="1"/>
  <c r="F1374" i="7"/>
  <c r="I1374" i="7" s="1"/>
  <c r="F1375" i="7"/>
  <c r="I1375" i="7" s="1"/>
  <c r="F1376" i="7"/>
  <c r="I1376" i="7" s="1"/>
  <c r="F1377" i="7"/>
  <c r="I1377" i="7" s="1"/>
  <c r="F1378" i="7"/>
  <c r="I1378" i="7" s="1"/>
  <c r="F1379" i="7"/>
  <c r="I1379" i="7" s="1"/>
  <c r="F1380" i="7"/>
  <c r="I1380" i="7" s="1"/>
  <c r="F1381" i="7"/>
  <c r="I1381" i="7" s="1"/>
  <c r="F1382" i="7"/>
  <c r="I1382" i="7" s="1"/>
  <c r="F1383" i="7"/>
  <c r="I1383" i="7" s="1"/>
  <c r="F1384" i="7"/>
  <c r="I1384" i="7" s="1"/>
  <c r="F1385" i="7"/>
  <c r="I1385" i="7" s="1"/>
  <c r="F1386" i="7"/>
  <c r="I1386" i="7" s="1"/>
  <c r="F1387" i="7"/>
  <c r="I1387" i="7" s="1"/>
  <c r="F1388" i="7"/>
  <c r="I1388" i="7" s="1"/>
  <c r="F1389" i="7"/>
  <c r="I1389" i="7" s="1"/>
  <c r="F1390" i="7"/>
  <c r="I1390" i="7" s="1"/>
  <c r="F1391" i="7"/>
  <c r="I1391" i="7" s="1"/>
  <c r="F1392" i="7"/>
  <c r="I1392" i="7" s="1"/>
  <c r="F1393" i="7"/>
  <c r="I1393" i="7" s="1"/>
  <c r="F1394" i="7"/>
  <c r="I1394" i="7" s="1"/>
  <c r="F1395" i="7"/>
  <c r="I1395" i="7" s="1"/>
  <c r="F1396" i="7"/>
  <c r="I1396" i="7" s="1"/>
  <c r="F1397" i="7"/>
  <c r="I1397" i="7" s="1"/>
  <c r="F1398" i="7"/>
  <c r="I1398" i="7" s="1"/>
  <c r="F1399" i="7"/>
  <c r="I1399" i="7" s="1"/>
  <c r="F1400" i="7"/>
  <c r="I1400" i="7" s="1"/>
  <c r="F1401" i="7"/>
  <c r="I1401" i="7" s="1"/>
  <c r="F1402" i="7"/>
  <c r="I1402" i="7" s="1"/>
  <c r="F1403" i="7"/>
  <c r="I1403" i="7" s="1"/>
  <c r="F1404" i="7"/>
  <c r="I1404" i="7" s="1"/>
  <c r="F1405" i="7"/>
  <c r="I1405" i="7" s="1"/>
  <c r="F1406" i="7"/>
  <c r="I1406" i="7" s="1"/>
  <c r="F1407" i="7"/>
  <c r="I1407" i="7" s="1"/>
  <c r="F1408" i="7"/>
  <c r="I1408" i="7" s="1"/>
  <c r="F1409" i="7"/>
  <c r="I1409" i="7" s="1"/>
  <c r="F1410" i="7"/>
  <c r="I1410" i="7" s="1"/>
  <c r="F1411" i="7"/>
  <c r="I1411" i="7" s="1"/>
  <c r="F1412" i="7"/>
  <c r="I1412" i="7" s="1"/>
  <c r="F1413" i="7"/>
  <c r="I1413" i="7" s="1"/>
  <c r="F1414" i="7"/>
  <c r="I1414" i="7" s="1"/>
  <c r="F1415" i="7"/>
  <c r="I1415" i="7" s="1"/>
  <c r="F1416" i="7"/>
  <c r="I1416" i="7" s="1"/>
  <c r="F1417" i="7"/>
  <c r="I1417" i="7" s="1"/>
  <c r="F1418" i="7"/>
  <c r="I1418" i="7" s="1"/>
  <c r="F1419" i="7"/>
  <c r="I1419" i="7" s="1"/>
  <c r="F1420" i="7"/>
  <c r="I1420" i="7" s="1"/>
  <c r="F1421" i="7"/>
  <c r="I1421" i="7" s="1"/>
  <c r="F1422" i="7"/>
  <c r="I1422" i="7" s="1"/>
  <c r="F1423" i="7"/>
  <c r="I1423" i="7" s="1"/>
  <c r="F1424" i="7"/>
  <c r="I1424" i="7" s="1"/>
  <c r="F1425" i="7"/>
  <c r="I1425" i="7" s="1"/>
  <c r="F1426" i="7"/>
  <c r="I1426" i="7" s="1"/>
  <c r="F1427" i="7"/>
  <c r="I1427" i="7" s="1"/>
  <c r="F1428" i="7"/>
  <c r="I1428" i="7" s="1"/>
  <c r="F1429" i="7"/>
  <c r="I1429" i="7" s="1"/>
  <c r="F1430" i="7"/>
  <c r="I1430" i="7" s="1"/>
  <c r="F1431" i="7"/>
  <c r="I1431" i="7" s="1"/>
  <c r="F1432" i="7"/>
  <c r="I1432" i="7" s="1"/>
  <c r="F1433" i="7"/>
  <c r="I1433" i="7" s="1"/>
  <c r="F1434" i="7"/>
  <c r="I1434" i="7" s="1"/>
  <c r="F1435" i="7"/>
  <c r="I1435" i="7" s="1"/>
  <c r="F1436" i="7"/>
  <c r="I1436" i="7" s="1"/>
  <c r="F1437" i="7"/>
  <c r="I1437" i="7" s="1"/>
  <c r="F1438" i="7"/>
  <c r="I1438" i="7" s="1"/>
  <c r="F1439" i="7"/>
  <c r="I1439" i="7" s="1"/>
  <c r="F1440" i="7"/>
  <c r="I1440" i="7" s="1"/>
  <c r="F1441" i="7"/>
  <c r="I1441" i="7" s="1"/>
  <c r="F1442" i="7"/>
  <c r="I1442" i="7" s="1"/>
  <c r="F1443" i="7"/>
  <c r="I1443" i="7" s="1"/>
  <c r="F1444" i="7"/>
  <c r="I1444" i="7" s="1"/>
  <c r="F1445" i="7"/>
  <c r="I1445" i="7" s="1"/>
  <c r="F1446" i="7"/>
  <c r="I1446" i="7" s="1"/>
  <c r="F1447" i="7"/>
  <c r="I1447" i="7" s="1"/>
  <c r="F1448" i="7"/>
  <c r="I1448" i="7" s="1"/>
  <c r="F1449" i="7"/>
  <c r="I1449" i="7" s="1"/>
  <c r="F1450" i="7"/>
  <c r="I1450" i="7" s="1"/>
  <c r="F1451" i="7"/>
  <c r="I1451" i="7" s="1"/>
  <c r="F1452" i="7"/>
  <c r="I1452" i="7" s="1"/>
  <c r="F1453" i="7"/>
  <c r="I1453" i="7" s="1"/>
  <c r="F1454" i="7"/>
  <c r="I1454" i="7" s="1"/>
  <c r="F1455" i="7"/>
  <c r="I1455" i="7" s="1"/>
  <c r="F1456" i="7"/>
  <c r="I1456" i="7" s="1"/>
  <c r="F1457" i="7"/>
  <c r="I1457" i="7" s="1"/>
  <c r="F1458" i="7"/>
  <c r="I1458" i="7" s="1"/>
  <c r="F1459" i="7"/>
  <c r="I1459" i="7" s="1"/>
  <c r="F1460" i="7"/>
  <c r="I1460" i="7" s="1"/>
  <c r="F1461" i="7"/>
  <c r="I1461" i="7" s="1"/>
  <c r="F1462" i="7"/>
  <c r="I1462" i="7" s="1"/>
  <c r="F1463" i="7"/>
  <c r="I1463" i="7" s="1"/>
  <c r="F1464" i="7"/>
  <c r="I1464" i="7" s="1"/>
  <c r="F1465" i="7"/>
  <c r="I1465" i="7" s="1"/>
  <c r="F1466" i="7"/>
  <c r="I1466" i="7" s="1"/>
  <c r="F1467" i="7"/>
  <c r="I1467" i="7" s="1"/>
  <c r="F1468" i="7"/>
  <c r="I1468" i="7" s="1"/>
  <c r="F1469" i="7"/>
  <c r="I1469" i="7" s="1"/>
  <c r="F1470" i="7"/>
  <c r="I1470" i="7" s="1"/>
  <c r="F1471" i="7"/>
  <c r="I1471" i="7" s="1"/>
  <c r="F1472" i="7"/>
  <c r="I1472" i="7" s="1"/>
  <c r="F1473" i="7"/>
  <c r="I1473" i="7" s="1"/>
  <c r="F1474" i="7"/>
  <c r="I1474" i="7" s="1"/>
  <c r="F1475" i="7"/>
  <c r="I1475" i="7" s="1"/>
  <c r="F1476" i="7"/>
  <c r="I1476" i="7" s="1"/>
  <c r="F1477" i="7"/>
  <c r="I1477" i="7" s="1"/>
  <c r="F1478" i="7"/>
  <c r="I1478" i="7" s="1"/>
  <c r="F1479" i="7"/>
  <c r="I1479" i="7" s="1"/>
  <c r="F1480" i="7"/>
  <c r="I1480" i="7" s="1"/>
  <c r="F1481" i="7"/>
  <c r="I1481" i="7" s="1"/>
  <c r="F1482" i="7"/>
  <c r="I1482" i="7" s="1"/>
  <c r="F1483" i="7"/>
  <c r="I1483" i="7" s="1"/>
  <c r="F1484" i="7"/>
  <c r="I1484" i="7" s="1"/>
  <c r="F1485" i="7"/>
  <c r="I1485" i="7" s="1"/>
  <c r="F1486" i="7"/>
  <c r="I1486" i="7" s="1"/>
  <c r="F1487" i="7"/>
  <c r="I1487" i="7" s="1"/>
  <c r="F1488" i="7"/>
  <c r="I1488" i="7" s="1"/>
  <c r="F1489" i="7"/>
  <c r="I1489" i="7" s="1"/>
  <c r="F1490" i="7"/>
  <c r="I1490" i="7" s="1"/>
  <c r="F1491" i="7"/>
  <c r="I1491" i="7" s="1"/>
  <c r="F1492" i="7"/>
  <c r="I1492" i="7" s="1"/>
  <c r="F1493" i="7"/>
  <c r="I1493" i="7" s="1"/>
  <c r="F1494" i="7"/>
  <c r="I1494" i="7" s="1"/>
  <c r="F1495" i="7"/>
  <c r="I1495" i="7" s="1"/>
  <c r="F1496" i="7"/>
  <c r="I1496" i="7" s="1"/>
  <c r="F1497" i="7"/>
  <c r="I1497" i="7" s="1"/>
  <c r="F1498" i="7"/>
  <c r="I1498" i="7" s="1"/>
  <c r="F1499" i="7"/>
  <c r="I1499" i="7" s="1"/>
  <c r="F1500" i="7"/>
  <c r="I1500" i="7" s="1"/>
  <c r="F1501" i="7"/>
  <c r="I1501" i="7" s="1"/>
  <c r="F1502" i="7"/>
  <c r="I1502" i="7" s="1"/>
  <c r="F1503" i="7"/>
  <c r="I1503" i="7" s="1"/>
  <c r="F1504" i="7"/>
  <c r="I1504" i="7" s="1"/>
  <c r="F1505" i="7"/>
  <c r="I1505" i="7" s="1"/>
  <c r="F1506" i="7"/>
  <c r="I1506" i="7" s="1"/>
  <c r="F1507" i="7"/>
  <c r="I1507" i="7" s="1"/>
  <c r="F1508" i="7"/>
  <c r="I1508" i="7" s="1"/>
  <c r="F1509" i="7"/>
  <c r="I1509" i="7" s="1"/>
  <c r="F1510" i="7"/>
  <c r="I1510" i="7" s="1"/>
  <c r="F1511" i="7"/>
  <c r="I1511" i="7" s="1"/>
  <c r="F1512" i="7"/>
  <c r="I1512" i="7" s="1"/>
  <c r="F1513" i="7"/>
  <c r="I1513" i="7" s="1"/>
  <c r="F1514" i="7"/>
  <c r="I1514" i="7" s="1"/>
  <c r="F1515" i="7"/>
  <c r="I1515" i="7" s="1"/>
  <c r="F1516" i="7"/>
  <c r="I1516" i="7" s="1"/>
  <c r="F1517" i="7"/>
  <c r="I1517" i="7" s="1"/>
  <c r="F1518" i="7"/>
  <c r="I1518" i="7" s="1"/>
  <c r="F1519" i="7"/>
  <c r="I1519" i="7" s="1"/>
  <c r="F1520" i="7"/>
  <c r="I1520" i="7" s="1"/>
  <c r="F1521" i="7"/>
  <c r="I1521" i="7" s="1"/>
  <c r="F1522" i="7"/>
  <c r="I1522" i="7" s="1"/>
  <c r="F1523" i="7"/>
  <c r="I1523" i="7" s="1"/>
  <c r="F1524" i="7"/>
  <c r="I1524" i="7" s="1"/>
  <c r="F1525" i="7"/>
  <c r="I1525" i="7" s="1"/>
  <c r="F1526" i="7"/>
  <c r="I1526" i="7" s="1"/>
  <c r="F1527" i="7"/>
  <c r="I1527" i="7" s="1"/>
  <c r="F1528" i="7"/>
  <c r="I1528" i="7" s="1"/>
  <c r="F1529" i="7"/>
  <c r="I1529" i="7" s="1"/>
  <c r="F1530" i="7"/>
  <c r="I1530" i="7" s="1"/>
  <c r="F1531" i="7"/>
  <c r="I1531" i="7" s="1"/>
  <c r="F1532" i="7"/>
  <c r="I1532" i="7" s="1"/>
  <c r="F1533" i="7"/>
  <c r="I1533" i="7" s="1"/>
  <c r="F1534" i="7"/>
  <c r="I1534" i="7" s="1"/>
  <c r="F1535" i="7"/>
  <c r="I1535" i="7" s="1"/>
  <c r="F1536" i="7"/>
  <c r="I1536" i="7" s="1"/>
  <c r="F1537" i="7"/>
  <c r="I1537" i="7" s="1"/>
  <c r="F1538" i="7"/>
  <c r="I1538" i="7" s="1"/>
  <c r="F1539" i="7"/>
  <c r="I1539" i="7" s="1"/>
  <c r="F1540" i="7"/>
  <c r="I1540" i="7" s="1"/>
  <c r="F1541" i="7"/>
  <c r="I1541" i="7" s="1"/>
  <c r="F1542" i="7"/>
  <c r="I1542" i="7" s="1"/>
  <c r="F1543" i="7"/>
  <c r="I1543" i="7" s="1"/>
  <c r="F1544" i="7"/>
  <c r="I1544" i="7" s="1"/>
  <c r="F1545" i="7"/>
  <c r="I1545" i="7" s="1"/>
  <c r="F1546" i="7"/>
  <c r="I1546" i="7" s="1"/>
  <c r="F1547" i="7"/>
  <c r="I1547" i="7" s="1"/>
  <c r="F1548" i="7"/>
  <c r="I1548" i="7" s="1"/>
  <c r="F1549" i="7"/>
  <c r="I1549" i="7" s="1"/>
  <c r="F1550" i="7"/>
  <c r="I1550" i="7" s="1"/>
  <c r="F1551" i="7"/>
  <c r="I1551" i="7" s="1"/>
  <c r="F1552" i="7"/>
  <c r="I1552" i="7" s="1"/>
  <c r="F1553" i="7"/>
  <c r="I1553" i="7" s="1"/>
  <c r="F1554" i="7"/>
  <c r="I1554" i="7" s="1"/>
  <c r="F1555" i="7"/>
  <c r="I1555" i="7" s="1"/>
  <c r="F1556" i="7"/>
  <c r="I1556" i="7" s="1"/>
  <c r="F1557" i="7"/>
  <c r="I1557" i="7" s="1"/>
  <c r="F1558" i="7"/>
  <c r="I1558" i="7" s="1"/>
  <c r="F1559" i="7"/>
  <c r="I1559" i="7" s="1"/>
  <c r="F1560" i="7"/>
  <c r="I1560" i="7" s="1"/>
  <c r="F1561" i="7"/>
  <c r="I1561" i="7" s="1"/>
  <c r="F1562" i="7"/>
  <c r="I1562" i="7" s="1"/>
  <c r="F1563" i="7"/>
  <c r="I1563" i="7" s="1"/>
  <c r="F1564" i="7"/>
  <c r="I1564" i="7" s="1"/>
  <c r="F1565" i="7"/>
  <c r="I1565" i="7" s="1"/>
  <c r="F1566" i="7"/>
  <c r="I1566" i="7" s="1"/>
  <c r="F1567" i="7"/>
  <c r="I1567" i="7" s="1"/>
  <c r="F1568" i="7"/>
  <c r="I1568" i="7" s="1"/>
  <c r="F1569" i="7"/>
  <c r="I1569" i="7" s="1"/>
  <c r="F1570" i="7"/>
  <c r="I1570" i="7" s="1"/>
  <c r="F1571" i="7"/>
  <c r="I1571" i="7" s="1"/>
  <c r="F1572" i="7"/>
  <c r="I1572" i="7" s="1"/>
  <c r="F1573" i="7"/>
  <c r="I1573" i="7" s="1"/>
  <c r="F1574" i="7"/>
  <c r="I1574" i="7" s="1"/>
  <c r="F1575" i="7"/>
  <c r="I1575" i="7" s="1"/>
  <c r="F1576" i="7"/>
  <c r="I1576" i="7" s="1"/>
  <c r="F1577" i="7"/>
  <c r="I1577" i="7" s="1"/>
  <c r="F1578" i="7"/>
  <c r="I1578" i="7" s="1"/>
  <c r="F1579" i="7"/>
  <c r="I1579" i="7" s="1"/>
  <c r="F1580" i="7"/>
  <c r="I1580" i="7" s="1"/>
  <c r="F1581" i="7"/>
  <c r="I1581" i="7" s="1"/>
  <c r="F1582" i="7"/>
  <c r="I1582" i="7" s="1"/>
  <c r="F1583" i="7"/>
  <c r="I1583" i="7" s="1"/>
  <c r="F1584" i="7"/>
  <c r="I1584" i="7" s="1"/>
  <c r="F1585" i="7"/>
  <c r="I1585" i="7" s="1"/>
  <c r="F1586" i="7"/>
  <c r="I1586" i="7" s="1"/>
  <c r="F1587" i="7"/>
  <c r="I1587" i="7" s="1"/>
  <c r="F1588" i="7"/>
  <c r="I1588" i="7" s="1"/>
  <c r="F1589" i="7"/>
  <c r="I1589" i="7" s="1"/>
  <c r="F1590" i="7"/>
  <c r="I1590" i="7" s="1"/>
  <c r="F1591" i="7"/>
  <c r="I1591" i="7" s="1"/>
  <c r="F1592" i="7"/>
  <c r="I1592" i="7" s="1"/>
  <c r="F1593" i="7"/>
  <c r="I1593" i="7" s="1"/>
  <c r="F1594" i="7"/>
  <c r="I1594" i="7" s="1"/>
  <c r="F1595" i="7"/>
  <c r="I1595" i="7" s="1"/>
  <c r="F1596" i="7"/>
  <c r="I1596" i="7" s="1"/>
  <c r="F1597" i="7"/>
  <c r="I1597" i="7" s="1"/>
  <c r="F1598" i="7"/>
  <c r="I1598" i="7" s="1"/>
  <c r="F1599" i="7"/>
  <c r="I1599" i="7" s="1"/>
  <c r="F1600" i="7"/>
  <c r="I1600" i="7" s="1"/>
  <c r="F1601" i="7"/>
  <c r="I1601" i="7" s="1"/>
  <c r="F1602" i="7"/>
  <c r="I1602" i="7" s="1"/>
  <c r="F1603" i="7"/>
  <c r="I1603" i="7" s="1"/>
  <c r="F1604" i="7"/>
  <c r="I1604" i="7" s="1"/>
  <c r="F1605" i="7"/>
  <c r="I1605" i="7" s="1"/>
  <c r="F1606" i="7"/>
  <c r="I1606" i="7" s="1"/>
  <c r="F1607" i="7"/>
  <c r="I1607" i="7" s="1"/>
  <c r="F1608" i="7"/>
  <c r="I1608" i="7" s="1"/>
  <c r="F1609" i="7"/>
  <c r="I1609" i="7" s="1"/>
  <c r="F1610" i="7"/>
  <c r="I1610" i="7" s="1"/>
  <c r="F1611" i="7"/>
  <c r="I1611" i="7" s="1"/>
  <c r="F1612" i="7"/>
  <c r="I1612" i="7" s="1"/>
  <c r="F1613" i="7"/>
  <c r="I1613" i="7" s="1"/>
  <c r="F1614" i="7"/>
  <c r="I1614" i="7" s="1"/>
  <c r="F1615" i="7"/>
  <c r="I1615" i="7" s="1"/>
  <c r="F1616" i="7"/>
  <c r="I1616" i="7" s="1"/>
  <c r="F1617" i="7"/>
  <c r="I1617" i="7" s="1"/>
  <c r="F1618" i="7"/>
  <c r="I1618" i="7" s="1"/>
  <c r="F1619" i="7"/>
  <c r="I1619" i="7" s="1"/>
  <c r="F1620" i="7"/>
  <c r="I1620" i="7" s="1"/>
  <c r="F1621" i="7"/>
  <c r="I1621" i="7" s="1"/>
  <c r="F1622" i="7"/>
  <c r="I1622" i="7" s="1"/>
  <c r="F1623" i="7"/>
  <c r="I1623" i="7" s="1"/>
  <c r="F1624" i="7"/>
  <c r="I1624" i="7" s="1"/>
  <c r="F1625" i="7"/>
  <c r="I1625" i="7" s="1"/>
  <c r="F1626" i="7"/>
  <c r="I1626" i="7" s="1"/>
  <c r="F1627" i="7"/>
  <c r="I1627" i="7" s="1"/>
  <c r="F1628" i="7"/>
  <c r="I1628" i="7" s="1"/>
  <c r="F1629" i="7"/>
  <c r="I1629" i="7" s="1"/>
  <c r="F1630" i="7"/>
  <c r="I1630" i="7" s="1"/>
  <c r="F1631" i="7"/>
  <c r="I1631" i="7" s="1"/>
  <c r="F1632" i="7"/>
  <c r="I1632" i="7" s="1"/>
  <c r="F1633" i="7"/>
  <c r="I1633" i="7" s="1"/>
  <c r="F1634" i="7"/>
  <c r="I1634" i="7" s="1"/>
  <c r="F1635" i="7"/>
  <c r="I1635" i="7" s="1"/>
  <c r="F1636" i="7"/>
  <c r="I1636" i="7" s="1"/>
  <c r="F1637" i="7"/>
  <c r="I1637" i="7" s="1"/>
  <c r="F1638" i="7"/>
  <c r="I1638" i="7" s="1"/>
  <c r="F1639" i="7"/>
  <c r="I1639" i="7" s="1"/>
  <c r="F1640" i="7"/>
  <c r="I1640" i="7" s="1"/>
  <c r="F1641" i="7"/>
  <c r="I1641" i="7" s="1"/>
  <c r="F1642" i="7"/>
  <c r="I1642" i="7" s="1"/>
  <c r="F1643" i="7"/>
  <c r="I1643" i="7" s="1"/>
  <c r="F1644" i="7"/>
  <c r="I1644" i="7" s="1"/>
  <c r="F1645" i="7"/>
  <c r="I1645" i="7" s="1"/>
  <c r="F1646" i="7"/>
  <c r="I1646" i="7" s="1"/>
  <c r="F1647" i="7"/>
  <c r="I1647" i="7" s="1"/>
  <c r="F1648" i="7"/>
  <c r="I1648" i="7" s="1"/>
  <c r="F1649" i="7"/>
  <c r="I1649" i="7" s="1"/>
  <c r="F1650" i="7"/>
  <c r="I1650" i="7" s="1"/>
  <c r="F1651" i="7"/>
  <c r="I1651" i="7" s="1"/>
  <c r="F1652" i="7"/>
  <c r="I1652" i="7" s="1"/>
  <c r="F1653" i="7"/>
  <c r="I1653" i="7" s="1"/>
  <c r="F1654" i="7"/>
  <c r="I1654" i="7" s="1"/>
  <c r="F1655" i="7"/>
  <c r="I1655" i="7" s="1"/>
  <c r="F1656" i="7"/>
  <c r="I1656" i="7" s="1"/>
  <c r="F1657" i="7"/>
  <c r="I1657" i="7" s="1"/>
  <c r="F1658" i="7"/>
  <c r="I1658" i="7" s="1"/>
  <c r="F1659" i="7"/>
  <c r="I1659" i="7" s="1"/>
  <c r="F1660" i="7"/>
  <c r="I1660" i="7" s="1"/>
  <c r="F1661" i="7"/>
  <c r="I1661" i="7" s="1"/>
  <c r="F1662" i="7"/>
  <c r="I1662" i="7" s="1"/>
  <c r="F1663" i="7"/>
  <c r="I1663" i="7" s="1"/>
  <c r="F1664" i="7"/>
  <c r="I1664" i="7" s="1"/>
  <c r="F1665" i="7"/>
  <c r="I1665" i="7" s="1"/>
  <c r="F1666" i="7"/>
  <c r="I1666" i="7" s="1"/>
  <c r="F1667" i="7"/>
  <c r="I1667" i="7" s="1"/>
  <c r="F1668" i="7"/>
  <c r="I1668" i="7" s="1"/>
  <c r="F1669" i="7"/>
  <c r="I1669" i="7" s="1"/>
  <c r="F1670" i="7"/>
  <c r="I1670" i="7" s="1"/>
  <c r="F1671" i="7"/>
  <c r="I1671" i="7" s="1"/>
  <c r="F1672" i="7"/>
  <c r="I1672" i="7" s="1"/>
  <c r="F1673" i="7"/>
  <c r="I1673" i="7" s="1"/>
  <c r="F1674" i="7"/>
  <c r="I1674" i="7" s="1"/>
  <c r="F1675" i="7"/>
  <c r="I1675" i="7" s="1"/>
  <c r="F1676" i="7"/>
  <c r="I1676" i="7" s="1"/>
  <c r="F1677" i="7"/>
  <c r="I1677" i="7" s="1"/>
  <c r="F1678" i="7"/>
  <c r="I1678" i="7" s="1"/>
  <c r="F1679" i="7"/>
  <c r="I1679" i="7" s="1"/>
  <c r="F1680" i="7"/>
  <c r="I1680" i="7" s="1"/>
  <c r="F1681" i="7"/>
  <c r="I1681" i="7" s="1"/>
  <c r="F1682" i="7"/>
  <c r="I1682" i="7" s="1"/>
  <c r="F1683" i="7"/>
  <c r="I1683" i="7" s="1"/>
  <c r="F1684" i="7"/>
  <c r="I1684" i="7" s="1"/>
  <c r="F1685" i="7"/>
  <c r="I1685" i="7" s="1"/>
  <c r="F1686" i="7"/>
  <c r="I1686" i="7" s="1"/>
  <c r="F1687" i="7"/>
  <c r="I1687" i="7" s="1"/>
  <c r="F1688" i="7"/>
  <c r="I1688" i="7" s="1"/>
  <c r="F1689" i="7"/>
  <c r="I1689" i="7" s="1"/>
  <c r="F1690" i="7"/>
  <c r="I1690" i="7" s="1"/>
  <c r="F1691" i="7"/>
  <c r="I1691" i="7" s="1"/>
  <c r="F1692" i="7"/>
  <c r="I1692" i="7" s="1"/>
  <c r="F1693" i="7"/>
  <c r="I1693" i="7" s="1"/>
  <c r="F1694" i="7"/>
  <c r="I1694" i="7" s="1"/>
  <c r="F1695" i="7"/>
  <c r="I1695" i="7" s="1"/>
  <c r="F1696" i="7"/>
  <c r="I1696" i="7" s="1"/>
  <c r="F1697" i="7"/>
  <c r="I1697" i="7" s="1"/>
  <c r="F1698" i="7"/>
  <c r="I1698" i="7" s="1"/>
  <c r="F1699" i="7"/>
  <c r="I1699" i="7" s="1"/>
  <c r="F1700" i="7"/>
  <c r="I1700" i="7" s="1"/>
  <c r="F1701" i="7"/>
  <c r="I1701" i="7" s="1"/>
  <c r="F1702" i="7"/>
  <c r="I1702" i="7" s="1"/>
  <c r="F1703" i="7"/>
  <c r="I1703" i="7" s="1"/>
  <c r="F1704" i="7"/>
  <c r="I1704" i="7" s="1"/>
  <c r="F1705" i="7"/>
  <c r="I1705" i="7" s="1"/>
  <c r="F1706" i="7"/>
  <c r="I1706" i="7" s="1"/>
  <c r="F1707" i="7"/>
  <c r="I1707" i="7" s="1"/>
  <c r="F1708" i="7"/>
  <c r="I1708" i="7" s="1"/>
  <c r="F1709" i="7"/>
  <c r="I1709" i="7" s="1"/>
  <c r="F1710" i="7"/>
  <c r="I1710" i="7" s="1"/>
  <c r="F1711" i="7"/>
  <c r="I1711" i="7" s="1"/>
  <c r="F1712" i="7"/>
  <c r="I1712" i="7" s="1"/>
  <c r="F1713" i="7"/>
  <c r="I1713" i="7" s="1"/>
  <c r="F1714" i="7"/>
  <c r="I1714" i="7" s="1"/>
  <c r="F1715" i="7"/>
  <c r="I1715" i="7" s="1"/>
  <c r="F1716" i="7"/>
  <c r="I1716" i="7" s="1"/>
  <c r="F1717" i="7"/>
  <c r="I1717" i="7" s="1"/>
  <c r="F1718" i="7"/>
  <c r="I1718" i="7" s="1"/>
  <c r="F1719" i="7"/>
  <c r="I1719" i="7" s="1"/>
  <c r="F1720" i="7"/>
  <c r="I1720" i="7" s="1"/>
  <c r="F1721" i="7"/>
  <c r="I1721" i="7" s="1"/>
  <c r="F1722" i="7"/>
  <c r="I1722" i="7" s="1"/>
  <c r="F1723" i="7"/>
  <c r="I1723" i="7" s="1"/>
  <c r="F1724" i="7"/>
  <c r="I1724" i="7" s="1"/>
  <c r="F1725" i="7"/>
  <c r="I1725" i="7" s="1"/>
  <c r="F1726" i="7"/>
  <c r="I1726" i="7" s="1"/>
  <c r="F1727" i="7"/>
  <c r="I1727" i="7" s="1"/>
  <c r="F1728" i="7"/>
  <c r="I1728" i="7" s="1"/>
  <c r="F1729" i="7"/>
  <c r="I1729" i="7" s="1"/>
  <c r="F1730" i="7"/>
  <c r="I1730" i="7" s="1"/>
  <c r="F1731" i="7"/>
  <c r="I1731" i="7" s="1"/>
  <c r="F1732" i="7"/>
  <c r="I1732" i="7" s="1"/>
  <c r="F1733" i="7"/>
  <c r="I1733" i="7" s="1"/>
  <c r="F1734" i="7"/>
  <c r="I1734" i="7" s="1"/>
  <c r="F1735" i="7"/>
  <c r="I1735" i="7" s="1"/>
  <c r="F1736" i="7"/>
  <c r="I1736" i="7" s="1"/>
  <c r="F1737" i="7"/>
  <c r="I1737" i="7" s="1"/>
  <c r="F1738" i="7"/>
  <c r="I1738" i="7" s="1"/>
  <c r="F1739" i="7"/>
  <c r="I1739" i="7" s="1"/>
  <c r="F1740" i="7"/>
  <c r="I1740" i="7" s="1"/>
  <c r="F1741" i="7"/>
  <c r="I1741" i="7" s="1"/>
  <c r="F1742" i="7"/>
  <c r="I1742" i="7" s="1"/>
  <c r="F1743" i="7"/>
  <c r="I1743" i="7" s="1"/>
  <c r="F1744" i="7"/>
  <c r="I1744" i="7" s="1"/>
  <c r="F1745" i="7"/>
  <c r="I1745" i="7" s="1"/>
  <c r="F1746" i="7"/>
  <c r="I1746" i="7" s="1"/>
  <c r="F1747" i="7"/>
  <c r="I1747" i="7" s="1"/>
  <c r="F1748" i="7"/>
  <c r="I1748" i="7" s="1"/>
  <c r="F1749" i="7"/>
  <c r="I1749" i="7" s="1"/>
  <c r="F1750" i="7"/>
  <c r="I1750" i="7" s="1"/>
  <c r="F1751" i="7"/>
  <c r="I1751" i="7" s="1"/>
  <c r="F1752" i="7"/>
  <c r="I1752" i="7" s="1"/>
  <c r="F1753" i="7"/>
  <c r="I1753" i="7" s="1"/>
  <c r="F1754" i="7"/>
  <c r="I1754" i="7" s="1"/>
  <c r="F1755" i="7"/>
  <c r="I1755" i="7" s="1"/>
  <c r="F1756" i="7"/>
  <c r="I1756" i="7" s="1"/>
  <c r="F1757" i="7"/>
  <c r="I1757" i="7" s="1"/>
  <c r="F1758" i="7"/>
  <c r="I1758" i="7" s="1"/>
  <c r="F1759" i="7"/>
  <c r="I1759" i="7" s="1"/>
  <c r="F1760" i="7"/>
  <c r="I1760" i="7" s="1"/>
  <c r="F1761" i="7"/>
  <c r="I1761" i="7" s="1"/>
  <c r="F1762" i="7"/>
  <c r="I1762" i="7" s="1"/>
  <c r="F1763" i="7"/>
  <c r="I1763" i="7" s="1"/>
  <c r="F1764" i="7"/>
  <c r="I1764" i="7" s="1"/>
  <c r="F1765" i="7"/>
  <c r="I1765" i="7" s="1"/>
  <c r="F1766" i="7"/>
  <c r="I1766" i="7" s="1"/>
  <c r="F1767" i="7"/>
  <c r="I1767" i="7" s="1"/>
  <c r="F1768" i="7"/>
  <c r="I1768" i="7" s="1"/>
  <c r="F1769" i="7"/>
  <c r="I1769" i="7" s="1"/>
  <c r="F1770" i="7"/>
  <c r="I1770" i="7" s="1"/>
  <c r="F1771" i="7"/>
  <c r="I1771" i="7" s="1"/>
  <c r="F1772" i="7"/>
  <c r="I1772" i="7" s="1"/>
  <c r="F1773" i="7"/>
  <c r="I1773" i="7" s="1"/>
  <c r="F1774" i="7"/>
  <c r="I1774" i="7" s="1"/>
  <c r="F1775" i="7"/>
  <c r="I1775" i="7" s="1"/>
  <c r="F1776" i="7"/>
  <c r="I1776" i="7" s="1"/>
  <c r="F1777" i="7"/>
  <c r="I1777" i="7" s="1"/>
  <c r="F1778" i="7"/>
  <c r="I1778" i="7" s="1"/>
  <c r="F1779" i="7"/>
  <c r="I1779" i="7" s="1"/>
  <c r="F1780" i="7"/>
  <c r="I1780" i="7" s="1"/>
  <c r="F1781" i="7"/>
  <c r="I1781" i="7" s="1"/>
  <c r="F1782" i="7"/>
  <c r="I1782" i="7" s="1"/>
  <c r="F1783" i="7"/>
  <c r="I1783" i="7" s="1"/>
  <c r="F1784" i="7"/>
  <c r="I1784" i="7" s="1"/>
  <c r="F1785" i="7"/>
  <c r="I1785" i="7" s="1"/>
  <c r="F1786" i="7"/>
  <c r="I1786" i="7" s="1"/>
  <c r="F1787" i="7"/>
  <c r="I1787" i="7" s="1"/>
  <c r="F1788" i="7"/>
  <c r="I1788" i="7" s="1"/>
  <c r="F1789" i="7"/>
  <c r="I1789" i="7" s="1"/>
  <c r="F1790" i="7"/>
  <c r="I1790" i="7" s="1"/>
  <c r="F1791" i="7"/>
  <c r="I1791" i="7" s="1"/>
  <c r="F1792" i="7"/>
  <c r="I1792" i="7" s="1"/>
  <c r="F1793" i="7"/>
  <c r="I1793" i="7" s="1"/>
  <c r="F1794" i="7"/>
  <c r="I1794" i="7" s="1"/>
  <c r="F1795" i="7"/>
  <c r="I1795" i="7" s="1"/>
  <c r="F1796" i="7"/>
  <c r="I1796" i="7" s="1"/>
  <c r="F1797" i="7"/>
  <c r="I1797" i="7" s="1"/>
  <c r="F1798" i="7"/>
  <c r="I1798" i="7" s="1"/>
  <c r="F1799" i="7"/>
  <c r="I1799" i="7" s="1"/>
  <c r="F1800" i="7"/>
  <c r="I1800" i="7" s="1"/>
  <c r="F1801" i="7"/>
  <c r="I1801" i="7" s="1"/>
  <c r="F1802" i="7"/>
  <c r="I1802" i="7" s="1"/>
  <c r="F1803" i="7"/>
  <c r="I1803" i="7" s="1"/>
  <c r="F1804" i="7"/>
  <c r="I1804" i="7" s="1"/>
  <c r="F1805" i="7"/>
  <c r="I1805" i="7" s="1"/>
  <c r="F1806" i="7"/>
  <c r="I1806" i="7" s="1"/>
  <c r="F1807" i="7"/>
  <c r="I1807" i="7" s="1"/>
  <c r="F1808" i="7"/>
  <c r="I1808" i="7" s="1"/>
  <c r="F1809" i="7"/>
  <c r="I1809" i="7" s="1"/>
  <c r="F1810" i="7"/>
  <c r="I1810" i="7" s="1"/>
  <c r="F1811" i="7"/>
  <c r="I1811" i="7" s="1"/>
  <c r="F1812" i="7"/>
  <c r="I1812" i="7" s="1"/>
  <c r="F1813" i="7"/>
  <c r="I1813" i="7" s="1"/>
  <c r="F1814" i="7"/>
  <c r="I1814" i="7" s="1"/>
  <c r="F1815" i="7"/>
  <c r="I1815" i="7" s="1"/>
  <c r="F1816" i="7"/>
  <c r="I1816" i="7" s="1"/>
  <c r="F1817" i="7"/>
  <c r="I1817" i="7" s="1"/>
  <c r="F1818" i="7"/>
  <c r="I1818" i="7" s="1"/>
  <c r="F1819" i="7"/>
  <c r="I1819" i="7" s="1"/>
  <c r="F1820" i="7"/>
  <c r="I1820" i="7" s="1"/>
  <c r="F1821" i="7"/>
  <c r="I1821" i="7" s="1"/>
  <c r="F1822" i="7"/>
  <c r="I1822" i="7" s="1"/>
  <c r="F1823" i="7"/>
  <c r="I1823" i="7" s="1"/>
  <c r="F1824" i="7"/>
  <c r="I1824" i="7" s="1"/>
  <c r="F1825" i="7"/>
  <c r="I1825" i="7" s="1"/>
  <c r="F1826" i="7"/>
  <c r="I1826" i="7" s="1"/>
  <c r="F1827" i="7"/>
  <c r="I1827" i="7" s="1"/>
  <c r="F1828" i="7"/>
  <c r="I1828" i="7" s="1"/>
  <c r="F1829" i="7"/>
  <c r="I1829" i="7" s="1"/>
  <c r="F1830" i="7"/>
  <c r="I1830" i="7" s="1"/>
  <c r="F1831" i="7"/>
  <c r="I1831" i="7" s="1"/>
  <c r="F1832" i="7"/>
  <c r="I1832" i="7" s="1"/>
  <c r="F1833" i="7"/>
  <c r="I1833" i="7" s="1"/>
  <c r="F1834" i="7"/>
  <c r="I1834" i="7" s="1"/>
  <c r="F1835" i="7"/>
  <c r="I1835" i="7" s="1"/>
  <c r="F1836" i="7"/>
  <c r="I1836" i="7" s="1"/>
  <c r="F1837" i="7"/>
  <c r="I1837" i="7" s="1"/>
  <c r="F1838" i="7"/>
  <c r="I1838" i="7" s="1"/>
  <c r="F1839" i="7"/>
  <c r="I1839" i="7" s="1"/>
  <c r="F1840" i="7"/>
  <c r="I1840" i="7" s="1"/>
  <c r="F1841" i="7"/>
  <c r="I1841" i="7" s="1"/>
  <c r="F1842" i="7"/>
  <c r="I1842" i="7" s="1"/>
  <c r="F1843" i="7"/>
  <c r="I1843" i="7" s="1"/>
  <c r="F1844" i="7"/>
  <c r="I1844" i="7" s="1"/>
  <c r="F1845" i="7"/>
  <c r="I1845" i="7" s="1"/>
  <c r="F1846" i="7"/>
  <c r="I1846" i="7" s="1"/>
  <c r="F1847" i="7"/>
  <c r="I1847" i="7" s="1"/>
  <c r="F1848" i="7"/>
  <c r="I1848" i="7" s="1"/>
  <c r="F1849" i="7"/>
  <c r="I1849" i="7" s="1"/>
  <c r="F1850" i="7"/>
  <c r="I1850" i="7" s="1"/>
  <c r="F1851" i="7"/>
  <c r="I1851" i="7" s="1"/>
  <c r="F1852" i="7"/>
  <c r="I1852" i="7" s="1"/>
  <c r="F1853" i="7"/>
  <c r="I1853" i="7" s="1"/>
  <c r="F1854" i="7"/>
  <c r="I1854" i="7" s="1"/>
  <c r="F1855" i="7"/>
  <c r="I1855" i="7" s="1"/>
  <c r="F1856" i="7"/>
  <c r="I1856" i="7" s="1"/>
  <c r="F1857" i="7"/>
  <c r="I1857" i="7" s="1"/>
  <c r="F1858" i="7"/>
  <c r="I1858" i="7" s="1"/>
  <c r="F1859" i="7"/>
  <c r="I1859" i="7" s="1"/>
  <c r="F1860" i="7"/>
  <c r="I1860" i="7" s="1"/>
  <c r="F1861" i="7"/>
  <c r="I1861" i="7" s="1"/>
  <c r="F1862" i="7"/>
  <c r="I1862" i="7" s="1"/>
  <c r="F1863" i="7"/>
  <c r="I1863" i="7" s="1"/>
  <c r="F1864" i="7"/>
  <c r="I1864" i="7" s="1"/>
  <c r="F1865" i="7"/>
  <c r="I1865" i="7" s="1"/>
  <c r="F1866" i="7"/>
  <c r="I1866" i="7" s="1"/>
  <c r="F1867" i="7"/>
  <c r="I1867" i="7" s="1"/>
  <c r="F1868" i="7"/>
  <c r="I1868" i="7" s="1"/>
  <c r="F1869" i="7"/>
  <c r="I1869" i="7" s="1"/>
  <c r="F1870" i="7"/>
  <c r="I1870" i="7" s="1"/>
  <c r="F1871" i="7"/>
  <c r="I1871" i="7" s="1"/>
  <c r="F1872" i="7"/>
  <c r="I1872" i="7" s="1"/>
  <c r="F1873" i="7"/>
  <c r="I1873" i="7" s="1"/>
  <c r="F1874" i="7"/>
  <c r="I1874" i="7" s="1"/>
  <c r="F1875" i="7"/>
  <c r="I1875" i="7" s="1"/>
  <c r="F1876" i="7"/>
  <c r="I1876" i="7" s="1"/>
  <c r="F1877" i="7"/>
  <c r="I1877" i="7" s="1"/>
  <c r="F1878" i="7"/>
  <c r="I1878" i="7" s="1"/>
  <c r="F1879" i="7"/>
  <c r="I1879" i="7" s="1"/>
  <c r="F1880" i="7"/>
  <c r="I1880" i="7" s="1"/>
  <c r="F1881" i="7"/>
  <c r="I1881" i="7" s="1"/>
  <c r="F1882" i="7"/>
  <c r="I1882" i="7" s="1"/>
  <c r="F1883" i="7"/>
  <c r="I1883" i="7" s="1"/>
  <c r="F1884" i="7"/>
  <c r="I1884" i="7" s="1"/>
  <c r="F1885" i="7"/>
  <c r="I1885" i="7" s="1"/>
  <c r="F1886" i="7"/>
  <c r="I1886" i="7" s="1"/>
  <c r="F1887" i="7"/>
  <c r="I1887" i="7" s="1"/>
  <c r="F1888" i="7"/>
  <c r="I1888" i="7" s="1"/>
  <c r="F1889" i="7"/>
  <c r="I1889" i="7" s="1"/>
  <c r="F1890" i="7"/>
  <c r="I1890" i="7" s="1"/>
  <c r="F1891" i="7"/>
  <c r="I1891" i="7" s="1"/>
  <c r="F1892" i="7"/>
  <c r="I1892" i="7" s="1"/>
  <c r="F1893" i="7"/>
  <c r="I1893" i="7" s="1"/>
  <c r="F1894" i="7"/>
  <c r="I1894" i="7" s="1"/>
  <c r="F1895" i="7"/>
  <c r="I1895" i="7" s="1"/>
  <c r="F1896" i="7"/>
  <c r="I1896" i="7" s="1"/>
  <c r="F1897" i="7"/>
  <c r="I1897" i="7" s="1"/>
  <c r="F1898" i="7"/>
  <c r="I1898" i="7" s="1"/>
  <c r="F1899" i="7"/>
  <c r="I1899" i="7" s="1"/>
  <c r="F1900" i="7"/>
  <c r="I1900" i="7" s="1"/>
  <c r="F1901" i="7"/>
  <c r="I1901" i="7" s="1"/>
  <c r="F1902" i="7"/>
  <c r="I1902" i="7" s="1"/>
  <c r="F1903" i="7"/>
  <c r="I1903" i="7" s="1"/>
  <c r="F1904" i="7"/>
  <c r="I1904" i="7" s="1"/>
  <c r="F1905" i="7"/>
  <c r="I1905" i="7" s="1"/>
  <c r="F1906" i="7"/>
  <c r="I1906" i="7" s="1"/>
  <c r="F1907" i="7"/>
  <c r="I1907" i="7" s="1"/>
  <c r="F1908" i="7"/>
  <c r="I1908" i="7" s="1"/>
  <c r="F1909" i="7"/>
  <c r="I1909" i="7" s="1"/>
  <c r="F1910" i="7"/>
  <c r="I1910" i="7" s="1"/>
  <c r="F1911" i="7"/>
  <c r="I1911" i="7" s="1"/>
  <c r="F1912" i="7"/>
  <c r="I1912" i="7" s="1"/>
  <c r="F1913" i="7"/>
  <c r="I1913" i="7" s="1"/>
  <c r="F1914" i="7"/>
  <c r="I1914" i="7" s="1"/>
  <c r="F1915" i="7"/>
  <c r="I1915" i="7" s="1"/>
  <c r="F1916" i="7"/>
  <c r="I1916" i="7" s="1"/>
  <c r="F1917" i="7"/>
  <c r="I1917" i="7" s="1"/>
  <c r="F1918" i="7"/>
  <c r="I1918" i="7" s="1"/>
  <c r="F1919" i="7"/>
  <c r="I1919" i="7" s="1"/>
  <c r="F1920" i="7"/>
  <c r="I1920" i="7" s="1"/>
  <c r="F1921" i="7"/>
  <c r="I1921" i="7" s="1"/>
  <c r="F1922" i="7"/>
  <c r="I1922" i="7" s="1"/>
  <c r="F1923" i="7"/>
  <c r="I1923" i="7" s="1"/>
  <c r="F1924" i="7"/>
  <c r="I1924" i="7" s="1"/>
  <c r="F1925" i="7"/>
  <c r="I1925" i="7" s="1"/>
  <c r="F1926" i="7"/>
  <c r="I1926" i="7" s="1"/>
  <c r="F1927" i="7"/>
  <c r="I1927" i="7" s="1"/>
  <c r="F1928" i="7"/>
  <c r="I1928" i="7" s="1"/>
  <c r="F1929" i="7"/>
  <c r="I1929" i="7" s="1"/>
  <c r="F1930" i="7"/>
  <c r="I1930" i="7" s="1"/>
  <c r="F1931" i="7"/>
  <c r="I1931" i="7" s="1"/>
  <c r="F1932" i="7"/>
  <c r="I1932" i="7" s="1"/>
  <c r="F1933" i="7"/>
  <c r="I1933" i="7" s="1"/>
  <c r="F1934" i="7"/>
  <c r="I1934" i="7" s="1"/>
  <c r="F1935" i="7"/>
  <c r="I1935" i="7" s="1"/>
  <c r="F1936" i="7"/>
  <c r="I1936" i="7" s="1"/>
  <c r="F1937" i="7"/>
  <c r="I1937" i="7" s="1"/>
  <c r="F1938" i="7"/>
  <c r="I1938" i="7" s="1"/>
  <c r="F1939" i="7"/>
  <c r="I1939" i="7" s="1"/>
  <c r="F1940" i="7"/>
  <c r="I1940" i="7" s="1"/>
  <c r="F1941" i="7"/>
  <c r="I1941" i="7" s="1"/>
  <c r="F1942" i="7"/>
  <c r="I1942" i="7" s="1"/>
  <c r="F1943" i="7"/>
  <c r="I1943" i="7" s="1"/>
  <c r="F1944" i="7"/>
  <c r="I1944" i="7" s="1"/>
  <c r="F1945" i="7"/>
  <c r="I1945" i="7" s="1"/>
  <c r="F1946" i="7"/>
  <c r="I1946" i="7" s="1"/>
  <c r="F1947" i="7"/>
  <c r="I1947" i="7" s="1"/>
  <c r="F1948" i="7"/>
  <c r="I1948" i="7" s="1"/>
  <c r="F1949" i="7"/>
  <c r="I1949" i="7" s="1"/>
  <c r="F1950" i="7"/>
  <c r="I1950" i="7" s="1"/>
  <c r="F1951" i="7"/>
  <c r="I1951" i="7" s="1"/>
  <c r="F1952" i="7"/>
  <c r="I1952" i="7" s="1"/>
  <c r="F1953" i="7"/>
  <c r="I1953" i="7" s="1"/>
  <c r="F1954" i="7"/>
  <c r="I1954" i="7" s="1"/>
  <c r="F1955" i="7"/>
  <c r="I1955" i="7" s="1"/>
  <c r="F1956" i="7"/>
  <c r="I1956" i="7" s="1"/>
  <c r="F1957" i="7"/>
  <c r="I1957" i="7" s="1"/>
  <c r="F1958" i="7"/>
  <c r="I1958" i="7" s="1"/>
  <c r="F1959" i="7"/>
  <c r="I1959" i="7" s="1"/>
  <c r="F1960" i="7"/>
  <c r="I1960" i="7" s="1"/>
  <c r="F1961" i="7"/>
  <c r="I1961" i="7" s="1"/>
  <c r="F1962" i="7"/>
  <c r="I1962" i="7" s="1"/>
  <c r="F1963" i="7"/>
  <c r="I1963" i="7" s="1"/>
  <c r="F1964" i="7"/>
  <c r="I1964" i="7" s="1"/>
  <c r="F1965" i="7"/>
  <c r="I1965" i="7" s="1"/>
  <c r="F1966" i="7"/>
  <c r="I1966" i="7" s="1"/>
  <c r="F1967" i="7"/>
  <c r="I1967" i="7" s="1"/>
  <c r="F1968" i="7"/>
  <c r="I1968" i="7" s="1"/>
  <c r="F1969" i="7"/>
  <c r="I1969" i="7" s="1"/>
  <c r="F1970" i="7"/>
  <c r="I1970" i="7" s="1"/>
  <c r="F1971" i="7"/>
  <c r="I1971" i="7" s="1"/>
  <c r="F1972" i="7"/>
  <c r="I1972" i="7" s="1"/>
  <c r="F1973" i="7"/>
  <c r="I1973" i="7" s="1"/>
  <c r="F1974" i="7"/>
  <c r="I1974" i="7" s="1"/>
  <c r="F1975" i="7"/>
  <c r="I1975" i="7" s="1"/>
  <c r="F1976" i="7"/>
  <c r="I1976" i="7" s="1"/>
  <c r="F1977" i="7"/>
  <c r="I1977" i="7" s="1"/>
  <c r="F1978" i="7"/>
  <c r="I1978" i="7" s="1"/>
  <c r="F1979" i="7"/>
  <c r="I1979" i="7" s="1"/>
  <c r="F1980" i="7"/>
  <c r="I1980" i="7" s="1"/>
  <c r="F1981" i="7"/>
  <c r="I1981" i="7" s="1"/>
  <c r="F1982" i="7"/>
  <c r="I1982" i="7" s="1"/>
  <c r="F1983" i="7"/>
  <c r="I1983" i="7" s="1"/>
  <c r="F1984" i="7"/>
  <c r="I1984" i="7" s="1"/>
  <c r="F1985" i="7"/>
  <c r="I1985" i="7" s="1"/>
  <c r="F1986" i="7"/>
  <c r="I1986" i="7" s="1"/>
  <c r="F1987" i="7"/>
  <c r="I1987" i="7" s="1"/>
  <c r="F1988" i="7"/>
  <c r="I1988" i="7" s="1"/>
  <c r="F1989" i="7"/>
  <c r="I1989" i="7" s="1"/>
  <c r="F1990" i="7"/>
  <c r="I1990" i="7" s="1"/>
  <c r="F1991" i="7"/>
  <c r="I1991" i="7" s="1"/>
  <c r="F1992" i="7"/>
  <c r="I1992" i="7" s="1"/>
  <c r="F1993" i="7"/>
  <c r="I1993" i="7" s="1"/>
  <c r="F1994" i="7"/>
  <c r="I1994" i="7" s="1"/>
  <c r="F1995" i="7"/>
  <c r="I1995" i="7" s="1"/>
  <c r="F1996" i="7"/>
  <c r="I1996" i="7" s="1"/>
  <c r="F1997" i="7"/>
  <c r="I1997" i="7" s="1"/>
  <c r="F1998" i="7"/>
  <c r="I1998" i="7" s="1"/>
  <c r="F1999" i="7"/>
  <c r="I1999" i="7" s="1"/>
  <c r="F2000" i="7"/>
  <c r="I2000" i="7" s="1"/>
  <c r="F2001" i="7"/>
  <c r="I2001" i="7" s="1"/>
  <c r="F2002" i="7"/>
  <c r="I2002" i="7" s="1"/>
  <c r="F2003" i="7"/>
  <c r="I2003" i="7" s="1"/>
  <c r="F2004" i="7"/>
  <c r="I2004" i="7" s="1"/>
  <c r="F2005" i="7"/>
  <c r="I2005" i="7" s="1"/>
  <c r="F2006" i="7"/>
  <c r="I2006" i="7" s="1"/>
  <c r="F2007" i="7"/>
  <c r="I2007" i="7" s="1"/>
  <c r="F2008" i="7"/>
  <c r="I2008" i="7" s="1"/>
  <c r="F2009" i="7"/>
  <c r="I2009" i="7" s="1"/>
  <c r="F2010" i="7"/>
  <c r="I2010" i="7" s="1"/>
  <c r="F2011" i="7"/>
  <c r="I2011" i="7" s="1"/>
  <c r="F2012" i="7"/>
  <c r="I2012" i="7" s="1"/>
  <c r="F2013" i="7"/>
  <c r="I2013" i="7" s="1"/>
  <c r="F2014" i="7"/>
  <c r="I2014" i="7" s="1"/>
  <c r="F2015" i="7"/>
  <c r="I2015" i="7" s="1"/>
  <c r="F2016" i="7"/>
  <c r="I2016" i="7" s="1"/>
  <c r="F2017" i="7"/>
  <c r="I2017" i="7" s="1"/>
  <c r="F2018" i="7"/>
  <c r="I2018" i="7" s="1"/>
  <c r="F2019" i="7"/>
  <c r="I2019" i="7" s="1"/>
  <c r="F2020" i="7"/>
  <c r="I2020" i="7" s="1"/>
  <c r="F2021" i="7"/>
  <c r="I2021" i="7" s="1"/>
  <c r="F2022" i="7"/>
  <c r="I2022" i="7" s="1"/>
  <c r="F2023" i="7"/>
  <c r="I2023" i="7" s="1"/>
  <c r="F2024" i="7"/>
  <c r="I2024" i="7" s="1"/>
  <c r="F2025" i="7"/>
  <c r="I2025" i="7" s="1"/>
  <c r="F2026" i="7"/>
  <c r="I2026" i="7" s="1"/>
  <c r="F2027" i="7"/>
  <c r="I2027" i="7" s="1"/>
  <c r="F2028" i="7"/>
  <c r="I2028" i="7" s="1"/>
  <c r="F2029" i="7"/>
  <c r="I2029" i="7" s="1"/>
  <c r="F2030" i="7"/>
  <c r="I2030" i="7" s="1"/>
  <c r="F2031" i="7"/>
  <c r="I2031" i="7" s="1"/>
  <c r="F2032" i="7"/>
  <c r="I2032" i="7" s="1"/>
  <c r="F2033" i="7"/>
  <c r="I2033" i="7" s="1"/>
  <c r="F2034" i="7"/>
  <c r="I2034" i="7" s="1"/>
  <c r="F2035" i="7"/>
  <c r="I2035" i="7" s="1"/>
  <c r="F2036" i="7"/>
  <c r="I2036" i="7" s="1"/>
  <c r="F2037" i="7"/>
  <c r="I2037" i="7" s="1"/>
  <c r="F2038" i="7"/>
  <c r="I2038" i="7" s="1"/>
  <c r="F2039" i="7"/>
  <c r="I2039" i="7" s="1"/>
  <c r="F2040" i="7"/>
  <c r="I2040" i="7" s="1"/>
  <c r="F2041" i="7"/>
  <c r="I2041" i="7" s="1"/>
  <c r="F2042" i="7"/>
  <c r="I2042" i="7" s="1"/>
  <c r="F2043" i="7"/>
  <c r="I2043" i="7" s="1"/>
  <c r="F2044" i="7"/>
  <c r="I2044" i="7" s="1"/>
  <c r="F2045" i="7"/>
  <c r="I2045" i="7" s="1"/>
  <c r="F2046" i="7"/>
  <c r="I2046" i="7" s="1"/>
  <c r="F2047" i="7"/>
  <c r="I2047" i="7" s="1"/>
  <c r="F2048" i="7"/>
  <c r="I2048" i="7" s="1"/>
  <c r="F2049" i="7"/>
  <c r="I2049" i="7" s="1"/>
  <c r="F2050" i="7"/>
  <c r="I2050" i="7" s="1"/>
  <c r="F2051" i="7"/>
  <c r="I2051" i="7" s="1"/>
  <c r="F2052" i="7"/>
  <c r="I2052" i="7" s="1"/>
  <c r="F2053" i="7"/>
  <c r="I2053" i="7" s="1"/>
  <c r="F2054" i="7"/>
  <c r="I2054" i="7" s="1"/>
  <c r="F2055" i="7"/>
  <c r="I2055" i="7" s="1"/>
  <c r="F2056" i="7"/>
  <c r="I2056" i="7" s="1"/>
  <c r="F2057" i="7"/>
  <c r="I2057" i="7" s="1"/>
  <c r="F2058" i="7"/>
  <c r="I2058" i="7" s="1"/>
  <c r="F2059" i="7"/>
  <c r="I2059" i="7" s="1"/>
  <c r="F2060" i="7"/>
  <c r="I2060" i="7" s="1"/>
  <c r="F2061" i="7"/>
  <c r="I2061" i="7" s="1"/>
  <c r="F2062" i="7"/>
  <c r="I2062" i="7" s="1"/>
  <c r="F2063" i="7"/>
  <c r="I2063" i="7" s="1"/>
  <c r="F2064" i="7"/>
  <c r="I2064" i="7" s="1"/>
  <c r="F2065" i="7"/>
  <c r="I2065" i="7" s="1"/>
  <c r="F2066" i="7"/>
  <c r="I2066" i="7" s="1"/>
  <c r="F2067" i="7"/>
  <c r="I2067" i="7" s="1"/>
  <c r="F2068" i="7"/>
  <c r="I2068" i="7" s="1"/>
  <c r="F2069" i="7"/>
  <c r="I2069" i="7" s="1"/>
  <c r="F2070" i="7"/>
  <c r="I2070" i="7" s="1"/>
  <c r="F2071" i="7"/>
  <c r="I2071" i="7" s="1"/>
  <c r="F2072" i="7"/>
  <c r="I2072" i="7" s="1"/>
  <c r="F2073" i="7"/>
  <c r="I2073" i="7" s="1"/>
  <c r="F2074" i="7"/>
  <c r="I2074" i="7" s="1"/>
  <c r="F2075" i="7"/>
  <c r="I2075" i="7" s="1"/>
  <c r="F2076" i="7"/>
  <c r="I2076" i="7" s="1"/>
  <c r="F2077" i="7"/>
  <c r="I2077" i="7" s="1"/>
  <c r="F2078" i="7"/>
  <c r="I2078" i="7" s="1"/>
  <c r="F2079" i="7"/>
  <c r="I2079" i="7" s="1"/>
  <c r="F2080" i="7"/>
  <c r="I2080" i="7" s="1"/>
  <c r="F2081" i="7"/>
  <c r="I2081" i="7" s="1"/>
  <c r="F2082" i="7"/>
  <c r="I2082" i="7" s="1"/>
  <c r="F2083" i="7"/>
  <c r="I2083" i="7" s="1"/>
  <c r="F2084" i="7"/>
  <c r="I2084" i="7" s="1"/>
  <c r="F2085" i="7"/>
  <c r="I2085" i="7" s="1"/>
  <c r="F2086" i="7"/>
  <c r="I2086" i="7" s="1"/>
  <c r="F2087" i="7"/>
  <c r="I2087" i="7" s="1"/>
  <c r="F2088" i="7"/>
  <c r="I2088" i="7" s="1"/>
  <c r="F2089" i="7"/>
  <c r="I2089" i="7" s="1"/>
  <c r="F2090" i="7"/>
  <c r="I2090" i="7" s="1"/>
  <c r="F2091" i="7"/>
  <c r="I2091" i="7" s="1"/>
  <c r="F2092" i="7"/>
  <c r="I2092" i="7" s="1"/>
  <c r="F2093" i="7"/>
  <c r="I2093" i="7" s="1"/>
  <c r="F2094" i="7"/>
  <c r="I2094" i="7" s="1"/>
  <c r="F2095" i="7"/>
  <c r="I2095" i="7" s="1"/>
  <c r="F2096" i="7"/>
  <c r="I2096" i="7" s="1"/>
  <c r="F2097" i="7"/>
  <c r="I2097" i="7" s="1"/>
  <c r="F2098" i="7"/>
  <c r="I2098" i="7" s="1"/>
  <c r="F2099" i="7"/>
  <c r="I2099" i="7" s="1"/>
  <c r="F2100" i="7"/>
  <c r="I2100" i="7" s="1"/>
  <c r="F2101" i="7"/>
  <c r="I2101" i="7" s="1"/>
  <c r="F2102" i="7"/>
  <c r="I2102" i="7" s="1"/>
  <c r="F2103" i="7"/>
  <c r="I2103" i="7" s="1"/>
  <c r="F2104" i="7"/>
  <c r="I2104" i="7" s="1"/>
  <c r="F2105" i="7"/>
  <c r="I2105" i="7" s="1"/>
  <c r="F2106" i="7"/>
  <c r="I2106" i="7" s="1"/>
  <c r="F2107" i="7"/>
  <c r="I2107" i="7" s="1"/>
  <c r="F2108" i="7"/>
  <c r="I2108" i="7" s="1"/>
  <c r="F2109" i="7"/>
  <c r="I2109" i="7" s="1"/>
  <c r="F2110" i="7"/>
  <c r="I2110" i="7" s="1"/>
  <c r="F2111" i="7"/>
  <c r="I2111" i="7" s="1"/>
  <c r="F2112" i="7"/>
  <c r="I2112" i="7" s="1"/>
  <c r="F2113" i="7"/>
  <c r="I2113" i="7" s="1"/>
  <c r="F2114" i="7"/>
  <c r="I2114" i="7" s="1"/>
  <c r="F2115" i="7"/>
  <c r="I2115" i="7" s="1"/>
  <c r="F2116" i="7"/>
  <c r="I2116" i="7" s="1"/>
  <c r="F2117" i="7"/>
  <c r="I2117" i="7" s="1"/>
  <c r="F2118" i="7"/>
  <c r="I2118" i="7" s="1"/>
  <c r="F2119" i="7"/>
  <c r="I2119" i="7" s="1"/>
  <c r="F2120" i="7"/>
  <c r="I2120" i="7" s="1"/>
  <c r="F2121" i="7"/>
  <c r="I2121" i="7" s="1"/>
  <c r="F2122" i="7"/>
  <c r="I2122" i="7" s="1"/>
  <c r="F2123" i="7"/>
  <c r="I2123" i="7" s="1"/>
  <c r="F2124" i="7"/>
  <c r="I2124" i="7" s="1"/>
  <c r="F2125" i="7"/>
  <c r="I2125" i="7" s="1"/>
  <c r="F2126" i="7"/>
  <c r="I2126" i="7" s="1"/>
  <c r="F2127" i="7"/>
  <c r="I2127" i="7" s="1"/>
  <c r="F2128" i="7"/>
  <c r="I2128" i="7" s="1"/>
  <c r="F2129" i="7"/>
  <c r="I2129" i="7" s="1"/>
  <c r="F2130" i="7"/>
  <c r="I2130" i="7" s="1"/>
  <c r="F2131" i="7"/>
  <c r="I2131" i="7" s="1"/>
  <c r="F2132" i="7"/>
  <c r="I2132" i="7" s="1"/>
  <c r="F2133" i="7"/>
  <c r="I2133" i="7" s="1"/>
  <c r="F2134" i="7"/>
  <c r="I2134" i="7" s="1"/>
  <c r="F2135" i="7"/>
  <c r="I2135" i="7" s="1"/>
  <c r="F2136" i="7"/>
  <c r="I2136" i="7" s="1"/>
  <c r="F2137" i="7"/>
  <c r="I2137" i="7" s="1"/>
  <c r="F2138" i="7"/>
  <c r="I2138" i="7" s="1"/>
  <c r="F2139" i="7"/>
  <c r="I2139" i="7" s="1"/>
  <c r="F2140" i="7"/>
  <c r="I2140" i="7" s="1"/>
  <c r="F2141" i="7"/>
  <c r="I2141" i="7" s="1"/>
  <c r="F2142" i="7"/>
  <c r="I2142" i="7" s="1"/>
  <c r="F2143" i="7"/>
  <c r="I2143" i="7" s="1"/>
  <c r="F2144" i="7"/>
  <c r="I2144" i="7" s="1"/>
  <c r="F2145" i="7"/>
  <c r="I2145" i="7" s="1"/>
  <c r="F2146" i="7"/>
  <c r="I2146" i="7" s="1"/>
  <c r="F2147" i="7"/>
  <c r="I2147" i="7" s="1"/>
  <c r="F2148" i="7"/>
  <c r="I2148" i="7" s="1"/>
  <c r="F2149" i="7"/>
  <c r="I2149" i="7" s="1"/>
  <c r="F2" i="7"/>
  <c r="F3" i="5"/>
  <c r="F4" i="5"/>
  <c r="F5" i="5"/>
  <c r="F6" i="5"/>
  <c r="F7" i="5"/>
  <c r="F8" i="5"/>
  <c r="F9" i="5"/>
  <c r="F10" i="5"/>
  <c r="E10" i="5" s="1"/>
  <c r="F11" i="5"/>
  <c r="F12" i="5"/>
  <c r="F13" i="5"/>
  <c r="F14" i="5"/>
  <c r="F15" i="5"/>
  <c r="F16" i="5"/>
  <c r="F17" i="5"/>
  <c r="F18" i="5"/>
  <c r="E18" i="5" s="1"/>
  <c r="F19" i="5"/>
  <c r="F20" i="5"/>
  <c r="F21" i="5"/>
  <c r="F22" i="5"/>
  <c r="F23" i="5"/>
  <c r="F24" i="5"/>
  <c r="F25" i="5"/>
  <c r="F26" i="5"/>
  <c r="E26" i="5" s="1"/>
  <c r="F27" i="5"/>
  <c r="F28" i="5"/>
  <c r="F29" i="5"/>
  <c r="F30" i="5"/>
  <c r="F31" i="5"/>
  <c r="F32" i="5"/>
  <c r="F33" i="5"/>
  <c r="F34" i="5"/>
  <c r="E34" i="5" s="1"/>
  <c r="F35" i="5"/>
  <c r="F36" i="5"/>
  <c r="F37" i="5"/>
  <c r="F38" i="5"/>
  <c r="F39" i="5"/>
  <c r="F40" i="5"/>
  <c r="F41" i="5"/>
  <c r="F42" i="5"/>
  <c r="E42" i="5" s="1"/>
  <c r="F43" i="5"/>
  <c r="F44" i="5"/>
  <c r="F45" i="5"/>
  <c r="F46" i="5"/>
  <c r="F47" i="5"/>
  <c r="F48" i="5"/>
  <c r="F49" i="5"/>
  <c r="F50" i="5"/>
  <c r="E50" i="5" s="1"/>
  <c r="F51" i="5"/>
  <c r="F52" i="5"/>
  <c r="F53" i="5"/>
  <c r="F54" i="5"/>
  <c r="F55" i="5"/>
  <c r="F56" i="5"/>
  <c r="F57" i="5"/>
  <c r="F58" i="5"/>
  <c r="E58" i="5" s="1"/>
  <c r="F59" i="5"/>
  <c r="F60" i="5"/>
  <c r="F61" i="5"/>
  <c r="F62" i="5"/>
  <c r="F63" i="5"/>
  <c r="F64" i="5"/>
  <c r="F65" i="5"/>
  <c r="F66" i="5"/>
  <c r="E66" i="5" s="1"/>
  <c r="F67" i="5"/>
  <c r="F68" i="5"/>
  <c r="F69" i="5"/>
  <c r="F70" i="5"/>
  <c r="F71" i="5"/>
  <c r="F72" i="5"/>
  <c r="F73" i="5"/>
  <c r="F74" i="5"/>
  <c r="E74" i="5" s="1"/>
  <c r="F75" i="5"/>
  <c r="F76" i="5"/>
  <c r="F77" i="5"/>
  <c r="F78" i="5"/>
  <c r="F79" i="5"/>
  <c r="F80" i="5"/>
  <c r="F81" i="5"/>
  <c r="F82" i="5"/>
  <c r="E82" i="5" s="1"/>
  <c r="F83" i="5"/>
  <c r="F84" i="5"/>
  <c r="F85" i="5"/>
  <c r="F86" i="5"/>
  <c r="F87" i="5"/>
  <c r="F88" i="5"/>
  <c r="F89" i="5"/>
  <c r="F90" i="5"/>
  <c r="E90" i="5" s="1"/>
  <c r="F91" i="5"/>
  <c r="F92" i="5"/>
  <c r="F93" i="5"/>
  <c r="F94" i="5"/>
  <c r="F95" i="5"/>
  <c r="F96" i="5"/>
  <c r="F97" i="5"/>
  <c r="F98" i="5"/>
  <c r="E98" i="5" s="1"/>
  <c r="F99" i="5"/>
  <c r="F100" i="5"/>
  <c r="F101" i="5"/>
  <c r="F102" i="5"/>
  <c r="F103" i="5"/>
  <c r="F104" i="5"/>
  <c r="F105" i="5"/>
  <c r="F106" i="5"/>
  <c r="E106" i="5" s="1"/>
  <c r="F107" i="5"/>
  <c r="F108" i="5"/>
  <c r="F109" i="5"/>
  <c r="F110" i="5"/>
  <c r="F111" i="5"/>
  <c r="F112" i="5"/>
  <c r="F113" i="5"/>
  <c r="F114" i="5"/>
  <c r="E114" i="5" s="1"/>
  <c r="F115" i="5"/>
  <c r="F116" i="5"/>
  <c r="F117" i="5"/>
  <c r="F118" i="5"/>
  <c r="F119" i="5"/>
  <c r="F120" i="5"/>
  <c r="F121" i="5"/>
  <c r="F122" i="5"/>
  <c r="E122" i="5" s="1"/>
  <c r="F123" i="5"/>
  <c r="F124" i="5"/>
  <c r="F125" i="5"/>
  <c r="F126" i="5"/>
  <c r="F127" i="5"/>
  <c r="F128" i="5"/>
  <c r="F129" i="5"/>
  <c r="F130" i="5"/>
  <c r="E130" i="5" s="1"/>
  <c r="F131" i="5"/>
  <c r="F132" i="5"/>
  <c r="F133" i="5"/>
  <c r="F134" i="5"/>
  <c r="F135" i="5"/>
  <c r="F136" i="5"/>
  <c r="F137" i="5"/>
  <c r="F138" i="5"/>
  <c r="E138" i="5" s="1"/>
  <c r="F139" i="5"/>
  <c r="F140" i="5"/>
  <c r="F141" i="5"/>
  <c r="F142" i="5"/>
  <c r="F143" i="5"/>
  <c r="F144" i="5"/>
  <c r="F145" i="5"/>
  <c r="F146" i="5"/>
  <c r="E146" i="5" s="1"/>
  <c r="F147" i="5"/>
  <c r="F148" i="5"/>
  <c r="F149" i="5"/>
  <c r="F150" i="5"/>
  <c r="F151" i="5"/>
  <c r="F152" i="5"/>
  <c r="F153" i="5"/>
  <c r="F154" i="5"/>
  <c r="E154" i="5" s="1"/>
  <c r="F155" i="5"/>
  <c r="F156" i="5"/>
  <c r="F157" i="5"/>
  <c r="F158" i="5"/>
  <c r="F159" i="5"/>
  <c r="F160" i="5"/>
  <c r="F161" i="5"/>
  <c r="F162" i="5"/>
  <c r="E162" i="5" s="1"/>
  <c r="F163" i="5"/>
  <c r="F164" i="5"/>
  <c r="F165" i="5"/>
  <c r="F166" i="5"/>
  <c r="F167" i="5"/>
  <c r="F168" i="5"/>
  <c r="F169" i="5"/>
  <c r="F170" i="5"/>
  <c r="E170" i="5" s="1"/>
  <c r="F171" i="5"/>
  <c r="F172" i="5"/>
  <c r="F173" i="5"/>
  <c r="F174" i="5"/>
  <c r="F175" i="5"/>
  <c r="F176" i="5"/>
  <c r="F177" i="5"/>
  <c r="F178" i="5"/>
  <c r="E178" i="5" s="1"/>
  <c r="F179" i="5"/>
  <c r="F180" i="5"/>
  <c r="F181" i="5"/>
  <c r="F182" i="5"/>
  <c r="F183" i="5"/>
  <c r="F184" i="5"/>
  <c r="F185" i="5"/>
  <c r="F186" i="5"/>
  <c r="E186" i="5" s="1"/>
  <c r="F187" i="5"/>
  <c r="F188" i="5"/>
  <c r="F189" i="5"/>
  <c r="F190" i="5"/>
  <c r="F191" i="5"/>
  <c r="F192" i="5"/>
  <c r="F193" i="5"/>
  <c r="F194" i="5"/>
  <c r="E194" i="5" s="1"/>
  <c r="F195" i="5"/>
  <c r="F196" i="5"/>
  <c r="F197" i="5"/>
  <c r="F198" i="5"/>
  <c r="F199" i="5"/>
  <c r="F200" i="5"/>
  <c r="F201" i="5"/>
  <c r="F202" i="5"/>
  <c r="E202" i="5" s="1"/>
  <c r="F203" i="5"/>
  <c r="F204" i="5"/>
  <c r="F205" i="5"/>
  <c r="F206" i="5"/>
  <c r="F207" i="5"/>
  <c r="F208" i="5"/>
  <c r="F209" i="5"/>
  <c r="F210" i="5"/>
  <c r="E210" i="5" s="1"/>
  <c r="F211" i="5"/>
  <c r="F212" i="5"/>
  <c r="F213" i="5"/>
  <c r="F214" i="5"/>
  <c r="F215" i="5"/>
  <c r="F216" i="5"/>
  <c r="F217" i="5"/>
  <c r="F218" i="5"/>
  <c r="E218" i="5" s="1"/>
  <c r="F219" i="5"/>
  <c r="F220" i="5"/>
  <c r="F221" i="5"/>
  <c r="F222" i="5"/>
  <c r="F223" i="5"/>
  <c r="F224" i="5"/>
  <c r="F225" i="5"/>
  <c r="F226" i="5"/>
  <c r="E226" i="5" s="1"/>
  <c r="F227" i="5"/>
  <c r="F228" i="5"/>
  <c r="F229" i="5"/>
  <c r="F230" i="5"/>
  <c r="F231" i="5"/>
  <c r="F232" i="5"/>
  <c r="F233" i="5"/>
  <c r="F234" i="5"/>
  <c r="E234" i="5" s="1"/>
  <c r="F235" i="5"/>
  <c r="F236" i="5"/>
  <c r="F237" i="5"/>
  <c r="F238" i="5"/>
  <c r="F239" i="5"/>
  <c r="F240" i="5"/>
  <c r="F241" i="5"/>
  <c r="F242" i="5"/>
  <c r="E242" i="5" s="1"/>
  <c r="F243" i="5"/>
  <c r="F244" i="5"/>
  <c r="F245" i="5"/>
  <c r="F246" i="5"/>
  <c r="F247" i="5"/>
  <c r="F248" i="5"/>
  <c r="F249" i="5"/>
  <c r="F250" i="5"/>
  <c r="E250" i="5" s="1"/>
  <c r="F251" i="5"/>
  <c r="F252" i="5"/>
  <c r="F253" i="5"/>
  <c r="F254" i="5"/>
  <c r="F255" i="5"/>
  <c r="F256" i="5"/>
  <c r="F257" i="5"/>
  <c r="F258" i="5"/>
  <c r="E258" i="5" s="1"/>
  <c r="F259" i="5"/>
  <c r="F260" i="5"/>
  <c r="F261" i="5"/>
  <c r="F262" i="5"/>
  <c r="F263" i="5"/>
  <c r="F264" i="5"/>
  <c r="F265" i="5"/>
  <c r="F266" i="5"/>
  <c r="E266" i="5" s="1"/>
  <c r="F267" i="5"/>
  <c r="F268" i="5"/>
  <c r="F269" i="5"/>
  <c r="F270" i="5"/>
  <c r="F271" i="5"/>
  <c r="F272" i="5"/>
  <c r="F273" i="5"/>
  <c r="F274" i="5"/>
  <c r="E274" i="5" s="1"/>
  <c r="F275" i="5"/>
  <c r="F276" i="5"/>
  <c r="F277" i="5"/>
  <c r="F278" i="5"/>
  <c r="F279" i="5"/>
  <c r="F280" i="5"/>
  <c r="F281" i="5"/>
  <c r="F282" i="5"/>
  <c r="E282" i="5" s="1"/>
  <c r="F283" i="5"/>
  <c r="F284" i="5"/>
  <c r="F285" i="5"/>
  <c r="F286" i="5"/>
  <c r="F287" i="5"/>
  <c r="F288" i="5"/>
  <c r="F289" i="5"/>
  <c r="F290" i="5"/>
  <c r="E290" i="5" s="1"/>
  <c r="F291" i="5"/>
  <c r="F292" i="5"/>
  <c r="F293" i="5"/>
  <c r="F294" i="5"/>
  <c r="F295" i="5"/>
  <c r="F296" i="5"/>
  <c r="F297" i="5"/>
  <c r="F298" i="5"/>
  <c r="E298" i="5" s="1"/>
  <c r="F299" i="5"/>
  <c r="F300" i="5"/>
  <c r="F301" i="5"/>
  <c r="F302" i="5"/>
  <c r="F303" i="5"/>
  <c r="F304" i="5"/>
  <c r="F305" i="5"/>
  <c r="F306" i="5"/>
  <c r="E306" i="5" s="1"/>
  <c r="F307" i="5"/>
  <c r="F308" i="5"/>
  <c r="F309" i="5"/>
  <c r="F310" i="5"/>
  <c r="F311" i="5"/>
  <c r="F312" i="5"/>
  <c r="F313" i="5"/>
  <c r="F314" i="5"/>
  <c r="E314" i="5" s="1"/>
  <c r="F315" i="5"/>
  <c r="F316" i="5"/>
  <c r="F317" i="5"/>
  <c r="F318" i="5"/>
  <c r="F319" i="5"/>
  <c r="F320" i="5"/>
  <c r="F321" i="5"/>
  <c r="F322" i="5"/>
  <c r="E322" i="5" s="1"/>
  <c r="F323" i="5"/>
  <c r="F324" i="5"/>
  <c r="F325" i="5"/>
  <c r="F326" i="5"/>
  <c r="F327" i="5"/>
  <c r="F328" i="5"/>
  <c r="F329" i="5"/>
  <c r="F330" i="5"/>
  <c r="E330" i="5" s="1"/>
  <c r="F331" i="5"/>
  <c r="F332" i="5"/>
  <c r="F333" i="5"/>
  <c r="F334" i="5"/>
  <c r="F335" i="5"/>
  <c r="F336" i="5"/>
  <c r="F337" i="5"/>
  <c r="F338" i="5"/>
  <c r="E338" i="5" s="1"/>
  <c r="F339" i="5"/>
  <c r="F340" i="5"/>
  <c r="F341" i="5"/>
  <c r="F342" i="5"/>
  <c r="F343" i="5"/>
  <c r="F344" i="5"/>
  <c r="F345" i="5"/>
  <c r="F346" i="5"/>
  <c r="E346" i="5" s="1"/>
  <c r="F347" i="5"/>
  <c r="F348" i="5"/>
  <c r="F349" i="5"/>
  <c r="F350" i="5"/>
  <c r="F351" i="5"/>
  <c r="F352" i="5"/>
  <c r="F353" i="5"/>
  <c r="F354" i="5"/>
  <c r="E354" i="5" s="1"/>
  <c r="F355" i="5"/>
  <c r="F356" i="5"/>
  <c r="F357" i="5"/>
  <c r="F358" i="5"/>
  <c r="F359" i="5"/>
  <c r="F360" i="5"/>
  <c r="F361" i="5"/>
  <c r="F362" i="5"/>
  <c r="E362" i="5" s="1"/>
  <c r="F363" i="5"/>
  <c r="F364" i="5"/>
  <c r="F365" i="5"/>
  <c r="F366" i="5"/>
  <c r="F367" i="5"/>
  <c r="F368" i="5"/>
  <c r="F369" i="5"/>
  <c r="F370" i="5"/>
  <c r="E370" i="5" s="1"/>
  <c r="F371" i="5"/>
  <c r="F372" i="5"/>
  <c r="F373" i="5"/>
  <c r="F374" i="5"/>
  <c r="F375" i="5"/>
  <c r="F376" i="5"/>
  <c r="F377" i="5"/>
  <c r="F378" i="5"/>
  <c r="E378" i="5" s="1"/>
  <c r="F379" i="5"/>
  <c r="F380" i="5"/>
  <c r="F381" i="5"/>
  <c r="F382" i="5"/>
  <c r="F383" i="5"/>
  <c r="F384" i="5"/>
  <c r="F385" i="5"/>
  <c r="F386" i="5"/>
  <c r="E386" i="5" s="1"/>
  <c r="F387" i="5"/>
  <c r="F388" i="5"/>
  <c r="F389" i="5"/>
  <c r="F390" i="5"/>
  <c r="F391" i="5"/>
  <c r="F392" i="5"/>
  <c r="F393" i="5"/>
  <c r="F394" i="5"/>
  <c r="E394" i="5" s="1"/>
  <c r="F395" i="5"/>
  <c r="F396" i="5"/>
  <c r="F397" i="5"/>
  <c r="F398" i="5"/>
  <c r="F399" i="5"/>
  <c r="F400" i="5"/>
  <c r="F401" i="5"/>
  <c r="F402" i="5"/>
  <c r="E402" i="5" s="1"/>
  <c r="F403" i="5"/>
  <c r="F404" i="5"/>
  <c r="F405" i="5"/>
  <c r="F406" i="5"/>
  <c r="F407" i="5"/>
  <c r="F408" i="5"/>
  <c r="F409" i="5"/>
  <c r="F410" i="5"/>
  <c r="E410" i="5" s="1"/>
  <c r="F411" i="5"/>
  <c r="F412" i="5"/>
  <c r="F413" i="5"/>
  <c r="F414" i="5"/>
  <c r="F415" i="5"/>
  <c r="F416" i="5"/>
  <c r="F417" i="5"/>
  <c r="F418" i="5"/>
  <c r="E418" i="5" s="1"/>
  <c r="F419" i="5"/>
  <c r="F420" i="5"/>
  <c r="F421" i="5"/>
  <c r="F422" i="5"/>
  <c r="F423" i="5"/>
  <c r="F424" i="5"/>
  <c r="F425" i="5"/>
  <c r="F426" i="5"/>
  <c r="E426" i="5" s="1"/>
  <c r="F427" i="5"/>
  <c r="F428" i="5"/>
  <c r="F429" i="5"/>
  <c r="F430" i="5"/>
  <c r="F431" i="5"/>
  <c r="F432" i="5"/>
  <c r="F433" i="5"/>
  <c r="F434" i="5"/>
  <c r="E434" i="5" s="1"/>
  <c r="F435" i="5"/>
  <c r="F436" i="5"/>
  <c r="F437" i="5"/>
  <c r="F438" i="5"/>
  <c r="F439" i="5"/>
  <c r="F440" i="5"/>
  <c r="F441" i="5"/>
  <c r="F442" i="5"/>
  <c r="E442" i="5" s="1"/>
  <c r="F443" i="5"/>
  <c r="F444" i="5"/>
  <c r="F445" i="5"/>
  <c r="F446" i="5"/>
  <c r="F447" i="5"/>
  <c r="F448" i="5"/>
  <c r="F449" i="5"/>
  <c r="F450" i="5"/>
  <c r="E450" i="5" s="1"/>
  <c r="F451" i="5"/>
  <c r="F452" i="5"/>
  <c r="F453" i="5"/>
  <c r="F454" i="5"/>
  <c r="F455" i="5"/>
  <c r="F456" i="5"/>
  <c r="F457" i="5"/>
  <c r="F458" i="5"/>
  <c r="E458" i="5" s="1"/>
  <c r="F459" i="5"/>
  <c r="F460" i="5"/>
  <c r="F461" i="5"/>
  <c r="F462" i="5"/>
  <c r="F463" i="5"/>
  <c r="F464" i="5"/>
  <c r="F465" i="5"/>
  <c r="F466" i="5"/>
  <c r="E466" i="5" s="1"/>
  <c r="F467" i="5"/>
  <c r="F468" i="5"/>
  <c r="F469" i="5"/>
  <c r="F470" i="5"/>
  <c r="F471" i="5"/>
  <c r="F472" i="5"/>
  <c r="F473" i="5"/>
  <c r="F474" i="5"/>
  <c r="E474" i="5" s="1"/>
  <c r="F475" i="5"/>
  <c r="F476" i="5"/>
  <c r="F477" i="5"/>
  <c r="F478" i="5"/>
  <c r="F479" i="5"/>
  <c r="F480" i="5"/>
  <c r="F481" i="5"/>
  <c r="F482" i="5"/>
  <c r="E482" i="5" s="1"/>
  <c r="F483" i="5"/>
  <c r="F484" i="5"/>
  <c r="F485" i="5"/>
  <c r="F486" i="5"/>
  <c r="F487" i="5"/>
  <c r="F488" i="5"/>
  <c r="F489" i="5"/>
  <c r="F490" i="5"/>
  <c r="E490" i="5" s="1"/>
  <c r="F491" i="5"/>
  <c r="F492" i="5"/>
  <c r="F493" i="5"/>
  <c r="F494" i="5"/>
  <c r="F495" i="5"/>
  <c r="F496" i="5"/>
  <c r="F497" i="5"/>
  <c r="F498" i="5"/>
  <c r="E498" i="5" s="1"/>
  <c r="F499" i="5"/>
  <c r="F500" i="5"/>
  <c r="F501" i="5"/>
  <c r="F502" i="5"/>
  <c r="F503" i="5"/>
  <c r="F504" i="5"/>
  <c r="F505" i="5"/>
  <c r="F506" i="5"/>
  <c r="E506" i="5" s="1"/>
  <c r="F507" i="5"/>
  <c r="F508" i="5"/>
  <c r="F509" i="5"/>
  <c r="F510" i="5"/>
  <c r="F511" i="5"/>
  <c r="F512" i="5"/>
  <c r="F513" i="5"/>
  <c r="F514" i="5"/>
  <c r="E514" i="5" s="1"/>
  <c r="F515" i="5"/>
  <c r="F516" i="5"/>
  <c r="F517" i="5"/>
  <c r="F518" i="5"/>
  <c r="F519" i="5"/>
  <c r="F520" i="5"/>
  <c r="F521" i="5"/>
  <c r="F522" i="5"/>
  <c r="E522" i="5" s="1"/>
  <c r="F523" i="5"/>
  <c r="F524" i="5"/>
  <c r="F525" i="5"/>
  <c r="F526" i="5"/>
  <c r="F527" i="5"/>
  <c r="F528" i="5"/>
  <c r="F529" i="5"/>
  <c r="F530" i="5"/>
  <c r="E530" i="5" s="1"/>
  <c r="F531" i="5"/>
  <c r="F532" i="5"/>
  <c r="F533" i="5"/>
  <c r="F534" i="5"/>
  <c r="F535" i="5"/>
  <c r="F536" i="5"/>
  <c r="F537" i="5"/>
  <c r="F538" i="5"/>
  <c r="E538" i="5" s="1"/>
  <c r="F539" i="5"/>
  <c r="F540" i="5"/>
  <c r="F541" i="5"/>
  <c r="F542" i="5"/>
  <c r="F543" i="5"/>
  <c r="F544" i="5"/>
  <c r="F545" i="5"/>
  <c r="F546" i="5"/>
  <c r="E546" i="5" s="1"/>
  <c r="F547" i="5"/>
  <c r="F548" i="5"/>
  <c r="F549" i="5"/>
  <c r="F550" i="5"/>
  <c r="F551" i="5"/>
  <c r="F552" i="5"/>
  <c r="F553" i="5"/>
  <c r="F554" i="5"/>
  <c r="E554" i="5" s="1"/>
  <c r="F555" i="5"/>
  <c r="F556" i="5"/>
  <c r="F557" i="5"/>
  <c r="F558" i="5"/>
  <c r="F559" i="5"/>
  <c r="F560" i="5"/>
  <c r="F561" i="5"/>
  <c r="F562" i="5"/>
  <c r="E562" i="5" s="1"/>
  <c r="F563" i="5"/>
  <c r="F564" i="5"/>
  <c r="F565" i="5"/>
  <c r="F566" i="5"/>
  <c r="F567" i="5"/>
  <c r="F568" i="5"/>
  <c r="F569" i="5"/>
  <c r="F570" i="5"/>
  <c r="E570" i="5" s="1"/>
  <c r="F571" i="5"/>
  <c r="F572" i="5"/>
  <c r="F573" i="5"/>
  <c r="F574" i="5"/>
  <c r="F575" i="5"/>
  <c r="F576" i="5"/>
  <c r="F577" i="5"/>
  <c r="F578" i="5"/>
  <c r="E578" i="5" s="1"/>
  <c r="F579" i="5"/>
  <c r="F580" i="5"/>
  <c r="F581" i="5"/>
  <c r="F582" i="5"/>
  <c r="F583" i="5"/>
  <c r="F584" i="5"/>
  <c r="F585" i="5"/>
  <c r="F586" i="5"/>
  <c r="E586" i="5" s="1"/>
  <c r="F587" i="5"/>
  <c r="F588" i="5"/>
  <c r="F589" i="5"/>
  <c r="F590" i="5"/>
  <c r="F591" i="5"/>
  <c r="F592" i="5"/>
  <c r="F593" i="5"/>
  <c r="F594" i="5"/>
  <c r="E594" i="5" s="1"/>
  <c r="F595" i="5"/>
  <c r="F596" i="5"/>
  <c r="F597" i="5"/>
  <c r="F598" i="5"/>
  <c r="F599" i="5"/>
  <c r="F600" i="5"/>
  <c r="F601" i="5"/>
  <c r="F602" i="5"/>
  <c r="E602" i="5" s="1"/>
  <c r="F603" i="5"/>
  <c r="F604" i="5"/>
  <c r="F605" i="5"/>
  <c r="F606" i="5"/>
  <c r="F607" i="5"/>
  <c r="F608" i="5"/>
  <c r="F609" i="5"/>
  <c r="F610" i="5"/>
  <c r="E610" i="5" s="1"/>
  <c r="F611" i="5"/>
  <c r="F612" i="5"/>
  <c r="F613" i="5"/>
  <c r="F614" i="5"/>
  <c r="F615" i="5"/>
  <c r="F616" i="5"/>
  <c r="F617" i="5"/>
  <c r="F618" i="5"/>
  <c r="E618" i="5" s="1"/>
  <c r="F619" i="5"/>
  <c r="F620" i="5"/>
  <c r="F621" i="5"/>
  <c r="F622" i="5"/>
  <c r="F623" i="5"/>
  <c r="F624" i="5"/>
  <c r="F625" i="5"/>
  <c r="F626" i="5"/>
  <c r="E626" i="5" s="1"/>
  <c r="F627" i="5"/>
  <c r="F628" i="5"/>
  <c r="F629" i="5"/>
  <c r="F630" i="5"/>
  <c r="F631" i="5"/>
  <c r="F632" i="5"/>
  <c r="F633" i="5"/>
  <c r="F634" i="5"/>
  <c r="E634" i="5" s="1"/>
  <c r="F635" i="5"/>
  <c r="F636" i="5"/>
  <c r="F637" i="5"/>
  <c r="F638" i="5"/>
  <c r="F639" i="5"/>
  <c r="F640" i="5"/>
  <c r="F641" i="5"/>
  <c r="F642" i="5"/>
  <c r="E642" i="5" s="1"/>
  <c r="F643" i="5"/>
  <c r="F644" i="5"/>
  <c r="F645" i="5"/>
  <c r="F646" i="5"/>
  <c r="F647" i="5"/>
  <c r="F648" i="5"/>
  <c r="F649" i="5"/>
  <c r="F650" i="5"/>
  <c r="E650" i="5" s="1"/>
  <c r="F651" i="5"/>
  <c r="F652" i="5"/>
  <c r="F653" i="5"/>
  <c r="F654" i="5"/>
  <c r="F655" i="5"/>
  <c r="F656" i="5"/>
  <c r="F657" i="5"/>
  <c r="F658" i="5"/>
  <c r="E658" i="5" s="1"/>
  <c r="F659" i="5"/>
  <c r="F660" i="5"/>
  <c r="F661" i="5"/>
  <c r="F662" i="5"/>
  <c r="F663" i="5"/>
  <c r="F664" i="5"/>
  <c r="F665" i="5"/>
  <c r="F666" i="5"/>
  <c r="E666" i="5" s="1"/>
  <c r="F667" i="5"/>
  <c r="F668" i="5"/>
  <c r="F669" i="5"/>
  <c r="F670" i="5"/>
  <c r="F671" i="5"/>
  <c r="F672" i="5"/>
  <c r="F673" i="5"/>
  <c r="F674" i="5"/>
  <c r="E674" i="5" s="1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" i="5"/>
  <c r="E3" i="5"/>
  <c r="E4" i="5"/>
  <c r="E5" i="5"/>
  <c r="E6" i="5"/>
  <c r="E7" i="5"/>
  <c r="E8" i="5"/>
  <c r="E9" i="5"/>
  <c r="E11" i="5"/>
  <c r="E12" i="5"/>
  <c r="E13" i="5"/>
  <c r="E14" i="5"/>
  <c r="E15" i="5"/>
  <c r="E16" i="5"/>
  <c r="E17" i="5"/>
  <c r="E19" i="5"/>
  <c r="E20" i="5"/>
  <c r="E21" i="5"/>
  <c r="E22" i="5"/>
  <c r="E23" i="5"/>
  <c r="E24" i="5"/>
  <c r="E25" i="5"/>
  <c r="E27" i="5"/>
  <c r="E28" i="5"/>
  <c r="E29" i="5"/>
  <c r="E30" i="5"/>
  <c r="E31" i="5"/>
  <c r="E32" i="5"/>
  <c r="E33" i="5"/>
  <c r="E35" i="5"/>
  <c r="E36" i="5"/>
  <c r="E37" i="5"/>
  <c r="E38" i="5"/>
  <c r="E39" i="5"/>
  <c r="E40" i="5"/>
  <c r="E41" i="5"/>
  <c r="E43" i="5"/>
  <c r="E44" i="5"/>
  <c r="E45" i="5"/>
  <c r="E46" i="5"/>
  <c r="E47" i="5"/>
  <c r="E48" i="5"/>
  <c r="E49" i="5"/>
  <c r="E51" i="5"/>
  <c r="E52" i="5"/>
  <c r="E53" i="5"/>
  <c r="E54" i="5"/>
  <c r="E55" i="5"/>
  <c r="E56" i="5"/>
  <c r="E57" i="5"/>
  <c r="E59" i="5"/>
  <c r="E60" i="5"/>
  <c r="E61" i="5"/>
  <c r="E62" i="5"/>
  <c r="E63" i="5"/>
  <c r="E64" i="5"/>
  <c r="E65" i="5"/>
  <c r="E67" i="5"/>
  <c r="E68" i="5"/>
  <c r="E69" i="5"/>
  <c r="E70" i="5"/>
  <c r="E71" i="5"/>
  <c r="E72" i="5"/>
  <c r="E73" i="5"/>
  <c r="E75" i="5"/>
  <c r="E76" i="5"/>
  <c r="E77" i="5"/>
  <c r="E78" i="5"/>
  <c r="E79" i="5"/>
  <c r="E80" i="5"/>
  <c r="E81" i="5"/>
  <c r="E83" i="5"/>
  <c r="E84" i="5"/>
  <c r="E85" i="5"/>
  <c r="E86" i="5"/>
  <c r="E87" i="5"/>
  <c r="E88" i="5"/>
  <c r="E89" i="5"/>
  <c r="E91" i="5"/>
  <c r="E92" i="5"/>
  <c r="E93" i="5"/>
  <c r="E94" i="5"/>
  <c r="E95" i="5"/>
  <c r="E96" i="5"/>
  <c r="E97" i="5"/>
  <c r="E99" i="5"/>
  <c r="E100" i="5"/>
  <c r="E101" i="5"/>
  <c r="E102" i="5"/>
  <c r="E103" i="5"/>
  <c r="E104" i="5"/>
  <c r="E105" i="5"/>
  <c r="E107" i="5"/>
  <c r="E108" i="5"/>
  <c r="E109" i="5"/>
  <c r="E110" i="5"/>
  <c r="E111" i="5"/>
  <c r="E112" i="5"/>
  <c r="E113" i="5"/>
  <c r="E115" i="5"/>
  <c r="E116" i="5"/>
  <c r="E117" i="5"/>
  <c r="E118" i="5"/>
  <c r="E119" i="5"/>
  <c r="E120" i="5"/>
  <c r="E121" i="5"/>
  <c r="E123" i="5"/>
  <c r="E124" i="5"/>
  <c r="E125" i="5"/>
  <c r="E126" i="5"/>
  <c r="E127" i="5"/>
  <c r="E128" i="5"/>
  <c r="E129" i="5"/>
  <c r="E131" i="5"/>
  <c r="E132" i="5"/>
  <c r="E133" i="5"/>
  <c r="E134" i="5"/>
  <c r="E135" i="5"/>
  <c r="E136" i="5"/>
  <c r="E137" i="5"/>
  <c r="E139" i="5"/>
  <c r="E140" i="5"/>
  <c r="E141" i="5"/>
  <c r="E142" i="5"/>
  <c r="E143" i="5"/>
  <c r="E144" i="5"/>
  <c r="E145" i="5"/>
  <c r="E147" i="5"/>
  <c r="E148" i="5"/>
  <c r="E149" i="5"/>
  <c r="E150" i="5"/>
  <c r="E151" i="5"/>
  <c r="E152" i="5"/>
  <c r="E153" i="5"/>
  <c r="E155" i="5"/>
  <c r="E156" i="5"/>
  <c r="E157" i="5"/>
  <c r="E158" i="5"/>
  <c r="E159" i="5"/>
  <c r="E160" i="5"/>
  <c r="E161" i="5"/>
  <c r="E163" i="5"/>
  <c r="E164" i="5"/>
  <c r="E165" i="5"/>
  <c r="E166" i="5"/>
  <c r="E167" i="5"/>
  <c r="E168" i="5"/>
  <c r="E169" i="5"/>
  <c r="E171" i="5"/>
  <c r="E172" i="5"/>
  <c r="E173" i="5"/>
  <c r="E174" i="5"/>
  <c r="E175" i="5"/>
  <c r="E176" i="5"/>
  <c r="E177" i="5"/>
  <c r="E179" i="5"/>
  <c r="E180" i="5"/>
  <c r="E181" i="5"/>
  <c r="E182" i="5"/>
  <c r="E183" i="5"/>
  <c r="E184" i="5"/>
  <c r="E185" i="5"/>
  <c r="E187" i="5"/>
  <c r="E188" i="5"/>
  <c r="E189" i="5"/>
  <c r="E190" i="5"/>
  <c r="E191" i="5"/>
  <c r="E192" i="5"/>
  <c r="E193" i="5"/>
  <c r="E195" i="5"/>
  <c r="E196" i="5"/>
  <c r="E197" i="5"/>
  <c r="E198" i="5"/>
  <c r="E199" i="5"/>
  <c r="E200" i="5"/>
  <c r="E201" i="5"/>
  <c r="E203" i="5"/>
  <c r="E204" i="5"/>
  <c r="E205" i="5"/>
  <c r="E206" i="5"/>
  <c r="E207" i="5"/>
  <c r="E208" i="5"/>
  <c r="E209" i="5"/>
  <c r="E211" i="5"/>
  <c r="E212" i="5"/>
  <c r="E213" i="5"/>
  <c r="E214" i="5"/>
  <c r="E215" i="5"/>
  <c r="E216" i="5"/>
  <c r="E217" i="5"/>
  <c r="E219" i="5"/>
  <c r="E220" i="5"/>
  <c r="E221" i="5"/>
  <c r="E222" i="5"/>
  <c r="E223" i="5"/>
  <c r="E224" i="5"/>
  <c r="E225" i="5"/>
  <c r="E227" i="5"/>
  <c r="E228" i="5"/>
  <c r="E229" i="5"/>
  <c r="E230" i="5"/>
  <c r="E231" i="5"/>
  <c r="E232" i="5"/>
  <c r="E233" i="5"/>
  <c r="E235" i="5"/>
  <c r="E236" i="5"/>
  <c r="E237" i="5"/>
  <c r="E238" i="5"/>
  <c r="E239" i="5"/>
  <c r="E240" i="5"/>
  <c r="E241" i="5"/>
  <c r="E243" i="5"/>
  <c r="E244" i="5"/>
  <c r="E245" i="5"/>
  <c r="E246" i="5"/>
  <c r="E247" i="5"/>
  <c r="E248" i="5"/>
  <c r="E249" i="5"/>
  <c r="E251" i="5"/>
  <c r="E252" i="5"/>
  <c r="E253" i="5"/>
  <c r="E254" i="5"/>
  <c r="E255" i="5"/>
  <c r="E256" i="5"/>
  <c r="E257" i="5"/>
  <c r="E259" i="5"/>
  <c r="E260" i="5"/>
  <c r="E261" i="5"/>
  <c r="E262" i="5"/>
  <c r="E263" i="5"/>
  <c r="E264" i="5"/>
  <c r="E265" i="5"/>
  <c r="E267" i="5"/>
  <c r="E268" i="5"/>
  <c r="E269" i="5"/>
  <c r="E270" i="5"/>
  <c r="E271" i="5"/>
  <c r="E272" i="5"/>
  <c r="E273" i="5"/>
  <c r="E275" i="5"/>
  <c r="E276" i="5"/>
  <c r="E277" i="5"/>
  <c r="E278" i="5"/>
  <c r="E279" i="5"/>
  <c r="E280" i="5"/>
  <c r="E281" i="5"/>
  <c r="E283" i="5"/>
  <c r="E284" i="5"/>
  <c r="E285" i="5"/>
  <c r="E286" i="5"/>
  <c r="E287" i="5"/>
  <c r="E288" i="5"/>
  <c r="E289" i="5"/>
  <c r="E291" i="5"/>
  <c r="E292" i="5"/>
  <c r="E293" i="5"/>
  <c r="E294" i="5"/>
  <c r="E295" i="5"/>
  <c r="E296" i="5"/>
  <c r="E297" i="5"/>
  <c r="E299" i="5"/>
  <c r="E300" i="5"/>
  <c r="E301" i="5"/>
  <c r="E302" i="5"/>
  <c r="E303" i="5"/>
  <c r="E304" i="5"/>
  <c r="E305" i="5"/>
  <c r="E307" i="5"/>
  <c r="E308" i="5"/>
  <c r="E309" i="5"/>
  <c r="E310" i="5"/>
  <c r="E311" i="5"/>
  <c r="E312" i="5"/>
  <c r="E313" i="5"/>
  <c r="E315" i="5"/>
  <c r="E316" i="5"/>
  <c r="E317" i="5"/>
  <c r="E318" i="5"/>
  <c r="E319" i="5"/>
  <c r="E320" i="5"/>
  <c r="E321" i="5"/>
  <c r="E323" i="5"/>
  <c r="E324" i="5"/>
  <c r="E325" i="5"/>
  <c r="E326" i="5"/>
  <c r="E327" i="5"/>
  <c r="E328" i="5"/>
  <c r="E329" i="5"/>
  <c r="E331" i="5"/>
  <c r="E332" i="5"/>
  <c r="E333" i="5"/>
  <c r="E334" i="5"/>
  <c r="E335" i="5"/>
  <c r="E336" i="5"/>
  <c r="E337" i="5"/>
  <c r="E339" i="5"/>
  <c r="E340" i="5"/>
  <c r="E341" i="5"/>
  <c r="E342" i="5"/>
  <c r="E343" i="5"/>
  <c r="E344" i="5"/>
  <c r="E345" i="5"/>
  <c r="E347" i="5"/>
  <c r="E348" i="5"/>
  <c r="E349" i="5"/>
  <c r="E350" i="5"/>
  <c r="E351" i="5"/>
  <c r="E352" i="5"/>
  <c r="E353" i="5"/>
  <c r="E355" i="5"/>
  <c r="E356" i="5"/>
  <c r="E357" i="5"/>
  <c r="E358" i="5"/>
  <c r="E359" i="5"/>
  <c r="E360" i="5"/>
  <c r="E361" i="5"/>
  <c r="E363" i="5"/>
  <c r="E364" i="5"/>
  <c r="E365" i="5"/>
  <c r="E366" i="5"/>
  <c r="E367" i="5"/>
  <c r="E368" i="5"/>
  <c r="E369" i="5"/>
  <c r="E371" i="5"/>
  <c r="E372" i="5"/>
  <c r="E373" i="5"/>
  <c r="E374" i="5"/>
  <c r="E375" i="5"/>
  <c r="E376" i="5"/>
  <c r="E377" i="5"/>
  <c r="E379" i="5"/>
  <c r="E380" i="5"/>
  <c r="E381" i="5"/>
  <c r="E382" i="5"/>
  <c r="E383" i="5"/>
  <c r="E384" i="5"/>
  <c r="E385" i="5"/>
  <c r="E387" i="5"/>
  <c r="E388" i="5"/>
  <c r="E389" i="5"/>
  <c r="E390" i="5"/>
  <c r="E391" i="5"/>
  <c r="E392" i="5"/>
  <c r="E393" i="5"/>
  <c r="E395" i="5"/>
  <c r="E396" i="5"/>
  <c r="E397" i="5"/>
  <c r="E398" i="5"/>
  <c r="E399" i="5"/>
  <c r="E400" i="5"/>
  <c r="E401" i="5"/>
  <c r="E403" i="5"/>
  <c r="E404" i="5"/>
  <c r="E405" i="5"/>
  <c r="E406" i="5"/>
  <c r="E407" i="5"/>
  <c r="E408" i="5"/>
  <c r="E409" i="5"/>
  <c r="E411" i="5"/>
  <c r="E412" i="5"/>
  <c r="E413" i="5"/>
  <c r="E414" i="5"/>
  <c r="E415" i="5"/>
  <c r="E416" i="5"/>
  <c r="E417" i="5"/>
  <c r="E419" i="5"/>
  <c r="E420" i="5"/>
  <c r="E421" i="5"/>
  <c r="E422" i="5"/>
  <c r="E423" i="5"/>
  <c r="E424" i="5"/>
  <c r="E425" i="5"/>
  <c r="E427" i="5"/>
  <c r="E428" i="5"/>
  <c r="E429" i="5"/>
  <c r="E430" i="5"/>
  <c r="E431" i="5"/>
  <c r="E432" i="5"/>
  <c r="E433" i="5"/>
  <c r="E435" i="5"/>
  <c r="E436" i="5"/>
  <c r="E437" i="5"/>
  <c r="E438" i="5"/>
  <c r="E439" i="5"/>
  <c r="E440" i="5"/>
  <c r="E441" i="5"/>
  <c r="E443" i="5"/>
  <c r="E444" i="5"/>
  <c r="E445" i="5"/>
  <c r="E446" i="5"/>
  <c r="E447" i="5"/>
  <c r="E448" i="5"/>
  <c r="E449" i="5"/>
  <c r="E451" i="5"/>
  <c r="E452" i="5"/>
  <c r="E453" i="5"/>
  <c r="E454" i="5"/>
  <c r="E455" i="5"/>
  <c r="E456" i="5"/>
  <c r="E457" i="5"/>
  <c r="E459" i="5"/>
  <c r="E460" i="5"/>
  <c r="E461" i="5"/>
  <c r="E462" i="5"/>
  <c r="E463" i="5"/>
  <c r="E464" i="5"/>
  <c r="E465" i="5"/>
  <c r="E467" i="5"/>
  <c r="E468" i="5"/>
  <c r="E469" i="5"/>
  <c r="E470" i="5"/>
  <c r="E471" i="5"/>
  <c r="E472" i="5"/>
  <c r="E473" i="5"/>
  <c r="E475" i="5"/>
  <c r="E476" i="5"/>
  <c r="E477" i="5"/>
  <c r="E478" i="5"/>
  <c r="E479" i="5"/>
  <c r="E480" i="5"/>
  <c r="E481" i="5"/>
  <c r="E483" i="5"/>
  <c r="E484" i="5"/>
  <c r="E485" i="5"/>
  <c r="E486" i="5"/>
  <c r="E487" i="5"/>
  <c r="E488" i="5"/>
  <c r="E489" i="5"/>
  <c r="E491" i="5"/>
  <c r="E492" i="5"/>
  <c r="E493" i="5"/>
  <c r="E494" i="5"/>
  <c r="E495" i="5"/>
  <c r="E496" i="5"/>
  <c r="E497" i="5"/>
  <c r="E499" i="5"/>
  <c r="E500" i="5"/>
  <c r="E501" i="5"/>
  <c r="E502" i="5"/>
  <c r="E503" i="5"/>
  <c r="E504" i="5"/>
  <c r="E505" i="5"/>
  <c r="E507" i="5"/>
  <c r="E508" i="5"/>
  <c r="E509" i="5"/>
  <c r="E510" i="5"/>
  <c r="E511" i="5"/>
  <c r="E512" i="5"/>
  <c r="E513" i="5"/>
  <c r="E515" i="5"/>
  <c r="E516" i="5"/>
  <c r="E517" i="5"/>
  <c r="E518" i="5"/>
  <c r="E519" i="5"/>
  <c r="E520" i="5"/>
  <c r="E521" i="5"/>
  <c r="E523" i="5"/>
  <c r="E524" i="5"/>
  <c r="E525" i="5"/>
  <c r="E526" i="5"/>
  <c r="E527" i="5"/>
  <c r="E528" i="5"/>
  <c r="E529" i="5"/>
  <c r="E531" i="5"/>
  <c r="E532" i="5"/>
  <c r="E533" i="5"/>
  <c r="E534" i="5"/>
  <c r="E535" i="5"/>
  <c r="E536" i="5"/>
  <c r="E537" i="5"/>
  <c r="E539" i="5"/>
  <c r="E540" i="5"/>
  <c r="E541" i="5"/>
  <c r="E542" i="5"/>
  <c r="E543" i="5"/>
  <c r="E544" i="5"/>
  <c r="E545" i="5"/>
  <c r="E547" i="5"/>
  <c r="E548" i="5"/>
  <c r="E549" i="5"/>
  <c r="E550" i="5"/>
  <c r="E551" i="5"/>
  <c r="E552" i="5"/>
  <c r="E553" i="5"/>
  <c r="E555" i="5"/>
  <c r="E556" i="5"/>
  <c r="E557" i="5"/>
  <c r="E558" i="5"/>
  <c r="E559" i="5"/>
  <c r="E560" i="5"/>
  <c r="E561" i="5"/>
  <c r="E563" i="5"/>
  <c r="E564" i="5"/>
  <c r="E565" i="5"/>
  <c r="E566" i="5"/>
  <c r="E567" i="5"/>
  <c r="E568" i="5"/>
  <c r="E569" i="5"/>
  <c r="E571" i="5"/>
  <c r="E572" i="5"/>
  <c r="E573" i="5"/>
  <c r="E574" i="5"/>
  <c r="E575" i="5"/>
  <c r="E576" i="5"/>
  <c r="E577" i="5"/>
  <c r="E579" i="5"/>
  <c r="E580" i="5"/>
  <c r="E581" i="5"/>
  <c r="E582" i="5"/>
  <c r="E583" i="5"/>
  <c r="E584" i="5"/>
  <c r="E585" i="5"/>
  <c r="E587" i="5"/>
  <c r="E588" i="5"/>
  <c r="E589" i="5"/>
  <c r="E590" i="5"/>
  <c r="E591" i="5"/>
  <c r="E592" i="5"/>
  <c r="E593" i="5"/>
  <c r="E595" i="5"/>
  <c r="E596" i="5"/>
  <c r="E597" i="5"/>
  <c r="E598" i="5"/>
  <c r="E599" i="5"/>
  <c r="E600" i="5"/>
  <c r="E601" i="5"/>
  <c r="E603" i="5"/>
  <c r="E604" i="5"/>
  <c r="E605" i="5"/>
  <c r="E606" i="5"/>
  <c r="E607" i="5"/>
  <c r="E608" i="5"/>
  <c r="E609" i="5"/>
  <c r="E611" i="5"/>
  <c r="E612" i="5"/>
  <c r="E613" i="5"/>
  <c r="E614" i="5"/>
  <c r="E615" i="5"/>
  <c r="E616" i="5"/>
  <c r="E617" i="5"/>
  <c r="E619" i="5"/>
  <c r="E620" i="5"/>
  <c r="E621" i="5"/>
  <c r="E622" i="5"/>
  <c r="E623" i="5"/>
  <c r="E624" i="5"/>
  <c r="E625" i="5"/>
  <c r="E627" i="5"/>
  <c r="E628" i="5"/>
  <c r="E629" i="5"/>
  <c r="E630" i="5"/>
  <c r="E631" i="5"/>
  <c r="E632" i="5"/>
  <c r="E633" i="5"/>
  <c r="E635" i="5"/>
  <c r="E636" i="5"/>
  <c r="E637" i="5"/>
  <c r="E638" i="5"/>
  <c r="E639" i="5"/>
  <c r="E640" i="5"/>
  <c r="E641" i="5"/>
  <c r="E643" i="5"/>
  <c r="E644" i="5"/>
  <c r="E645" i="5"/>
  <c r="E646" i="5"/>
  <c r="E647" i="5"/>
  <c r="E648" i="5"/>
  <c r="E649" i="5"/>
  <c r="E651" i="5"/>
  <c r="E652" i="5"/>
  <c r="E653" i="5"/>
  <c r="E654" i="5"/>
  <c r="E655" i="5"/>
  <c r="E656" i="5"/>
  <c r="E657" i="5"/>
  <c r="E659" i="5"/>
  <c r="E660" i="5"/>
  <c r="E661" i="5"/>
  <c r="E662" i="5"/>
  <c r="E663" i="5"/>
  <c r="E664" i="5"/>
  <c r="E665" i="5"/>
  <c r="E667" i="5"/>
  <c r="E668" i="5"/>
  <c r="E669" i="5"/>
  <c r="E670" i="5"/>
  <c r="E671" i="5"/>
  <c r="E672" i="5"/>
  <c r="E673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F2" i="4"/>
  <c r="E2" i="4"/>
  <c r="I11" i="7" l="1"/>
  <c r="I2" i="7"/>
  <c r="H2" i="7"/>
  <c r="H3" i="7" s="1"/>
  <c r="H4" i="7" s="1"/>
  <c r="H5" i="7" s="1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H110" i="7" s="1"/>
  <c r="H111" i="7" s="1"/>
  <c r="H112" i="7" s="1"/>
  <c r="H113" i="7" s="1"/>
  <c r="H114" i="7" s="1"/>
  <c r="H115" i="7" s="1"/>
  <c r="H116" i="7" s="1"/>
  <c r="H117" i="7" s="1"/>
  <c r="H118" i="7" s="1"/>
  <c r="H119" i="7" s="1"/>
  <c r="H120" i="7" s="1"/>
  <c r="H121" i="7" s="1"/>
  <c r="H122" i="7" s="1"/>
  <c r="H123" i="7" s="1"/>
  <c r="H124" i="7" s="1"/>
  <c r="H125" i="7" s="1"/>
  <c r="H126" i="7" s="1"/>
  <c r="H127" i="7" s="1"/>
  <c r="H128" i="7" s="1"/>
  <c r="H129" i="7" s="1"/>
  <c r="H130" i="7" s="1"/>
  <c r="H131" i="7" s="1"/>
  <c r="H132" i="7" s="1"/>
  <c r="H133" i="7" s="1"/>
  <c r="H134" i="7" s="1"/>
  <c r="H135" i="7" s="1"/>
  <c r="H136" i="7" s="1"/>
  <c r="H137" i="7" s="1"/>
  <c r="H138" i="7" s="1"/>
  <c r="H139" i="7" s="1"/>
  <c r="H140" i="7" s="1"/>
  <c r="H141" i="7" s="1"/>
  <c r="H142" i="7" s="1"/>
  <c r="H143" i="7" s="1"/>
  <c r="H144" i="7" s="1"/>
  <c r="H145" i="7" s="1"/>
  <c r="H146" i="7" s="1"/>
  <c r="H147" i="7" s="1"/>
  <c r="H148" i="7" s="1"/>
  <c r="H149" i="7" s="1"/>
  <c r="H150" i="7" s="1"/>
  <c r="H151" i="7" s="1"/>
  <c r="H152" i="7" s="1"/>
  <c r="H153" i="7" s="1"/>
  <c r="H154" i="7" s="1"/>
  <c r="H155" i="7" s="1"/>
  <c r="H156" i="7" s="1"/>
  <c r="H157" i="7" s="1"/>
  <c r="H158" i="7" s="1"/>
  <c r="H159" i="7" s="1"/>
  <c r="H160" i="7" s="1"/>
  <c r="H161" i="7" s="1"/>
  <c r="H162" i="7" s="1"/>
  <c r="H163" i="7" s="1"/>
  <c r="H164" i="7" s="1"/>
  <c r="H165" i="7" s="1"/>
  <c r="H166" i="7" s="1"/>
  <c r="H167" i="7" s="1"/>
  <c r="H168" i="7" s="1"/>
  <c r="H169" i="7" s="1"/>
  <c r="H170" i="7" s="1"/>
  <c r="H171" i="7" s="1"/>
  <c r="H172" i="7" s="1"/>
  <c r="H173" i="7" s="1"/>
  <c r="H174" i="7" s="1"/>
  <c r="H175" i="7" s="1"/>
  <c r="H176" i="7" s="1"/>
  <c r="H177" i="7" s="1"/>
  <c r="H178" i="7" s="1"/>
  <c r="H179" i="7" s="1"/>
  <c r="H180" i="7" s="1"/>
  <c r="H181" i="7" s="1"/>
  <c r="H182" i="7" s="1"/>
  <c r="H183" i="7" s="1"/>
  <c r="H184" i="7" s="1"/>
  <c r="H185" i="7" s="1"/>
  <c r="H186" i="7" s="1"/>
  <c r="H187" i="7" s="1"/>
  <c r="H188" i="7" s="1"/>
  <c r="H189" i="7" s="1"/>
  <c r="H190" i="7" s="1"/>
  <c r="H191" i="7" s="1"/>
  <c r="H192" i="7" s="1"/>
  <c r="H193" i="7" s="1"/>
  <c r="H194" i="7" s="1"/>
  <c r="H195" i="7" s="1"/>
  <c r="H196" i="7" s="1"/>
  <c r="H197" i="7" s="1"/>
  <c r="H198" i="7" s="1"/>
  <c r="H199" i="7" s="1"/>
  <c r="H200" i="7" s="1"/>
  <c r="H201" i="7" s="1"/>
  <c r="H202" i="7" s="1"/>
  <c r="H203" i="7" s="1"/>
  <c r="H204" i="7" s="1"/>
  <c r="H205" i="7" s="1"/>
  <c r="H206" i="7" s="1"/>
  <c r="H207" i="7" s="1"/>
  <c r="H208" i="7" s="1"/>
  <c r="H209" i="7" s="1"/>
  <c r="H210" i="7" s="1"/>
  <c r="H211" i="7" s="1"/>
  <c r="H212" i="7" s="1"/>
  <c r="H213" i="7" s="1"/>
  <c r="H214" i="7" s="1"/>
  <c r="H215" i="7" s="1"/>
  <c r="H216" i="7" s="1"/>
  <c r="H217" i="7" s="1"/>
  <c r="H218" i="7" s="1"/>
  <c r="H219" i="7" s="1"/>
  <c r="H220" i="7" s="1"/>
  <c r="H221" i="7" s="1"/>
  <c r="H222" i="7" s="1"/>
  <c r="H223" i="7" s="1"/>
  <c r="H224" i="7" s="1"/>
  <c r="H225" i="7" s="1"/>
  <c r="H226" i="7" s="1"/>
  <c r="H227" i="7" s="1"/>
  <c r="H228" i="7" s="1"/>
  <c r="H229" i="7" s="1"/>
  <c r="H230" i="7" s="1"/>
  <c r="H231" i="7" s="1"/>
  <c r="H232" i="7" s="1"/>
  <c r="H233" i="7" s="1"/>
  <c r="H234" i="7" s="1"/>
  <c r="H235" i="7" s="1"/>
  <c r="H236" i="7" s="1"/>
  <c r="H237" i="7" s="1"/>
  <c r="H238" i="7" s="1"/>
  <c r="H239" i="7" s="1"/>
  <c r="H240" i="7" s="1"/>
  <c r="H241" i="7" s="1"/>
  <c r="H242" i="7" s="1"/>
  <c r="H243" i="7" s="1"/>
  <c r="H244" i="7" s="1"/>
  <c r="H245" i="7" s="1"/>
  <c r="H246" i="7" s="1"/>
  <c r="H247" i="7" s="1"/>
  <c r="H248" i="7" s="1"/>
  <c r="H249" i="7" s="1"/>
  <c r="H250" i="7" s="1"/>
  <c r="H251" i="7" s="1"/>
  <c r="H252" i="7" s="1"/>
  <c r="H253" i="7" s="1"/>
  <c r="H254" i="7" s="1"/>
  <c r="H255" i="7" s="1"/>
  <c r="H256" i="7" s="1"/>
  <c r="H257" i="7" s="1"/>
  <c r="H258" i="7" s="1"/>
  <c r="H259" i="7" s="1"/>
  <c r="H260" i="7" s="1"/>
  <c r="H261" i="7" s="1"/>
  <c r="H262" i="7" s="1"/>
  <c r="H263" i="7" s="1"/>
  <c r="H264" i="7" s="1"/>
  <c r="H265" i="7" s="1"/>
  <c r="H266" i="7" s="1"/>
  <c r="H267" i="7" s="1"/>
  <c r="H268" i="7" s="1"/>
  <c r="H269" i="7" s="1"/>
  <c r="H270" i="7" s="1"/>
  <c r="H271" i="7" s="1"/>
  <c r="H272" i="7" s="1"/>
  <c r="H273" i="7" s="1"/>
  <c r="H274" i="7" s="1"/>
  <c r="H275" i="7" s="1"/>
  <c r="H276" i="7" s="1"/>
  <c r="H277" i="7" s="1"/>
  <c r="H278" i="7" s="1"/>
  <c r="H279" i="7" s="1"/>
  <c r="H280" i="7" s="1"/>
  <c r="H281" i="7" s="1"/>
  <c r="H282" i="7" s="1"/>
  <c r="H283" i="7" s="1"/>
  <c r="H284" i="7" s="1"/>
  <c r="H285" i="7" s="1"/>
  <c r="H286" i="7" s="1"/>
  <c r="H287" i="7" s="1"/>
  <c r="H288" i="7" s="1"/>
  <c r="H289" i="7" s="1"/>
  <c r="H290" i="7" s="1"/>
  <c r="H291" i="7" s="1"/>
  <c r="H292" i="7" s="1"/>
  <c r="H293" i="7" s="1"/>
  <c r="H294" i="7" s="1"/>
  <c r="H295" i="7" s="1"/>
  <c r="H296" i="7" s="1"/>
  <c r="H297" i="7" s="1"/>
  <c r="H298" i="7" s="1"/>
  <c r="H299" i="7" s="1"/>
  <c r="H300" i="7" s="1"/>
  <c r="H301" i="7" s="1"/>
  <c r="H302" i="7" s="1"/>
  <c r="H303" i="7" s="1"/>
  <c r="H304" i="7" s="1"/>
  <c r="H305" i="7" s="1"/>
  <c r="H306" i="7" s="1"/>
  <c r="H307" i="7" s="1"/>
  <c r="H308" i="7" s="1"/>
  <c r="H309" i="7" s="1"/>
  <c r="H310" i="7" s="1"/>
  <c r="H311" i="7" s="1"/>
  <c r="H312" i="7" s="1"/>
  <c r="H313" i="7" s="1"/>
  <c r="H314" i="7" s="1"/>
  <c r="H315" i="7" s="1"/>
  <c r="H316" i="7" s="1"/>
  <c r="H317" i="7" s="1"/>
  <c r="H318" i="7" s="1"/>
  <c r="H319" i="7" s="1"/>
  <c r="H320" i="7" s="1"/>
  <c r="H321" i="7" s="1"/>
  <c r="H322" i="7" s="1"/>
  <c r="H323" i="7" s="1"/>
  <c r="H324" i="7" s="1"/>
  <c r="H325" i="7" s="1"/>
  <c r="H326" i="7" s="1"/>
  <c r="H327" i="7" s="1"/>
  <c r="H328" i="7" s="1"/>
  <c r="H329" i="7" s="1"/>
  <c r="H330" i="7" s="1"/>
  <c r="H331" i="7" s="1"/>
  <c r="H332" i="7" s="1"/>
  <c r="H333" i="7" s="1"/>
  <c r="H334" i="7" s="1"/>
  <c r="H335" i="7" s="1"/>
  <c r="H336" i="7" s="1"/>
  <c r="H337" i="7" s="1"/>
  <c r="H338" i="7" s="1"/>
  <c r="H339" i="7" s="1"/>
  <c r="H340" i="7" s="1"/>
  <c r="H341" i="7" s="1"/>
  <c r="H342" i="7" s="1"/>
  <c r="H343" i="7" s="1"/>
  <c r="H344" i="7" s="1"/>
  <c r="H345" i="7" s="1"/>
  <c r="H346" i="7" s="1"/>
  <c r="H347" i="7" s="1"/>
  <c r="H348" i="7" s="1"/>
  <c r="H349" i="7" s="1"/>
  <c r="H350" i="7" s="1"/>
  <c r="H351" i="7" s="1"/>
  <c r="H352" i="7" s="1"/>
  <c r="H353" i="7" s="1"/>
  <c r="H354" i="7" s="1"/>
  <c r="H355" i="7" s="1"/>
  <c r="H356" i="7" s="1"/>
  <c r="H357" i="7" s="1"/>
  <c r="H358" i="7" s="1"/>
  <c r="H359" i="7" s="1"/>
  <c r="H360" i="7" s="1"/>
  <c r="H361" i="7" s="1"/>
  <c r="H362" i="7" s="1"/>
  <c r="H363" i="7" s="1"/>
  <c r="H364" i="7" s="1"/>
  <c r="H365" i="7" s="1"/>
  <c r="H366" i="7" s="1"/>
  <c r="H367" i="7" s="1"/>
  <c r="H368" i="7" s="1"/>
  <c r="H369" i="7" s="1"/>
  <c r="H370" i="7" s="1"/>
  <c r="H371" i="7" s="1"/>
  <c r="H372" i="7" s="1"/>
  <c r="H373" i="7" s="1"/>
  <c r="H374" i="7" s="1"/>
  <c r="H375" i="7" s="1"/>
  <c r="H376" i="7" s="1"/>
  <c r="H377" i="7" s="1"/>
  <c r="H378" i="7" s="1"/>
  <c r="H379" i="7" s="1"/>
  <c r="H380" i="7" s="1"/>
  <c r="H381" i="7" s="1"/>
  <c r="H382" i="7" s="1"/>
  <c r="H383" i="7" s="1"/>
  <c r="H384" i="7" s="1"/>
  <c r="H385" i="7" s="1"/>
  <c r="H386" i="7" s="1"/>
  <c r="H387" i="7" s="1"/>
  <c r="H388" i="7" s="1"/>
  <c r="H389" i="7" s="1"/>
  <c r="H390" i="7" s="1"/>
  <c r="H391" i="7" s="1"/>
  <c r="H392" i="7" s="1"/>
  <c r="H393" i="7" s="1"/>
  <c r="H394" i="7" s="1"/>
  <c r="H395" i="7" s="1"/>
  <c r="H396" i="7" s="1"/>
  <c r="H397" i="7" s="1"/>
  <c r="H398" i="7" s="1"/>
  <c r="H399" i="7" s="1"/>
  <c r="H400" i="7" s="1"/>
  <c r="H401" i="7" s="1"/>
  <c r="H402" i="7" s="1"/>
  <c r="H403" i="7" s="1"/>
  <c r="H404" i="7" s="1"/>
  <c r="H405" i="7" s="1"/>
  <c r="H406" i="7" s="1"/>
  <c r="H407" i="7" s="1"/>
  <c r="H408" i="7" s="1"/>
  <c r="H409" i="7" s="1"/>
  <c r="H410" i="7" s="1"/>
  <c r="H411" i="7" s="1"/>
  <c r="H412" i="7" s="1"/>
  <c r="H413" i="7" s="1"/>
  <c r="H414" i="7" s="1"/>
  <c r="H415" i="7" s="1"/>
  <c r="H416" i="7" s="1"/>
  <c r="H417" i="7" s="1"/>
  <c r="H418" i="7" s="1"/>
  <c r="H419" i="7" s="1"/>
  <c r="H420" i="7" s="1"/>
  <c r="H421" i="7" s="1"/>
  <c r="H422" i="7" s="1"/>
  <c r="H423" i="7" s="1"/>
  <c r="H424" i="7" s="1"/>
  <c r="H425" i="7" s="1"/>
  <c r="H426" i="7" s="1"/>
  <c r="H427" i="7" s="1"/>
  <c r="H428" i="7" s="1"/>
  <c r="H429" i="7" s="1"/>
  <c r="H430" i="7" s="1"/>
  <c r="H431" i="7" s="1"/>
  <c r="H432" i="7" s="1"/>
  <c r="H433" i="7" s="1"/>
  <c r="H434" i="7" s="1"/>
  <c r="H435" i="7" s="1"/>
  <c r="H436" i="7" s="1"/>
  <c r="H437" i="7" s="1"/>
  <c r="H438" i="7" s="1"/>
  <c r="H439" i="7" s="1"/>
  <c r="H440" i="7" s="1"/>
  <c r="H441" i="7" s="1"/>
  <c r="H442" i="7" s="1"/>
  <c r="H443" i="7" s="1"/>
  <c r="H444" i="7" s="1"/>
  <c r="H445" i="7" s="1"/>
  <c r="H446" i="7" s="1"/>
  <c r="H447" i="7" s="1"/>
  <c r="H448" i="7" s="1"/>
  <c r="H449" i="7" s="1"/>
  <c r="H450" i="7" s="1"/>
  <c r="H451" i="7" s="1"/>
  <c r="H452" i="7" s="1"/>
  <c r="H453" i="7" s="1"/>
  <c r="H454" i="7" s="1"/>
  <c r="H455" i="7" s="1"/>
  <c r="H456" i="7" s="1"/>
  <c r="H457" i="7" s="1"/>
  <c r="H458" i="7" s="1"/>
  <c r="H459" i="7" s="1"/>
  <c r="H460" i="7" s="1"/>
  <c r="H461" i="7" s="1"/>
  <c r="H462" i="7" s="1"/>
  <c r="H463" i="7" s="1"/>
  <c r="H464" i="7" s="1"/>
  <c r="H465" i="7" s="1"/>
  <c r="H466" i="7" s="1"/>
  <c r="H467" i="7" s="1"/>
  <c r="H468" i="7" s="1"/>
  <c r="H469" i="7" s="1"/>
  <c r="H470" i="7" s="1"/>
  <c r="H471" i="7" s="1"/>
  <c r="H472" i="7" s="1"/>
  <c r="H473" i="7" s="1"/>
  <c r="H474" i="7" s="1"/>
  <c r="H475" i="7" s="1"/>
  <c r="H476" i="7" s="1"/>
  <c r="H477" i="7" s="1"/>
  <c r="H478" i="7" s="1"/>
  <c r="H479" i="7" s="1"/>
  <c r="H480" i="7" s="1"/>
  <c r="H481" i="7" s="1"/>
  <c r="H482" i="7" s="1"/>
  <c r="H483" i="7" s="1"/>
  <c r="H484" i="7" s="1"/>
  <c r="H485" i="7" s="1"/>
  <c r="H486" i="7" s="1"/>
  <c r="H487" i="7" s="1"/>
  <c r="H488" i="7" s="1"/>
  <c r="H489" i="7" s="1"/>
  <c r="H490" i="7" s="1"/>
  <c r="H491" i="7" s="1"/>
  <c r="H492" i="7" s="1"/>
  <c r="H493" i="7" s="1"/>
  <c r="H494" i="7" s="1"/>
  <c r="H495" i="7" s="1"/>
  <c r="H496" i="7" s="1"/>
  <c r="H497" i="7" s="1"/>
  <c r="H498" i="7" s="1"/>
  <c r="H499" i="7" s="1"/>
  <c r="H500" i="7" s="1"/>
  <c r="H501" i="7" s="1"/>
  <c r="H502" i="7" s="1"/>
  <c r="H503" i="7" s="1"/>
  <c r="H504" i="7" s="1"/>
  <c r="H505" i="7" s="1"/>
  <c r="H506" i="7" s="1"/>
  <c r="H507" i="7" s="1"/>
  <c r="H508" i="7" s="1"/>
  <c r="H509" i="7" s="1"/>
  <c r="H510" i="7" s="1"/>
  <c r="H511" i="7" s="1"/>
  <c r="H512" i="7" s="1"/>
  <c r="H513" i="7" s="1"/>
  <c r="H514" i="7" s="1"/>
  <c r="H515" i="7" s="1"/>
  <c r="H516" i="7" s="1"/>
  <c r="H517" i="7" s="1"/>
  <c r="H518" i="7" s="1"/>
  <c r="H519" i="7" s="1"/>
  <c r="H520" i="7" s="1"/>
  <c r="H521" i="7" s="1"/>
  <c r="H522" i="7" s="1"/>
  <c r="H523" i="7" s="1"/>
  <c r="H524" i="7" s="1"/>
  <c r="H525" i="7" s="1"/>
  <c r="H526" i="7" s="1"/>
  <c r="H527" i="7" s="1"/>
  <c r="H528" i="7" s="1"/>
  <c r="H529" i="7" s="1"/>
  <c r="H530" i="7" s="1"/>
  <c r="H531" i="7" s="1"/>
  <c r="H532" i="7" s="1"/>
  <c r="H533" i="7" s="1"/>
  <c r="H534" i="7" s="1"/>
  <c r="H535" i="7" s="1"/>
  <c r="H536" i="7" s="1"/>
  <c r="H537" i="7" s="1"/>
  <c r="H538" i="7" s="1"/>
  <c r="H539" i="7" s="1"/>
  <c r="H540" i="7" s="1"/>
  <c r="H541" i="7" s="1"/>
  <c r="H542" i="7" s="1"/>
  <c r="H543" i="7" s="1"/>
  <c r="H544" i="7" s="1"/>
  <c r="H545" i="7" s="1"/>
  <c r="H546" i="7" s="1"/>
  <c r="H547" i="7" s="1"/>
  <c r="H548" i="7" s="1"/>
  <c r="H549" i="7" s="1"/>
  <c r="H550" i="7" s="1"/>
  <c r="H551" i="7" s="1"/>
  <c r="H552" i="7" s="1"/>
  <c r="H553" i="7" s="1"/>
  <c r="H554" i="7" s="1"/>
  <c r="H555" i="7" s="1"/>
  <c r="H556" i="7" s="1"/>
  <c r="H557" i="7" s="1"/>
  <c r="H558" i="7" s="1"/>
  <c r="H559" i="7" s="1"/>
  <c r="H560" i="7" s="1"/>
  <c r="H561" i="7" s="1"/>
  <c r="H562" i="7" s="1"/>
  <c r="H563" i="7" s="1"/>
  <c r="H564" i="7" s="1"/>
  <c r="H565" i="7" s="1"/>
  <c r="H566" i="7" s="1"/>
  <c r="H567" i="7" s="1"/>
  <c r="H568" i="7" s="1"/>
  <c r="H569" i="7" s="1"/>
  <c r="H570" i="7" s="1"/>
  <c r="H571" i="7" s="1"/>
  <c r="H572" i="7" s="1"/>
  <c r="H573" i="7" s="1"/>
  <c r="H574" i="7" s="1"/>
  <c r="H575" i="7" s="1"/>
  <c r="H576" i="7" s="1"/>
  <c r="H577" i="7" s="1"/>
  <c r="H578" i="7" s="1"/>
  <c r="H579" i="7" s="1"/>
  <c r="H580" i="7" s="1"/>
  <c r="H581" i="7" s="1"/>
  <c r="H582" i="7" s="1"/>
  <c r="H583" i="7" s="1"/>
  <c r="H584" i="7" s="1"/>
  <c r="H585" i="7" s="1"/>
  <c r="H586" i="7" s="1"/>
  <c r="H587" i="7" s="1"/>
  <c r="H588" i="7" s="1"/>
  <c r="H589" i="7" s="1"/>
  <c r="H590" i="7" s="1"/>
  <c r="H591" i="7" s="1"/>
  <c r="H592" i="7" s="1"/>
  <c r="H593" i="7" s="1"/>
  <c r="H594" i="7" s="1"/>
  <c r="H595" i="7" s="1"/>
  <c r="H596" i="7" s="1"/>
  <c r="H597" i="7" s="1"/>
  <c r="H598" i="7" s="1"/>
  <c r="H599" i="7" s="1"/>
  <c r="H600" i="7" s="1"/>
  <c r="H601" i="7" s="1"/>
  <c r="H602" i="7" s="1"/>
  <c r="H603" i="7" s="1"/>
  <c r="H604" i="7" s="1"/>
  <c r="H605" i="7" s="1"/>
  <c r="H606" i="7" s="1"/>
  <c r="H607" i="7" s="1"/>
  <c r="H608" i="7" s="1"/>
  <c r="H609" i="7" s="1"/>
  <c r="H610" i="7" s="1"/>
  <c r="H611" i="7" s="1"/>
  <c r="H612" i="7" s="1"/>
  <c r="H613" i="7" s="1"/>
  <c r="H614" i="7" s="1"/>
  <c r="H615" i="7" s="1"/>
  <c r="H616" i="7" s="1"/>
  <c r="H617" i="7" s="1"/>
  <c r="H618" i="7" s="1"/>
  <c r="H619" i="7" s="1"/>
  <c r="H620" i="7" s="1"/>
  <c r="H621" i="7" s="1"/>
  <c r="H622" i="7" s="1"/>
  <c r="H623" i="7" s="1"/>
  <c r="H624" i="7" s="1"/>
  <c r="H625" i="7" s="1"/>
  <c r="H626" i="7" s="1"/>
  <c r="H627" i="7" s="1"/>
  <c r="H628" i="7" s="1"/>
  <c r="H629" i="7" s="1"/>
  <c r="H630" i="7" s="1"/>
  <c r="H631" i="7" s="1"/>
  <c r="H632" i="7" s="1"/>
  <c r="H633" i="7" s="1"/>
  <c r="H634" i="7" s="1"/>
  <c r="H635" i="7" s="1"/>
  <c r="H636" i="7" s="1"/>
  <c r="H637" i="7" s="1"/>
  <c r="H638" i="7" s="1"/>
  <c r="H639" i="7" s="1"/>
  <c r="H640" i="7" s="1"/>
  <c r="H641" i="7" s="1"/>
  <c r="H642" i="7" s="1"/>
  <c r="H643" i="7" s="1"/>
  <c r="H644" i="7" s="1"/>
  <c r="H645" i="7" s="1"/>
  <c r="H646" i="7" s="1"/>
  <c r="H647" i="7" s="1"/>
  <c r="H648" i="7" s="1"/>
  <c r="H649" i="7" s="1"/>
  <c r="H650" i="7" s="1"/>
  <c r="H651" i="7" s="1"/>
  <c r="H652" i="7" s="1"/>
  <c r="H653" i="7" s="1"/>
  <c r="H654" i="7" s="1"/>
  <c r="H655" i="7" s="1"/>
  <c r="H656" i="7" s="1"/>
  <c r="H657" i="7" s="1"/>
  <c r="H658" i="7" s="1"/>
  <c r="H659" i="7" s="1"/>
  <c r="H660" i="7" s="1"/>
  <c r="H661" i="7" s="1"/>
  <c r="H662" i="7" s="1"/>
  <c r="H663" i="7" s="1"/>
  <c r="H664" i="7" s="1"/>
  <c r="H665" i="7" s="1"/>
  <c r="H666" i="7" s="1"/>
  <c r="H667" i="7" s="1"/>
  <c r="H668" i="7" s="1"/>
  <c r="H669" i="7" s="1"/>
  <c r="H670" i="7" s="1"/>
  <c r="H671" i="7" s="1"/>
  <c r="H672" i="7" s="1"/>
  <c r="H673" i="7" s="1"/>
  <c r="H674" i="7" s="1"/>
  <c r="H675" i="7" s="1"/>
  <c r="H676" i="7" s="1"/>
  <c r="H677" i="7" s="1"/>
  <c r="H678" i="7" s="1"/>
  <c r="H679" i="7" s="1"/>
  <c r="H680" i="7" s="1"/>
  <c r="H681" i="7" s="1"/>
  <c r="H682" i="7" s="1"/>
  <c r="H683" i="7" s="1"/>
  <c r="H684" i="7" s="1"/>
  <c r="H685" i="7" s="1"/>
  <c r="H686" i="7" s="1"/>
  <c r="H687" i="7" s="1"/>
  <c r="H688" i="7" s="1"/>
  <c r="H689" i="7" s="1"/>
  <c r="H690" i="7" s="1"/>
  <c r="H691" i="7" s="1"/>
  <c r="H692" i="7" s="1"/>
  <c r="H693" i="7" s="1"/>
  <c r="H694" i="7" s="1"/>
  <c r="H695" i="7" s="1"/>
  <c r="H696" i="7" s="1"/>
  <c r="H697" i="7" s="1"/>
  <c r="H698" i="7" s="1"/>
  <c r="H699" i="7" s="1"/>
  <c r="H700" i="7" s="1"/>
  <c r="H701" i="7" s="1"/>
  <c r="H702" i="7" s="1"/>
  <c r="H703" i="7" s="1"/>
  <c r="H704" i="7" s="1"/>
  <c r="H705" i="7" s="1"/>
  <c r="H706" i="7" s="1"/>
  <c r="H707" i="7" s="1"/>
  <c r="H708" i="7" s="1"/>
  <c r="H709" i="7" s="1"/>
  <c r="H710" i="7" s="1"/>
  <c r="H711" i="7" s="1"/>
  <c r="H712" i="7" s="1"/>
  <c r="H713" i="7" s="1"/>
  <c r="H714" i="7" s="1"/>
  <c r="H715" i="7" s="1"/>
  <c r="H716" i="7" s="1"/>
  <c r="H717" i="7" s="1"/>
  <c r="H718" i="7" s="1"/>
  <c r="H719" i="7" s="1"/>
  <c r="H720" i="7" s="1"/>
  <c r="H721" i="7" s="1"/>
  <c r="H722" i="7" s="1"/>
  <c r="H723" i="7" s="1"/>
  <c r="H724" i="7" s="1"/>
  <c r="H725" i="7" s="1"/>
  <c r="H726" i="7" s="1"/>
  <c r="H727" i="7" s="1"/>
  <c r="H728" i="7" s="1"/>
  <c r="H729" i="7" s="1"/>
  <c r="H730" i="7" s="1"/>
  <c r="H731" i="7" s="1"/>
  <c r="H732" i="7" s="1"/>
  <c r="H733" i="7" s="1"/>
  <c r="H734" i="7" s="1"/>
  <c r="H735" i="7" s="1"/>
  <c r="H736" i="7" s="1"/>
  <c r="H737" i="7" s="1"/>
  <c r="H738" i="7" s="1"/>
  <c r="H739" i="7" s="1"/>
  <c r="H740" i="7" s="1"/>
  <c r="H741" i="7" s="1"/>
  <c r="H742" i="7" s="1"/>
  <c r="H743" i="7" s="1"/>
  <c r="H744" i="7" s="1"/>
  <c r="H745" i="7" s="1"/>
  <c r="H746" i="7" s="1"/>
  <c r="H747" i="7" s="1"/>
  <c r="H748" i="7" s="1"/>
  <c r="H749" i="7" s="1"/>
  <c r="H750" i="7" s="1"/>
  <c r="H751" i="7" s="1"/>
  <c r="H752" i="7" s="1"/>
  <c r="H753" i="7" s="1"/>
  <c r="H754" i="7" s="1"/>
  <c r="H755" i="7" s="1"/>
  <c r="H756" i="7" s="1"/>
  <c r="H757" i="7" s="1"/>
  <c r="H758" i="7" s="1"/>
  <c r="H759" i="7" s="1"/>
  <c r="H760" i="7" s="1"/>
  <c r="H761" i="7" s="1"/>
  <c r="H762" i="7" s="1"/>
  <c r="H763" i="7" s="1"/>
  <c r="H764" i="7" s="1"/>
  <c r="H765" i="7" s="1"/>
  <c r="H766" i="7" s="1"/>
  <c r="H767" i="7" s="1"/>
  <c r="H768" i="7" s="1"/>
  <c r="H769" i="7" s="1"/>
  <c r="H770" i="7" s="1"/>
  <c r="H771" i="7" s="1"/>
  <c r="H772" i="7" s="1"/>
  <c r="H773" i="7" s="1"/>
  <c r="H774" i="7" s="1"/>
  <c r="H775" i="7" s="1"/>
  <c r="H776" i="7" s="1"/>
  <c r="H777" i="7" s="1"/>
  <c r="H778" i="7" s="1"/>
  <c r="H779" i="7" s="1"/>
  <c r="H780" i="7" s="1"/>
  <c r="H781" i="7" s="1"/>
  <c r="H782" i="7" s="1"/>
  <c r="H783" i="7" s="1"/>
  <c r="H784" i="7" s="1"/>
  <c r="H785" i="7" s="1"/>
  <c r="H786" i="7" s="1"/>
  <c r="H787" i="7" s="1"/>
  <c r="H788" i="7" s="1"/>
  <c r="H789" i="7" s="1"/>
  <c r="H790" i="7" s="1"/>
  <c r="H791" i="7" s="1"/>
  <c r="H792" i="7" s="1"/>
  <c r="H793" i="7" s="1"/>
  <c r="H794" i="7" s="1"/>
  <c r="H795" i="7" s="1"/>
  <c r="H796" i="7" s="1"/>
  <c r="H797" i="7" s="1"/>
  <c r="H798" i="7" s="1"/>
  <c r="H799" i="7" s="1"/>
  <c r="H800" i="7" s="1"/>
  <c r="H801" i="7" s="1"/>
  <c r="H802" i="7" s="1"/>
  <c r="H803" i="7" s="1"/>
  <c r="H804" i="7" s="1"/>
  <c r="H805" i="7" s="1"/>
  <c r="H806" i="7" s="1"/>
  <c r="H807" i="7" s="1"/>
  <c r="H808" i="7" s="1"/>
  <c r="H809" i="7" s="1"/>
  <c r="H810" i="7" s="1"/>
  <c r="H811" i="7" s="1"/>
  <c r="H812" i="7" s="1"/>
  <c r="H813" i="7" s="1"/>
  <c r="H814" i="7" s="1"/>
  <c r="H815" i="7" s="1"/>
  <c r="H816" i="7" s="1"/>
  <c r="H817" i="7" s="1"/>
  <c r="H818" i="7" s="1"/>
  <c r="H819" i="7" s="1"/>
  <c r="H820" i="7" s="1"/>
  <c r="H821" i="7" s="1"/>
  <c r="H822" i="7" s="1"/>
  <c r="H823" i="7" s="1"/>
  <c r="H824" i="7" s="1"/>
  <c r="H825" i="7" s="1"/>
  <c r="H826" i="7" s="1"/>
  <c r="H827" i="7" s="1"/>
  <c r="H828" i="7" s="1"/>
  <c r="H829" i="7" s="1"/>
  <c r="H830" i="7" s="1"/>
  <c r="H831" i="7" s="1"/>
  <c r="H832" i="7" s="1"/>
  <c r="H833" i="7" s="1"/>
  <c r="H834" i="7" s="1"/>
  <c r="H835" i="7" s="1"/>
  <c r="H836" i="7" s="1"/>
  <c r="H837" i="7" s="1"/>
  <c r="H838" i="7" s="1"/>
  <c r="H839" i="7" s="1"/>
  <c r="H840" i="7" s="1"/>
  <c r="H841" i="7" s="1"/>
  <c r="H842" i="7" s="1"/>
  <c r="H843" i="7" s="1"/>
  <c r="H844" i="7" s="1"/>
  <c r="H845" i="7" s="1"/>
  <c r="H846" i="7" s="1"/>
  <c r="H847" i="7" s="1"/>
  <c r="H848" i="7" s="1"/>
  <c r="H849" i="7" s="1"/>
  <c r="H850" i="7" s="1"/>
  <c r="H851" i="7" s="1"/>
  <c r="H852" i="7" s="1"/>
  <c r="H853" i="7" s="1"/>
  <c r="H854" i="7" s="1"/>
  <c r="H855" i="7" s="1"/>
  <c r="H856" i="7" s="1"/>
  <c r="H857" i="7" s="1"/>
  <c r="H858" i="7" s="1"/>
  <c r="H859" i="7" s="1"/>
  <c r="H860" i="7" s="1"/>
  <c r="H861" i="7" s="1"/>
  <c r="H862" i="7" s="1"/>
  <c r="H863" i="7" s="1"/>
  <c r="H864" i="7" s="1"/>
  <c r="H865" i="7" s="1"/>
  <c r="H866" i="7" s="1"/>
  <c r="H867" i="7" s="1"/>
  <c r="H868" i="7" s="1"/>
  <c r="H869" i="7" s="1"/>
  <c r="H870" i="7" s="1"/>
  <c r="H871" i="7" s="1"/>
  <c r="H872" i="7" s="1"/>
  <c r="H873" i="7" s="1"/>
  <c r="H874" i="7" s="1"/>
  <c r="H875" i="7" s="1"/>
  <c r="H876" i="7" s="1"/>
  <c r="H877" i="7" s="1"/>
  <c r="H878" i="7" s="1"/>
  <c r="H879" i="7" s="1"/>
  <c r="H880" i="7" s="1"/>
  <c r="H881" i="7" s="1"/>
  <c r="H882" i="7" s="1"/>
  <c r="H883" i="7" s="1"/>
  <c r="H884" i="7" s="1"/>
  <c r="H885" i="7" s="1"/>
  <c r="H886" i="7" s="1"/>
  <c r="H887" i="7" s="1"/>
  <c r="H888" i="7" s="1"/>
  <c r="H889" i="7" s="1"/>
  <c r="H890" i="7" s="1"/>
  <c r="H891" i="7" s="1"/>
  <c r="H892" i="7" s="1"/>
  <c r="H893" i="7" s="1"/>
  <c r="H894" i="7" s="1"/>
  <c r="H895" i="7" s="1"/>
  <c r="H896" i="7" s="1"/>
  <c r="H897" i="7" s="1"/>
  <c r="H898" i="7" s="1"/>
  <c r="H899" i="7" s="1"/>
  <c r="H900" i="7" s="1"/>
  <c r="H901" i="7" s="1"/>
  <c r="H902" i="7" s="1"/>
  <c r="H903" i="7" s="1"/>
  <c r="H904" i="7" s="1"/>
  <c r="H905" i="7" s="1"/>
  <c r="H906" i="7" s="1"/>
  <c r="H907" i="7" s="1"/>
  <c r="H908" i="7" s="1"/>
  <c r="H909" i="7" s="1"/>
  <c r="H910" i="7" s="1"/>
  <c r="H911" i="7" s="1"/>
  <c r="H912" i="7" s="1"/>
  <c r="H913" i="7" s="1"/>
  <c r="H914" i="7" s="1"/>
  <c r="H915" i="7" s="1"/>
  <c r="H916" i="7" s="1"/>
  <c r="H917" i="7" s="1"/>
  <c r="H918" i="7" s="1"/>
  <c r="H919" i="7" s="1"/>
  <c r="H920" i="7" s="1"/>
  <c r="H921" i="7" s="1"/>
  <c r="H922" i="7" s="1"/>
  <c r="H923" i="7" s="1"/>
  <c r="H924" i="7" s="1"/>
  <c r="H925" i="7" s="1"/>
  <c r="H926" i="7" s="1"/>
  <c r="H927" i="7" s="1"/>
  <c r="H928" i="7" s="1"/>
  <c r="H929" i="7" s="1"/>
  <c r="H930" i="7" s="1"/>
  <c r="H931" i="7" s="1"/>
  <c r="H932" i="7" s="1"/>
  <c r="H933" i="7" s="1"/>
  <c r="H934" i="7" s="1"/>
  <c r="H935" i="7" s="1"/>
  <c r="H936" i="7" s="1"/>
  <c r="H937" i="7" s="1"/>
  <c r="H938" i="7" s="1"/>
  <c r="H939" i="7" s="1"/>
  <c r="H940" i="7" s="1"/>
  <c r="H941" i="7" s="1"/>
  <c r="H942" i="7" s="1"/>
  <c r="H943" i="7" s="1"/>
  <c r="H944" i="7" s="1"/>
  <c r="H945" i="7" s="1"/>
  <c r="H946" i="7" s="1"/>
  <c r="H947" i="7" s="1"/>
  <c r="H948" i="7" s="1"/>
  <c r="H949" i="7" s="1"/>
  <c r="H950" i="7" s="1"/>
  <c r="H951" i="7" s="1"/>
  <c r="H952" i="7" s="1"/>
  <c r="H953" i="7" s="1"/>
  <c r="H954" i="7" s="1"/>
  <c r="H955" i="7" s="1"/>
  <c r="H956" i="7" s="1"/>
  <c r="H957" i="7" s="1"/>
  <c r="H958" i="7" s="1"/>
  <c r="H959" i="7" s="1"/>
  <c r="H960" i="7" s="1"/>
  <c r="H961" i="7" s="1"/>
  <c r="H962" i="7" s="1"/>
  <c r="H963" i="7" s="1"/>
  <c r="H964" i="7" s="1"/>
  <c r="H965" i="7" s="1"/>
  <c r="H966" i="7" s="1"/>
  <c r="H967" i="7" s="1"/>
  <c r="H968" i="7" s="1"/>
  <c r="H969" i="7" s="1"/>
  <c r="H970" i="7" s="1"/>
  <c r="H971" i="7" s="1"/>
  <c r="H972" i="7" s="1"/>
  <c r="H973" i="7" s="1"/>
  <c r="H974" i="7" s="1"/>
  <c r="H975" i="7" s="1"/>
  <c r="H976" i="7" s="1"/>
  <c r="H977" i="7" s="1"/>
  <c r="H978" i="7" s="1"/>
  <c r="H979" i="7" s="1"/>
  <c r="H980" i="7" s="1"/>
  <c r="H981" i="7" s="1"/>
  <c r="H982" i="7" s="1"/>
  <c r="H983" i="7" s="1"/>
  <c r="H984" i="7" s="1"/>
  <c r="H985" i="7" s="1"/>
  <c r="H986" i="7" s="1"/>
  <c r="H987" i="7" s="1"/>
  <c r="H988" i="7" s="1"/>
  <c r="H989" i="7" s="1"/>
  <c r="H990" i="7" s="1"/>
  <c r="H991" i="7" s="1"/>
  <c r="H992" i="7" s="1"/>
  <c r="H993" i="7" s="1"/>
  <c r="H994" i="7" s="1"/>
  <c r="H995" i="7" s="1"/>
  <c r="H996" i="7" s="1"/>
  <c r="H997" i="7" s="1"/>
  <c r="H998" i="7" s="1"/>
  <c r="H999" i="7" s="1"/>
  <c r="H1000" i="7" s="1"/>
  <c r="H1001" i="7" s="1"/>
  <c r="H1002" i="7" s="1"/>
  <c r="H1003" i="7" s="1"/>
  <c r="H1004" i="7" s="1"/>
  <c r="H1005" i="7" s="1"/>
  <c r="H1006" i="7" s="1"/>
  <c r="H1007" i="7" s="1"/>
  <c r="H1008" i="7" s="1"/>
  <c r="H1009" i="7" s="1"/>
  <c r="H1010" i="7" s="1"/>
  <c r="H1011" i="7" s="1"/>
  <c r="H1012" i="7" s="1"/>
  <c r="H1013" i="7" s="1"/>
  <c r="H1014" i="7" s="1"/>
  <c r="H1015" i="7" s="1"/>
  <c r="H1016" i="7" s="1"/>
  <c r="H1017" i="7" s="1"/>
  <c r="H1018" i="7" s="1"/>
  <c r="H1019" i="7" s="1"/>
  <c r="H1020" i="7" s="1"/>
  <c r="H1021" i="7" s="1"/>
  <c r="H1022" i="7" s="1"/>
  <c r="H1023" i="7" s="1"/>
  <c r="H1024" i="7" s="1"/>
  <c r="H1025" i="7" s="1"/>
  <c r="H1026" i="7" s="1"/>
  <c r="H1027" i="7" s="1"/>
  <c r="H1028" i="7" s="1"/>
  <c r="H1029" i="7" s="1"/>
  <c r="H1030" i="7" s="1"/>
  <c r="H1031" i="7" s="1"/>
  <c r="H1032" i="7" s="1"/>
  <c r="H1033" i="7" s="1"/>
  <c r="H1034" i="7" s="1"/>
  <c r="H1035" i="7" s="1"/>
  <c r="H1036" i="7" s="1"/>
  <c r="H1037" i="7" s="1"/>
  <c r="H1038" i="7" s="1"/>
  <c r="H1039" i="7" s="1"/>
  <c r="H1040" i="7" s="1"/>
  <c r="H1041" i="7" s="1"/>
  <c r="H1042" i="7" s="1"/>
  <c r="H1043" i="7" s="1"/>
  <c r="H1044" i="7" s="1"/>
  <c r="H1045" i="7" s="1"/>
  <c r="H1046" i="7" s="1"/>
  <c r="H1047" i="7" s="1"/>
  <c r="H1048" i="7" s="1"/>
  <c r="H1049" i="7" s="1"/>
  <c r="H1050" i="7" s="1"/>
  <c r="H1051" i="7" s="1"/>
  <c r="H1052" i="7" s="1"/>
  <c r="H1053" i="7" s="1"/>
  <c r="H1054" i="7" s="1"/>
  <c r="H1055" i="7" s="1"/>
  <c r="H1056" i="7" s="1"/>
  <c r="H1057" i="7" s="1"/>
  <c r="H1058" i="7" s="1"/>
  <c r="H1059" i="7" s="1"/>
  <c r="H1060" i="7" s="1"/>
  <c r="H1061" i="7" s="1"/>
  <c r="H1062" i="7" s="1"/>
  <c r="H1063" i="7" s="1"/>
  <c r="H1064" i="7" s="1"/>
  <c r="H1065" i="7" s="1"/>
  <c r="H1066" i="7" s="1"/>
  <c r="H1067" i="7" s="1"/>
  <c r="H1068" i="7" s="1"/>
  <c r="H1069" i="7" s="1"/>
  <c r="H1070" i="7" s="1"/>
  <c r="H1071" i="7" s="1"/>
  <c r="H1072" i="7" s="1"/>
  <c r="H1073" i="7" s="1"/>
  <c r="H1074" i="7" s="1"/>
  <c r="H1075" i="7" s="1"/>
  <c r="H1076" i="7" s="1"/>
  <c r="H1077" i="7" s="1"/>
  <c r="H1078" i="7" s="1"/>
  <c r="H1079" i="7" s="1"/>
  <c r="H1080" i="7" s="1"/>
  <c r="H1081" i="7" s="1"/>
  <c r="H1082" i="7" s="1"/>
  <c r="H1083" i="7" s="1"/>
  <c r="H1084" i="7" s="1"/>
  <c r="H1085" i="7" s="1"/>
  <c r="H1086" i="7" s="1"/>
  <c r="H1087" i="7" s="1"/>
  <c r="H1088" i="7" s="1"/>
  <c r="H1089" i="7" s="1"/>
  <c r="H1090" i="7" s="1"/>
  <c r="H1091" i="7" s="1"/>
  <c r="H1092" i="7" s="1"/>
  <c r="H1093" i="7" s="1"/>
  <c r="H1094" i="7" s="1"/>
  <c r="H1095" i="7" s="1"/>
  <c r="H1096" i="7" s="1"/>
  <c r="H1097" i="7" s="1"/>
  <c r="H1098" i="7" s="1"/>
  <c r="H1099" i="7" s="1"/>
  <c r="H1100" i="7" s="1"/>
  <c r="H1101" i="7" s="1"/>
  <c r="H1102" i="7" s="1"/>
  <c r="H1103" i="7" s="1"/>
  <c r="H1104" i="7" s="1"/>
  <c r="H1105" i="7" s="1"/>
  <c r="H1106" i="7" s="1"/>
  <c r="H1107" i="7" s="1"/>
  <c r="H1108" i="7" s="1"/>
  <c r="H1109" i="7" s="1"/>
  <c r="H1110" i="7" s="1"/>
  <c r="H1111" i="7" s="1"/>
  <c r="H1112" i="7" s="1"/>
  <c r="H1113" i="7" s="1"/>
  <c r="H1114" i="7" s="1"/>
  <c r="H1115" i="7" s="1"/>
  <c r="H1116" i="7" s="1"/>
  <c r="H1117" i="7" s="1"/>
  <c r="H1118" i="7" s="1"/>
  <c r="H1119" i="7" s="1"/>
  <c r="H1120" i="7" s="1"/>
  <c r="H1121" i="7" s="1"/>
  <c r="H1122" i="7" s="1"/>
  <c r="H1123" i="7" s="1"/>
  <c r="H1124" i="7" s="1"/>
  <c r="H1125" i="7" s="1"/>
  <c r="H1126" i="7" s="1"/>
  <c r="H1127" i="7" s="1"/>
  <c r="H1128" i="7" s="1"/>
  <c r="H1129" i="7" s="1"/>
  <c r="H1130" i="7" s="1"/>
  <c r="H1131" i="7" s="1"/>
  <c r="H1132" i="7" s="1"/>
  <c r="H1133" i="7" s="1"/>
  <c r="H1134" i="7" s="1"/>
  <c r="H1135" i="7" s="1"/>
  <c r="H1136" i="7" s="1"/>
  <c r="H1137" i="7" s="1"/>
  <c r="H1138" i="7" s="1"/>
  <c r="H1139" i="7" s="1"/>
  <c r="H1140" i="7" s="1"/>
  <c r="H1141" i="7" s="1"/>
  <c r="H1142" i="7" s="1"/>
  <c r="H1143" i="7" s="1"/>
  <c r="H1144" i="7" s="1"/>
  <c r="H1145" i="7" s="1"/>
  <c r="H1146" i="7" s="1"/>
  <c r="H1147" i="7" s="1"/>
  <c r="H1148" i="7" s="1"/>
  <c r="H1149" i="7" s="1"/>
  <c r="H1150" i="7" s="1"/>
  <c r="H1151" i="7" s="1"/>
  <c r="H1152" i="7" s="1"/>
  <c r="H1153" i="7" s="1"/>
  <c r="H1154" i="7" s="1"/>
  <c r="H1155" i="7" s="1"/>
  <c r="H1156" i="7" s="1"/>
  <c r="H1157" i="7" s="1"/>
  <c r="H1158" i="7" s="1"/>
  <c r="H1159" i="7" s="1"/>
  <c r="H1160" i="7" s="1"/>
  <c r="H1161" i="7" s="1"/>
  <c r="H1162" i="7" s="1"/>
  <c r="H1163" i="7" s="1"/>
  <c r="H1164" i="7" s="1"/>
  <c r="H1165" i="7" s="1"/>
  <c r="H1166" i="7" s="1"/>
  <c r="H1167" i="7" s="1"/>
  <c r="H1168" i="7" s="1"/>
  <c r="H1169" i="7" s="1"/>
  <c r="H1170" i="7" s="1"/>
  <c r="H1171" i="7" s="1"/>
  <c r="H1172" i="7" s="1"/>
  <c r="H1173" i="7" s="1"/>
  <c r="H1174" i="7" s="1"/>
  <c r="H1175" i="7" s="1"/>
  <c r="H1176" i="7" s="1"/>
  <c r="H1177" i="7" s="1"/>
  <c r="H1178" i="7" s="1"/>
  <c r="H1179" i="7" s="1"/>
  <c r="H1180" i="7" s="1"/>
  <c r="H1181" i="7" s="1"/>
  <c r="H1182" i="7" s="1"/>
  <c r="H1183" i="7" s="1"/>
  <c r="H1184" i="7" s="1"/>
  <c r="H1185" i="7" s="1"/>
  <c r="H1186" i="7" s="1"/>
  <c r="H1187" i="7" s="1"/>
  <c r="H1188" i="7" s="1"/>
  <c r="H1189" i="7" s="1"/>
  <c r="H1190" i="7" s="1"/>
  <c r="H1191" i="7" s="1"/>
  <c r="H1192" i="7" s="1"/>
  <c r="H1193" i="7" s="1"/>
  <c r="H1194" i="7" s="1"/>
  <c r="H1195" i="7" s="1"/>
  <c r="H1196" i="7" s="1"/>
  <c r="H1197" i="7" s="1"/>
  <c r="H1198" i="7" s="1"/>
  <c r="H1199" i="7" s="1"/>
  <c r="H1200" i="7" s="1"/>
  <c r="H1201" i="7" s="1"/>
  <c r="H1202" i="7" s="1"/>
  <c r="H1203" i="7" s="1"/>
  <c r="H1204" i="7" s="1"/>
  <c r="H1205" i="7" s="1"/>
  <c r="H1206" i="7" s="1"/>
  <c r="H1207" i="7" s="1"/>
  <c r="H1208" i="7" s="1"/>
  <c r="H1209" i="7" s="1"/>
  <c r="H1210" i="7" s="1"/>
  <c r="H1211" i="7" s="1"/>
  <c r="H1212" i="7" s="1"/>
  <c r="H1213" i="7" s="1"/>
  <c r="H1214" i="7" s="1"/>
  <c r="H1215" i="7" s="1"/>
  <c r="H1216" i="7" s="1"/>
  <c r="H1217" i="7" s="1"/>
  <c r="H1218" i="7" s="1"/>
  <c r="H1219" i="7" s="1"/>
  <c r="H1220" i="7" s="1"/>
  <c r="H1221" i="7" s="1"/>
  <c r="H1222" i="7" s="1"/>
  <c r="H1223" i="7" s="1"/>
  <c r="H1224" i="7" s="1"/>
  <c r="H1225" i="7" s="1"/>
  <c r="H1226" i="7" s="1"/>
  <c r="H1227" i="7" s="1"/>
  <c r="H1228" i="7" s="1"/>
  <c r="H1229" i="7" s="1"/>
  <c r="H1230" i="7" s="1"/>
  <c r="H1231" i="7" s="1"/>
  <c r="H1232" i="7" s="1"/>
  <c r="H1233" i="7" s="1"/>
  <c r="H1234" i="7" s="1"/>
  <c r="H1235" i="7" s="1"/>
  <c r="H1236" i="7" s="1"/>
  <c r="H1237" i="7" s="1"/>
  <c r="H1238" i="7" s="1"/>
  <c r="H1239" i="7" s="1"/>
  <c r="H1240" i="7" s="1"/>
  <c r="H1241" i="7" s="1"/>
  <c r="H1242" i="7" s="1"/>
  <c r="H1243" i="7" s="1"/>
  <c r="H1244" i="7" s="1"/>
  <c r="H1245" i="7" s="1"/>
  <c r="H1246" i="7" s="1"/>
  <c r="H1247" i="7" s="1"/>
  <c r="H1248" i="7" s="1"/>
  <c r="H1249" i="7" s="1"/>
  <c r="H1250" i="7" s="1"/>
  <c r="H1251" i="7" s="1"/>
  <c r="H1252" i="7" s="1"/>
  <c r="H1253" i="7" s="1"/>
  <c r="H1254" i="7" s="1"/>
  <c r="H1255" i="7" s="1"/>
  <c r="H1256" i="7" s="1"/>
  <c r="H1257" i="7" s="1"/>
  <c r="H1258" i="7" s="1"/>
  <c r="H1259" i="7" s="1"/>
  <c r="H1260" i="7" s="1"/>
  <c r="H1261" i="7" s="1"/>
  <c r="H1262" i="7" s="1"/>
  <c r="H1263" i="7" s="1"/>
  <c r="H1264" i="7" s="1"/>
  <c r="H1265" i="7" s="1"/>
  <c r="H1266" i="7" s="1"/>
  <c r="H1267" i="7" s="1"/>
  <c r="H1268" i="7" s="1"/>
  <c r="H1269" i="7" s="1"/>
  <c r="H1270" i="7" s="1"/>
  <c r="H1271" i="7" s="1"/>
  <c r="H1272" i="7" s="1"/>
  <c r="H1273" i="7" s="1"/>
  <c r="H1274" i="7" s="1"/>
  <c r="H1275" i="7" s="1"/>
  <c r="H1276" i="7" s="1"/>
  <c r="H1277" i="7" s="1"/>
  <c r="H1278" i="7" s="1"/>
  <c r="H1279" i="7" s="1"/>
  <c r="H1280" i="7" s="1"/>
  <c r="H1281" i="7" s="1"/>
  <c r="H1282" i="7" s="1"/>
  <c r="H1283" i="7" s="1"/>
  <c r="H1284" i="7" s="1"/>
  <c r="H1285" i="7" s="1"/>
  <c r="H1286" i="7" s="1"/>
  <c r="H1287" i="7" s="1"/>
  <c r="H1288" i="7" s="1"/>
  <c r="H1289" i="7" s="1"/>
  <c r="H1290" i="7" s="1"/>
  <c r="H1291" i="7" s="1"/>
  <c r="H1292" i="7" s="1"/>
  <c r="H1293" i="7" s="1"/>
  <c r="H1294" i="7" s="1"/>
  <c r="H1295" i="7" s="1"/>
  <c r="H1296" i="7" s="1"/>
  <c r="H1297" i="7" s="1"/>
  <c r="H1298" i="7" s="1"/>
  <c r="H1299" i="7" s="1"/>
  <c r="H1300" i="7" s="1"/>
  <c r="H1301" i="7" s="1"/>
  <c r="H1302" i="7" s="1"/>
  <c r="H1303" i="7" s="1"/>
  <c r="H1304" i="7" s="1"/>
  <c r="H1305" i="7" s="1"/>
  <c r="H1306" i="7" s="1"/>
  <c r="H1307" i="7" s="1"/>
  <c r="H1308" i="7" s="1"/>
  <c r="H1309" i="7" s="1"/>
  <c r="H1310" i="7" s="1"/>
  <c r="H1311" i="7" s="1"/>
  <c r="H1312" i="7" s="1"/>
  <c r="H1313" i="7" s="1"/>
  <c r="H1314" i="7" s="1"/>
  <c r="H1315" i="7" s="1"/>
  <c r="H1316" i="7" s="1"/>
  <c r="H1317" i="7" s="1"/>
  <c r="H1318" i="7" s="1"/>
  <c r="H1319" i="7" s="1"/>
  <c r="H1320" i="7" s="1"/>
  <c r="H1321" i="7" s="1"/>
  <c r="H1322" i="7" s="1"/>
  <c r="H1323" i="7" s="1"/>
  <c r="H1324" i="7" s="1"/>
  <c r="H1325" i="7" s="1"/>
  <c r="H1326" i="7" s="1"/>
  <c r="H1327" i="7" s="1"/>
  <c r="H1328" i="7" s="1"/>
  <c r="H1329" i="7" s="1"/>
  <c r="H1330" i="7" s="1"/>
  <c r="H1331" i="7" s="1"/>
  <c r="H1332" i="7" s="1"/>
  <c r="H1333" i="7" s="1"/>
  <c r="H1334" i="7" s="1"/>
  <c r="H1335" i="7" s="1"/>
  <c r="H1336" i="7" s="1"/>
  <c r="H1337" i="7" s="1"/>
  <c r="H1338" i="7" s="1"/>
  <c r="H1339" i="7" s="1"/>
  <c r="H1340" i="7" s="1"/>
  <c r="H1341" i="7" s="1"/>
  <c r="H1342" i="7" s="1"/>
  <c r="H1343" i="7" s="1"/>
  <c r="H1344" i="7" s="1"/>
  <c r="H1345" i="7" s="1"/>
  <c r="H1346" i="7" s="1"/>
  <c r="H1347" i="7" s="1"/>
  <c r="H1348" i="7" s="1"/>
  <c r="H1349" i="7" s="1"/>
  <c r="H1350" i="7" s="1"/>
  <c r="H1351" i="7" s="1"/>
  <c r="H1352" i="7" s="1"/>
  <c r="H1353" i="7" s="1"/>
  <c r="H1354" i="7" s="1"/>
  <c r="H1355" i="7" s="1"/>
  <c r="H1356" i="7" s="1"/>
  <c r="H1357" i="7" s="1"/>
  <c r="H1358" i="7" s="1"/>
  <c r="H1359" i="7" s="1"/>
  <c r="H1360" i="7" s="1"/>
  <c r="H1361" i="7" s="1"/>
  <c r="H1362" i="7" s="1"/>
  <c r="H1363" i="7" s="1"/>
  <c r="H1364" i="7" s="1"/>
  <c r="H1365" i="7" s="1"/>
  <c r="H1366" i="7" s="1"/>
  <c r="H1367" i="7" s="1"/>
  <c r="H1368" i="7" s="1"/>
  <c r="H1369" i="7" s="1"/>
  <c r="H1370" i="7" s="1"/>
  <c r="H1371" i="7" s="1"/>
  <c r="H1372" i="7" s="1"/>
  <c r="H1373" i="7" s="1"/>
  <c r="H1374" i="7" s="1"/>
  <c r="H1375" i="7" s="1"/>
  <c r="H1376" i="7" s="1"/>
  <c r="H1377" i="7" s="1"/>
  <c r="H1378" i="7" s="1"/>
  <c r="H1379" i="7" s="1"/>
  <c r="H1380" i="7" s="1"/>
  <c r="H1381" i="7" s="1"/>
  <c r="H1382" i="7" s="1"/>
  <c r="H1383" i="7" s="1"/>
  <c r="H1384" i="7" s="1"/>
  <c r="H1385" i="7" s="1"/>
  <c r="H1386" i="7" s="1"/>
  <c r="H1387" i="7" s="1"/>
  <c r="H1388" i="7" s="1"/>
  <c r="H1389" i="7" s="1"/>
  <c r="H1390" i="7" s="1"/>
  <c r="H1391" i="7" s="1"/>
  <c r="H1392" i="7" s="1"/>
  <c r="H1393" i="7" s="1"/>
  <c r="H1394" i="7" s="1"/>
  <c r="H1395" i="7" s="1"/>
  <c r="H1396" i="7" s="1"/>
  <c r="H1397" i="7" s="1"/>
  <c r="H1398" i="7" s="1"/>
  <c r="H1399" i="7" s="1"/>
  <c r="H1400" i="7" s="1"/>
  <c r="H1401" i="7" s="1"/>
  <c r="H1402" i="7" s="1"/>
  <c r="H1403" i="7" s="1"/>
  <c r="H1404" i="7" s="1"/>
  <c r="H1405" i="7" s="1"/>
  <c r="H1406" i="7" s="1"/>
  <c r="H1407" i="7" s="1"/>
  <c r="H1408" i="7" s="1"/>
  <c r="H1409" i="7" s="1"/>
  <c r="H1410" i="7" s="1"/>
  <c r="H1411" i="7" s="1"/>
  <c r="H1412" i="7" s="1"/>
  <c r="H1413" i="7" s="1"/>
  <c r="H1414" i="7" s="1"/>
  <c r="H1415" i="7" s="1"/>
  <c r="H1416" i="7" s="1"/>
  <c r="H1417" i="7" s="1"/>
  <c r="H1418" i="7" s="1"/>
  <c r="H1419" i="7" s="1"/>
  <c r="H1420" i="7" s="1"/>
  <c r="H1421" i="7" s="1"/>
  <c r="H1422" i="7" s="1"/>
  <c r="H1423" i="7" s="1"/>
  <c r="H1424" i="7" s="1"/>
  <c r="H1425" i="7" s="1"/>
  <c r="H1426" i="7" s="1"/>
  <c r="H1427" i="7" s="1"/>
  <c r="H1428" i="7" s="1"/>
  <c r="H1429" i="7" s="1"/>
  <c r="H1430" i="7" s="1"/>
  <c r="H1431" i="7" s="1"/>
  <c r="H1432" i="7" s="1"/>
  <c r="H1433" i="7" s="1"/>
  <c r="H1434" i="7" s="1"/>
  <c r="H1435" i="7" s="1"/>
  <c r="H1436" i="7" s="1"/>
  <c r="H1437" i="7" s="1"/>
  <c r="H1438" i="7" s="1"/>
  <c r="H1439" i="7" s="1"/>
  <c r="H1440" i="7" s="1"/>
  <c r="H1441" i="7" s="1"/>
  <c r="H1442" i="7" s="1"/>
  <c r="H1443" i="7" s="1"/>
  <c r="H1444" i="7" s="1"/>
  <c r="H1445" i="7" s="1"/>
  <c r="H1446" i="7" s="1"/>
  <c r="H1447" i="7" s="1"/>
  <c r="H1448" i="7" s="1"/>
  <c r="H1449" i="7" s="1"/>
  <c r="H1450" i="7" s="1"/>
  <c r="H1451" i="7" s="1"/>
  <c r="H1452" i="7" s="1"/>
  <c r="H1453" i="7" s="1"/>
  <c r="H1454" i="7" s="1"/>
  <c r="H1455" i="7" s="1"/>
  <c r="H1456" i="7" s="1"/>
  <c r="H1457" i="7" s="1"/>
  <c r="H1458" i="7" s="1"/>
  <c r="H1459" i="7" s="1"/>
  <c r="H1460" i="7" s="1"/>
  <c r="H1461" i="7" s="1"/>
  <c r="H1462" i="7" s="1"/>
  <c r="H1463" i="7" s="1"/>
  <c r="H1464" i="7" s="1"/>
  <c r="H1465" i="7" s="1"/>
  <c r="H1466" i="7" s="1"/>
  <c r="H1467" i="7" s="1"/>
  <c r="H1468" i="7" s="1"/>
  <c r="H1469" i="7" s="1"/>
  <c r="H1470" i="7" s="1"/>
  <c r="H1471" i="7" s="1"/>
  <c r="H1472" i="7" s="1"/>
  <c r="H1473" i="7" s="1"/>
  <c r="H1474" i="7" s="1"/>
  <c r="H1475" i="7" s="1"/>
  <c r="H1476" i="7" s="1"/>
  <c r="H1477" i="7" s="1"/>
  <c r="H1478" i="7" s="1"/>
  <c r="H1479" i="7" s="1"/>
  <c r="H1480" i="7" s="1"/>
  <c r="H1481" i="7" s="1"/>
  <c r="H1482" i="7" s="1"/>
  <c r="H1483" i="7" s="1"/>
  <c r="H1484" i="7" s="1"/>
  <c r="H1485" i="7" s="1"/>
  <c r="H1486" i="7" s="1"/>
  <c r="H1487" i="7" s="1"/>
  <c r="H1488" i="7" s="1"/>
  <c r="H1489" i="7" s="1"/>
  <c r="H1490" i="7" s="1"/>
  <c r="H1491" i="7" s="1"/>
  <c r="H1492" i="7" s="1"/>
  <c r="H1493" i="7" s="1"/>
  <c r="H1494" i="7" s="1"/>
  <c r="H1495" i="7" s="1"/>
  <c r="H1496" i="7" s="1"/>
  <c r="H1497" i="7" s="1"/>
  <c r="H1498" i="7" s="1"/>
  <c r="H1499" i="7" s="1"/>
  <c r="H1500" i="7" s="1"/>
  <c r="H1501" i="7" s="1"/>
  <c r="H1502" i="7" s="1"/>
  <c r="H1503" i="7" s="1"/>
  <c r="H1504" i="7" s="1"/>
  <c r="H1505" i="7" s="1"/>
  <c r="H1506" i="7" s="1"/>
  <c r="H1507" i="7" s="1"/>
  <c r="H1508" i="7" s="1"/>
  <c r="H1509" i="7" s="1"/>
  <c r="H1510" i="7" s="1"/>
  <c r="H1511" i="7" s="1"/>
  <c r="H1512" i="7" s="1"/>
  <c r="H1513" i="7" s="1"/>
  <c r="H1514" i="7" s="1"/>
  <c r="H1515" i="7" s="1"/>
  <c r="H1516" i="7" s="1"/>
  <c r="H1517" i="7" s="1"/>
  <c r="H1518" i="7" s="1"/>
  <c r="H1519" i="7" s="1"/>
  <c r="H1520" i="7" s="1"/>
  <c r="H1521" i="7" s="1"/>
  <c r="H1522" i="7" s="1"/>
  <c r="H1523" i="7" s="1"/>
  <c r="H1524" i="7" s="1"/>
  <c r="H1525" i="7" s="1"/>
  <c r="H1526" i="7" s="1"/>
  <c r="H1527" i="7" s="1"/>
  <c r="H1528" i="7" s="1"/>
  <c r="H1529" i="7" s="1"/>
  <c r="H1530" i="7" s="1"/>
  <c r="H1531" i="7" s="1"/>
  <c r="H1532" i="7" s="1"/>
  <c r="H1533" i="7" s="1"/>
  <c r="H1534" i="7" s="1"/>
  <c r="H1535" i="7" s="1"/>
  <c r="H1536" i="7" s="1"/>
  <c r="H1537" i="7" s="1"/>
  <c r="H1538" i="7" s="1"/>
  <c r="H1539" i="7" s="1"/>
  <c r="H1540" i="7" s="1"/>
  <c r="H1541" i="7" s="1"/>
  <c r="H1542" i="7" s="1"/>
  <c r="H1543" i="7" s="1"/>
  <c r="H1544" i="7" s="1"/>
  <c r="H1545" i="7" s="1"/>
  <c r="H1546" i="7" s="1"/>
  <c r="H1547" i="7" s="1"/>
  <c r="H1548" i="7" s="1"/>
  <c r="H1549" i="7" s="1"/>
  <c r="H1550" i="7" s="1"/>
  <c r="H1551" i="7" s="1"/>
  <c r="H1552" i="7" s="1"/>
  <c r="H1553" i="7" s="1"/>
  <c r="H1554" i="7" s="1"/>
  <c r="H1555" i="7" s="1"/>
  <c r="H1556" i="7" s="1"/>
  <c r="H1557" i="7" s="1"/>
  <c r="H1558" i="7" s="1"/>
  <c r="H1559" i="7" s="1"/>
  <c r="H1560" i="7" s="1"/>
  <c r="H1561" i="7" s="1"/>
  <c r="H1562" i="7" s="1"/>
  <c r="H1563" i="7" s="1"/>
  <c r="H1564" i="7" s="1"/>
  <c r="H1565" i="7" s="1"/>
  <c r="H1566" i="7" s="1"/>
  <c r="H1567" i="7" s="1"/>
  <c r="H1568" i="7" s="1"/>
  <c r="H1569" i="7" s="1"/>
  <c r="H1570" i="7" s="1"/>
  <c r="H1571" i="7" s="1"/>
  <c r="H1572" i="7" s="1"/>
  <c r="H1573" i="7" s="1"/>
  <c r="H1574" i="7" s="1"/>
  <c r="H1575" i="7" s="1"/>
  <c r="H1576" i="7" s="1"/>
  <c r="H1577" i="7" s="1"/>
  <c r="H1578" i="7" s="1"/>
  <c r="H1579" i="7" s="1"/>
  <c r="H1580" i="7" s="1"/>
  <c r="H1581" i="7" s="1"/>
  <c r="H1582" i="7" s="1"/>
  <c r="H1583" i="7" s="1"/>
  <c r="H1584" i="7" s="1"/>
  <c r="H1585" i="7" s="1"/>
  <c r="H1586" i="7" s="1"/>
  <c r="H1587" i="7" s="1"/>
  <c r="H1588" i="7" s="1"/>
  <c r="H1589" i="7" s="1"/>
  <c r="H1590" i="7" s="1"/>
  <c r="H1591" i="7" s="1"/>
  <c r="H1592" i="7" s="1"/>
  <c r="H1593" i="7" s="1"/>
  <c r="H1594" i="7" s="1"/>
  <c r="H1595" i="7" s="1"/>
  <c r="H1596" i="7" s="1"/>
  <c r="H1597" i="7" s="1"/>
  <c r="H1598" i="7" s="1"/>
  <c r="H1599" i="7" s="1"/>
  <c r="H1600" i="7" s="1"/>
  <c r="H1601" i="7" s="1"/>
  <c r="H1602" i="7" s="1"/>
  <c r="H1603" i="7" s="1"/>
  <c r="H1604" i="7" s="1"/>
  <c r="H1605" i="7" s="1"/>
  <c r="H1606" i="7" s="1"/>
  <c r="H1607" i="7" s="1"/>
  <c r="H1608" i="7" s="1"/>
  <c r="H1609" i="7" s="1"/>
  <c r="H1610" i="7" s="1"/>
  <c r="H1611" i="7" s="1"/>
  <c r="H1612" i="7" s="1"/>
  <c r="H1613" i="7" s="1"/>
  <c r="H1614" i="7" s="1"/>
  <c r="H1615" i="7" s="1"/>
  <c r="H1616" i="7" s="1"/>
  <c r="H1617" i="7" s="1"/>
  <c r="H1618" i="7" s="1"/>
  <c r="H1619" i="7" s="1"/>
  <c r="H1620" i="7" s="1"/>
  <c r="H1621" i="7" s="1"/>
  <c r="H1622" i="7" s="1"/>
  <c r="H1623" i="7" s="1"/>
  <c r="H1624" i="7" s="1"/>
  <c r="H1625" i="7" s="1"/>
  <c r="H1626" i="7" s="1"/>
  <c r="H1627" i="7" s="1"/>
  <c r="H1628" i="7" s="1"/>
  <c r="H1629" i="7" s="1"/>
  <c r="H1630" i="7" s="1"/>
  <c r="H1631" i="7" s="1"/>
  <c r="H1632" i="7" s="1"/>
  <c r="H1633" i="7" s="1"/>
  <c r="H1634" i="7" s="1"/>
  <c r="H1635" i="7" s="1"/>
  <c r="H1636" i="7" s="1"/>
  <c r="H1637" i="7" s="1"/>
  <c r="H1638" i="7" s="1"/>
  <c r="H1639" i="7" s="1"/>
  <c r="H1640" i="7" s="1"/>
  <c r="H1641" i="7" s="1"/>
  <c r="H1642" i="7" s="1"/>
  <c r="H1643" i="7" s="1"/>
  <c r="H1644" i="7" s="1"/>
  <c r="H1645" i="7" s="1"/>
  <c r="H1646" i="7" s="1"/>
  <c r="H1647" i="7" s="1"/>
  <c r="H1648" i="7" s="1"/>
  <c r="H1649" i="7" s="1"/>
  <c r="H1650" i="7" s="1"/>
  <c r="H1651" i="7" s="1"/>
  <c r="H1652" i="7" s="1"/>
  <c r="H1653" i="7" s="1"/>
  <c r="H1654" i="7" s="1"/>
  <c r="H1655" i="7" s="1"/>
  <c r="H1656" i="7" s="1"/>
  <c r="H1657" i="7" s="1"/>
  <c r="H1658" i="7" s="1"/>
  <c r="H1659" i="7" s="1"/>
  <c r="H1660" i="7" s="1"/>
  <c r="H1661" i="7" s="1"/>
  <c r="H1662" i="7" s="1"/>
  <c r="H1663" i="7" s="1"/>
  <c r="H1664" i="7" s="1"/>
  <c r="H1665" i="7" s="1"/>
  <c r="H1666" i="7" s="1"/>
  <c r="H1667" i="7" s="1"/>
  <c r="H1668" i="7" s="1"/>
  <c r="H1669" i="7" s="1"/>
  <c r="H1670" i="7" s="1"/>
  <c r="H1671" i="7" s="1"/>
  <c r="H1672" i="7" s="1"/>
  <c r="H1673" i="7" s="1"/>
  <c r="H1674" i="7" s="1"/>
  <c r="H1675" i="7" s="1"/>
  <c r="H1676" i="7" s="1"/>
  <c r="H1677" i="7" s="1"/>
  <c r="H1678" i="7" s="1"/>
  <c r="H1679" i="7" s="1"/>
  <c r="H1680" i="7" s="1"/>
  <c r="H1681" i="7" s="1"/>
  <c r="H1682" i="7" s="1"/>
  <c r="H1683" i="7" s="1"/>
  <c r="H1684" i="7" s="1"/>
  <c r="H1685" i="7" s="1"/>
  <c r="H1686" i="7" s="1"/>
  <c r="H1687" i="7" s="1"/>
  <c r="H1688" i="7" s="1"/>
  <c r="H1689" i="7" s="1"/>
  <c r="H1690" i="7" s="1"/>
  <c r="H1691" i="7" s="1"/>
  <c r="H1692" i="7" s="1"/>
  <c r="H1693" i="7" s="1"/>
  <c r="H1694" i="7" s="1"/>
  <c r="H1695" i="7" s="1"/>
  <c r="H1696" i="7" s="1"/>
  <c r="H1697" i="7" s="1"/>
  <c r="H1698" i="7" s="1"/>
  <c r="H1699" i="7" s="1"/>
  <c r="H1700" i="7" s="1"/>
  <c r="H1701" i="7" s="1"/>
  <c r="H1702" i="7" s="1"/>
  <c r="H1703" i="7" s="1"/>
  <c r="H1704" i="7" s="1"/>
  <c r="H1705" i="7" s="1"/>
  <c r="H1706" i="7" s="1"/>
  <c r="H1707" i="7" s="1"/>
  <c r="H1708" i="7" s="1"/>
  <c r="H1709" i="7" s="1"/>
  <c r="H1710" i="7" s="1"/>
  <c r="H1711" i="7" s="1"/>
  <c r="H1712" i="7" s="1"/>
  <c r="H1713" i="7" s="1"/>
  <c r="H1714" i="7" s="1"/>
  <c r="H1715" i="7" s="1"/>
  <c r="H1716" i="7" s="1"/>
  <c r="H1717" i="7" s="1"/>
  <c r="H1718" i="7" s="1"/>
  <c r="H1719" i="7" s="1"/>
  <c r="H1720" i="7" s="1"/>
  <c r="H1721" i="7" s="1"/>
  <c r="H1722" i="7" s="1"/>
  <c r="H1723" i="7" s="1"/>
  <c r="H1724" i="7" s="1"/>
  <c r="H1725" i="7" s="1"/>
  <c r="H1726" i="7" s="1"/>
  <c r="H1727" i="7" s="1"/>
  <c r="H1728" i="7" s="1"/>
  <c r="H1729" i="7" s="1"/>
  <c r="H1730" i="7" s="1"/>
  <c r="H1731" i="7" s="1"/>
  <c r="H1732" i="7" s="1"/>
  <c r="H1733" i="7" s="1"/>
  <c r="H1734" i="7" s="1"/>
  <c r="H1735" i="7" s="1"/>
  <c r="H1736" i="7" s="1"/>
  <c r="H1737" i="7" s="1"/>
  <c r="H1738" i="7" s="1"/>
  <c r="H1739" i="7" s="1"/>
  <c r="H1740" i="7" s="1"/>
  <c r="H1741" i="7" s="1"/>
  <c r="H1742" i="7" s="1"/>
  <c r="H1743" i="7" s="1"/>
  <c r="H1744" i="7" s="1"/>
  <c r="H1745" i="7" s="1"/>
  <c r="H1746" i="7" s="1"/>
  <c r="H1747" i="7" s="1"/>
  <c r="H1748" i="7" s="1"/>
  <c r="H1749" i="7" s="1"/>
  <c r="H1750" i="7" s="1"/>
  <c r="H1751" i="7" s="1"/>
  <c r="H1752" i="7" s="1"/>
  <c r="H1753" i="7" s="1"/>
  <c r="H1754" i="7" s="1"/>
  <c r="H1755" i="7" s="1"/>
  <c r="H1756" i="7" s="1"/>
  <c r="H1757" i="7" s="1"/>
  <c r="H1758" i="7" s="1"/>
  <c r="H1759" i="7" s="1"/>
  <c r="H1760" i="7" s="1"/>
  <c r="H1761" i="7" s="1"/>
  <c r="H1762" i="7" s="1"/>
  <c r="H1763" i="7" s="1"/>
  <c r="H1764" i="7" s="1"/>
  <c r="H1765" i="7" s="1"/>
  <c r="H1766" i="7" s="1"/>
  <c r="H1767" i="7" s="1"/>
  <c r="H1768" i="7" s="1"/>
  <c r="H1769" i="7" s="1"/>
  <c r="H1770" i="7" s="1"/>
  <c r="H1771" i="7" s="1"/>
  <c r="H1772" i="7" s="1"/>
  <c r="H1773" i="7" s="1"/>
  <c r="H1774" i="7" s="1"/>
  <c r="H1775" i="7" s="1"/>
  <c r="H1776" i="7" s="1"/>
  <c r="H1777" i="7" s="1"/>
  <c r="H1778" i="7" s="1"/>
  <c r="H1779" i="7" s="1"/>
  <c r="H1780" i="7" s="1"/>
  <c r="H1781" i="7" s="1"/>
  <c r="H1782" i="7" s="1"/>
  <c r="H1783" i="7" s="1"/>
  <c r="H1784" i="7" s="1"/>
  <c r="H1785" i="7" s="1"/>
  <c r="H1786" i="7" s="1"/>
  <c r="H1787" i="7" s="1"/>
  <c r="H1788" i="7" s="1"/>
  <c r="H1789" i="7" s="1"/>
  <c r="H1790" i="7" s="1"/>
  <c r="H1791" i="7" s="1"/>
  <c r="H1792" i="7" s="1"/>
  <c r="H1793" i="7" s="1"/>
  <c r="H1794" i="7" s="1"/>
  <c r="H1795" i="7" s="1"/>
  <c r="H1796" i="7" s="1"/>
  <c r="H1797" i="7" s="1"/>
  <c r="H1798" i="7" s="1"/>
  <c r="H1799" i="7" s="1"/>
  <c r="H1800" i="7" s="1"/>
  <c r="H1801" i="7" s="1"/>
  <c r="H1802" i="7" s="1"/>
  <c r="H1803" i="7" s="1"/>
  <c r="H1804" i="7" s="1"/>
  <c r="H1805" i="7" s="1"/>
  <c r="H1806" i="7" s="1"/>
  <c r="H1807" i="7" s="1"/>
  <c r="H1808" i="7" s="1"/>
  <c r="H1809" i="7" s="1"/>
  <c r="H1810" i="7" s="1"/>
  <c r="H1811" i="7" s="1"/>
  <c r="H1812" i="7" s="1"/>
  <c r="H1813" i="7" s="1"/>
  <c r="H1814" i="7" s="1"/>
  <c r="H1815" i="7" s="1"/>
  <c r="H1816" i="7" s="1"/>
  <c r="H1817" i="7" s="1"/>
  <c r="H1818" i="7" s="1"/>
  <c r="H1819" i="7" s="1"/>
  <c r="H1820" i="7" s="1"/>
  <c r="H1821" i="7" s="1"/>
  <c r="H1822" i="7" s="1"/>
  <c r="H1823" i="7" s="1"/>
  <c r="H1824" i="7" s="1"/>
  <c r="H1825" i="7" s="1"/>
  <c r="H1826" i="7" s="1"/>
  <c r="H1827" i="7" s="1"/>
  <c r="H1828" i="7" s="1"/>
  <c r="H1829" i="7" s="1"/>
  <c r="H1830" i="7" s="1"/>
  <c r="H1831" i="7" s="1"/>
  <c r="H1832" i="7" s="1"/>
  <c r="H1833" i="7" s="1"/>
  <c r="H1834" i="7" s="1"/>
  <c r="H1835" i="7" s="1"/>
  <c r="H1836" i="7" s="1"/>
  <c r="H1837" i="7" s="1"/>
  <c r="H1838" i="7" s="1"/>
  <c r="H1839" i="7" s="1"/>
  <c r="H1840" i="7" s="1"/>
  <c r="H1841" i="7" s="1"/>
  <c r="H1842" i="7" s="1"/>
  <c r="H1843" i="7" s="1"/>
  <c r="H1844" i="7" s="1"/>
  <c r="H1845" i="7" s="1"/>
  <c r="H1846" i="7" s="1"/>
  <c r="H1847" i="7" s="1"/>
  <c r="H1848" i="7" s="1"/>
  <c r="H1849" i="7" s="1"/>
  <c r="H1850" i="7" s="1"/>
  <c r="H1851" i="7" s="1"/>
  <c r="H1852" i="7" s="1"/>
  <c r="H1853" i="7" s="1"/>
  <c r="H1854" i="7" s="1"/>
  <c r="H1855" i="7" s="1"/>
  <c r="H1856" i="7" s="1"/>
  <c r="H1857" i="7" s="1"/>
  <c r="H1858" i="7" s="1"/>
  <c r="H1859" i="7" s="1"/>
  <c r="H1860" i="7" s="1"/>
  <c r="H1861" i="7" s="1"/>
  <c r="H1862" i="7" s="1"/>
  <c r="H1863" i="7" s="1"/>
  <c r="H1864" i="7" s="1"/>
  <c r="H1865" i="7" s="1"/>
  <c r="H1866" i="7" s="1"/>
  <c r="H1867" i="7" s="1"/>
  <c r="H1868" i="7" s="1"/>
  <c r="H1869" i="7" s="1"/>
  <c r="H1870" i="7" s="1"/>
  <c r="H1871" i="7" s="1"/>
  <c r="H1872" i="7" s="1"/>
  <c r="H1873" i="7" s="1"/>
  <c r="H1874" i="7" s="1"/>
  <c r="H1875" i="7" s="1"/>
  <c r="H1876" i="7" s="1"/>
  <c r="H1877" i="7" s="1"/>
  <c r="H1878" i="7" s="1"/>
  <c r="H1879" i="7" s="1"/>
  <c r="H1880" i="7" s="1"/>
  <c r="H1881" i="7" s="1"/>
  <c r="H1882" i="7" s="1"/>
  <c r="H1883" i="7" s="1"/>
  <c r="H1884" i="7" s="1"/>
  <c r="H1885" i="7" s="1"/>
  <c r="H1886" i="7" s="1"/>
  <c r="H1887" i="7" s="1"/>
  <c r="H1888" i="7" s="1"/>
  <c r="H1889" i="7" s="1"/>
  <c r="H1890" i="7" s="1"/>
  <c r="H1891" i="7" s="1"/>
  <c r="H1892" i="7" s="1"/>
  <c r="H1893" i="7" s="1"/>
  <c r="H1894" i="7" s="1"/>
  <c r="H1895" i="7" s="1"/>
  <c r="H1896" i="7" s="1"/>
  <c r="H1897" i="7" s="1"/>
  <c r="H1898" i="7" s="1"/>
  <c r="H1899" i="7" s="1"/>
  <c r="H1900" i="7" s="1"/>
  <c r="H1901" i="7" s="1"/>
  <c r="H1902" i="7" s="1"/>
  <c r="H1903" i="7" s="1"/>
  <c r="H1904" i="7" s="1"/>
  <c r="H1905" i="7" s="1"/>
  <c r="H1906" i="7" s="1"/>
  <c r="H1907" i="7" s="1"/>
  <c r="H1908" i="7" s="1"/>
  <c r="H1909" i="7" s="1"/>
  <c r="H1910" i="7" s="1"/>
  <c r="H1911" i="7" s="1"/>
  <c r="H1912" i="7" s="1"/>
  <c r="H1913" i="7" s="1"/>
  <c r="H1914" i="7" s="1"/>
  <c r="H1915" i="7" s="1"/>
  <c r="H1916" i="7" s="1"/>
  <c r="H1917" i="7" s="1"/>
  <c r="H1918" i="7" s="1"/>
  <c r="H1919" i="7" s="1"/>
  <c r="H1920" i="7" s="1"/>
  <c r="H1921" i="7" s="1"/>
  <c r="H1922" i="7" s="1"/>
  <c r="H1923" i="7" s="1"/>
  <c r="H1924" i="7" s="1"/>
  <c r="H1925" i="7" s="1"/>
  <c r="H1926" i="7" s="1"/>
  <c r="H1927" i="7" s="1"/>
  <c r="H1928" i="7" s="1"/>
  <c r="H1929" i="7" s="1"/>
  <c r="H1930" i="7" s="1"/>
  <c r="H1931" i="7" s="1"/>
  <c r="H1932" i="7" s="1"/>
  <c r="H1933" i="7" s="1"/>
  <c r="H1934" i="7" s="1"/>
  <c r="H1935" i="7" s="1"/>
  <c r="H1936" i="7" s="1"/>
  <c r="H1937" i="7" s="1"/>
  <c r="H1938" i="7" s="1"/>
  <c r="H1939" i="7" s="1"/>
  <c r="H1940" i="7" s="1"/>
  <c r="H1941" i="7" s="1"/>
  <c r="H1942" i="7" s="1"/>
  <c r="H1943" i="7" s="1"/>
  <c r="H1944" i="7" s="1"/>
  <c r="H1945" i="7" s="1"/>
  <c r="H1946" i="7" s="1"/>
  <c r="H1947" i="7" s="1"/>
  <c r="H1948" i="7" s="1"/>
  <c r="H1949" i="7" s="1"/>
  <c r="H1950" i="7" s="1"/>
  <c r="H1951" i="7" s="1"/>
  <c r="H1952" i="7" s="1"/>
  <c r="H1953" i="7" s="1"/>
  <c r="H1954" i="7" s="1"/>
  <c r="H1955" i="7" s="1"/>
  <c r="H1956" i="7" s="1"/>
  <c r="H1957" i="7" s="1"/>
  <c r="H1958" i="7" s="1"/>
  <c r="H1959" i="7" s="1"/>
  <c r="H1960" i="7" s="1"/>
  <c r="H1961" i="7" s="1"/>
  <c r="H1962" i="7" s="1"/>
  <c r="H1963" i="7" s="1"/>
  <c r="H1964" i="7" s="1"/>
  <c r="H1965" i="7" s="1"/>
  <c r="H1966" i="7" s="1"/>
  <c r="H1967" i="7" s="1"/>
  <c r="H1968" i="7" s="1"/>
  <c r="H1969" i="7" s="1"/>
  <c r="H1970" i="7" s="1"/>
  <c r="H1971" i="7" s="1"/>
  <c r="H1972" i="7" s="1"/>
  <c r="H1973" i="7" s="1"/>
  <c r="H1974" i="7" s="1"/>
  <c r="H1975" i="7" s="1"/>
  <c r="H1976" i="7" s="1"/>
  <c r="H1977" i="7" s="1"/>
  <c r="H1978" i="7" s="1"/>
  <c r="H1979" i="7" s="1"/>
  <c r="H1980" i="7" s="1"/>
  <c r="H1981" i="7" s="1"/>
  <c r="H1982" i="7" s="1"/>
  <c r="H1983" i="7" s="1"/>
  <c r="H1984" i="7" s="1"/>
  <c r="H1985" i="7" s="1"/>
  <c r="H1986" i="7" s="1"/>
  <c r="H1987" i="7" s="1"/>
  <c r="H1988" i="7" s="1"/>
  <c r="H1989" i="7" s="1"/>
  <c r="H1990" i="7" s="1"/>
  <c r="H1991" i="7" s="1"/>
  <c r="H1992" i="7" s="1"/>
  <c r="H1993" i="7" s="1"/>
  <c r="H1994" i="7" s="1"/>
  <c r="H1995" i="7" s="1"/>
  <c r="H1996" i="7" s="1"/>
  <c r="H1997" i="7" s="1"/>
  <c r="H1998" i="7" s="1"/>
  <c r="H1999" i="7" s="1"/>
  <c r="H2000" i="7" s="1"/>
  <c r="H2001" i="7" s="1"/>
  <c r="H2002" i="7" s="1"/>
  <c r="H2003" i="7" s="1"/>
  <c r="H2004" i="7" s="1"/>
  <c r="H2005" i="7" s="1"/>
  <c r="H2006" i="7" s="1"/>
  <c r="H2007" i="7" s="1"/>
  <c r="H2008" i="7" s="1"/>
  <c r="H2009" i="7" s="1"/>
  <c r="H2010" i="7" s="1"/>
  <c r="H2011" i="7" s="1"/>
  <c r="H2012" i="7" s="1"/>
  <c r="H2013" i="7" s="1"/>
  <c r="H2014" i="7" s="1"/>
  <c r="H2015" i="7" s="1"/>
  <c r="H2016" i="7" s="1"/>
  <c r="H2017" i="7" s="1"/>
  <c r="H2018" i="7" s="1"/>
  <c r="H2019" i="7" s="1"/>
  <c r="H2020" i="7" s="1"/>
  <c r="H2021" i="7" s="1"/>
  <c r="H2022" i="7" s="1"/>
  <c r="H2023" i="7" s="1"/>
  <c r="H2024" i="7" s="1"/>
  <c r="H2025" i="7" s="1"/>
  <c r="H2026" i="7" s="1"/>
  <c r="H2027" i="7" s="1"/>
  <c r="H2028" i="7" s="1"/>
  <c r="H2029" i="7" s="1"/>
  <c r="H2030" i="7" s="1"/>
  <c r="H2031" i="7" s="1"/>
  <c r="H2032" i="7" s="1"/>
  <c r="H2033" i="7" s="1"/>
  <c r="H2034" i="7" s="1"/>
  <c r="H2035" i="7" s="1"/>
  <c r="H2036" i="7" s="1"/>
  <c r="H2037" i="7" s="1"/>
  <c r="H2038" i="7" s="1"/>
  <c r="H2039" i="7" s="1"/>
  <c r="H2040" i="7" s="1"/>
  <c r="H2041" i="7" s="1"/>
  <c r="H2042" i="7" s="1"/>
  <c r="H2043" i="7" s="1"/>
  <c r="H2044" i="7" s="1"/>
  <c r="H2045" i="7" s="1"/>
  <c r="H2046" i="7" s="1"/>
  <c r="H2047" i="7" s="1"/>
  <c r="H2048" i="7" s="1"/>
  <c r="H2049" i="7" s="1"/>
  <c r="H2050" i="7" s="1"/>
  <c r="H2051" i="7" s="1"/>
  <c r="H2052" i="7" s="1"/>
  <c r="H2053" i="7" s="1"/>
  <c r="H2054" i="7" s="1"/>
  <c r="H2055" i="7" s="1"/>
  <c r="H2056" i="7" s="1"/>
  <c r="H2057" i="7" s="1"/>
  <c r="H2058" i="7" s="1"/>
  <c r="H2059" i="7" s="1"/>
  <c r="H2060" i="7" s="1"/>
  <c r="H2061" i="7" s="1"/>
  <c r="H2062" i="7" s="1"/>
  <c r="H2063" i="7" s="1"/>
  <c r="H2064" i="7" s="1"/>
  <c r="H2065" i="7" s="1"/>
  <c r="H2066" i="7" s="1"/>
  <c r="H2067" i="7" s="1"/>
  <c r="H2068" i="7" s="1"/>
  <c r="H2069" i="7" s="1"/>
  <c r="H2070" i="7" s="1"/>
  <c r="H2071" i="7" s="1"/>
  <c r="H2072" i="7" s="1"/>
  <c r="H2073" i="7" s="1"/>
  <c r="H2074" i="7" s="1"/>
  <c r="H2075" i="7" s="1"/>
  <c r="H2076" i="7" s="1"/>
  <c r="H2077" i="7" s="1"/>
  <c r="H2078" i="7" s="1"/>
  <c r="H2079" i="7" s="1"/>
  <c r="H2080" i="7" s="1"/>
  <c r="H2081" i="7" s="1"/>
  <c r="H2082" i="7" s="1"/>
  <c r="H2083" i="7" s="1"/>
  <c r="H2084" i="7" s="1"/>
  <c r="H2085" i="7" s="1"/>
  <c r="H2086" i="7" s="1"/>
  <c r="H2087" i="7" s="1"/>
  <c r="H2088" i="7" s="1"/>
  <c r="H2089" i="7" s="1"/>
  <c r="H2090" i="7" s="1"/>
  <c r="H2091" i="7" s="1"/>
  <c r="H2092" i="7" s="1"/>
  <c r="H2093" i="7" s="1"/>
  <c r="H2094" i="7" s="1"/>
  <c r="H2095" i="7" s="1"/>
  <c r="H2096" i="7" s="1"/>
  <c r="H2097" i="7" s="1"/>
  <c r="H2098" i="7" s="1"/>
  <c r="H2099" i="7" s="1"/>
  <c r="H2100" i="7" s="1"/>
  <c r="H2101" i="7" s="1"/>
  <c r="H2102" i="7" s="1"/>
  <c r="H2103" i="7" s="1"/>
  <c r="H2104" i="7" s="1"/>
  <c r="H2105" i="7" s="1"/>
  <c r="H2106" i="7" s="1"/>
  <c r="H2107" i="7" s="1"/>
  <c r="H2108" i="7" s="1"/>
  <c r="H2109" i="7" s="1"/>
  <c r="H2110" i="7" s="1"/>
  <c r="H2111" i="7" s="1"/>
  <c r="H2112" i="7" s="1"/>
  <c r="H2113" i="7" s="1"/>
  <c r="H2114" i="7" s="1"/>
  <c r="H2115" i="7" s="1"/>
  <c r="H2116" i="7" s="1"/>
  <c r="H2117" i="7" s="1"/>
  <c r="H2118" i="7" s="1"/>
  <c r="H2119" i="7" s="1"/>
  <c r="H2120" i="7" s="1"/>
  <c r="H2121" i="7" s="1"/>
  <c r="H2122" i="7" s="1"/>
  <c r="H2123" i="7" s="1"/>
  <c r="H2124" i="7" s="1"/>
  <c r="H2125" i="7" s="1"/>
  <c r="H2126" i="7" s="1"/>
  <c r="H2127" i="7" s="1"/>
  <c r="H2128" i="7" s="1"/>
  <c r="H2129" i="7" s="1"/>
  <c r="H2130" i="7" s="1"/>
  <c r="H2131" i="7" s="1"/>
  <c r="H2132" i="7" s="1"/>
  <c r="H2133" i="7" s="1"/>
  <c r="H2134" i="7" s="1"/>
  <c r="H2135" i="7" s="1"/>
  <c r="H2136" i="7" s="1"/>
  <c r="H2137" i="7" s="1"/>
  <c r="H2138" i="7" s="1"/>
  <c r="H2139" i="7" s="1"/>
  <c r="H2140" i="7" s="1"/>
  <c r="H2141" i="7" s="1"/>
  <c r="H2142" i="7" s="1"/>
  <c r="H2143" i="7" s="1"/>
  <c r="H2144" i="7" s="1"/>
  <c r="H2145" i="7" s="1"/>
  <c r="H2146" i="7" s="1"/>
  <c r="H2147" i="7" s="1"/>
  <c r="H2148" i="7" s="1"/>
  <c r="H2149" i="7" s="1"/>
  <c r="G2" i="7"/>
  <c r="I798" i="7"/>
  <c r="I774" i="7"/>
  <c r="I710" i="7"/>
  <c r="I638" i="7"/>
  <c r="I630" i="7"/>
  <c r="I566" i="7"/>
  <c r="I254" i="7"/>
  <c r="I222" i="7"/>
  <c r="I214" i="7"/>
  <c r="I46" i="7"/>
  <c r="I4" i="7"/>
  <c r="O9" i="7"/>
  <c r="S2" i="7" s="1"/>
  <c r="H2" i="5"/>
  <c r="E2" i="5"/>
  <c r="H3" i="5" s="1"/>
  <c r="K2" i="7" l="1"/>
  <c r="L2" i="7" s="1"/>
  <c r="G3" i="7"/>
  <c r="Q9" i="7"/>
  <c r="N2" i="7" l="1"/>
  <c r="M2" i="7"/>
  <c r="K3" i="7"/>
  <c r="L3" i="7" s="1"/>
  <c r="G4" i="7"/>
  <c r="G5" i="7" l="1"/>
  <c r="K4" i="7"/>
  <c r="L4" i="7" s="1"/>
  <c r="N3" i="7"/>
  <c r="M3" i="7"/>
  <c r="G6" i="7" l="1"/>
  <c r="K5" i="7"/>
  <c r="L5" i="7" s="1"/>
  <c r="N4" i="7"/>
  <c r="M4" i="7"/>
  <c r="G7" i="7" l="1"/>
  <c r="K6" i="7"/>
  <c r="L6" i="7" s="1"/>
  <c r="N5" i="7"/>
  <c r="M5" i="7"/>
  <c r="N6" i="7" l="1"/>
  <c r="M6" i="7"/>
  <c r="G8" i="7"/>
  <c r="K7" i="7"/>
  <c r="L7" i="7" s="1"/>
  <c r="N7" i="7" l="1"/>
  <c r="M7" i="7"/>
  <c r="G9" i="7"/>
  <c r="K8" i="7"/>
  <c r="L8" i="7" s="1"/>
  <c r="G10" i="7" l="1"/>
  <c r="K9" i="7"/>
  <c r="L9" i="7" s="1"/>
  <c r="N8" i="7"/>
  <c r="M8" i="7"/>
  <c r="N9" i="7" l="1"/>
  <c r="M9" i="7"/>
  <c r="K10" i="7"/>
  <c r="L10" i="7" s="1"/>
  <c r="G11" i="7"/>
  <c r="N10" i="7" l="1"/>
  <c r="M10" i="7"/>
  <c r="G12" i="7"/>
  <c r="K11" i="7"/>
  <c r="L11" i="7" s="1"/>
  <c r="N11" i="7" l="1"/>
  <c r="M11" i="7"/>
  <c r="G13" i="7"/>
  <c r="K12" i="7"/>
  <c r="L12" i="7" s="1"/>
  <c r="G14" i="7" l="1"/>
  <c r="K13" i="7"/>
  <c r="L13" i="7" s="1"/>
  <c r="N12" i="7"/>
  <c r="M12" i="7"/>
  <c r="N13" i="7" l="1"/>
  <c r="M13" i="7"/>
  <c r="G15" i="7"/>
  <c r="K14" i="7"/>
  <c r="L14" i="7" s="1"/>
  <c r="M14" i="7" l="1"/>
  <c r="N14" i="7"/>
  <c r="G16" i="7"/>
  <c r="K15" i="7"/>
  <c r="L15" i="7" s="1"/>
  <c r="N15" i="7" l="1"/>
  <c r="M15" i="7"/>
  <c r="G17" i="7"/>
  <c r="K16" i="7"/>
  <c r="L16" i="7" s="1"/>
  <c r="N16" i="7" l="1"/>
  <c r="M16" i="7"/>
  <c r="G18" i="7"/>
  <c r="K17" i="7"/>
  <c r="L17" i="7" s="1"/>
  <c r="N17" i="7" l="1"/>
  <c r="M17" i="7"/>
  <c r="G19" i="7"/>
  <c r="K18" i="7"/>
  <c r="L18" i="7" s="1"/>
  <c r="N18" i="7" l="1"/>
  <c r="M18" i="7"/>
  <c r="G20" i="7"/>
  <c r="K19" i="7"/>
  <c r="L19" i="7" s="1"/>
  <c r="N19" i="7" l="1"/>
  <c r="M19" i="7"/>
  <c r="G21" i="7"/>
  <c r="K20" i="7"/>
  <c r="L20" i="7" s="1"/>
  <c r="N20" i="7" l="1"/>
  <c r="M20" i="7"/>
  <c r="G22" i="7"/>
  <c r="K21" i="7"/>
  <c r="L21" i="7" s="1"/>
  <c r="N21" i="7" l="1"/>
  <c r="M21" i="7"/>
  <c r="G23" i="7"/>
  <c r="K22" i="7"/>
  <c r="L22" i="7" s="1"/>
  <c r="N22" i="7" l="1"/>
  <c r="M22" i="7"/>
  <c r="G24" i="7"/>
  <c r="K23" i="7"/>
  <c r="L23" i="7" s="1"/>
  <c r="G25" i="7" l="1"/>
  <c r="K24" i="7"/>
  <c r="L24" i="7" s="1"/>
  <c r="N23" i="7"/>
  <c r="M23" i="7"/>
  <c r="N24" i="7" l="1"/>
  <c r="M24" i="7"/>
  <c r="G26" i="7"/>
  <c r="K25" i="7"/>
  <c r="L25" i="7" s="1"/>
  <c r="N25" i="7" l="1"/>
  <c r="M25" i="7"/>
  <c r="G27" i="7"/>
  <c r="K26" i="7"/>
  <c r="L26" i="7" s="1"/>
  <c r="N26" i="7" l="1"/>
  <c r="M26" i="7"/>
  <c r="G28" i="7"/>
  <c r="K27" i="7"/>
  <c r="L27" i="7" s="1"/>
  <c r="N27" i="7" l="1"/>
  <c r="M27" i="7"/>
  <c r="G29" i="7"/>
  <c r="K28" i="7"/>
  <c r="L28" i="7" s="1"/>
  <c r="G30" i="7" l="1"/>
  <c r="K29" i="7"/>
  <c r="L29" i="7" s="1"/>
  <c r="M28" i="7"/>
  <c r="N28" i="7"/>
  <c r="N29" i="7" l="1"/>
  <c r="M29" i="7"/>
  <c r="G31" i="7"/>
  <c r="K30" i="7"/>
  <c r="L30" i="7" s="1"/>
  <c r="N30" i="7" l="1"/>
  <c r="M30" i="7"/>
  <c r="G32" i="7"/>
  <c r="K31" i="7"/>
  <c r="L31" i="7" s="1"/>
  <c r="N31" i="7" l="1"/>
  <c r="M31" i="7"/>
  <c r="G33" i="7"/>
  <c r="K32" i="7"/>
  <c r="L32" i="7" s="1"/>
  <c r="N32" i="7" l="1"/>
  <c r="M32" i="7"/>
  <c r="G34" i="7"/>
  <c r="K33" i="7"/>
  <c r="L33" i="7" s="1"/>
  <c r="G35" i="7" l="1"/>
  <c r="K34" i="7"/>
  <c r="L34" i="7" s="1"/>
  <c r="N33" i="7"/>
  <c r="M33" i="7"/>
  <c r="N34" i="7" l="1"/>
  <c r="M34" i="7"/>
  <c r="G36" i="7"/>
  <c r="K35" i="7"/>
  <c r="L35" i="7" s="1"/>
  <c r="N35" i="7" l="1"/>
  <c r="M35" i="7"/>
  <c r="G37" i="7"/>
  <c r="K36" i="7"/>
  <c r="L36" i="7" s="1"/>
  <c r="N36" i="7" l="1"/>
  <c r="M36" i="7"/>
  <c r="G38" i="7"/>
  <c r="K37" i="7"/>
  <c r="L37" i="7" s="1"/>
  <c r="N37" i="7" l="1"/>
  <c r="M37" i="7"/>
  <c r="G39" i="7"/>
  <c r="K38" i="7"/>
  <c r="L38" i="7" s="1"/>
  <c r="G40" i="7" l="1"/>
  <c r="K39" i="7"/>
  <c r="L39" i="7" s="1"/>
  <c r="N38" i="7"/>
  <c r="M38" i="7"/>
  <c r="N39" i="7" l="1"/>
  <c r="M39" i="7"/>
  <c r="G41" i="7"/>
  <c r="K40" i="7"/>
  <c r="L40" i="7" s="1"/>
  <c r="N40" i="7" l="1"/>
  <c r="M40" i="7"/>
  <c r="G42" i="7"/>
  <c r="K41" i="7"/>
  <c r="L41" i="7" s="1"/>
  <c r="N41" i="7" l="1"/>
  <c r="M41" i="7"/>
  <c r="G43" i="7"/>
  <c r="K42" i="7"/>
  <c r="L42" i="7" s="1"/>
  <c r="N42" i="7" l="1"/>
  <c r="M42" i="7"/>
  <c r="G44" i="7"/>
  <c r="K43" i="7"/>
  <c r="L43" i="7" s="1"/>
  <c r="N43" i="7" l="1"/>
  <c r="M43" i="7"/>
  <c r="G45" i="7"/>
  <c r="K44" i="7"/>
  <c r="L44" i="7" s="1"/>
  <c r="N44" i="7" l="1"/>
  <c r="M44" i="7"/>
  <c r="G46" i="7"/>
  <c r="K45" i="7"/>
  <c r="L45" i="7" s="1"/>
  <c r="N45" i="7" l="1"/>
  <c r="M45" i="7"/>
  <c r="G47" i="7"/>
  <c r="K46" i="7"/>
  <c r="L46" i="7" s="1"/>
  <c r="N46" i="7" l="1"/>
  <c r="M46" i="7"/>
  <c r="G48" i="7"/>
  <c r="K47" i="7"/>
  <c r="L47" i="7" s="1"/>
  <c r="N47" i="7" l="1"/>
  <c r="M47" i="7"/>
  <c r="G49" i="7"/>
  <c r="K48" i="7"/>
  <c r="L48" i="7" s="1"/>
  <c r="G50" i="7" l="1"/>
  <c r="K49" i="7"/>
  <c r="L49" i="7" s="1"/>
  <c r="N48" i="7"/>
  <c r="M48" i="7"/>
  <c r="G51" i="7" l="1"/>
  <c r="K50" i="7"/>
  <c r="L50" i="7" s="1"/>
  <c r="N49" i="7"/>
  <c r="M49" i="7"/>
  <c r="N50" i="7" l="1"/>
  <c r="M50" i="7"/>
  <c r="G52" i="7"/>
  <c r="K51" i="7"/>
  <c r="L51" i="7" s="1"/>
  <c r="N51" i="7" l="1"/>
  <c r="M51" i="7"/>
  <c r="G53" i="7"/>
  <c r="K52" i="7"/>
  <c r="L52" i="7" s="1"/>
  <c r="N52" i="7" l="1"/>
  <c r="M52" i="7"/>
  <c r="G54" i="7"/>
  <c r="K53" i="7"/>
  <c r="L53" i="7" s="1"/>
  <c r="G55" i="7" l="1"/>
  <c r="K54" i="7"/>
  <c r="L54" i="7" s="1"/>
  <c r="N53" i="7"/>
  <c r="M53" i="7"/>
  <c r="N54" i="7" l="1"/>
  <c r="M54" i="7"/>
  <c r="G56" i="7"/>
  <c r="K55" i="7"/>
  <c r="L55" i="7" s="1"/>
  <c r="G57" i="7" l="1"/>
  <c r="K56" i="7"/>
  <c r="L56" i="7" s="1"/>
  <c r="N55" i="7"/>
  <c r="M55" i="7"/>
  <c r="N56" i="7" l="1"/>
  <c r="M56" i="7"/>
  <c r="G58" i="7"/>
  <c r="K57" i="7"/>
  <c r="L57" i="7" s="1"/>
  <c r="G59" i="7" l="1"/>
  <c r="K58" i="7"/>
  <c r="L58" i="7" s="1"/>
  <c r="N57" i="7"/>
  <c r="M57" i="7"/>
  <c r="N58" i="7" l="1"/>
  <c r="M58" i="7"/>
  <c r="G60" i="7"/>
  <c r="K59" i="7"/>
  <c r="L59" i="7" s="1"/>
  <c r="G61" i="7" l="1"/>
  <c r="K60" i="7"/>
  <c r="L60" i="7" s="1"/>
  <c r="N59" i="7"/>
  <c r="M59" i="7"/>
  <c r="N60" i="7" l="1"/>
  <c r="M60" i="7"/>
  <c r="G62" i="7"/>
  <c r="K61" i="7"/>
  <c r="L61" i="7" s="1"/>
  <c r="N61" i="7" l="1"/>
  <c r="M61" i="7"/>
  <c r="G63" i="7"/>
  <c r="K62" i="7"/>
  <c r="L62" i="7" s="1"/>
  <c r="N62" i="7" l="1"/>
  <c r="M62" i="7"/>
  <c r="G64" i="7"/>
  <c r="K63" i="7"/>
  <c r="L63" i="7" s="1"/>
  <c r="N63" i="7" l="1"/>
  <c r="M63" i="7"/>
  <c r="G65" i="7"/>
  <c r="K64" i="7"/>
  <c r="L64" i="7" s="1"/>
  <c r="N64" i="7" l="1"/>
  <c r="M64" i="7"/>
  <c r="G66" i="7"/>
  <c r="K65" i="7"/>
  <c r="L65" i="7" s="1"/>
  <c r="N65" i="7" l="1"/>
  <c r="M65" i="7"/>
  <c r="G67" i="7"/>
  <c r="K66" i="7"/>
  <c r="L66" i="7" s="1"/>
  <c r="N66" i="7" l="1"/>
  <c r="M66" i="7"/>
  <c r="G68" i="7"/>
  <c r="K67" i="7"/>
  <c r="L67" i="7" s="1"/>
  <c r="N67" i="7" l="1"/>
  <c r="M67" i="7"/>
  <c r="G69" i="7"/>
  <c r="K68" i="7"/>
  <c r="L68" i="7" s="1"/>
  <c r="G70" i="7" l="1"/>
  <c r="K69" i="7"/>
  <c r="L69" i="7" s="1"/>
  <c r="N68" i="7"/>
  <c r="M68" i="7"/>
  <c r="N69" i="7" l="1"/>
  <c r="M69" i="7"/>
  <c r="G71" i="7"/>
  <c r="K70" i="7"/>
  <c r="L70" i="7" s="1"/>
  <c r="G72" i="7" l="1"/>
  <c r="K71" i="7"/>
  <c r="L71" i="7" s="1"/>
  <c r="N70" i="7"/>
  <c r="M70" i="7"/>
  <c r="N71" i="7" l="1"/>
  <c r="M71" i="7"/>
  <c r="G73" i="7"/>
  <c r="K72" i="7"/>
  <c r="L72" i="7" s="1"/>
  <c r="N72" i="7" l="1"/>
  <c r="M72" i="7"/>
  <c r="G74" i="7"/>
  <c r="K73" i="7"/>
  <c r="L73" i="7" s="1"/>
  <c r="G75" i="7" l="1"/>
  <c r="K74" i="7"/>
  <c r="L74" i="7" s="1"/>
  <c r="N73" i="7"/>
  <c r="M73" i="7"/>
  <c r="N74" i="7" l="1"/>
  <c r="M74" i="7"/>
  <c r="G76" i="7"/>
  <c r="K75" i="7"/>
  <c r="L75" i="7" s="1"/>
  <c r="N75" i="7" l="1"/>
  <c r="M75" i="7"/>
  <c r="G77" i="7"/>
  <c r="K76" i="7"/>
  <c r="L76" i="7" s="1"/>
  <c r="N76" i="7" l="1"/>
  <c r="M76" i="7"/>
  <c r="G78" i="7"/>
  <c r="K77" i="7"/>
  <c r="L77" i="7" s="1"/>
  <c r="M77" i="7" l="1"/>
  <c r="N77" i="7"/>
  <c r="G79" i="7"/>
  <c r="K78" i="7"/>
  <c r="L78" i="7" s="1"/>
  <c r="N78" i="7" l="1"/>
  <c r="M78" i="7"/>
  <c r="G80" i="7"/>
  <c r="K79" i="7"/>
  <c r="L79" i="7" s="1"/>
  <c r="G81" i="7" l="1"/>
  <c r="K80" i="7"/>
  <c r="L80" i="7" s="1"/>
  <c r="N79" i="7"/>
  <c r="M79" i="7"/>
  <c r="N80" i="7" l="1"/>
  <c r="M80" i="7"/>
  <c r="G82" i="7"/>
  <c r="K81" i="7"/>
  <c r="L81" i="7" s="1"/>
  <c r="G83" i="7" l="1"/>
  <c r="K82" i="7"/>
  <c r="L82" i="7" s="1"/>
  <c r="N81" i="7"/>
  <c r="M81" i="7"/>
  <c r="N82" i="7" l="1"/>
  <c r="M82" i="7"/>
  <c r="G84" i="7"/>
  <c r="K83" i="7"/>
  <c r="L83" i="7" s="1"/>
  <c r="N83" i="7" l="1"/>
  <c r="M83" i="7"/>
  <c r="G85" i="7"/>
  <c r="K84" i="7"/>
  <c r="L84" i="7" s="1"/>
  <c r="N84" i="7" l="1"/>
  <c r="M84" i="7"/>
  <c r="G86" i="7"/>
  <c r="K85" i="7"/>
  <c r="L85" i="7" s="1"/>
  <c r="G87" i="7" l="1"/>
  <c r="K86" i="7"/>
  <c r="L86" i="7" s="1"/>
  <c r="N85" i="7"/>
  <c r="M85" i="7"/>
  <c r="N86" i="7" l="1"/>
  <c r="M86" i="7"/>
  <c r="G88" i="7"/>
  <c r="K87" i="7"/>
  <c r="L87" i="7" s="1"/>
  <c r="N87" i="7" l="1"/>
  <c r="M87" i="7"/>
  <c r="G89" i="7"/>
  <c r="K88" i="7"/>
  <c r="L88" i="7" s="1"/>
  <c r="N88" i="7" l="1"/>
  <c r="M88" i="7"/>
  <c r="G90" i="7"/>
  <c r="K89" i="7"/>
  <c r="L89" i="7" s="1"/>
  <c r="N89" i="7" l="1"/>
  <c r="M89" i="7"/>
  <c r="G91" i="7"/>
  <c r="K90" i="7"/>
  <c r="L90" i="7" s="1"/>
  <c r="G92" i="7" l="1"/>
  <c r="K91" i="7"/>
  <c r="L91" i="7" s="1"/>
  <c r="N90" i="7"/>
  <c r="M90" i="7"/>
  <c r="G93" i="7" l="1"/>
  <c r="K92" i="7"/>
  <c r="L92" i="7" s="1"/>
  <c r="N91" i="7"/>
  <c r="M91" i="7"/>
  <c r="N92" i="7" l="1"/>
  <c r="M92" i="7"/>
  <c r="G94" i="7"/>
  <c r="K93" i="7"/>
  <c r="L93" i="7" s="1"/>
  <c r="N93" i="7" l="1"/>
  <c r="M93" i="7"/>
  <c r="G95" i="7"/>
  <c r="K94" i="7"/>
  <c r="L94" i="7" s="1"/>
  <c r="N94" i="7" l="1"/>
  <c r="M94" i="7"/>
  <c r="G96" i="7"/>
  <c r="K95" i="7"/>
  <c r="L95" i="7" s="1"/>
  <c r="N95" i="7" l="1"/>
  <c r="M95" i="7"/>
  <c r="G97" i="7"/>
  <c r="K96" i="7"/>
  <c r="L96" i="7" s="1"/>
  <c r="N96" i="7" l="1"/>
  <c r="M96" i="7"/>
  <c r="G98" i="7"/>
  <c r="K97" i="7"/>
  <c r="L97" i="7" s="1"/>
  <c r="G99" i="7" l="1"/>
  <c r="K98" i="7"/>
  <c r="L98" i="7" s="1"/>
  <c r="N97" i="7"/>
  <c r="M97" i="7"/>
  <c r="N98" i="7" l="1"/>
  <c r="M98" i="7"/>
  <c r="G100" i="7"/>
  <c r="K99" i="7"/>
  <c r="L99" i="7" s="1"/>
  <c r="G101" i="7" l="1"/>
  <c r="K100" i="7"/>
  <c r="L100" i="7" s="1"/>
  <c r="N99" i="7"/>
  <c r="M99" i="7"/>
  <c r="N100" i="7" l="1"/>
  <c r="M100" i="7"/>
  <c r="G102" i="7"/>
  <c r="K101" i="7"/>
  <c r="L101" i="7" s="1"/>
  <c r="N101" i="7" l="1"/>
  <c r="M101" i="7"/>
  <c r="G103" i="7"/>
  <c r="K102" i="7"/>
  <c r="L102" i="7" s="1"/>
  <c r="G104" i="7" l="1"/>
  <c r="K103" i="7"/>
  <c r="L103" i="7" s="1"/>
  <c r="N102" i="7"/>
  <c r="M102" i="7"/>
  <c r="G105" i="7" l="1"/>
  <c r="K104" i="7"/>
  <c r="L104" i="7" s="1"/>
  <c r="N103" i="7"/>
  <c r="M103" i="7"/>
  <c r="N104" i="7" l="1"/>
  <c r="M104" i="7"/>
  <c r="G106" i="7"/>
  <c r="K105" i="7"/>
  <c r="L105" i="7" s="1"/>
  <c r="G107" i="7" l="1"/>
  <c r="K106" i="7"/>
  <c r="L106" i="7" s="1"/>
  <c r="N105" i="7"/>
  <c r="M105" i="7"/>
  <c r="N106" i="7" l="1"/>
  <c r="M106" i="7"/>
  <c r="G108" i="7"/>
  <c r="K107" i="7"/>
  <c r="L107" i="7" s="1"/>
  <c r="N107" i="7" l="1"/>
  <c r="M107" i="7"/>
  <c r="G109" i="7"/>
  <c r="K108" i="7"/>
  <c r="L108" i="7" s="1"/>
  <c r="N108" i="7" l="1"/>
  <c r="M108" i="7"/>
  <c r="G110" i="7"/>
  <c r="K109" i="7"/>
  <c r="L109" i="7" s="1"/>
  <c r="G111" i="7" l="1"/>
  <c r="K110" i="7"/>
  <c r="L110" i="7" s="1"/>
  <c r="N109" i="7"/>
  <c r="M109" i="7"/>
  <c r="N110" i="7" l="1"/>
  <c r="M110" i="7"/>
  <c r="G112" i="7"/>
  <c r="K111" i="7"/>
  <c r="L111" i="7" s="1"/>
  <c r="N111" i="7" l="1"/>
  <c r="M111" i="7"/>
  <c r="G113" i="7"/>
  <c r="K112" i="7"/>
  <c r="L112" i="7" s="1"/>
  <c r="G114" i="7" l="1"/>
  <c r="K113" i="7"/>
  <c r="L113" i="7" s="1"/>
  <c r="N112" i="7"/>
  <c r="M112" i="7"/>
  <c r="N113" i="7" l="1"/>
  <c r="M113" i="7"/>
  <c r="G115" i="7"/>
  <c r="K114" i="7"/>
  <c r="L114" i="7" s="1"/>
  <c r="G116" i="7" l="1"/>
  <c r="K115" i="7"/>
  <c r="L115" i="7" s="1"/>
  <c r="N114" i="7"/>
  <c r="M114" i="7"/>
  <c r="G117" i="7" l="1"/>
  <c r="K116" i="7"/>
  <c r="L116" i="7" s="1"/>
  <c r="N115" i="7"/>
  <c r="M115" i="7"/>
  <c r="G118" i="7" l="1"/>
  <c r="K117" i="7"/>
  <c r="L117" i="7" s="1"/>
  <c r="N116" i="7"/>
  <c r="M116" i="7"/>
  <c r="N117" i="7" l="1"/>
  <c r="M117" i="7"/>
  <c r="G119" i="7"/>
  <c r="K118" i="7"/>
  <c r="L118" i="7" s="1"/>
  <c r="N118" i="7" l="1"/>
  <c r="M118" i="7"/>
  <c r="G120" i="7"/>
  <c r="K119" i="7"/>
  <c r="L119" i="7" s="1"/>
  <c r="N119" i="7" l="1"/>
  <c r="M119" i="7"/>
  <c r="G121" i="7"/>
  <c r="K120" i="7"/>
  <c r="L120" i="7" s="1"/>
  <c r="N120" i="7" l="1"/>
  <c r="M120" i="7"/>
  <c r="G122" i="7"/>
  <c r="K121" i="7"/>
  <c r="L121" i="7" s="1"/>
  <c r="N121" i="7" l="1"/>
  <c r="M121" i="7"/>
  <c r="G123" i="7"/>
  <c r="K122" i="7"/>
  <c r="L122" i="7" s="1"/>
  <c r="N122" i="7" l="1"/>
  <c r="M122" i="7"/>
  <c r="G124" i="7"/>
  <c r="K123" i="7"/>
  <c r="L123" i="7" s="1"/>
  <c r="G125" i="7" l="1"/>
  <c r="K124" i="7"/>
  <c r="L124" i="7" s="1"/>
  <c r="N123" i="7"/>
  <c r="M123" i="7"/>
  <c r="N124" i="7" l="1"/>
  <c r="M124" i="7"/>
  <c r="G126" i="7"/>
  <c r="K125" i="7"/>
  <c r="L125" i="7" s="1"/>
  <c r="N125" i="7" l="1"/>
  <c r="M125" i="7"/>
  <c r="G127" i="7"/>
  <c r="K126" i="7"/>
  <c r="L126" i="7" s="1"/>
  <c r="G128" i="7" l="1"/>
  <c r="K127" i="7"/>
  <c r="L127" i="7" s="1"/>
  <c r="N126" i="7"/>
  <c r="M126" i="7"/>
  <c r="N127" i="7" l="1"/>
  <c r="M127" i="7"/>
  <c r="G129" i="7"/>
  <c r="K128" i="7"/>
  <c r="L128" i="7" s="1"/>
  <c r="N128" i="7" l="1"/>
  <c r="M128" i="7"/>
  <c r="G130" i="7"/>
  <c r="K129" i="7"/>
  <c r="L129" i="7" s="1"/>
  <c r="G131" i="7" l="1"/>
  <c r="K130" i="7"/>
  <c r="L130" i="7" s="1"/>
  <c r="N129" i="7"/>
  <c r="M129" i="7"/>
  <c r="N130" i="7" l="1"/>
  <c r="M130" i="7"/>
  <c r="G132" i="7"/>
  <c r="K131" i="7"/>
  <c r="L131" i="7" s="1"/>
  <c r="G133" i="7" l="1"/>
  <c r="K132" i="7"/>
  <c r="L132" i="7" s="1"/>
  <c r="N131" i="7"/>
  <c r="M131" i="7"/>
  <c r="N132" i="7" l="1"/>
  <c r="M132" i="7"/>
  <c r="G134" i="7"/>
  <c r="K133" i="7"/>
  <c r="L133" i="7" s="1"/>
  <c r="G135" i="7" l="1"/>
  <c r="K134" i="7"/>
  <c r="L134" i="7" s="1"/>
  <c r="N133" i="7"/>
  <c r="M133" i="7"/>
  <c r="N134" i="7" l="1"/>
  <c r="M134" i="7"/>
  <c r="G136" i="7"/>
  <c r="K135" i="7"/>
  <c r="L135" i="7" s="1"/>
  <c r="N135" i="7" l="1"/>
  <c r="M135" i="7"/>
  <c r="G137" i="7"/>
  <c r="K136" i="7"/>
  <c r="L136" i="7" s="1"/>
  <c r="N136" i="7" l="1"/>
  <c r="M136" i="7"/>
  <c r="G138" i="7"/>
  <c r="K137" i="7"/>
  <c r="L137" i="7" s="1"/>
  <c r="N137" i="7" l="1"/>
  <c r="M137" i="7"/>
  <c r="G139" i="7"/>
  <c r="K138" i="7"/>
  <c r="L138" i="7" s="1"/>
  <c r="N138" i="7" l="1"/>
  <c r="M138" i="7"/>
  <c r="G140" i="7"/>
  <c r="K139" i="7"/>
  <c r="L139" i="7" s="1"/>
  <c r="N139" i="7" l="1"/>
  <c r="M139" i="7"/>
  <c r="G141" i="7"/>
  <c r="K140" i="7"/>
  <c r="L140" i="7" s="1"/>
  <c r="N140" i="7" l="1"/>
  <c r="M140" i="7"/>
  <c r="G142" i="7"/>
  <c r="K141" i="7"/>
  <c r="L141" i="7" s="1"/>
  <c r="N141" i="7" l="1"/>
  <c r="M141" i="7"/>
  <c r="G143" i="7"/>
  <c r="K142" i="7"/>
  <c r="L142" i="7" s="1"/>
  <c r="N142" i="7" l="1"/>
  <c r="M142" i="7"/>
  <c r="G144" i="7"/>
  <c r="K143" i="7"/>
  <c r="L143" i="7" s="1"/>
  <c r="G145" i="7" l="1"/>
  <c r="K144" i="7"/>
  <c r="L144" i="7" s="1"/>
  <c r="N143" i="7"/>
  <c r="M143" i="7"/>
  <c r="N144" i="7" l="1"/>
  <c r="M144" i="7"/>
  <c r="G146" i="7"/>
  <c r="K145" i="7"/>
  <c r="L145" i="7" s="1"/>
  <c r="G147" i="7" l="1"/>
  <c r="K146" i="7"/>
  <c r="L146" i="7" s="1"/>
  <c r="N145" i="7"/>
  <c r="M145" i="7"/>
  <c r="N146" i="7" l="1"/>
  <c r="M146" i="7"/>
  <c r="G148" i="7"/>
  <c r="K147" i="7"/>
  <c r="L147" i="7" s="1"/>
  <c r="G149" i="7" l="1"/>
  <c r="K148" i="7"/>
  <c r="L148" i="7" s="1"/>
  <c r="N147" i="7"/>
  <c r="M147" i="7"/>
  <c r="N148" i="7" l="1"/>
  <c r="M148" i="7"/>
  <c r="G150" i="7"/>
  <c r="K149" i="7"/>
  <c r="L149" i="7" s="1"/>
  <c r="N149" i="7" l="1"/>
  <c r="M149" i="7"/>
  <c r="G151" i="7"/>
  <c r="K150" i="7"/>
  <c r="L150" i="7" s="1"/>
  <c r="N150" i="7" l="1"/>
  <c r="M150" i="7"/>
  <c r="G152" i="7"/>
  <c r="K151" i="7"/>
  <c r="L151" i="7" s="1"/>
  <c r="N151" i="7" l="1"/>
  <c r="M151" i="7"/>
  <c r="G153" i="7"/>
  <c r="K152" i="7"/>
  <c r="L152" i="7" s="1"/>
  <c r="N152" i="7" l="1"/>
  <c r="M152" i="7"/>
  <c r="G154" i="7"/>
  <c r="K153" i="7"/>
  <c r="L153" i="7" s="1"/>
  <c r="N153" i="7" l="1"/>
  <c r="M153" i="7"/>
  <c r="G155" i="7"/>
  <c r="K154" i="7"/>
  <c r="L154" i="7" s="1"/>
  <c r="N154" i="7" l="1"/>
  <c r="M154" i="7"/>
  <c r="G156" i="7"/>
  <c r="K155" i="7"/>
  <c r="L155" i="7" s="1"/>
  <c r="N155" i="7" l="1"/>
  <c r="M155" i="7"/>
  <c r="G157" i="7"/>
  <c r="K156" i="7"/>
  <c r="L156" i="7" s="1"/>
  <c r="N156" i="7" l="1"/>
  <c r="M156" i="7"/>
  <c r="G158" i="7"/>
  <c r="K157" i="7"/>
  <c r="L157" i="7" s="1"/>
  <c r="N157" i="7" l="1"/>
  <c r="M157" i="7"/>
  <c r="G159" i="7"/>
  <c r="K158" i="7"/>
  <c r="L158" i="7" s="1"/>
  <c r="N158" i="7" l="1"/>
  <c r="M158" i="7"/>
  <c r="G160" i="7"/>
  <c r="K159" i="7"/>
  <c r="L159" i="7" s="1"/>
  <c r="N159" i="7" l="1"/>
  <c r="M159" i="7"/>
  <c r="G161" i="7"/>
  <c r="K160" i="7"/>
  <c r="L160" i="7" s="1"/>
  <c r="N160" i="7" l="1"/>
  <c r="M160" i="7"/>
  <c r="G162" i="7"/>
  <c r="K161" i="7"/>
  <c r="L161" i="7" s="1"/>
  <c r="G163" i="7" l="1"/>
  <c r="K162" i="7"/>
  <c r="L162" i="7" s="1"/>
  <c r="N161" i="7"/>
  <c r="M161" i="7"/>
  <c r="N162" i="7" l="1"/>
  <c r="M162" i="7"/>
  <c r="G164" i="7"/>
  <c r="K163" i="7"/>
  <c r="L163" i="7" s="1"/>
  <c r="G165" i="7" l="1"/>
  <c r="K164" i="7"/>
  <c r="L164" i="7" s="1"/>
  <c r="N163" i="7"/>
  <c r="M163" i="7"/>
  <c r="N164" i="7" l="1"/>
  <c r="M164" i="7"/>
  <c r="G166" i="7"/>
  <c r="K165" i="7"/>
  <c r="L165" i="7" s="1"/>
  <c r="G167" i="7" l="1"/>
  <c r="K166" i="7"/>
  <c r="L166" i="7" s="1"/>
  <c r="N165" i="7"/>
  <c r="M165" i="7"/>
  <c r="N166" i="7" l="1"/>
  <c r="M166" i="7"/>
  <c r="G168" i="7"/>
  <c r="K167" i="7"/>
  <c r="L167" i="7" s="1"/>
  <c r="G169" i="7" l="1"/>
  <c r="K168" i="7"/>
  <c r="L168" i="7" s="1"/>
  <c r="N167" i="7"/>
  <c r="M167" i="7"/>
  <c r="N168" i="7" l="1"/>
  <c r="M168" i="7"/>
  <c r="G170" i="7"/>
  <c r="K169" i="7"/>
  <c r="L169" i="7" s="1"/>
  <c r="N169" i="7" l="1"/>
  <c r="M169" i="7"/>
  <c r="G171" i="7"/>
  <c r="K170" i="7"/>
  <c r="L170" i="7" s="1"/>
  <c r="G172" i="7" l="1"/>
  <c r="K171" i="7"/>
  <c r="L171" i="7" s="1"/>
  <c r="N170" i="7"/>
  <c r="M170" i="7"/>
  <c r="N171" i="7" l="1"/>
  <c r="M171" i="7"/>
  <c r="G173" i="7"/>
  <c r="K172" i="7"/>
  <c r="L172" i="7" s="1"/>
  <c r="N172" i="7" l="1"/>
  <c r="M172" i="7"/>
  <c r="G174" i="7"/>
  <c r="K173" i="7"/>
  <c r="L173" i="7" s="1"/>
  <c r="N173" i="7" l="1"/>
  <c r="M173" i="7"/>
  <c r="G175" i="7"/>
  <c r="K174" i="7"/>
  <c r="L174" i="7" s="1"/>
  <c r="N174" i="7" l="1"/>
  <c r="M174" i="7"/>
  <c r="G176" i="7"/>
  <c r="K175" i="7"/>
  <c r="L175" i="7" s="1"/>
  <c r="N175" i="7" l="1"/>
  <c r="M175" i="7"/>
  <c r="G177" i="7"/>
  <c r="K176" i="7"/>
  <c r="L176" i="7" s="1"/>
  <c r="N176" i="7" l="1"/>
  <c r="M176" i="7"/>
  <c r="G178" i="7"/>
  <c r="K177" i="7"/>
  <c r="L177" i="7" s="1"/>
  <c r="N177" i="7" l="1"/>
  <c r="M177" i="7"/>
  <c r="G179" i="7"/>
  <c r="K178" i="7"/>
  <c r="L178" i="7" s="1"/>
  <c r="N178" i="7" l="1"/>
  <c r="M178" i="7"/>
  <c r="G180" i="7"/>
  <c r="K179" i="7"/>
  <c r="L179" i="7" s="1"/>
  <c r="N179" i="7" l="1"/>
  <c r="M179" i="7"/>
  <c r="G181" i="7"/>
  <c r="K180" i="7"/>
  <c r="L180" i="7" s="1"/>
  <c r="N180" i="7" l="1"/>
  <c r="M180" i="7"/>
  <c r="G182" i="7"/>
  <c r="K181" i="7"/>
  <c r="L181" i="7" s="1"/>
  <c r="N181" i="7" l="1"/>
  <c r="M181" i="7"/>
  <c r="G183" i="7"/>
  <c r="K182" i="7"/>
  <c r="L182" i="7" s="1"/>
  <c r="N182" i="7" l="1"/>
  <c r="M182" i="7"/>
  <c r="G184" i="7"/>
  <c r="K183" i="7"/>
  <c r="L183" i="7" s="1"/>
  <c r="G185" i="7" l="1"/>
  <c r="K184" i="7"/>
  <c r="L184" i="7" s="1"/>
  <c r="N183" i="7"/>
  <c r="M183" i="7"/>
  <c r="N184" i="7" l="1"/>
  <c r="M184" i="7"/>
  <c r="G186" i="7"/>
  <c r="K185" i="7"/>
  <c r="L185" i="7" s="1"/>
  <c r="N185" i="7" l="1"/>
  <c r="M185" i="7"/>
  <c r="G187" i="7"/>
  <c r="K186" i="7"/>
  <c r="L186" i="7" s="1"/>
  <c r="N186" i="7" l="1"/>
  <c r="M186" i="7"/>
  <c r="G188" i="7"/>
  <c r="K187" i="7"/>
  <c r="L187" i="7" s="1"/>
  <c r="N187" i="7" l="1"/>
  <c r="M187" i="7"/>
  <c r="G189" i="7"/>
  <c r="K188" i="7"/>
  <c r="L188" i="7" s="1"/>
  <c r="G190" i="7" l="1"/>
  <c r="K189" i="7"/>
  <c r="L189" i="7" s="1"/>
  <c r="N188" i="7"/>
  <c r="M188" i="7"/>
  <c r="N189" i="7" l="1"/>
  <c r="M189" i="7"/>
  <c r="G191" i="7"/>
  <c r="K190" i="7"/>
  <c r="L190" i="7" s="1"/>
  <c r="N190" i="7" l="1"/>
  <c r="M190" i="7"/>
  <c r="G192" i="7"/>
  <c r="K191" i="7"/>
  <c r="L191" i="7" s="1"/>
  <c r="N191" i="7" l="1"/>
  <c r="M191" i="7"/>
  <c r="G193" i="7"/>
  <c r="K192" i="7"/>
  <c r="L192" i="7" s="1"/>
  <c r="G194" i="7" l="1"/>
  <c r="K193" i="7"/>
  <c r="L193" i="7" s="1"/>
  <c r="N192" i="7"/>
  <c r="M192" i="7"/>
  <c r="G195" i="7" l="1"/>
  <c r="K194" i="7"/>
  <c r="L194" i="7" s="1"/>
  <c r="N193" i="7"/>
  <c r="M193" i="7"/>
  <c r="G196" i="7" l="1"/>
  <c r="K195" i="7"/>
  <c r="L195" i="7" s="1"/>
  <c r="N194" i="7"/>
  <c r="M194" i="7"/>
  <c r="N195" i="7" l="1"/>
  <c r="M195" i="7"/>
  <c r="G197" i="7"/>
  <c r="K196" i="7"/>
  <c r="L196" i="7" s="1"/>
  <c r="N196" i="7" l="1"/>
  <c r="M196" i="7"/>
  <c r="G198" i="7"/>
  <c r="K197" i="7"/>
  <c r="L197" i="7" s="1"/>
  <c r="N197" i="7" l="1"/>
  <c r="M197" i="7"/>
  <c r="G199" i="7"/>
  <c r="K198" i="7"/>
  <c r="L198" i="7" s="1"/>
  <c r="G200" i="7" l="1"/>
  <c r="K199" i="7"/>
  <c r="L199" i="7" s="1"/>
  <c r="N198" i="7"/>
  <c r="M198" i="7"/>
  <c r="N199" i="7" l="1"/>
  <c r="M199" i="7"/>
  <c r="G201" i="7"/>
  <c r="K200" i="7"/>
  <c r="L200" i="7" s="1"/>
  <c r="N200" i="7" l="1"/>
  <c r="M200" i="7"/>
  <c r="G202" i="7"/>
  <c r="K201" i="7"/>
  <c r="L201" i="7" s="1"/>
  <c r="G203" i="7" l="1"/>
  <c r="K202" i="7"/>
  <c r="L202" i="7" s="1"/>
  <c r="N201" i="7"/>
  <c r="M201" i="7"/>
  <c r="N202" i="7" l="1"/>
  <c r="M202" i="7"/>
  <c r="G204" i="7"/>
  <c r="K203" i="7"/>
  <c r="L203" i="7" s="1"/>
  <c r="N203" i="7" l="1"/>
  <c r="M203" i="7"/>
  <c r="G205" i="7"/>
  <c r="K204" i="7"/>
  <c r="L204" i="7" s="1"/>
  <c r="N204" i="7" l="1"/>
  <c r="M204" i="7"/>
  <c r="G206" i="7"/>
  <c r="K205" i="7"/>
  <c r="L205" i="7" s="1"/>
  <c r="M205" i="7" l="1"/>
  <c r="N205" i="7"/>
  <c r="G207" i="7"/>
  <c r="K206" i="7"/>
  <c r="L206" i="7" s="1"/>
  <c r="N206" i="7" l="1"/>
  <c r="M206" i="7"/>
  <c r="G208" i="7"/>
  <c r="K207" i="7"/>
  <c r="L207" i="7" s="1"/>
  <c r="N207" i="7" l="1"/>
  <c r="M207" i="7"/>
  <c r="G209" i="7"/>
  <c r="K208" i="7"/>
  <c r="L208" i="7" s="1"/>
  <c r="N208" i="7" l="1"/>
  <c r="M208" i="7"/>
  <c r="G210" i="7"/>
  <c r="K209" i="7"/>
  <c r="L209" i="7" s="1"/>
  <c r="N209" i="7" l="1"/>
  <c r="M209" i="7"/>
  <c r="G211" i="7"/>
  <c r="K210" i="7"/>
  <c r="L210" i="7" s="1"/>
  <c r="N210" i="7" l="1"/>
  <c r="M210" i="7"/>
  <c r="G212" i="7"/>
  <c r="K211" i="7"/>
  <c r="L211" i="7" s="1"/>
  <c r="G213" i="7" l="1"/>
  <c r="K212" i="7"/>
  <c r="L212" i="7" s="1"/>
  <c r="N211" i="7"/>
  <c r="M211" i="7"/>
  <c r="G214" i="7" l="1"/>
  <c r="K213" i="7"/>
  <c r="L213" i="7" s="1"/>
  <c r="N212" i="7"/>
  <c r="M212" i="7"/>
  <c r="M213" i="7" l="1"/>
  <c r="N213" i="7"/>
  <c r="G215" i="7"/>
  <c r="K214" i="7"/>
  <c r="L214" i="7" s="1"/>
  <c r="N214" i="7" l="1"/>
  <c r="M214" i="7"/>
  <c r="G216" i="7"/>
  <c r="K215" i="7"/>
  <c r="L215" i="7" s="1"/>
  <c r="N215" i="7" l="1"/>
  <c r="M215" i="7"/>
  <c r="G217" i="7"/>
  <c r="K216" i="7"/>
  <c r="L216" i="7" s="1"/>
  <c r="N216" i="7" l="1"/>
  <c r="M216" i="7"/>
  <c r="G218" i="7"/>
  <c r="K217" i="7"/>
  <c r="L217" i="7" s="1"/>
  <c r="G219" i="7" l="1"/>
  <c r="K218" i="7"/>
  <c r="L218" i="7" s="1"/>
  <c r="N217" i="7"/>
  <c r="M217" i="7"/>
  <c r="N218" i="7" l="1"/>
  <c r="M218" i="7"/>
  <c r="G220" i="7"/>
  <c r="K219" i="7"/>
  <c r="L219" i="7" s="1"/>
  <c r="G221" i="7" l="1"/>
  <c r="K220" i="7"/>
  <c r="L220" i="7" s="1"/>
  <c r="N219" i="7"/>
  <c r="M219" i="7"/>
  <c r="G222" i="7" l="1"/>
  <c r="K221" i="7"/>
  <c r="L221" i="7" s="1"/>
  <c r="N220" i="7"/>
  <c r="M220" i="7"/>
  <c r="N221" i="7" l="1"/>
  <c r="M221" i="7"/>
  <c r="G223" i="7"/>
  <c r="K222" i="7"/>
  <c r="L222" i="7" s="1"/>
  <c r="N222" i="7" l="1"/>
  <c r="M222" i="7"/>
  <c r="G224" i="7"/>
  <c r="K223" i="7"/>
  <c r="L223" i="7" s="1"/>
  <c r="N223" i="7" l="1"/>
  <c r="M223" i="7"/>
  <c r="G225" i="7"/>
  <c r="K224" i="7"/>
  <c r="L224" i="7" s="1"/>
  <c r="N224" i="7" l="1"/>
  <c r="M224" i="7"/>
  <c r="G226" i="7"/>
  <c r="K225" i="7"/>
  <c r="L225" i="7" s="1"/>
  <c r="N225" i="7" l="1"/>
  <c r="M225" i="7"/>
  <c r="G227" i="7"/>
  <c r="K226" i="7"/>
  <c r="L226" i="7" s="1"/>
  <c r="N226" i="7" l="1"/>
  <c r="M226" i="7"/>
  <c r="G228" i="7"/>
  <c r="K227" i="7"/>
  <c r="L227" i="7" s="1"/>
  <c r="N227" i="7" l="1"/>
  <c r="M227" i="7"/>
  <c r="G229" i="7"/>
  <c r="K228" i="7"/>
  <c r="L228" i="7" s="1"/>
  <c r="N228" i="7" l="1"/>
  <c r="M228" i="7"/>
  <c r="G230" i="7"/>
  <c r="K229" i="7"/>
  <c r="L229" i="7" s="1"/>
  <c r="N229" i="7" l="1"/>
  <c r="M229" i="7"/>
  <c r="G231" i="7"/>
  <c r="K230" i="7"/>
  <c r="L230" i="7" s="1"/>
  <c r="N230" i="7" l="1"/>
  <c r="M230" i="7"/>
  <c r="G232" i="7"/>
  <c r="K231" i="7"/>
  <c r="L231" i="7" s="1"/>
  <c r="N231" i="7" l="1"/>
  <c r="M231" i="7"/>
  <c r="G233" i="7"/>
  <c r="K232" i="7"/>
  <c r="L232" i="7" s="1"/>
  <c r="N232" i="7" l="1"/>
  <c r="M232" i="7"/>
  <c r="G234" i="7"/>
  <c r="K233" i="7"/>
  <c r="L233" i="7" s="1"/>
  <c r="N233" i="7" l="1"/>
  <c r="M233" i="7"/>
  <c r="G235" i="7"/>
  <c r="K234" i="7"/>
  <c r="L234" i="7" s="1"/>
  <c r="G236" i="7" l="1"/>
  <c r="K235" i="7"/>
  <c r="L235" i="7" s="1"/>
  <c r="N234" i="7"/>
  <c r="M234" i="7"/>
  <c r="N235" i="7" l="1"/>
  <c r="M235" i="7"/>
  <c r="G237" i="7"/>
  <c r="K236" i="7"/>
  <c r="L236" i="7" s="1"/>
  <c r="N236" i="7" l="1"/>
  <c r="M236" i="7"/>
  <c r="G238" i="7"/>
  <c r="K237" i="7"/>
  <c r="L237" i="7" s="1"/>
  <c r="N237" i="7" l="1"/>
  <c r="M237" i="7"/>
  <c r="G239" i="7"/>
  <c r="K238" i="7"/>
  <c r="L238" i="7" s="1"/>
  <c r="N238" i="7" l="1"/>
  <c r="M238" i="7"/>
  <c r="G240" i="7"/>
  <c r="K239" i="7"/>
  <c r="L239" i="7" s="1"/>
  <c r="N239" i="7" l="1"/>
  <c r="M239" i="7"/>
  <c r="G241" i="7"/>
  <c r="K240" i="7"/>
  <c r="L240" i="7" s="1"/>
  <c r="N240" i="7" l="1"/>
  <c r="M240" i="7"/>
  <c r="G242" i="7"/>
  <c r="K241" i="7"/>
  <c r="L241" i="7" s="1"/>
  <c r="N241" i="7" l="1"/>
  <c r="M241" i="7"/>
  <c r="G243" i="7"/>
  <c r="K242" i="7"/>
  <c r="L242" i="7" s="1"/>
  <c r="N242" i="7" l="1"/>
  <c r="M242" i="7"/>
  <c r="G244" i="7"/>
  <c r="K243" i="7"/>
  <c r="L243" i="7" s="1"/>
  <c r="N243" i="7" l="1"/>
  <c r="M243" i="7"/>
  <c r="G245" i="7"/>
  <c r="K244" i="7"/>
  <c r="L244" i="7" s="1"/>
  <c r="N244" i="7" l="1"/>
  <c r="M244" i="7"/>
  <c r="G246" i="7"/>
  <c r="K245" i="7"/>
  <c r="L245" i="7" s="1"/>
  <c r="N245" i="7" l="1"/>
  <c r="M245" i="7"/>
  <c r="G247" i="7"/>
  <c r="K246" i="7"/>
  <c r="L246" i="7" s="1"/>
  <c r="G248" i="7" l="1"/>
  <c r="K247" i="7"/>
  <c r="L247" i="7" s="1"/>
  <c r="M246" i="7"/>
  <c r="N246" i="7"/>
  <c r="N247" i="7" l="1"/>
  <c r="M247" i="7"/>
  <c r="G249" i="7"/>
  <c r="K248" i="7"/>
  <c r="L248" i="7" s="1"/>
  <c r="N248" i="7" l="1"/>
  <c r="M248" i="7"/>
  <c r="G250" i="7"/>
  <c r="K249" i="7"/>
  <c r="L249" i="7" s="1"/>
  <c r="N249" i="7" l="1"/>
  <c r="M249" i="7"/>
  <c r="G251" i="7"/>
  <c r="K250" i="7"/>
  <c r="L250" i="7" s="1"/>
  <c r="G252" i="7" l="1"/>
  <c r="K251" i="7"/>
  <c r="L251" i="7" s="1"/>
  <c r="N250" i="7"/>
  <c r="M250" i="7"/>
  <c r="N251" i="7" l="1"/>
  <c r="M251" i="7"/>
  <c r="G253" i="7"/>
  <c r="K252" i="7"/>
  <c r="L252" i="7" s="1"/>
  <c r="G254" i="7" l="1"/>
  <c r="K253" i="7"/>
  <c r="L253" i="7" s="1"/>
  <c r="N252" i="7"/>
  <c r="M252" i="7"/>
  <c r="N253" i="7" l="1"/>
  <c r="M253" i="7"/>
  <c r="G255" i="7"/>
  <c r="K254" i="7"/>
  <c r="L254" i="7" s="1"/>
  <c r="N254" i="7" l="1"/>
  <c r="M254" i="7"/>
  <c r="G256" i="7"/>
  <c r="K255" i="7"/>
  <c r="L255" i="7" s="1"/>
  <c r="N255" i="7" l="1"/>
  <c r="M255" i="7"/>
  <c r="G257" i="7"/>
  <c r="K256" i="7"/>
  <c r="L256" i="7" s="1"/>
  <c r="G258" i="7" l="1"/>
  <c r="K257" i="7"/>
  <c r="L257" i="7" s="1"/>
  <c r="N256" i="7"/>
  <c r="M256" i="7"/>
  <c r="N257" i="7" l="1"/>
  <c r="M257" i="7"/>
  <c r="G259" i="7"/>
  <c r="K258" i="7"/>
  <c r="L258" i="7" s="1"/>
  <c r="G260" i="7" l="1"/>
  <c r="K259" i="7"/>
  <c r="L259" i="7" s="1"/>
  <c r="N258" i="7"/>
  <c r="M258" i="7"/>
  <c r="G261" i="7" l="1"/>
  <c r="K260" i="7"/>
  <c r="L260" i="7" s="1"/>
  <c r="N259" i="7"/>
  <c r="M259" i="7"/>
  <c r="G262" i="7" l="1"/>
  <c r="K261" i="7"/>
  <c r="L261" i="7" s="1"/>
  <c r="N260" i="7"/>
  <c r="M260" i="7"/>
  <c r="N261" i="7" l="1"/>
  <c r="M261" i="7"/>
  <c r="G263" i="7"/>
  <c r="K262" i="7"/>
  <c r="L262" i="7" s="1"/>
  <c r="N262" i="7" l="1"/>
  <c r="M262" i="7"/>
  <c r="G264" i="7"/>
  <c r="K263" i="7"/>
  <c r="L263" i="7" s="1"/>
  <c r="N263" i="7" l="1"/>
  <c r="M263" i="7"/>
  <c r="G265" i="7"/>
  <c r="K264" i="7"/>
  <c r="L264" i="7" s="1"/>
  <c r="N264" i="7" l="1"/>
  <c r="M264" i="7"/>
  <c r="G266" i="7"/>
  <c r="K265" i="7"/>
  <c r="L265" i="7" s="1"/>
  <c r="N265" i="7" l="1"/>
  <c r="M265" i="7"/>
  <c r="G267" i="7"/>
  <c r="K266" i="7"/>
  <c r="L266" i="7" s="1"/>
  <c r="G268" i="7" l="1"/>
  <c r="K267" i="7"/>
  <c r="L267" i="7" s="1"/>
  <c r="N266" i="7"/>
  <c r="M266" i="7"/>
  <c r="G269" i="7" l="1"/>
  <c r="K268" i="7"/>
  <c r="L268" i="7" s="1"/>
  <c r="N267" i="7"/>
  <c r="M267" i="7"/>
  <c r="G270" i="7" l="1"/>
  <c r="K269" i="7"/>
  <c r="L269" i="7" s="1"/>
  <c r="N268" i="7"/>
  <c r="M268" i="7"/>
  <c r="N269" i="7" l="1"/>
  <c r="M269" i="7"/>
  <c r="G271" i="7"/>
  <c r="K270" i="7"/>
  <c r="L270" i="7" s="1"/>
  <c r="N270" i="7" l="1"/>
  <c r="M270" i="7"/>
  <c r="G272" i="7"/>
  <c r="K271" i="7"/>
  <c r="L271" i="7" s="1"/>
  <c r="N271" i="7" l="1"/>
  <c r="M271" i="7"/>
  <c r="G273" i="7"/>
  <c r="K272" i="7"/>
  <c r="L272" i="7" s="1"/>
  <c r="N272" i="7" l="1"/>
  <c r="M272" i="7"/>
  <c r="G274" i="7"/>
  <c r="K273" i="7"/>
  <c r="L273" i="7" s="1"/>
  <c r="N273" i="7" l="1"/>
  <c r="M273" i="7"/>
  <c r="G275" i="7"/>
  <c r="K274" i="7"/>
  <c r="L274" i="7" s="1"/>
  <c r="N274" i="7" l="1"/>
  <c r="M274" i="7"/>
  <c r="G276" i="7"/>
  <c r="K275" i="7"/>
  <c r="L275" i="7" s="1"/>
  <c r="N275" i="7" l="1"/>
  <c r="M275" i="7"/>
  <c r="G277" i="7"/>
  <c r="K276" i="7"/>
  <c r="L276" i="7" s="1"/>
  <c r="G278" i="7" l="1"/>
  <c r="K277" i="7"/>
  <c r="L277" i="7" s="1"/>
  <c r="N276" i="7"/>
  <c r="M276" i="7"/>
  <c r="M277" i="7" l="1"/>
  <c r="N277" i="7"/>
  <c r="G279" i="7"/>
  <c r="K278" i="7"/>
  <c r="L278" i="7" s="1"/>
  <c r="N278" i="7" l="1"/>
  <c r="M278" i="7"/>
  <c r="G280" i="7"/>
  <c r="K279" i="7"/>
  <c r="L279" i="7" s="1"/>
  <c r="G281" i="7" l="1"/>
  <c r="K280" i="7"/>
  <c r="L280" i="7" s="1"/>
  <c r="N279" i="7"/>
  <c r="M279" i="7"/>
  <c r="N280" i="7" l="1"/>
  <c r="M280" i="7"/>
  <c r="G282" i="7"/>
  <c r="K281" i="7"/>
  <c r="L281" i="7" s="1"/>
  <c r="N281" i="7" l="1"/>
  <c r="M281" i="7"/>
  <c r="G283" i="7"/>
  <c r="K282" i="7"/>
  <c r="L282" i="7" s="1"/>
  <c r="N282" i="7" l="1"/>
  <c r="M282" i="7"/>
  <c r="G284" i="7"/>
  <c r="K283" i="7"/>
  <c r="L283" i="7" s="1"/>
  <c r="N283" i="7" l="1"/>
  <c r="M283" i="7"/>
  <c r="G285" i="7"/>
  <c r="K284" i="7"/>
  <c r="L284" i="7" s="1"/>
  <c r="N284" i="7" l="1"/>
  <c r="M284" i="7"/>
  <c r="G286" i="7"/>
  <c r="K285" i="7"/>
  <c r="L285" i="7" s="1"/>
  <c r="N285" i="7" l="1"/>
  <c r="M285" i="7"/>
  <c r="G287" i="7"/>
  <c r="K286" i="7"/>
  <c r="L286" i="7" s="1"/>
  <c r="N286" i="7" l="1"/>
  <c r="M286" i="7"/>
  <c r="G288" i="7"/>
  <c r="K287" i="7"/>
  <c r="L287" i="7" s="1"/>
  <c r="N287" i="7" l="1"/>
  <c r="M287" i="7"/>
  <c r="G289" i="7"/>
  <c r="K288" i="7"/>
  <c r="L288" i="7" s="1"/>
  <c r="N288" i="7" l="1"/>
  <c r="M288" i="7"/>
  <c r="G290" i="7"/>
  <c r="K289" i="7"/>
  <c r="L289" i="7" s="1"/>
  <c r="N289" i="7" l="1"/>
  <c r="M289" i="7"/>
  <c r="G291" i="7"/>
  <c r="K290" i="7"/>
  <c r="L290" i="7" s="1"/>
  <c r="N290" i="7" l="1"/>
  <c r="M290" i="7"/>
  <c r="G292" i="7"/>
  <c r="K291" i="7"/>
  <c r="L291" i="7" s="1"/>
  <c r="N291" i="7" l="1"/>
  <c r="M291" i="7"/>
  <c r="G293" i="7"/>
  <c r="K292" i="7"/>
  <c r="L292" i="7" s="1"/>
  <c r="N292" i="7" l="1"/>
  <c r="M292" i="7"/>
  <c r="G294" i="7"/>
  <c r="K293" i="7"/>
  <c r="L293" i="7" s="1"/>
  <c r="N293" i="7" l="1"/>
  <c r="M293" i="7"/>
  <c r="G295" i="7"/>
  <c r="K294" i="7"/>
  <c r="L294" i="7" s="1"/>
  <c r="N294" i="7" l="1"/>
  <c r="M294" i="7"/>
  <c r="G296" i="7"/>
  <c r="K295" i="7"/>
  <c r="L295" i="7" s="1"/>
  <c r="N295" i="7" l="1"/>
  <c r="M295" i="7"/>
  <c r="G297" i="7"/>
  <c r="K296" i="7"/>
  <c r="L296" i="7" s="1"/>
  <c r="G298" i="7" l="1"/>
  <c r="K297" i="7"/>
  <c r="L297" i="7" s="1"/>
  <c r="N296" i="7"/>
  <c r="M296" i="7"/>
  <c r="N297" i="7" l="1"/>
  <c r="M297" i="7"/>
  <c r="G299" i="7"/>
  <c r="K298" i="7"/>
  <c r="L298" i="7" s="1"/>
  <c r="N298" i="7" l="1"/>
  <c r="M298" i="7"/>
  <c r="G300" i="7"/>
  <c r="K299" i="7"/>
  <c r="L299" i="7" s="1"/>
  <c r="N299" i="7" l="1"/>
  <c r="M299" i="7"/>
  <c r="G301" i="7"/>
  <c r="K300" i="7"/>
  <c r="L300" i="7" s="1"/>
  <c r="G302" i="7" l="1"/>
  <c r="K301" i="7"/>
  <c r="L301" i="7" s="1"/>
  <c r="N300" i="7"/>
  <c r="M300" i="7"/>
  <c r="G303" i="7" l="1"/>
  <c r="K302" i="7"/>
  <c r="L302" i="7" s="1"/>
  <c r="N301" i="7"/>
  <c r="M301" i="7"/>
  <c r="G304" i="7" l="1"/>
  <c r="K303" i="7"/>
  <c r="L303" i="7" s="1"/>
  <c r="N302" i="7"/>
  <c r="M302" i="7"/>
  <c r="G305" i="7" l="1"/>
  <c r="K304" i="7"/>
  <c r="L304" i="7" s="1"/>
  <c r="N303" i="7"/>
  <c r="M303" i="7"/>
  <c r="G306" i="7" l="1"/>
  <c r="K305" i="7"/>
  <c r="L305" i="7" s="1"/>
  <c r="N304" i="7"/>
  <c r="M304" i="7"/>
  <c r="G307" i="7" l="1"/>
  <c r="K306" i="7"/>
  <c r="L306" i="7" s="1"/>
  <c r="N305" i="7"/>
  <c r="M305" i="7"/>
  <c r="G308" i="7" l="1"/>
  <c r="K307" i="7"/>
  <c r="L307" i="7" s="1"/>
  <c r="N306" i="7"/>
  <c r="M306" i="7"/>
  <c r="N307" i="7" l="1"/>
  <c r="M307" i="7"/>
  <c r="G309" i="7"/>
  <c r="K308" i="7"/>
  <c r="L308" i="7" s="1"/>
  <c r="N308" i="7" l="1"/>
  <c r="M308" i="7"/>
  <c r="G310" i="7"/>
  <c r="K309" i="7"/>
  <c r="L309" i="7" s="1"/>
  <c r="G311" i="7" l="1"/>
  <c r="K310" i="7"/>
  <c r="L310" i="7" s="1"/>
  <c r="N309" i="7"/>
  <c r="M309" i="7"/>
  <c r="G312" i="7" l="1"/>
  <c r="K311" i="7"/>
  <c r="L311" i="7" s="1"/>
  <c r="N310" i="7"/>
  <c r="M310" i="7"/>
  <c r="G313" i="7" l="1"/>
  <c r="K312" i="7"/>
  <c r="L312" i="7" s="1"/>
  <c r="N311" i="7"/>
  <c r="M311" i="7"/>
  <c r="N312" i="7" l="1"/>
  <c r="M312" i="7"/>
  <c r="G314" i="7"/>
  <c r="K313" i="7"/>
  <c r="L313" i="7" s="1"/>
  <c r="G315" i="7" l="1"/>
  <c r="K314" i="7"/>
  <c r="L314" i="7" s="1"/>
  <c r="N313" i="7"/>
  <c r="M313" i="7"/>
  <c r="G316" i="7" l="1"/>
  <c r="K315" i="7"/>
  <c r="L315" i="7" s="1"/>
  <c r="N314" i="7"/>
  <c r="M314" i="7"/>
  <c r="G317" i="7" l="1"/>
  <c r="K316" i="7"/>
  <c r="L316" i="7" s="1"/>
  <c r="N315" i="7"/>
  <c r="M315" i="7"/>
  <c r="N316" i="7" l="1"/>
  <c r="M316" i="7"/>
  <c r="G318" i="7"/>
  <c r="K317" i="7"/>
  <c r="L317" i="7" s="1"/>
  <c r="N317" i="7" l="1"/>
  <c r="M317" i="7"/>
  <c r="G319" i="7"/>
  <c r="K318" i="7"/>
  <c r="L318" i="7" s="1"/>
  <c r="N318" i="7" l="1"/>
  <c r="M318" i="7"/>
  <c r="G320" i="7"/>
  <c r="K319" i="7"/>
  <c r="L319" i="7" s="1"/>
  <c r="N319" i="7" l="1"/>
  <c r="M319" i="7"/>
  <c r="G321" i="7"/>
  <c r="K320" i="7"/>
  <c r="L320" i="7" s="1"/>
  <c r="N320" i="7" l="1"/>
  <c r="M320" i="7"/>
  <c r="G322" i="7"/>
  <c r="K321" i="7"/>
  <c r="L321" i="7" s="1"/>
  <c r="N321" i="7" l="1"/>
  <c r="M321" i="7"/>
  <c r="G323" i="7"/>
  <c r="K322" i="7"/>
  <c r="L322" i="7" s="1"/>
  <c r="G324" i="7" l="1"/>
  <c r="K323" i="7"/>
  <c r="L323" i="7" s="1"/>
  <c r="N322" i="7"/>
  <c r="M322" i="7"/>
  <c r="N323" i="7" l="1"/>
  <c r="M323" i="7"/>
  <c r="G325" i="7"/>
  <c r="K324" i="7"/>
  <c r="L324" i="7" s="1"/>
  <c r="N324" i="7" l="1"/>
  <c r="M324" i="7"/>
  <c r="G326" i="7"/>
  <c r="K325" i="7"/>
  <c r="L325" i="7" s="1"/>
  <c r="N325" i="7" l="1"/>
  <c r="M325" i="7"/>
  <c r="G327" i="7"/>
  <c r="K326" i="7"/>
  <c r="L326" i="7" s="1"/>
  <c r="G328" i="7" l="1"/>
  <c r="K327" i="7"/>
  <c r="L327" i="7" s="1"/>
  <c r="N326" i="7"/>
  <c r="M326" i="7"/>
  <c r="N327" i="7" l="1"/>
  <c r="M327" i="7"/>
  <c r="G329" i="7"/>
  <c r="K328" i="7"/>
  <c r="L328" i="7" s="1"/>
  <c r="N328" i="7" l="1"/>
  <c r="M328" i="7"/>
  <c r="G330" i="7"/>
  <c r="K329" i="7"/>
  <c r="L329" i="7" s="1"/>
  <c r="N329" i="7" l="1"/>
  <c r="M329" i="7"/>
  <c r="G331" i="7"/>
  <c r="K330" i="7"/>
  <c r="L330" i="7" s="1"/>
  <c r="N330" i="7" l="1"/>
  <c r="M330" i="7"/>
  <c r="G332" i="7"/>
  <c r="K331" i="7"/>
  <c r="L331" i="7" s="1"/>
  <c r="N331" i="7" l="1"/>
  <c r="M331" i="7"/>
  <c r="G333" i="7"/>
  <c r="K332" i="7"/>
  <c r="L332" i="7" s="1"/>
  <c r="G334" i="7" l="1"/>
  <c r="K333" i="7"/>
  <c r="L333" i="7" s="1"/>
  <c r="N332" i="7"/>
  <c r="M332" i="7"/>
  <c r="N333" i="7" l="1"/>
  <c r="M333" i="7"/>
  <c r="G335" i="7"/>
  <c r="K334" i="7"/>
  <c r="L334" i="7" s="1"/>
  <c r="N334" i="7" l="1"/>
  <c r="M334" i="7"/>
  <c r="G336" i="7"/>
  <c r="K335" i="7"/>
  <c r="L335" i="7" s="1"/>
  <c r="N335" i="7" l="1"/>
  <c r="M335" i="7"/>
  <c r="G337" i="7"/>
  <c r="K336" i="7"/>
  <c r="L336" i="7" s="1"/>
  <c r="G338" i="7" l="1"/>
  <c r="K337" i="7"/>
  <c r="L337" i="7" s="1"/>
  <c r="N336" i="7"/>
  <c r="M336" i="7"/>
  <c r="N337" i="7" l="1"/>
  <c r="M337" i="7"/>
  <c r="G339" i="7"/>
  <c r="K338" i="7"/>
  <c r="L338" i="7" s="1"/>
  <c r="N338" i="7" l="1"/>
  <c r="M338" i="7"/>
  <c r="G340" i="7"/>
  <c r="K339" i="7"/>
  <c r="L339" i="7" s="1"/>
  <c r="N339" i="7" l="1"/>
  <c r="M339" i="7"/>
  <c r="G341" i="7"/>
  <c r="K340" i="7"/>
  <c r="L340" i="7" s="1"/>
  <c r="N340" i="7" l="1"/>
  <c r="M340" i="7"/>
  <c r="G342" i="7"/>
  <c r="K341" i="7"/>
  <c r="L341" i="7" s="1"/>
  <c r="N341" i="7" l="1"/>
  <c r="M341" i="7"/>
  <c r="G343" i="7"/>
  <c r="K342" i="7"/>
  <c r="L342" i="7" s="1"/>
  <c r="N342" i="7" l="1"/>
  <c r="M342" i="7"/>
  <c r="G344" i="7"/>
  <c r="K343" i="7"/>
  <c r="L343" i="7" s="1"/>
  <c r="N343" i="7" l="1"/>
  <c r="M343" i="7"/>
  <c r="G345" i="7"/>
  <c r="K344" i="7"/>
  <c r="L344" i="7" s="1"/>
  <c r="N344" i="7" l="1"/>
  <c r="M344" i="7"/>
  <c r="G346" i="7"/>
  <c r="K345" i="7"/>
  <c r="L345" i="7" s="1"/>
  <c r="N345" i="7" l="1"/>
  <c r="M345" i="7"/>
  <c r="G347" i="7"/>
  <c r="K346" i="7"/>
  <c r="L346" i="7" s="1"/>
  <c r="N346" i="7" l="1"/>
  <c r="M346" i="7"/>
  <c r="G348" i="7"/>
  <c r="K347" i="7"/>
  <c r="L347" i="7" s="1"/>
  <c r="N347" i="7" l="1"/>
  <c r="M347" i="7"/>
  <c r="G349" i="7"/>
  <c r="K348" i="7"/>
  <c r="L348" i="7" s="1"/>
  <c r="G350" i="7" l="1"/>
  <c r="K349" i="7"/>
  <c r="L349" i="7" s="1"/>
  <c r="N348" i="7"/>
  <c r="M348" i="7"/>
  <c r="N349" i="7" l="1"/>
  <c r="M349" i="7"/>
  <c r="G351" i="7"/>
  <c r="K350" i="7"/>
  <c r="L350" i="7" s="1"/>
  <c r="N350" i="7" l="1"/>
  <c r="M350" i="7"/>
  <c r="G352" i="7"/>
  <c r="K351" i="7"/>
  <c r="L351" i="7" s="1"/>
  <c r="G353" i="7" l="1"/>
  <c r="K352" i="7"/>
  <c r="L352" i="7" s="1"/>
  <c r="N351" i="7"/>
  <c r="M351" i="7"/>
  <c r="N352" i="7" l="1"/>
  <c r="M352" i="7"/>
  <c r="G354" i="7"/>
  <c r="K353" i="7"/>
  <c r="L353" i="7" s="1"/>
  <c r="G355" i="7" l="1"/>
  <c r="K354" i="7"/>
  <c r="L354" i="7" s="1"/>
  <c r="N353" i="7"/>
  <c r="M353" i="7"/>
  <c r="N354" i="7" l="1"/>
  <c r="M354" i="7"/>
  <c r="G356" i="7"/>
  <c r="K355" i="7"/>
  <c r="L355" i="7" s="1"/>
  <c r="G357" i="7" l="1"/>
  <c r="K356" i="7"/>
  <c r="L356" i="7" s="1"/>
  <c r="N355" i="7"/>
  <c r="M355" i="7"/>
  <c r="N356" i="7" l="1"/>
  <c r="M356" i="7"/>
  <c r="G358" i="7"/>
  <c r="K357" i="7"/>
  <c r="L357" i="7" s="1"/>
  <c r="G359" i="7" l="1"/>
  <c r="K358" i="7"/>
  <c r="L358" i="7" s="1"/>
  <c r="N357" i="7"/>
  <c r="M357" i="7"/>
  <c r="N358" i="7" l="1"/>
  <c r="M358" i="7"/>
  <c r="G360" i="7"/>
  <c r="K359" i="7"/>
  <c r="L359" i="7" s="1"/>
  <c r="G361" i="7" l="1"/>
  <c r="K360" i="7"/>
  <c r="L360" i="7" s="1"/>
  <c r="N359" i="7"/>
  <c r="M359" i="7"/>
  <c r="N360" i="7" l="1"/>
  <c r="M360" i="7"/>
  <c r="G362" i="7"/>
  <c r="K361" i="7"/>
  <c r="L361" i="7" s="1"/>
  <c r="G363" i="7" l="1"/>
  <c r="K362" i="7"/>
  <c r="L362" i="7" s="1"/>
  <c r="N361" i="7"/>
  <c r="M361" i="7"/>
  <c r="N362" i="7" l="1"/>
  <c r="M362" i="7"/>
  <c r="G364" i="7"/>
  <c r="K363" i="7"/>
  <c r="L363" i="7" s="1"/>
  <c r="G365" i="7" l="1"/>
  <c r="K364" i="7"/>
  <c r="L364" i="7" s="1"/>
  <c r="N363" i="7"/>
  <c r="M363" i="7"/>
  <c r="N364" i="7" l="1"/>
  <c r="M364" i="7"/>
  <c r="G366" i="7"/>
  <c r="K365" i="7"/>
  <c r="L365" i="7" s="1"/>
  <c r="N365" i="7" l="1"/>
  <c r="M365" i="7"/>
  <c r="G367" i="7"/>
  <c r="K366" i="7"/>
  <c r="L366" i="7" s="1"/>
  <c r="G368" i="7" l="1"/>
  <c r="K367" i="7"/>
  <c r="L367" i="7" s="1"/>
  <c r="N366" i="7"/>
  <c r="M366" i="7"/>
  <c r="N367" i="7" l="1"/>
  <c r="M367" i="7"/>
  <c r="G369" i="7"/>
  <c r="K368" i="7"/>
  <c r="L368" i="7" s="1"/>
  <c r="N368" i="7" l="1"/>
  <c r="M368" i="7"/>
  <c r="G370" i="7"/>
  <c r="K369" i="7"/>
  <c r="L369" i="7" s="1"/>
  <c r="G371" i="7" l="1"/>
  <c r="K370" i="7"/>
  <c r="L370" i="7" s="1"/>
  <c r="N369" i="7"/>
  <c r="M369" i="7"/>
  <c r="N370" i="7" l="1"/>
  <c r="M370" i="7"/>
  <c r="G372" i="7"/>
  <c r="K371" i="7"/>
  <c r="L371" i="7" s="1"/>
  <c r="N371" i="7" l="1"/>
  <c r="M371" i="7"/>
  <c r="G373" i="7"/>
  <c r="K372" i="7"/>
  <c r="L372" i="7" s="1"/>
  <c r="N372" i="7" l="1"/>
  <c r="M372" i="7"/>
  <c r="G374" i="7"/>
  <c r="K373" i="7"/>
  <c r="L373" i="7" s="1"/>
  <c r="G375" i="7" l="1"/>
  <c r="K374" i="7"/>
  <c r="L374" i="7" s="1"/>
  <c r="N373" i="7"/>
  <c r="M373" i="7"/>
  <c r="N374" i="7" l="1"/>
  <c r="M374" i="7"/>
  <c r="G376" i="7"/>
  <c r="K375" i="7"/>
  <c r="L375" i="7" s="1"/>
  <c r="N375" i="7" l="1"/>
  <c r="M375" i="7"/>
  <c r="G377" i="7"/>
  <c r="K376" i="7"/>
  <c r="L376" i="7" s="1"/>
  <c r="N376" i="7" l="1"/>
  <c r="M376" i="7"/>
  <c r="G378" i="7"/>
  <c r="K377" i="7"/>
  <c r="L377" i="7" s="1"/>
  <c r="N377" i="7" l="1"/>
  <c r="M377" i="7"/>
  <c r="G379" i="7"/>
  <c r="K378" i="7"/>
  <c r="L378" i="7" s="1"/>
  <c r="N378" i="7" l="1"/>
  <c r="M378" i="7"/>
  <c r="G380" i="7"/>
  <c r="K379" i="7"/>
  <c r="L379" i="7" s="1"/>
  <c r="G381" i="7" l="1"/>
  <c r="K380" i="7"/>
  <c r="L380" i="7" s="1"/>
  <c r="N379" i="7"/>
  <c r="M379" i="7"/>
  <c r="N380" i="7" l="1"/>
  <c r="M380" i="7"/>
  <c r="G382" i="7"/>
  <c r="K381" i="7"/>
  <c r="L381" i="7" s="1"/>
  <c r="N381" i="7" l="1"/>
  <c r="M381" i="7"/>
  <c r="G383" i="7"/>
  <c r="K382" i="7"/>
  <c r="L382" i="7" s="1"/>
  <c r="N382" i="7" l="1"/>
  <c r="M382" i="7"/>
  <c r="G384" i="7"/>
  <c r="K383" i="7"/>
  <c r="L383" i="7" s="1"/>
  <c r="N383" i="7" l="1"/>
  <c r="M383" i="7"/>
  <c r="G385" i="7"/>
  <c r="K384" i="7"/>
  <c r="L384" i="7" s="1"/>
  <c r="N384" i="7" l="1"/>
  <c r="M384" i="7"/>
  <c r="G386" i="7"/>
  <c r="K385" i="7"/>
  <c r="L385" i="7" s="1"/>
  <c r="N385" i="7" l="1"/>
  <c r="M385" i="7"/>
  <c r="G387" i="7"/>
  <c r="K386" i="7"/>
  <c r="L386" i="7" s="1"/>
  <c r="N386" i="7" l="1"/>
  <c r="M386" i="7"/>
  <c r="G388" i="7"/>
  <c r="K387" i="7"/>
  <c r="L387" i="7" s="1"/>
  <c r="G389" i="7" l="1"/>
  <c r="K388" i="7"/>
  <c r="L388" i="7" s="1"/>
  <c r="N387" i="7"/>
  <c r="M387" i="7"/>
  <c r="N388" i="7" l="1"/>
  <c r="M388" i="7"/>
  <c r="G390" i="7"/>
  <c r="K389" i="7"/>
  <c r="L389" i="7" s="1"/>
  <c r="N389" i="7" l="1"/>
  <c r="M389" i="7"/>
  <c r="G391" i="7"/>
  <c r="K390" i="7"/>
  <c r="L390" i="7" s="1"/>
  <c r="N390" i="7" l="1"/>
  <c r="M390" i="7"/>
  <c r="G392" i="7"/>
  <c r="K391" i="7"/>
  <c r="L391" i="7" s="1"/>
  <c r="N391" i="7" l="1"/>
  <c r="M391" i="7"/>
  <c r="G393" i="7"/>
  <c r="K392" i="7"/>
  <c r="L392" i="7" s="1"/>
  <c r="N392" i="7" l="1"/>
  <c r="M392" i="7"/>
  <c r="G394" i="7"/>
  <c r="K393" i="7"/>
  <c r="L393" i="7" s="1"/>
  <c r="N393" i="7" l="1"/>
  <c r="M393" i="7"/>
  <c r="G395" i="7"/>
  <c r="K394" i="7"/>
  <c r="L394" i="7" s="1"/>
  <c r="G396" i="7" l="1"/>
  <c r="K395" i="7"/>
  <c r="L395" i="7" s="1"/>
  <c r="N394" i="7"/>
  <c r="M394" i="7"/>
  <c r="N395" i="7" l="1"/>
  <c r="M395" i="7"/>
  <c r="G397" i="7"/>
  <c r="K396" i="7"/>
  <c r="L396" i="7" s="1"/>
  <c r="G398" i="7" l="1"/>
  <c r="K397" i="7"/>
  <c r="L397" i="7" s="1"/>
  <c r="N396" i="7"/>
  <c r="M396" i="7"/>
  <c r="N397" i="7" l="1"/>
  <c r="M397" i="7"/>
  <c r="G399" i="7"/>
  <c r="K398" i="7"/>
  <c r="L398" i="7" s="1"/>
  <c r="G400" i="7" l="1"/>
  <c r="K399" i="7"/>
  <c r="L399" i="7" s="1"/>
  <c r="N398" i="7"/>
  <c r="M398" i="7"/>
  <c r="N399" i="7" l="1"/>
  <c r="M399" i="7"/>
  <c r="G401" i="7"/>
  <c r="K400" i="7"/>
  <c r="L400" i="7" s="1"/>
  <c r="G402" i="7" l="1"/>
  <c r="K401" i="7"/>
  <c r="L401" i="7" s="1"/>
  <c r="N400" i="7"/>
  <c r="M400" i="7"/>
  <c r="N401" i="7" l="1"/>
  <c r="M401" i="7"/>
  <c r="G403" i="7"/>
  <c r="K402" i="7"/>
  <c r="L402" i="7" s="1"/>
  <c r="N402" i="7" l="1"/>
  <c r="M402" i="7"/>
  <c r="G404" i="7"/>
  <c r="K403" i="7"/>
  <c r="L403" i="7" s="1"/>
  <c r="G405" i="7" l="1"/>
  <c r="K404" i="7"/>
  <c r="L404" i="7" s="1"/>
  <c r="N403" i="7"/>
  <c r="M403" i="7"/>
  <c r="N404" i="7" l="1"/>
  <c r="M404" i="7"/>
  <c r="G406" i="7"/>
  <c r="K405" i="7"/>
  <c r="L405" i="7" s="1"/>
  <c r="N405" i="7" l="1"/>
  <c r="M405" i="7"/>
  <c r="G407" i="7"/>
  <c r="K406" i="7"/>
  <c r="L406" i="7" s="1"/>
  <c r="G408" i="7" l="1"/>
  <c r="K407" i="7"/>
  <c r="L407" i="7" s="1"/>
  <c r="N406" i="7"/>
  <c r="M406" i="7"/>
  <c r="N407" i="7" l="1"/>
  <c r="M407" i="7"/>
  <c r="G409" i="7"/>
  <c r="K408" i="7"/>
  <c r="L408" i="7" s="1"/>
  <c r="N408" i="7" l="1"/>
  <c r="M408" i="7"/>
  <c r="G410" i="7"/>
  <c r="K409" i="7"/>
  <c r="L409" i="7" s="1"/>
  <c r="G411" i="7" l="1"/>
  <c r="K410" i="7"/>
  <c r="L410" i="7" s="1"/>
  <c r="N409" i="7"/>
  <c r="M409" i="7"/>
  <c r="N410" i="7" l="1"/>
  <c r="M410" i="7"/>
  <c r="G412" i="7"/>
  <c r="K411" i="7"/>
  <c r="L411" i="7" s="1"/>
  <c r="N411" i="7" l="1"/>
  <c r="M411" i="7"/>
  <c r="G413" i="7"/>
  <c r="K412" i="7"/>
  <c r="L412" i="7" s="1"/>
  <c r="G414" i="7" l="1"/>
  <c r="K413" i="7"/>
  <c r="L413" i="7" s="1"/>
  <c r="N412" i="7"/>
  <c r="M412" i="7"/>
  <c r="N413" i="7" l="1"/>
  <c r="M413" i="7"/>
  <c r="G415" i="7"/>
  <c r="K414" i="7"/>
  <c r="L414" i="7" s="1"/>
  <c r="N414" i="7" l="1"/>
  <c r="M414" i="7"/>
  <c r="G416" i="7"/>
  <c r="K415" i="7"/>
  <c r="L415" i="7" s="1"/>
  <c r="G417" i="7" l="1"/>
  <c r="K416" i="7"/>
  <c r="L416" i="7" s="1"/>
  <c r="M415" i="7"/>
  <c r="N415" i="7"/>
  <c r="N416" i="7" l="1"/>
  <c r="M416" i="7"/>
  <c r="G418" i="7"/>
  <c r="K417" i="7"/>
  <c r="L417" i="7" s="1"/>
  <c r="N417" i="7" l="1"/>
  <c r="M417" i="7"/>
  <c r="G419" i="7"/>
  <c r="K418" i="7"/>
  <c r="L418" i="7" s="1"/>
  <c r="N418" i="7" l="1"/>
  <c r="M418" i="7"/>
  <c r="G420" i="7"/>
  <c r="K419" i="7"/>
  <c r="L419" i="7" s="1"/>
  <c r="N419" i="7" l="1"/>
  <c r="M419" i="7"/>
  <c r="G421" i="7"/>
  <c r="K420" i="7"/>
  <c r="L420" i="7" s="1"/>
  <c r="N420" i="7" l="1"/>
  <c r="M420" i="7"/>
  <c r="G422" i="7"/>
  <c r="K421" i="7"/>
  <c r="L421" i="7" s="1"/>
  <c r="N421" i="7" l="1"/>
  <c r="M421" i="7"/>
  <c r="G423" i="7"/>
  <c r="K422" i="7"/>
  <c r="L422" i="7" s="1"/>
  <c r="N422" i="7" l="1"/>
  <c r="M422" i="7"/>
  <c r="G424" i="7"/>
  <c r="K423" i="7"/>
  <c r="L423" i="7" s="1"/>
  <c r="N423" i="7" l="1"/>
  <c r="M423" i="7"/>
  <c r="G425" i="7"/>
  <c r="K424" i="7"/>
  <c r="L424" i="7" s="1"/>
  <c r="G426" i="7" l="1"/>
  <c r="K425" i="7"/>
  <c r="L425" i="7" s="1"/>
  <c r="N424" i="7"/>
  <c r="M424" i="7"/>
  <c r="N425" i="7" l="1"/>
  <c r="M425" i="7"/>
  <c r="G427" i="7"/>
  <c r="K426" i="7"/>
  <c r="L426" i="7" s="1"/>
  <c r="N426" i="7" l="1"/>
  <c r="M426" i="7"/>
  <c r="G428" i="7"/>
  <c r="K427" i="7"/>
  <c r="L427" i="7" s="1"/>
  <c r="N427" i="7" l="1"/>
  <c r="M427" i="7"/>
  <c r="G429" i="7"/>
  <c r="K428" i="7"/>
  <c r="L428" i="7" s="1"/>
  <c r="N428" i="7" l="1"/>
  <c r="M428" i="7"/>
  <c r="G430" i="7"/>
  <c r="K429" i="7"/>
  <c r="L429" i="7" s="1"/>
  <c r="N429" i="7" l="1"/>
  <c r="M429" i="7"/>
  <c r="G431" i="7"/>
  <c r="K430" i="7"/>
  <c r="L430" i="7" s="1"/>
  <c r="N430" i="7" l="1"/>
  <c r="M430" i="7"/>
  <c r="G432" i="7"/>
  <c r="K431" i="7"/>
  <c r="L431" i="7" s="1"/>
  <c r="N431" i="7" l="1"/>
  <c r="M431" i="7"/>
  <c r="G433" i="7"/>
  <c r="K432" i="7"/>
  <c r="L432" i="7" s="1"/>
  <c r="G434" i="7" l="1"/>
  <c r="K433" i="7"/>
  <c r="L433" i="7" s="1"/>
  <c r="N432" i="7"/>
  <c r="M432" i="7"/>
  <c r="N433" i="7" l="1"/>
  <c r="M433" i="7"/>
  <c r="G435" i="7"/>
  <c r="K434" i="7"/>
  <c r="L434" i="7" s="1"/>
  <c r="N434" i="7" l="1"/>
  <c r="M434" i="7"/>
  <c r="G436" i="7"/>
  <c r="K435" i="7"/>
  <c r="L435" i="7" s="1"/>
  <c r="N435" i="7" l="1"/>
  <c r="M435" i="7"/>
  <c r="G437" i="7"/>
  <c r="K436" i="7"/>
  <c r="L436" i="7" s="1"/>
  <c r="G438" i="7" l="1"/>
  <c r="K437" i="7"/>
  <c r="L437" i="7" s="1"/>
  <c r="N436" i="7"/>
  <c r="M436" i="7"/>
  <c r="N437" i="7" l="1"/>
  <c r="M437" i="7"/>
  <c r="G439" i="7"/>
  <c r="K438" i="7"/>
  <c r="L438" i="7" s="1"/>
  <c r="N438" i="7" l="1"/>
  <c r="M438" i="7"/>
  <c r="G440" i="7"/>
  <c r="K439" i="7"/>
  <c r="L439" i="7" s="1"/>
  <c r="N439" i="7" l="1"/>
  <c r="M439" i="7"/>
  <c r="G441" i="7"/>
  <c r="K440" i="7"/>
  <c r="L440" i="7" s="1"/>
  <c r="N440" i="7" l="1"/>
  <c r="M440" i="7"/>
  <c r="G442" i="7"/>
  <c r="K441" i="7"/>
  <c r="L441" i="7" s="1"/>
  <c r="N441" i="7" l="1"/>
  <c r="M441" i="7"/>
  <c r="G443" i="7"/>
  <c r="K442" i="7"/>
  <c r="L442" i="7" s="1"/>
  <c r="N442" i="7" l="1"/>
  <c r="M442" i="7"/>
  <c r="G444" i="7"/>
  <c r="K443" i="7"/>
  <c r="L443" i="7" s="1"/>
  <c r="N443" i="7" l="1"/>
  <c r="M443" i="7"/>
  <c r="G445" i="7"/>
  <c r="K444" i="7"/>
  <c r="L444" i="7" s="1"/>
  <c r="N444" i="7" l="1"/>
  <c r="M444" i="7"/>
  <c r="G446" i="7"/>
  <c r="K445" i="7"/>
  <c r="L445" i="7" s="1"/>
  <c r="N445" i="7" l="1"/>
  <c r="M445" i="7"/>
  <c r="G447" i="7"/>
  <c r="K446" i="7"/>
  <c r="L446" i="7" s="1"/>
  <c r="N446" i="7" l="1"/>
  <c r="M446" i="7"/>
  <c r="G448" i="7"/>
  <c r="K447" i="7"/>
  <c r="L447" i="7" s="1"/>
  <c r="N447" i="7" l="1"/>
  <c r="M447" i="7"/>
  <c r="G449" i="7"/>
  <c r="K448" i="7"/>
  <c r="L448" i="7" s="1"/>
  <c r="N448" i="7" l="1"/>
  <c r="M448" i="7"/>
  <c r="G450" i="7"/>
  <c r="K449" i="7"/>
  <c r="L449" i="7" s="1"/>
  <c r="N449" i="7" l="1"/>
  <c r="M449" i="7"/>
  <c r="G451" i="7"/>
  <c r="K450" i="7"/>
  <c r="L450" i="7" s="1"/>
  <c r="N450" i="7" l="1"/>
  <c r="M450" i="7"/>
  <c r="G452" i="7"/>
  <c r="K451" i="7"/>
  <c r="L451" i="7" s="1"/>
  <c r="N451" i="7" l="1"/>
  <c r="M451" i="7"/>
  <c r="G453" i="7"/>
  <c r="K452" i="7"/>
  <c r="L452" i="7" s="1"/>
  <c r="N452" i="7" l="1"/>
  <c r="M452" i="7"/>
  <c r="G454" i="7"/>
  <c r="K453" i="7"/>
  <c r="L453" i="7" s="1"/>
  <c r="N453" i="7" l="1"/>
  <c r="M453" i="7"/>
  <c r="G455" i="7"/>
  <c r="K454" i="7"/>
  <c r="L454" i="7" s="1"/>
  <c r="N454" i="7" l="1"/>
  <c r="M454" i="7"/>
  <c r="G456" i="7"/>
  <c r="K455" i="7"/>
  <c r="L455" i="7" s="1"/>
  <c r="N455" i="7" l="1"/>
  <c r="M455" i="7"/>
  <c r="G457" i="7"/>
  <c r="K456" i="7"/>
  <c r="L456" i="7" s="1"/>
  <c r="N456" i="7" l="1"/>
  <c r="M456" i="7"/>
  <c r="G458" i="7"/>
  <c r="K457" i="7"/>
  <c r="L457" i="7" s="1"/>
  <c r="G459" i="7" l="1"/>
  <c r="K458" i="7"/>
  <c r="L458" i="7" s="1"/>
  <c r="N457" i="7"/>
  <c r="M457" i="7"/>
  <c r="N458" i="7" l="1"/>
  <c r="M458" i="7"/>
  <c r="G460" i="7"/>
  <c r="K459" i="7"/>
  <c r="L459" i="7" s="1"/>
  <c r="N459" i="7" l="1"/>
  <c r="M459" i="7"/>
  <c r="G461" i="7"/>
  <c r="K460" i="7"/>
  <c r="L460" i="7" s="1"/>
  <c r="G462" i="7" l="1"/>
  <c r="K461" i="7"/>
  <c r="L461" i="7" s="1"/>
  <c r="N460" i="7"/>
  <c r="M460" i="7"/>
  <c r="N461" i="7" l="1"/>
  <c r="M461" i="7"/>
  <c r="G463" i="7"/>
  <c r="K462" i="7"/>
  <c r="L462" i="7" s="1"/>
  <c r="G464" i="7" l="1"/>
  <c r="K463" i="7"/>
  <c r="L463" i="7" s="1"/>
  <c r="N462" i="7"/>
  <c r="M462" i="7"/>
  <c r="N463" i="7" l="1"/>
  <c r="M463" i="7"/>
  <c r="G465" i="7"/>
  <c r="K464" i="7"/>
  <c r="L464" i="7" s="1"/>
  <c r="N464" i="7" l="1"/>
  <c r="M464" i="7"/>
  <c r="G466" i="7"/>
  <c r="K465" i="7"/>
  <c r="L465" i="7" s="1"/>
  <c r="G467" i="7" l="1"/>
  <c r="K466" i="7"/>
  <c r="L466" i="7" s="1"/>
  <c r="N465" i="7"/>
  <c r="M465" i="7"/>
  <c r="N466" i="7" l="1"/>
  <c r="M466" i="7"/>
  <c r="G468" i="7"/>
  <c r="K467" i="7"/>
  <c r="L467" i="7" s="1"/>
  <c r="G469" i="7" l="1"/>
  <c r="K468" i="7"/>
  <c r="L468" i="7" s="1"/>
  <c r="N467" i="7"/>
  <c r="M467" i="7"/>
  <c r="N468" i="7" l="1"/>
  <c r="M468" i="7"/>
  <c r="G470" i="7"/>
  <c r="K469" i="7"/>
  <c r="L469" i="7" s="1"/>
  <c r="G471" i="7" l="1"/>
  <c r="K470" i="7"/>
  <c r="L470" i="7" s="1"/>
  <c r="N469" i="7"/>
  <c r="M469" i="7"/>
  <c r="N470" i="7" l="1"/>
  <c r="M470" i="7"/>
  <c r="G472" i="7"/>
  <c r="K471" i="7"/>
  <c r="L471" i="7" s="1"/>
  <c r="G473" i="7" l="1"/>
  <c r="K472" i="7"/>
  <c r="L472" i="7" s="1"/>
  <c r="N471" i="7"/>
  <c r="M471" i="7"/>
  <c r="N472" i="7" l="1"/>
  <c r="M472" i="7"/>
  <c r="G474" i="7"/>
  <c r="K473" i="7"/>
  <c r="L473" i="7" s="1"/>
  <c r="N473" i="7" l="1"/>
  <c r="M473" i="7"/>
  <c r="G475" i="7"/>
  <c r="K474" i="7"/>
  <c r="L474" i="7" s="1"/>
  <c r="G476" i="7" l="1"/>
  <c r="K475" i="7"/>
  <c r="L475" i="7" s="1"/>
  <c r="N474" i="7"/>
  <c r="M474" i="7"/>
  <c r="N475" i="7" l="1"/>
  <c r="M475" i="7"/>
  <c r="G477" i="7"/>
  <c r="K476" i="7"/>
  <c r="L476" i="7" s="1"/>
  <c r="G478" i="7" l="1"/>
  <c r="K477" i="7"/>
  <c r="L477" i="7" s="1"/>
  <c r="N476" i="7"/>
  <c r="M476" i="7"/>
  <c r="N477" i="7" l="1"/>
  <c r="M477" i="7"/>
  <c r="G479" i="7"/>
  <c r="K478" i="7"/>
  <c r="L478" i="7" s="1"/>
  <c r="G480" i="7" l="1"/>
  <c r="K479" i="7"/>
  <c r="L479" i="7" s="1"/>
  <c r="N478" i="7"/>
  <c r="M478" i="7"/>
  <c r="N479" i="7" l="1"/>
  <c r="M479" i="7"/>
  <c r="G481" i="7"/>
  <c r="K480" i="7"/>
  <c r="L480" i="7" s="1"/>
  <c r="G482" i="7" l="1"/>
  <c r="K481" i="7"/>
  <c r="L481" i="7" s="1"/>
  <c r="N480" i="7"/>
  <c r="M480" i="7"/>
  <c r="N481" i="7" l="1"/>
  <c r="M481" i="7"/>
  <c r="G483" i="7"/>
  <c r="K482" i="7"/>
  <c r="L482" i="7" s="1"/>
  <c r="N482" i="7" l="1"/>
  <c r="M482" i="7"/>
  <c r="G484" i="7"/>
  <c r="K483" i="7"/>
  <c r="L483" i="7" s="1"/>
  <c r="G485" i="7" l="1"/>
  <c r="K484" i="7"/>
  <c r="L484" i="7" s="1"/>
  <c r="N483" i="7"/>
  <c r="M483" i="7"/>
  <c r="N484" i="7" l="1"/>
  <c r="M484" i="7"/>
  <c r="G486" i="7"/>
  <c r="K485" i="7"/>
  <c r="L485" i="7" s="1"/>
  <c r="G487" i="7" l="1"/>
  <c r="K486" i="7"/>
  <c r="L486" i="7" s="1"/>
  <c r="N485" i="7"/>
  <c r="M485" i="7"/>
  <c r="N486" i="7" l="1"/>
  <c r="M486" i="7"/>
  <c r="G488" i="7"/>
  <c r="K487" i="7"/>
  <c r="L487" i="7" s="1"/>
  <c r="G489" i="7" l="1"/>
  <c r="K488" i="7"/>
  <c r="L488" i="7" s="1"/>
  <c r="N487" i="7"/>
  <c r="M487" i="7"/>
  <c r="N488" i="7" l="1"/>
  <c r="M488" i="7"/>
  <c r="G490" i="7"/>
  <c r="K489" i="7"/>
  <c r="L489" i="7" s="1"/>
  <c r="G491" i="7" l="1"/>
  <c r="K490" i="7"/>
  <c r="L490" i="7" s="1"/>
  <c r="N489" i="7"/>
  <c r="M489" i="7"/>
  <c r="N490" i="7" l="1"/>
  <c r="M490" i="7"/>
  <c r="G492" i="7"/>
  <c r="K491" i="7"/>
  <c r="L491" i="7" s="1"/>
  <c r="N491" i="7" l="1"/>
  <c r="M491" i="7"/>
  <c r="G493" i="7"/>
  <c r="K492" i="7"/>
  <c r="L492" i="7" s="1"/>
  <c r="N492" i="7" l="1"/>
  <c r="M492" i="7"/>
  <c r="G494" i="7"/>
  <c r="K493" i="7"/>
  <c r="L493" i="7" s="1"/>
  <c r="N493" i="7" l="1"/>
  <c r="M493" i="7"/>
  <c r="G495" i="7"/>
  <c r="K494" i="7"/>
  <c r="L494" i="7" s="1"/>
  <c r="N494" i="7" l="1"/>
  <c r="M494" i="7"/>
  <c r="G496" i="7"/>
  <c r="K495" i="7"/>
  <c r="L495" i="7" s="1"/>
  <c r="N495" i="7" l="1"/>
  <c r="M495" i="7"/>
  <c r="G497" i="7"/>
  <c r="K496" i="7"/>
  <c r="L496" i="7" s="1"/>
  <c r="N496" i="7" l="1"/>
  <c r="M496" i="7"/>
  <c r="G498" i="7"/>
  <c r="K497" i="7"/>
  <c r="L497" i="7" s="1"/>
  <c r="N497" i="7" l="1"/>
  <c r="M497" i="7"/>
  <c r="G499" i="7"/>
  <c r="K498" i="7"/>
  <c r="L498" i="7" s="1"/>
  <c r="N498" i="7" l="1"/>
  <c r="M498" i="7"/>
  <c r="G500" i="7"/>
  <c r="K499" i="7"/>
  <c r="L499" i="7" s="1"/>
  <c r="N499" i="7" l="1"/>
  <c r="M499" i="7"/>
  <c r="G501" i="7"/>
  <c r="K500" i="7"/>
  <c r="L500" i="7" s="1"/>
  <c r="N500" i="7" l="1"/>
  <c r="M500" i="7"/>
  <c r="G502" i="7"/>
  <c r="K501" i="7"/>
  <c r="L501" i="7" s="1"/>
  <c r="N501" i="7" l="1"/>
  <c r="M501" i="7"/>
  <c r="G503" i="7"/>
  <c r="K502" i="7"/>
  <c r="L502" i="7" s="1"/>
  <c r="N502" i="7" l="1"/>
  <c r="M502" i="7"/>
  <c r="G504" i="7"/>
  <c r="K503" i="7"/>
  <c r="L503" i="7" s="1"/>
  <c r="N503" i="7" l="1"/>
  <c r="M503" i="7"/>
  <c r="G505" i="7"/>
  <c r="K504" i="7"/>
  <c r="L504" i="7" s="1"/>
  <c r="N504" i="7" l="1"/>
  <c r="M504" i="7"/>
  <c r="G506" i="7"/>
  <c r="K505" i="7"/>
  <c r="L505" i="7" s="1"/>
  <c r="N505" i="7" l="1"/>
  <c r="M505" i="7"/>
  <c r="G507" i="7"/>
  <c r="K506" i="7"/>
  <c r="L506" i="7" s="1"/>
  <c r="N506" i="7" l="1"/>
  <c r="M506" i="7"/>
  <c r="G508" i="7"/>
  <c r="K507" i="7"/>
  <c r="L507" i="7" s="1"/>
  <c r="N507" i="7" l="1"/>
  <c r="M507" i="7"/>
  <c r="G509" i="7"/>
  <c r="K508" i="7"/>
  <c r="L508" i="7" s="1"/>
  <c r="G510" i="7" l="1"/>
  <c r="K509" i="7"/>
  <c r="L509" i="7" s="1"/>
  <c r="N508" i="7"/>
  <c r="M508" i="7"/>
  <c r="N509" i="7" l="1"/>
  <c r="M509" i="7"/>
  <c r="G511" i="7"/>
  <c r="K510" i="7"/>
  <c r="L510" i="7" s="1"/>
  <c r="N510" i="7" l="1"/>
  <c r="M510" i="7"/>
  <c r="G512" i="7"/>
  <c r="K511" i="7"/>
  <c r="L511" i="7" s="1"/>
  <c r="G513" i="7" l="1"/>
  <c r="K512" i="7"/>
  <c r="L512" i="7" s="1"/>
  <c r="N511" i="7"/>
  <c r="M511" i="7"/>
  <c r="N512" i="7" l="1"/>
  <c r="M512" i="7"/>
  <c r="G514" i="7"/>
  <c r="K513" i="7"/>
  <c r="L513" i="7" s="1"/>
  <c r="N513" i="7" l="1"/>
  <c r="M513" i="7"/>
  <c r="G515" i="7"/>
  <c r="K514" i="7"/>
  <c r="L514" i="7" s="1"/>
  <c r="N514" i="7" l="1"/>
  <c r="M514" i="7"/>
  <c r="G516" i="7"/>
  <c r="K515" i="7"/>
  <c r="L515" i="7" s="1"/>
  <c r="N515" i="7" l="1"/>
  <c r="M515" i="7"/>
  <c r="G517" i="7"/>
  <c r="K516" i="7"/>
  <c r="L516" i="7" s="1"/>
  <c r="G518" i="7" l="1"/>
  <c r="K517" i="7"/>
  <c r="L517" i="7" s="1"/>
  <c r="N516" i="7"/>
  <c r="M516" i="7"/>
  <c r="N517" i="7" l="1"/>
  <c r="M517" i="7"/>
  <c r="G519" i="7"/>
  <c r="K518" i="7"/>
  <c r="L518" i="7" s="1"/>
  <c r="G520" i="7" l="1"/>
  <c r="K519" i="7"/>
  <c r="L519" i="7" s="1"/>
  <c r="N518" i="7"/>
  <c r="M518" i="7"/>
  <c r="N519" i="7" l="1"/>
  <c r="M519" i="7"/>
  <c r="G521" i="7"/>
  <c r="K520" i="7"/>
  <c r="L520" i="7" s="1"/>
  <c r="G522" i="7" l="1"/>
  <c r="K521" i="7"/>
  <c r="L521" i="7" s="1"/>
  <c r="N520" i="7"/>
  <c r="M520" i="7"/>
  <c r="N521" i="7" l="1"/>
  <c r="M521" i="7"/>
  <c r="G523" i="7"/>
  <c r="K522" i="7"/>
  <c r="L522" i="7" s="1"/>
  <c r="G524" i="7" l="1"/>
  <c r="K523" i="7"/>
  <c r="L523" i="7" s="1"/>
  <c r="M522" i="7"/>
  <c r="N522" i="7"/>
  <c r="N523" i="7" l="1"/>
  <c r="M523" i="7"/>
  <c r="G525" i="7"/>
  <c r="K524" i="7"/>
  <c r="L524" i="7" s="1"/>
  <c r="G526" i="7" l="1"/>
  <c r="K525" i="7"/>
  <c r="L525" i="7" s="1"/>
  <c r="N524" i="7"/>
  <c r="M524" i="7"/>
  <c r="N525" i="7" l="1"/>
  <c r="M525" i="7"/>
  <c r="G527" i="7"/>
  <c r="K526" i="7"/>
  <c r="L526" i="7" s="1"/>
  <c r="N526" i="7" l="1"/>
  <c r="M526" i="7"/>
  <c r="G528" i="7"/>
  <c r="K527" i="7"/>
  <c r="L527" i="7" s="1"/>
  <c r="M527" i="7" l="1"/>
  <c r="N527" i="7"/>
  <c r="G529" i="7"/>
  <c r="K528" i="7"/>
  <c r="L528" i="7" s="1"/>
  <c r="G530" i="7" l="1"/>
  <c r="K529" i="7"/>
  <c r="L529" i="7" s="1"/>
  <c r="N528" i="7"/>
  <c r="M528" i="7"/>
  <c r="N529" i="7" l="1"/>
  <c r="M529" i="7"/>
  <c r="G531" i="7"/>
  <c r="K530" i="7"/>
  <c r="L530" i="7" s="1"/>
  <c r="N530" i="7" l="1"/>
  <c r="M530" i="7"/>
  <c r="G532" i="7"/>
  <c r="K531" i="7"/>
  <c r="L531" i="7" s="1"/>
  <c r="G533" i="7" l="1"/>
  <c r="K532" i="7"/>
  <c r="L532" i="7" s="1"/>
  <c r="N531" i="7"/>
  <c r="M531" i="7"/>
  <c r="N532" i="7" l="1"/>
  <c r="M532" i="7"/>
  <c r="G534" i="7"/>
  <c r="K533" i="7"/>
  <c r="L533" i="7" s="1"/>
  <c r="N533" i="7" l="1"/>
  <c r="M533" i="7"/>
  <c r="G535" i="7"/>
  <c r="K534" i="7"/>
  <c r="L534" i="7" s="1"/>
  <c r="N534" i="7" l="1"/>
  <c r="M534" i="7"/>
  <c r="G536" i="7"/>
  <c r="K535" i="7"/>
  <c r="L535" i="7" s="1"/>
  <c r="G537" i="7" l="1"/>
  <c r="K536" i="7"/>
  <c r="L536" i="7" s="1"/>
  <c r="N535" i="7"/>
  <c r="M535" i="7"/>
  <c r="N536" i="7" l="1"/>
  <c r="M536" i="7"/>
  <c r="G538" i="7"/>
  <c r="K537" i="7"/>
  <c r="L537" i="7" s="1"/>
  <c r="N537" i="7" l="1"/>
  <c r="M537" i="7"/>
  <c r="G539" i="7"/>
  <c r="K538" i="7"/>
  <c r="L538" i="7" s="1"/>
  <c r="G540" i="7" l="1"/>
  <c r="K539" i="7"/>
  <c r="L539" i="7" s="1"/>
  <c r="N538" i="7"/>
  <c r="M538" i="7"/>
  <c r="N539" i="7" l="1"/>
  <c r="M539" i="7"/>
  <c r="G541" i="7"/>
  <c r="K540" i="7"/>
  <c r="L540" i="7" s="1"/>
  <c r="G542" i="7" l="1"/>
  <c r="K541" i="7"/>
  <c r="L541" i="7" s="1"/>
  <c r="N540" i="7"/>
  <c r="M540" i="7"/>
  <c r="N541" i="7" l="1"/>
  <c r="M541" i="7"/>
  <c r="G543" i="7"/>
  <c r="K542" i="7"/>
  <c r="L542" i="7" s="1"/>
  <c r="G544" i="7" l="1"/>
  <c r="K543" i="7"/>
  <c r="L543" i="7" s="1"/>
  <c r="N542" i="7"/>
  <c r="M542" i="7"/>
  <c r="N543" i="7" l="1"/>
  <c r="M543" i="7"/>
  <c r="G545" i="7"/>
  <c r="K544" i="7"/>
  <c r="L544" i="7" s="1"/>
  <c r="N544" i="7" l="1"/>
  <c r="M544" i="7"/>
  <c r="G546" i="7"/>
  <c r="K545" i="7"/>
  <c r="L545" i="7" s="1"/>
  <c r="G547" i="7" l="1"/>
  <c r="K546" i="7"/>
  <c r="L546" i="7" s="1"/>
  <c r="N545" i="7"/>
  <c r="M545" i="7"/>
  <c r="N546" i="7" l="1"/>
  <c r="M546" i="7"/>
  <c r="G548" i="7"/>
  <c r="K547" i="7"/>
  <c r="L547" i="7" s="1"/>
  <c r="G549" i="7" l="1"/>
  <c r="K548" i="7"/>
  <c r="L548" i="7" s="1"/>
  <c r="N547" i="7"/>
  <c r="M547" i="7"/>
  <c r="N548" i="7" l="1"/>
  <c r="M548" i="7"/>
  <c r="G550" i="7"/>
  <c r="K549" i="7"/>
  <c r="L549" i="7" s="1"/>
  <c r="G551" i="7" l="1"/>
  <c r="K550" i="7"/>
  <c r="L550" i="7" s="1"/>
  <c r="N549" i="7"/>
  <c r="M549" i="7"/>
  <c r="N550" i="7" l="1"/>
  <c r="M550" i="7"/>
  <c r="G552" i="7"/>
  <c r="K551" i="7"/>
  <c r="L551" i="7" s="1"/>
  <c r="N551" i="7" l="1"/>
  <c r="M551" i="7"/>
  <c r="G553" i="7"/>
  <c r="K552" i="7"/>
  <c r="L552" i="7" s="1"/>
  <c r="N552" i="7" l="1"/>
  <c r="M552" i="7"/>
  <c r="G554" i="7"/>
  <c r="K553" i="7"/>
  <c r="L553" i="7" s="1"/>
  <c r="G555" i="7" l="1"/>
  <c r="K554" i="7"/>
  <c r="L554" i="7" s="1"/>
  <c r="N553" i="7"/>
  <c r="M553" i="7"/>
  <c r="M554" i="7" l="1"/>
  <c r="N554" i="7"/>
  <c r="G556" i="7"/>
  <c r="K555" i="7"/>
  <c r="L555" i="7" s="1"/>
  <c r="N555" i="7" l="1"/>
  <c r="M555" i="7"/>
  <c r="G557" i="7"/>
  <c r="K556" i="7"/>
  <c r="L556" i="7" s="1"/>
  <c r="G558" i="7" l="1"/>
  <c r="K557" i="7"/>
  <c r="L557" i="7" s="1"/>
  <c r="N556" i="7"/>
  <c r="M556" i="7"/>
  <c r="N557" i="7" l="1"/>
  <c r="M557" i="7"/>
  <c r="G559" i="7"/>
  <c r="K558" i="7"/>
  <c r="L558" i="7" s="1"/>
  <c r="N558" i="7" l="1"/>
  <c r="M558" i="7"/>
  <c r="G560" i="7"/>
  <c r="K559" i="7"/>
  <c r="L559" i="7" s="1"/>
  <c r="N559" i="7" l="1"/>
  <c r="M559" i="7"/>
  <c r="G561" i="7"/>
  <c r="K560" i="7"/>
  <c r="L560" i="7" s="1"/>
  <c r="N560" i="7" l="1"/>
  <c r="M560" i="7"/>
  <c r="G562" i="7"/>
  <c r="K561" i="7"/>
  <c r="L561" i="7" s="1"/>
  <c r="N561" i="7" l="1"/>
  <c r="M561" i="7"/>
  <c r="G563" i="7"/>
  <c r="K562" i="7"/>
  <c r="L562" i="7" s="1"/>
  <c r="G564" i="7" l="1"/>
  <c r="K563" i="7"/>
  <c r="L563" i="7" s="1"/>
  <c r="N562" i="7"/>
  <c r="M562" i="7"/>
  <c r="N563" i="7" l="1"/>
  <c r="M563" i="7"/>
  <c r="G565" i="7"/>
  <c r="K564" i="7"/>
  <c r="L564" i="7" s="1"/>
  <c r="N564" i="7" l="1"/>
  <c r="M564" i="7"/>
  <c r="G566" i="7"/>
  <c r="K565" i="7"/>
  <c r="L565" i="7" s="1"/>
  <c r="N565" i="7" l="1"/>
  <c r="M565" i="7"/>
  <c r="G567" i="7"/>
  <c r="K566" i="7"/>
  <c r="L566" i="7" s="1"/>
  <c r="G568" i="7" l="1"/>
  <c r="K567" i="7"/>
  <c r="L567" i="7" s="1"/>
  <c r="N566" i="7"/>
  <c r="M566" i="7"/>
  <c r="G569" i="7" l="1"/>
  <c r="K568" i="7"/>
  <c r="L568" i="7" s="1"/>
  <c r="N567" i="7"/>
  <c r="M567" i="7"/>
  <c r="N568" i="7" l="1"/>
  <c r="M568" i="7"/>
  <c r="G570" i="7"/>
  <c r="K569" i="7"/>
  <c r="L569" i="7" s="1"/>
  <c r="N569" i="7" l="1"/>
  <c r="M569" i="7"/>
  <c r="G571" i="7"/>
  <c r="K570" i="7"/>
  <c r="L570" i="7" s="1"/>
  <c r="N570" i="7" l="1"/>
  <c r="M570" i="7"/>
  <c r="G572" i="7"/>
  <c r="K571" i="7"/>
  <c r="L571" i="7" s="1"/>
  <c r="N571" i="7" l="1"/>
  <c r="M571" i="7"/>
  <c r="G573" i="7"/>
  <c r="K572" i="7"/>
  <c r="L572" i="7" s="1"/>
  <c r="G574" i="7" l="1"/>
  <c r="K573" i="7"/>
  <c r="L573" i="7" s="1"/>
  <c r="N572" i="7"/>
  <c r="M572" i="7"/>
  <c r="N573" i="7" l="1"/>
  <c r="M573" i="7"/>
  <c r="G575" i="7"/>
  <c r="K574" i="7"/>
  <c r="L574" i="7" s="1"/>
  <c r="N574" i="7" l="1"/>
  <c r="M574" i="7"/>
  <c r="G576" i="7"/>
  <c r="K575" i="7"/>
  <c r="L575" i="7" s="1"/>
  <c r="N575" i="7" l="1"/>
  <c r="M575" i="7"/>
  <c r="G577" i="7"/>
  <c r="K576" i="7"/>
  <c r="L576" i="7" s="1"/>
  <c r="N576" i="7" l="1"/>
  <c r="M576" i="7"/>
  <c r="G578" i="7"/>
  <c r="K577" i="7"/>
  <c r="L577" i="7" s="1"/>
  <c r="N577" i="7" l="1"/>
  <c r="M577" i="7"/>
  <c r="G579" i="7"/>
  <c r="K578" i="7"/>
  <c r="L578" i="7" s="1"/>
  <c r="N578" i="7" l="1"/>
  <c r="M578" i="7"/>
  <c r="G580" i="7"/>
  <c r="K579" i="7"/>
  <c r="L579" i="7" s="1"/>
  <c r="N579" i="7" l="1"/>
  <c r="M579" i="7"/>
  <c r="G581" i="7"/>
  <c r="K580" i="7"/>
  <c r="L580" i="7" s="1"/>
  <c r="N580" i="7" l="1"/>
  <c r="M580" i="7"/>
  <c r="G582" i="7"/>
  <c r="K581" i="7"/>
  <c r="L581" i="7" s="1"/>
  <c r="N581" i="7" l="1"/>
  <c r="M581" i="7"/>
  <c r="G583" i="7"/>
  <c r="K582" i="7"/>
  <c r="L582" i="7" s="1"/>
  <c r="N582" i="7" l="1"/>
  <c r="M582" i="7"/>
  <c r="G584" i="7"/>
  <c r="K583" i="7"/>
  <c r="L583" i="7" s="1"/>
  <c r="N583" i="7" l="1"/>
  <c r="M583" i="7"/>
  <c r="G585" i="7"/>
  <c r="K584" i="7"/>
  <c r="L584" i="7" s="1"/>
  <c r="N584" i="7" l="1"/>
  <c r="M584" i="7"/>
  <c r="G586" i="7"/>
  <c r="K585" i="7"/>
  <c r="L585" i="7" s="1"/>
  <c r="N585" i="7" l="1"/>
  <c r="M585" i="7"/>
  <c r="G587" i="7"/>
  <c r="K586" i="7"/>
  <c r="L586" i="7" s="1"/>
  <c r="N586" i="7" l="1"/>
  <c r="M586" i="7"/>
  <c r="G588" i="7"/>
  <c r="K587" i="7"/>
  <c r="L587" i="7" s="1"/>
  <c r="N587" i="7" l="1"/>
  <c r="M587" i="7"/>
  <c r="G589" i="7"/>
  <c r="K588" i="7"/>
  <c r="L588" i="7" s="1"/>
  <c r="N588" i="7" l="1"/>
  <c r="M588" i="7"/>
  <c r="G590" i="7"/>
  <c r="K589" i="7"/>
  <c r="L589" i="7" s="1"/>
  <c r="N589" i="7" l="1"/>
  <c r="M589" i="7"/>
  <c r="G591" i="7"/>
  <c r="K590" i="7"/>
  <c r="L590" i="7" s="1"/>
  <c r="N590" i="7" l="1"/>
  <c r="M590" i="7"/>
  <c r="G592" i="7"/>
  <c r="K591" i="7"/>
  <c r="L591" i="7" s="1"/>
  <c r="N591" i="7" l="1"/>
  <c r="M591" i="7"/>
  <c r="G593" i="7"/>
  <c r="K592" i="7"/>
  <c r="L592" i="7" s="1"/>
  <c r="G594" i="7" l="1"/>
  <c r="K593" i="7"/>
  <c r="L593" i="7" s="1"/>
  <c r="N592" i="7"/>
  <c r="M592" i="7"/>
  <c r="N593" i="7" l="1"/>
  <c r="M593" i="7"/>
  <c r="G595" i="7"/>
  <c r="K594" i="7"/>
  <c r="L594" i="7" s="1"/>
  <c r="N594" i="7" l="1"/>
  <c r="M594" i="7"/>
  <c r="G596" i="7"/>
  <c r="K595" i="7"/>
  <c r="L595" i="7" s="1"/>
  <c r="G597" i="7" l="1"/>
  <c r="K596" i="7"/>
  <c r="L596" i="7" s="1"/>
  <c r="N595" i="7"/>
  <c r="M595" i="7"/>
  <c r="N596" i="7" l="1"/>
  <c r="M596" i="7"/>
  <c r="G598" i="7"/>
  <c r="K597" i="7"/>
  <c r="L597" i="7" s="1"/>
  <c r="N597" i="7" l="1"/>
  <c r="M597" i="7"/>
  <c r="G599" i="7"/>
  <c r="K598" i="7"/>
  <c r="L598" i="7" s="1"/>
  <c r="G600" i="7" l="1"/>
  <c r="K599" i="7"/>
  <c r="L599" i="7" s="1"/>
  <c r="N598" i="7"/>
  <c r="M598" i="7"/>
  <c r="N599" i="7" l="1"/>
  <c r="M599" i="7"/>
  <c r="G601" i="7"/>
  <c r="K600" i="7"/>
  <c r="L600" i="7" s="1"/>
  <c r="N600" i="7" l="1"/>
  <c r="M600" i="7"/>
  <c r="G602" i="7"/>
  <c r="K601" i="7"/>
  <c r="L601" i="7" s="1"/>
  <c r="N601" i="7" l="1"/>
  <c r="M601" i="7"/>
  <c r="G603" i="7"/>
  <c r="K602" i="7"/>
  <c r="L602" i="7" s="1"/>
  <c r="N602" i="7" l="1"/>
  <c r="M602" i="7"/>
  <c r="G604" i="7"/>
  <c r="K603" i="7"/>
  <c r="L603" i="7" s="1"/>
  <c r="N603" i="7" l="1"/>
  <c r="M603" i="7"/>
  <c r="G605" i="7"/>
  <c r="K604" i="7"/>
  <c r="L604" i="7" s="1"/>
  <c r="N604" i="7" l="1"/>
  <c r="M604" i="7"/>
  <c r="G606" i="7"/>
  <c r="K605" i="7"/>
  <c r="L605" i="7" s="1"/>
  <c r="N605" i="7" l="1"/>
  <c r="M605" i="7"/>
  <c r="G607" i="7"/>
  <c r="K606" i="7"/>
  <c r="L606" i="7" s="1"/>
  <c r="N606" i="7" l="1"/>
  <c r="M606" i="7"/>
  <c r="G608" i="7"/>
  <c r="K607" i="7"/>
  <c r="L607" i="7" s="1"/>
  <c r="N607" i="7" l="1"/>
  <c r="M607" i="7"/>
  <c r="G609" i="7"/>
  <c r="K608" i="7"/>
  <c r="L608" i="7" s="1"/>
  <c r="G610" i="7" l="1"/>
  <c r="K609" i="7"/>
  <c r="L609" i="7" s="1"/>
  <c r="N608" i="7"/>
  <c r="M608" i="7"/>
  <c r="N609" i="7" l="1"/>
  <c r="M609" i="7"/>
  <c r="G611" i="7"/>
  <c r="K610" i="7"/>
  <c r="L610" i="7" s="1"/>
  <c r="N610" i="7" l="1"/>
  <c r="M610" i="7"/>
  <c r="G612" i="7"/>
  <c r="K611" i="7"/>
  <c r="L611" i="7" s="1"/>
  <c r="N611" i="7" l="1"/>
  <c r="M611" i="7"/>
  <c r="G613" i="7"/>
  <c r="K612" i="7"/>
  <c r="L612" i="7" s="1"/>
  <c r="N612" i="7" l="1"/>
  <c r="M612" i="7"/>
  <c r="G614" i="7"/>
  <c r="K613" i="7"/>
  <c r="L613" i="7" s="1"/>
  <c r="G615" i="7" l="1"/>
  <c r="K614" i="7"/>
  <c r="L614" i="7" s="1"/>
  <c r="N613" i="7"/>
  <c r="M613" i="7"/>
  <c r="N614" i="7" l="1"/>
  <c r="M614" i="7"/>
  <c r="G616" i="7"/>
  <c r="K615" i="7"/>
  <c r="L615" i="7" s="1"/>
  <c r="G617" i="7" l="1"/>
  <c r="K616" i="7"/>
  <c r="L616" i="7" s="1"/>
  <c r="N615" i="7"/>
  <c r="M615" i="7"/>
  <c r="N616" i="7" l="1"/>
  <c r="M616" i="7"/>
  <c r="G618" i="7"/>
  <c r="K617" i="7"/>
  <c r="L617" i="7" s="1"/>
  <c r="N617" i="7" l="1"/>
  <c r="M617" i="7"/>
  <c r="G619" i="7"/>
  <c r="K618" i="7"/>
  <c r="L618" i="7" s="1"/>
  <c r="N618" i="7" l="1"/>
  <c r="M618" i="7"/>
  <c r="G620" i="7"/>
  <c r="K619" i="7"/>
  <c r="L619" i="7" s="1"/>
  <c r="N619" i="7" l="1"/>
  <c r="M619" i="7"/>
  <c r="G621" i="7"/>
  <c r="K620" i="7"/>
  <c r="L620" i="7" s="1"/>
  <c r="N620" i="7" l="1"/>
  <c r="M620" i="7"/>
  <c r="G622" i="7"/>
  <c r="K621" i="7"/>
  <c r="L621" i="7" s="1"/>
  <c r="N621" i="7" l="1"/>
  <c r="M621" i="7"/>
  <c r="G623" i="7"/>
  <c r="K622" i="7"/>
  <c r="L622" i="7" s="1"/>
  <c r="N622" i="7" l="1"/>
  <c r="M622" i="7"/>
  <c r="G624" i="7"/>
  <c r="K623" i="7"/>
  <c r="L623" i="7" s="1"/>
  <c r="N623" i="7" l="1"/>
  <c r="M623" i="7"/>
  <c r="G625" i="7"/>
  <c r="K624" i="7"/>
  <c r="L624" i="7" s="1"/>
  <c r="N624" i="7" l="1"/>
  <c r="M624" i="7"/>
  <c r="G626" i="7"/>
  <c r="K625" i="7"/>
  <c r="L625" i="7" s="1"/>
  <c r="N625" i="7" l="1"/>
  <c r="M625" i="7"/>
  <c r="G627" i="7"/>
  <c r="K626" i="7"/>
  <c r="L626" i="7" s="1"/>
  <c r="N626" i="7" l="1"/>
  <c r="M626" i="7"/>
  <c r="G628" i="7"/>
  <c r="K627" i="7"/>
  <c r="L627" i="7" s="1"/>
  <c r="N627" i="7" l="1"/>
  <c r="M627" i="7"/>
  <c r="G629" i="7"/>
  <c r="K628" i="7"/>
  <c r="L628" i="7" s="1"/>
  <c r="N628" i="7" l="1"/>
  <c r="M628" i="7"/>
  <c r="G630" i="7"/>
  <c r="K629" i="7"/>
  <c r="L629" i="7" s="1"/>
  <c r="N629" i="7" l="1"/>
  <c r="M629" i="7"/>
  <c r="G631" i="7"/>
  <c r="K630" i="7"/>
  <c r="L630" i="7" s="1"/>
  <c r="N630" i="7" l="1"/>
  <c r="M630" i="7"/>
  <c r="G632" i="7"/>
  <c r="K631" i="7"/>
  <c r="L631" i="7" s="1"/>
  <c r="G633" i="7" l="1"/>
  <c r="K632" i="7"/>
  <c r="L632" i="7" s="1"/>
  <c r="N631" i="7"/>
  <c r="M631" i="7"/>
  <c r="N632" i="7" l="1"/>
  <c r="M632" i="7"/>
  <c r="G634" i="7"/>
  <c r="K633" i="7"/>
  <c r="L633" i="7" s="1"/>
  <c r="N633" i="7" l="1"/>
  <c r="M633" i="7"/>
  <c r="G635" i="7"/>
  <c r="K634" i="7"/>
  <c r="L634" i="7" s="1"/>
  <c r="N634" i="7" l="1"/>
  <c r="M634" i="7"/>
  <c r="G636" i="7"/>
  <c r="K635" i="7"/>
  <c r="L635" i="7" s="1"/>
  <c r="G637" i="7" l="1"/>
  <c r="K636" i="7"/>
  <c r="L636" i="7" s="1"/>
  <c r="N635" i="7"/>
  <c r="M635" i="7"/>
  <c r="N636" i="7" l="1"/>
  <c r="M636" i="7"/>
  <c r="G638" i="7"/>
  <c r="K637" i="7"/>
  <c r="L637" i="7" s="1"/>
  <c r="N637" i="7" l="1"/>
  <c r="M637" i="7"/>
  <c r="G639" i="7"/>
  <c r="K638" i="7"/>
  <c r="L638" i="7" s="1"/>
  <c r="N638" i="7" l="1"/>
  <c r="M638" i="7"/>
  <c r="G640" i="7"/>
  <c r="K639" i="7"/>
  <c r="L639" i="7" s="1"/>
  <c r="N639" i="7" l="1"/>
  <c r="M639" i="7"/>
  <c r="G641" i="7"/>
  <c r="K640" i="7"/>
  <c r="L640" i="7" s="1"/>
  <c r="N640" i="7" l="1"/>
  <c r="M640" i="7"/>
  <c r="G642" i="7"/>
  <c r="K641" i="7"/>
  <c r="L641" i="7" s="1"/>
  <c r="G643" i="7" l="1"/>
  <c r="K642" i="7"/>
  <c r="L642" i="7" s="1"/>
  <c r="N641" i="7"/>
  <c r="M641" i="7"/>
  <c r="N642" i="7" l="1"/>
  <c r="M642" i="7"/>
  <c r="G644" i="7"/>
  <c r="K643" i="7"/>
  <c r="L643" i="7" s="1"/>
  <c r="N643" i="7" l="1"/>
  <c r="M643" i="7"/>
  <c r="G645" i="7"/>
  <c r="K644" i="7"/>
  <c r="L644" i="7" s="1"/>
  <c r="N644" i="7" l="1"/>
  <c r="M644" i="7"/>
  <c r="G646" i="7"/>
  <c r="K645" i="7"/>
  <c r="L645" i="7" s="1"/>
  <c r="N645" i="7" l="1"/>
  <c r="M645" i="7"/>
  <c r="G647" i="7"/>
  <c r="K646" i="7"/>
  <c r="L646" i="7" s="1"/>
  <c r="N646" i="7" l="1"/>
  <c r="M646" i="7"/>
  <c r="G648" i="7"/>
  <c r="K647" i="7"/>
  <c r="L647" i="7" s="1"/>
  <c r="N647" i="7" l="1"/>
  <c r="M647" i="7"/>
  <c r="G649" i="7"/>
  <c r="K648" i="7"/>
  <c r="L648" i="7" s="1"/>
  <c r="N648" i="7" l="1"/>
  <c r="M648" i="7"/>
  <c r="G650" i="7"/>
  <c r="K649" i="7"/>
  <c r="L649" i="7" s="1"/>
  <c r="N649" i="7" l="1"/>
  <c r="M649" i="7"/>
  <c r="G651" i="7"/>
  <c r="K650" i="7"/>
  <c r="L650" i="7" s="1"/>
  <c r="N650" i="7" l="1"/>
  <c r="M650" i="7"/>
  <c r="G652" i="7"/>
  <c r="K651" i="7"/>
  <c r="L651" i="7" s="1"/>
  <c r="N651" i="7" l="1"/>
  <c r="M651" i="7"/>
  <c r="G653" i="7"/>
  <c r="K652" i="7"/>
  <c r="L652" i="7" s="1"/>
  <c r="G654" i="7" l="1"/>
  <c r="K653" i="7"/>
  <c r="L653" i="7" s="1"/>
  <c r="N652" i="7"/>
  <c r="M652" i="7"/>
  <c r="N653" i="7" l="1"/>
  <c r="M653" i="7"/>
  <c r="G655" i="7"/>
  <c r="K654" i="7"/>
  <c r="L654" i="7" s="1"/>
  <c r="N654" i="7" l="1"/>
  <c r="M654" i="7"/>
  <c r="G656" i="7"/>
  <c r="K655" i="7"/>
  <c r="L655" i="7" s="1"/>
  <c r="N655" i="7" l="1"/>
  <c r="M655" i="7"/>
  <c r="G657" i="7"/>
  <c r="K656" i="7"/>
  <c r="L656" i="7" s="1"/>
  <c r="N656" i="7" l="1"/>
  <c r="M656" i="7"/>
  <c r="G658" i="7"/>
  <c r="K657" i="7"/>
  <c r="L657" i="7" s="1"/>
  <c r="N657" i="7" l="1"/>
  <c r="M657" i="7"/>
  <c r="G659" i="7"/>
  <c r="K658" i="7"/>
  <c r="L658" i="7" s="1"/>
  <c r="N658" i="7" l="1"/>
  <c r="M658" i="7"/>
  <c r="G660" i="7"/>
  <c r="K659" i="7"/>
  <c r="L659" i="7" s="1"/>
  <c r="G661" i="7" l="1"/>
  <c r="K660" i="7"/>
  <c r="L660" i="7" s="1"/>
  <c r="N659" i="7"/>
  <c r="M659" i="7"/>
  <c r="N660" i="7" l="1"/>
  <c r="M660" i="7"/>
  <c r="G662" i="7"/>
  <c r="K661" i="7"/>
  <c r="L661" i="7" s="1"/>
  <c r="N661" i="7" l="1"/>
  <c r="M661" i="7"/>
  <c r="G663" i="7"/>
  <c r="K662" i="7"/>
  <c r="L662" i="7" s="1"/>
  <c r="G664" i="7" l="1"/>
  <c r="K663" i="7"/>
  <c r="L663" i="7" s="1"/>
  <c r="N662" i="7"/>
  <c r="M662" i="7"/>
  <c r="N663" i="7" l="1"/>
  <c r="M663" i="7"/>
  <c r="G665" i="7"/>
  <c r="K664" i="7"/>
  <c r="L664" i="7" s="1"/>
  <c r="N664" i="7" l="1"/>
  <c r="M664" i="7"/>
  <c r="G666" i="7"/>
  <c r="K665" i="7"/>
  <c r="L665" i="7" s="1"/>
  <c r="G667" i="7" l="1"/>
  <c r="K666" i="7"/>
  <c r="L666" i="7" s="1"/>
  <c r="N665" i="7"/>
  <c r="M665" i="7"/>
  <c r="N666" i="7" l="1"/>
  <c r="M666" i="7"/>
  <c r="G668" i="7"/>
  <c r="K667" i="7"/>
  <c r="L667" i="7" s="1"/>
  <c r="N667" i="7" l="1"/>
  <c r="M667" i="7"/>
  <c r="G669" i="7"/>
  <c r="K668" i="7"/>
  <c r="L668" i="7" s="1"/>
  <c r="N668" i="7" l="1"/>
  <c r="M668" i="7"/>
  <c r="G670" i="7"/>
  <c r="K669" i="7"/>
  <c r="L669" i="7" s="1"/>
  <c r="G671" i="7" l="1"/>
  <c r="K670" i="7"/>
  <c r="L670" i="7" s="1"/>
  <c r="N669" i="7"/>
  <c r="M669" i="7"/>
  <c r="N670" i="7" l="1"/>
  <c r="M670" i="7"/>
  <c r="G672" i="7"/>
  <c r="K671" i="7"/>
  <c r="L671" i="7" s="1"/>
  <c r="N671" i="7" l="1"/>
  <c r="M671" i="7"/>
  <c r="G673" i="7"/>
  <c r="K672" i="7"/>
  <c r="L672" i="7" s="1"/>
  <c r="N672" i="7" l="1"/>
  <c r="M672" i="7"/>
  <c r="G674" i="7"/>
  <c r="K673" i="7"/>
  <c r="L673" i="7" s="1"/>
  <c r="N673" i="7" l="1"/>
  <c r="M673" i="7"/>
  <c r="G675" i="7"/>
  <c r="K674" i="7"/>
  <c r="L674" i="7" s="1"/>
  <c r="N674" i="7" l="1"/>
  <c r="M674" i="7"/>
  <c r="G676" i="7"/>
  <c r="K675" i="7"/>
  <c r="L675" i="7" s="1"/>
  <c r="N675" i="7" l="1"/>
  <c r="M675" i="7"/>
  <c r="G677" i="7"/>
  <c r="K676" i="7"/>
  <c r="L676" i="7" s="1"/>
  <c r="G678" i="7" l="1"/>
  <c r="K677" i="7"/>
  <c r="L677" i="7" s="1"/>
  <c r="N676" i="7"/>
  <c r="M676" i="7"/>
  <c r="N677" i="7" l="1"/>
  <c r="M677" i="7"/>
  <c r="G679" i="7"/>
  <c r="K678" i="7"/>
  <c r="L678" i="7" s="1"/>
  <c r="N678" i="7" l="1"/>
  <c r="M678" i="7"/>
  <c r="G680" i="7"/>
  <c r="K679" i="7"/>
  <c r="L679" i="7" s="1"/>
  <c r="N679" i="7" l="1"/>
  <c r="M679" i="7"/>
  <c r="G681" i="7"/>
  <c r="K680" i="7"/>
  <c r="L680" i="7" s="1"/>
  <c r="N680" i="7" l="1"/>
  <c r="M680" i="7"/>
  <c r="G682" i="7"/>
  <c r="K681" i="7"/>
  <c r="L681" i="7" s="1"/>
  <c r="N681" i="7" l="1"/>
  <c r="M681" i="7"/>
  <c r="G683" i="7"/>
  <c r="K682" i="7"/>
  <c r="L682" i="7" s="1"/>
  <c r="N682" i="7" l="1"/>
  <c r="M682" i="7"/>
  <c r="G684" i="7"/>
  <c r="K683" i="7"/>
  <c r="L683" i="7" s="1"/>
  <c r="N683" i="7" l="1"/>
  <c r="M683" i="7"/>
  <c r="G685" i="7"/>
  <c r="K684" i="7"/>
  <c r="L684" i="7" s="1"/>
  <c r="N684" i="7" l="1"/>
  <c r="M684" i="7"/>
  <c r="G686" i="7"/>
  <c r="K685" i="7"/>
  <c r="L685" i="7" s="1"/>
  <c r="N685" i="7" l="1"/>
  <c r="M685" i="7"/>
  <c r="G687" i="7"/>
  <c r="K686" i="7"/>
  <c r="L686" i="7" s="1"/>
  <c r="N686" i="7" l="1"/>
  <c r="M686" i="7"/>
  <c r="G688" i="7"/>
  <c r="K687" i="7"/>
  <c r="L687" i="7" s="1"/>
  <c r="G689" i="7" l="1"/>
  <c r="K688" i="7"/>
  <c r="L688" i="7" s="1"/>
  <c r="N687" i="7"/>
  <c r="M687" i="7"/>
  <c r="N688" i="7" l="1"/>
  <c r="M688" i="7"/>
  <c r="G690" i="7"/>
  <c r="K689" i="7"/>
  <c r="L689" i="7" s="1"/>
  <c r="G691" i="7" l="1"/>
  <c r="K690" i="7"/>
  <c r="L690" i="7" s="1"/>
  <c r="N689" i="7"/>
  <c r="M689" i="7"/>
  <c r="N690" i="7" l="1"/>
  <c r="M690" i="7"/>
  <c r="G692" i="7"/>
  <c r="K691" i="7"/>
  <c r="L691" i="7" s="1"/>
  <c r="N691" i="7" l="1"/>
  <c r="M691" i="7"/>
  <c r="G693" i="7"/>
  <c r="K692" i="7"/>
  <c r="L692" i="7" s="1"/>
  <c r="N692" i="7" l="1"/>
  <c r="M692" i="7"/>
  <c r="G694" i="7"/>
  <c r="K693" i="7"/>
  <c r="L693" i="7" s="1"/>
  <c r="N693" i="7" l="1"/>
  <c r="M693" i="7"/>
  <c r="G695" i="7"/>
  <c r="K694" i="7"/>
  <c r="L694" i="7" s="1"/>
  <c r="G696" i="7" l="1"/>
  <c r="K695" i="7"/>
  <c r="L695" i="7" s="1"/>
  <c r="N694" i="7"/>
  <c r="M694" i="7"/>
  <c r="N695" i="7" l="1"/>
  <c r="M695" i="7"/>
  <c r="G697" i="7"/>
  <c r="K696" i="7"/>
  <c r="L696" i="7" s="1"/>
  <c r="N696" i="7" l="1"/>
  <c r="M696" i="7"/>
  <c r="G698" i="7"/>
  <c r="K697" i="7"/>
  <c r="L697" i="7" s="1"/>
  <c r="N697" i="7" l="1"/>
  <c r="M697" i="7"/>
  <c r="G699" i="7"/>
  <c r="K698" i="7"/>
  <c r="L698" i="7" s="1"/>
  <c r="N698" i="7" l="1"/>
  <c r="M698" i="7"/>
  <c r="G700" i="7"/>
  <c r="K699" i="7"/>
  <c r="L699" i="7" s="1"/>
  <c r="N699" i="7" l="1"/>
  <c r="M699" i="7"/>
  <c r="G701" i="7"/>
  <c r="K700" i="7"/>
  <c r="L700" i="7" s="1"/>
  <c r="N700" i="7" l="1"/>
  <c r="M700" i="7"/>
  <c r="G702" i="7"/>
  <c r="K701" i="7"/>
  <c r="L701" i="7" s="1"/>
  <c r="G703" i="7" l="1"/>
  <c r="K702" i="7"/>
  <c r="L702" i="7" s="1"/>
  <c r="N701" i="7"/>
  <c r="M701" i="7"/>
  <c r="N702" i="7" l="1"/>
  <c r="M702" i="7"/>
  <c r="G704" i="7"/>
  <c r="K703" i="7"/>
  <c r="L703" i="7" s="1"/>
  <c r="N703" i="7" l="1"/>
  <c r="M703" i="7"/>
  <c r="G705" i="7"/>
  <c r="K704" i="7"/>
  <c r="L704" i="7" s="1"/>
  <c r="G706" i="7" l="1"/>
  <c r="K705" i="7"/>
  <c r="L705" i="7" s="1"/>
  <c r="N704" i="7"/>
  <c r="M704" i="7"/>
  <c r="N705" i="7" l="1"/>
  <c r="M705" i="7"/>
  <c r="G707" i="7"/>
  <c r="K706" i="7"/>
  <c r="L706" i="7" s="1"/>
  <c r="N706" i="7" l="1"/>
  <c r="M706" i="7"/>
  <c r="G708" i="7"/>
  <c r="K707" i="7"/>
  <c r="L707" i="7" s="1"/>
  <c r="G709" i="7" l="1"/>
  <c r="K708" i="7"/>
  <c r="L708" i="7" s="1"/>
  <c r="N707" i="7"/>
  <c r="M707" i="7"/>
  <c r="N708" i="7" l="1"/>
  <c r="M708" i="7"/>
  <c r="G710" i="7"/>
  <c r="K709" i="7"/>
  <c r="L709" i="7" s="1"/>
  <c r="N709" i="7" l="1"/>
  <c r="M709" i="7"/>
  <c r="G711" i="7"/>
  <c r="K710" i="7"/>
  <c r="L710" i="7" s="1"/>
  <c r="N710" i="7" l="1"/>
  <c r="M710" i="7"/>
  <c r="G712" i="7"/>
  <c r="K711" i="7"/>
  <c r="L711" i="7" s="1"/>
  <c r="G713" i="7" l="1"/>
  <c r="K712" i="7"/>
  <c r="L712" i="7" s="1"/>
  <c r="N711" i="7"/>
  <c r="M711" i="7"/>
  <c r="N712" i="7" l="1"/>
  <c r="M712" i="7"/>
  <c r="G714" i="7"/>
  <c r="K713" i="7"/>
  <c r="L713" i="7" s="1"/>
  <c r="N713" i="7" l="1"/>
  <c r="M713" i="7"/>
  <c r="G715" i="7"/>
  <c r="K714" i="7"/>
  <c r="L714" i="7" s="1"/>
  <c r="N714" i="7" l="1"/>
  <c r="M714" i="7"/>
  <c r="G716" i="7"/>
  <c r="K715" i="7"/>
  <c r="L715" i="7" s="1"/>
  <c r="N715" i="7" l="1"/>
  <c r="M715" i="7"/>
  <c r="G717" i="7"/>
  <c r="K716" i="7"/>
  <c r="L716" i="7" s="1"/>
  <c r="G718" i="7" l="1"/>
  <c r="K717" i="7"/>
  <c r="L717" i="7" s="1"/>
  <c r="N716" i="7"/>
  <c r="M716" i="7"/>
  <c r="N717" i="7" l="1"/>
  <c r="M717" i="7"/>
  <c r="G719" i="7"/>
  <c r="K718" i="7"/>
  <c r="L718" i="7" s="1"/>
  <c r="N718" i="7" l="1"/>
  <c r="M718" i="7"/>
  <c r="G720" i="7"/>
  <c r="K719" i="7"/>
  <c r="L719" i="7" s="1"/>
  <c r="G721" i="7" l="1"/>
  <c r="K720" i="7"/>
  <c r="L720" i="7" s="1"/>
  <c r="N719" i="7"/>
  <c r="M719" i="7"/>
  <c r="N720" i="7" l="1"/>
  <c r="M720" i="7"/>
  <c r="G722" i="7"/>
  <c r="K721" i="7"/>
  <c r="L721" i="7" s="1"/>
  <c r="G723" i="7" l="1"/>
  <c r="K722" i="7"/>
  <c r="L722" i="7" s="1"/>
  <c r="N721" i="7"/>
  <c r="M721" i="7"/>
  <c r="N722" i="7" l="1"/>
  <c r="M722" i="7"/>
  <c r="G724" i="7"/>
  <c r="K723" i="7"/>
  <c r="L723" i="7" s="1"/>
  <c r="N723" i="7" l="1"/>
  <c r="M723" i="7"/>
  <c r="G725" i="7"/>
  <c r="K724" i="7"/>
  <c r="L724" i="7" s="1"/>
  <c r="N724" i="7" l="1"/>
  <c r="M724" i="7"/>
  <c r="G726" i="7"/>
  <c r="K725" i="7"/>
  <c r="L725" i="7" s="1"/>
  <c r="N725" i="7" l="1"/>
  <c r="M725" i="7"/>
  <c r="G727" i="7"/>
  <c r="K726" i="7"/>
  <c r="L726" i="7" s="1"/>
  <c r="N726" i="7" l="1"/>
  <c r="M726" i="7"/>
  <c r="G728" i="7"/>
  <c r="K727" i="7"/>
  <c r="L727" i="7" s="1"/>
  <c r="N727" i="7" l="1"/>
  <c r="M727" i="7"/>
  <c r="G729" i="7"/>
  <c r="K728" i="7"/>
  <c r="L728" i="7" s="1"/>
  <c r="M728" i="7" l="1"/>
  <c r="N728" i="7"/>
  <c r="G730" i="7"/>
  <c r="K729" i="7"/>
  <c r="L729" i="7" s="1"/>
  <c r="N729" i="7" l="1"/>
  <c r="M729" i="7"/>
  <c r="G731" i="7"/>
  <c r="K730" i="7"/>
  <c r="L730" i="7" s="1"/>
  <c r="N730" i="7" l="1"/>
  <c r="M730" i="7"/>
  <c r="G732" i="7"/>
  <c r="K731" i="7"/>
  <c r="L731" i="7" s="1"/>
  <c r="N731" i="7" l="1"/>
  <c r="M731" i="7"/>
  <c r="G733" i="7"/>
  <c r="K732" i="7"/>
  <c r="L732" i="7" s="1"/>
  <c r="N732" i="7" l="1"/>
  <c r="M732" i="7"/>
  <c r="G734" i="7"/>
  <c r="K733" i="7"/>
  <c r="L733" i="7" s="1"/>
  <c r="N733" i="7" l="1"/>
  <c r="M733" i="7"/>
  <c r="G735" i="7"/>
  <c r="K734" i="7"/>
  <c r="L734" i="7" s="1"/>
  <c r="N734" i="7" l="1"/>
  <c r="M734" i="7"/>
  <c r="G736" i="7"/>
  <c r="K735" i="7"/>
  <c r="L735" i="7" s="1"/>
  <c r="N735" i="7" l="1"/>
  <c r="M735" i="7"/>
  <c r="G737" i="7"/>
  <c r="K736" i="7"/>
  <c r="L736" i="7" s="1"/>
  <c r="G738" i="7" l="1"/>
  <c r="K737" i="7"/>
  <c r="L737" i="7" s="1"/>
  <c r="N736" i="7"/>
  <c r="M736" i="7"/>
  <c r="N737" i="7" l="1"/>
  <c r="M737" i="7"/>
  <c r="G739" i="7"/>
  <c r="K738" i="7"/>
  <c r="L738" i="7" s="1"/>
  <c r="M738" i="7" l="1"/>
  <c r="N738" i="7"/>
  <c r="G740" i="7"/>
  <c r="K739" i="7"/>
  <c r="L739" i="7" s="1"/>
  <c r="G741" i="7" l="1"/>
  <c r="K740" i="7"/>
  <c r="L740" i="7" s="1"/>
  <c r="N739" i="7"/>
  <c r="M739" i="7"/>
  <c r="N740" i="7" l="1"/>
  <c r="M740" i="7"/>
  <c r="G742" i="7"/>
  <c r="K741" i="7"/>
  <c r="L741" i="7" s="1"/>
  <c r="N741" i="7" l="1"/>
  <c r="M741" i="7"/>
  <c r="G743" i="7"/>
  <c r="K742" i="7"/>
  <c r="L742" i="7" s="1"/>
  <c r="N742" i="7" l="1"/>
  <c r="M742" i="7"/>
  <c r="G744" i="7"/>
  <c r="K743" i="7"/>
  <c r="L743" i="7" s="1"/>
  <c r="N743" i="7" l="1"/>
  <c r="M743" i="7"/>
  <c r="G745" i="7"/>
  <c r="K744" i="7"/>
  <c r="L744" i="7" s="1"/>
  <c r="N744" i="7" l="1"/>
  <c r="M744" i="7"/>
  <c r="G746" i="7"/>
  <c r="K745" i="7"/>
  <c r="L745" i="7" s="1"/>
  <c r="N745" i="7" l="1"/>
  <c r="M745" i="7"/>
  <c r="G747" i="7"/>
  <c r="K746" i="7"/>
  <c r="L746" i="7" s="1"/>
  <c r="N746" i="7" l="1"/>
  <c r="M746" i="7"/>
  <c r="G748" i="7"/>
  <c r="K747" i="7"/>
  <c r="L747" i="7" s="1"/>
  <c r="N747" i="7" l="1"/>
  <c r="M747" i="7"/>
  <c r="G749" i="7"/>
  <c r="K748" i="7"/>
  <c r="L748" i="7" s="1"/>
  <c r="N748" i="7" l="1"/>
  <c r="M748" i="7"/>
  <c r="G750" i="7"/>
  <c r="K749" i="7"/>
  <c r="L749" i="7" s="1"/>
  <c r="N749" i="7" l="1"/>
  <c r="M749" i="7"/>
  <c r="G751" i="7"/>
  <c r="K750" i="7"/>
  <c r="L750" i="7" s="1"/>
  <c r="G752" i="7" l="1"/>
  <c r="K751" i="7"/>
  <c r="L751" i="7" s="1"/>
  <c r="N750" i="7"/>
  <c r="M750" i="7"/>
  <c r="N751" i="7" l="1"/>
  <c r="M751" i="7"/>
  <c r="G753" i="7"/>
  <c r="K752" i="7"/>
  <c r="L752" i="7" s="1"/>
  <c r="M752" i="7" l="1"/>
  <c r="N752" i="7"/>
  <c r="G754" i="7"/>
  <c r="K753" i="7"/>
  <c r="L753" i="7" s="1"/>
  <c r="M753" i="7" l="1"/>
  <c r="N753" i="7"/>
  <c r="G755" i="7"/>
  <c r="K754" i="7"/>
  <c r="L754" i="7" s="1"/>
  <c r="N754" i="7" l="1"/>
  <c r="M754" i="7"/>
  <c r="G756" i="7"/>
  <c r="K755" i="7"/>
  <c r="L755" i="7" s="1"/>
  <c r="N755" i="7" l="1"/>
  <c r="M755" i="7"/>
  <c r="G757" i="7"/>
  <c r="K756" i="7"/>
  <c r="L756" i="7" s="1"/>
  <c r="G758" i="7" l="1"/>
  <c r="K757" i="7"/>
  <c r="L757" i="7" s="1"/>
  <c r="M756" i="7"/>
  <c r="N756" i="7"/>
  <c r="N757" i="7" l="1"/>
  <c r="M757" i="7"/>
  <c r="G759" i="7"/>
  <c r="K758" i="7"/>
  <c r="L758" i="7" s="1"/>
  <c r="N758" i="7" l="1"/>
  <c r="M758" i="7"/>
  <c r="G760" i="7"/>
  <c r="K759" i="7"/>
  <c r="L759" i="7" s="1"/>
  <c r="N759" i="7" l="1"/>
  <c r="M759" i="7"/>
  <c r="G761" i="7"/>
  <c r="K760" i="7"/>
  <c r="L760" i="7" s="1"/>
  <c r="N760" i="7" l="1"/>
  <c r="M760" i="7"/>
  <c r="G762" i="7"/>
  <c r="K761" i="7"/>
  <c r="L761" i="7" s="1"/>
  <c r="N761" i="7" l="1"/>
  <c r="M761" i="7"/>
  <c r="G763" i="7"/>
  <c r="K762" i="7"/>
  <c r="L762" i="7" s="1"/>
  <c r="N762" i="7" l="1"/>
  <c r="M762" i="7"/>
  <c r="G764" i="7"/>
  <c r="K763" i="7"/>
  <c r="L763" i="7" s="1"/>
  <c r="G765" i="7" l="1"/>
  <c r="K764" i="7"/>
  <c r="L764" i="7" s="1"/>
  <c r="N763" i="7"/>
  <c r="M763" i="7"/>
  <c r="N764" i="7" l="1"/>
  <c r="M764" i="7"/>
  <c r="G766" i="7"/>
  <c r="K765" i="7"/>
  <c r="L765" i="7" s="1"/>
  <c r="N765" i="7" l="1"/>
  <c r="M765" i="7"/>
  <c r="G767" i="7"/>
  <c r="K766" i="7"/>
  <c r="L766" i="7" s="1"/>
  <c r="N766" i="7" l="1"/>
  <c r="M766" i="7"/>
  <c r="G768" i="7"/>
  <c r="K767" i="7"/>
  <c r="L767" i="7" s="1"/>
  <c r="N767" i="7" l="1"/>
  <c r="M767" i="7"/>
  <c r="G769" i="7"/>
  <c r="K768" i="7"/>
  <c r="L768" i="7" s="1"/>
  <c r="N768" i="7" l="1"/>
  <c r="M768" i="7"/>
  <c r="G770" i="7"/>
  <c r="K769" i="7"/>
  <c r="L769" i="7" s="1"/>
  <c r="G771" i="7" l="1"/>
  <c r="K770" i="7"/>
  <c r="L770" i="7" s="1"/>
  <c r="N769" i="7"/>
  <c r="M769" i="7"/>
  <c r="N770" i="7" l="1"/>
  <c r="M770" i="7"/>
  <c r="G772" i="7"/>
  <c r="K771" i="7"/>
  <c r="L771" i="7" s="1"/>
  <c r="N771" i="7" l="1"/>
  <c r="M771" i="7"/>
  <c r="G773" i="7"/>
  <c r="K772" i="7"/>
  <c r="L772" i="7" s="1"/>
  <c r="G774" i="7" l="1"/>
  <c r="K773" i="7"/>
  <c r="L773" i="7" s="1"/>
  <c r="M772" i="7"/>
  <c r="N772" i="7"/>
  <c r="N773" i="7" l="1"/>
  <c r="M773" i="7"/>
  <c r="G775" i="7"/>
  <c r="K774" i="7"/>
  <c r="L774" i="7" s="1"/>
  <c r="N774" i="7" l="1"/>
  <c r="M774" i="7"/>
  <c r="G776" i="7"/>
  <c r="K775" i="7"/>
  <c r="L775" i="7" s="1"/>
  <c r="N775" i="7" l="1"/>
  <c r="M775" i="7"/>
  <c r="G777" i="7"/>
  <c r="K776" i="7"/>
  <c r="L776" i="7" s="1"/>
  <c r="N776" i="7" l="1"/>
  <c r="M776" i="7"/>
  <c r="G778" i="7"/>
  <c r="K777" i="7"/>
  <c r="L777" i="7" s="1"/>
  <c r="M777" i="7" l="1"/>
  <c r="N777" i="7"/>
  <c r="G779" i="7"/>
  <c r="K778" i="7"/>
  <c r="L778" i="7" s="1"/>
  <c r="N778" i="7" l="1"/>
  <c r="M778" i="7"/>
  <c r="G780" i="7"/>
  <c r="K779" i="7"/>
  <c r="L779" i="7" s="1"/>
  <c r="N779" i="7" l="1"/>
  <c r="M779" i="7"/>
  <c r="G781" i="7"/>
  <c r="K780" i="7"/>
  <c r="L780" i="7" s="1"/>
  <c r="N780" i="7" l="1"/>
  <c r="M780" i="7"/>
  <c r="G782" i="7"/>
  <c r="K781" i="7"/>
  <c r="L781" i="7" s="1"/>
  <c r="N781" i="7" l="1"/>
  <c r="M781" i="7"/>
  <c r="G783" i="7"/>
  <c r="K782" i="7"/>
  <c r="L782" i="7" s="1"/>
  <c r="N782" i="7" l="1"/>
  <c r="M782" i="7"/>
  <c r="G784" i="7"/>
  <c r="K783" i="7"/>
  <c r="L783" i="7" s="1"/>
  <c r="N783" i="7" l="1"/>
  <c r="M783" i="7"/>
  <c r="G785" i="7"/>
  <c r="K784" i="7"/>
  <c r="L784" i="7" s="1"/>
  <c r="N784" i="7" l="1"/>
  <c r="M784" i="7"/>
  <c r="G786" i="7"/>
  <c r="K785" i="7"/>
  <c r="L785" i="7" s="1"/>
  <c r="M785" i="7" l="1"/>
  <c r="N785" i="7"/>
  <c r="G787" i="7"/>
  <c r="K786" i="7"/>
  <c r="L786" i="7" s="1"/>
  <c r="N786" i="7" l="1"/>
  <c r="M786" i="7"/>
  <c r="G788" i="7"/>
  <c r="K787" i="7"/>
  <c r="L787" i="7" s="1"/>
  <c r="N787" i="7" l="1"/>
  <c r="M787" i="7"/>
  <c r="G789" i="7"/>
  <c r="K788" i="7"/>
  <c r="L788" i="7" s="1"/>
  <c r="N788" i="7" l="1"/>
  <c r="M788" i="7"/>
  <c r="G790" i="7"/>
  <c r="K789" i="7"/>
  <c r="L789" i="7" s="1"/>
  <c r="G791" i="7" l="1"/>
  <c r="K790" i="7"/>
  <c r="L790" i="7" s="1"/>
  <c r="N789" i="7"/>
  <c r="M789" i="7"/>
  <c r="N790" i="7" l="1"/>
  <c r="M790" i="7"/>
  <c r="G792" i="7"/>
  <c r="K791" i="7"/>
  <c r="L791" i="7" s="1"/>
  <c r="G793" i="7" l="1"/>
  <c r="K792" i="7"/>
  <c r="L792" i="7" s="1"/>
  <c r="N791" i="7"/>
  <c r="M791" i="7"/>
  <c r="M792" i="7" l="1"/>
  <c r="N792" i="7"/>
  <c r="G794" i="7"/>
  <c r="K793" i="7"/>
  <c r="L793" i="7" s="1"/>
  <c r="N793" i="7" l="1"/>
  <c r="M793" i="7"/>
  <c r="G795" i="7"/>
  <c r="K794" i="7"/>
  <c r="L794" i="7" s="1"/>
  <c r="N794" i="7" l="1"/>
  <c r="M794" i="7"/>
  <c r="G796" i="7"/>
  <c r="K795" i="7"/>
  <c r="L795" i="7" s="1"/>
  <c r="N795" i="7" l="1"/>
  <c r="M795" i="7"/>
  <c r="G797" i="7"/>
  <c r="K796" i="7"/>
  <c r="L796" i="7" s="1"/>
  <c r="N796" i="7" l="1"/>
  <c r="M796" i="7"/>
  <c r="G798" i="7"/>
  <c r="K797" i="7"/>
  <c r="L797" i="7" s="1"/>
  <c r="N797" i="7" l="1"/>
  <c r="M797" i="7"/>
  <c r="G799" i="7"/>
  <c r="K798" i="7"/>
  <c r="L798" i="7" s="1"/>
  <c r="N798" i="7" l="1"/>
  <c r="M798" i="7"/>
  <c r="G800" i="7"/>
  <c r="K799" i="7"/>
  <c r="L799" i="7" s="1"/>
  <c r="G801" i="7" l="1"/>
  <c r="K800" i="7"/>
  <c r="L800" i="7" s="1"/>
  <c r="N799" i="7"/>
  <c r="M799" i="7"/>
  <c r="N800" i="7" l="1"/>
  <c r="M800" i="7"/>
  <c r="G802" i="7"/>
  <c r="K801" i="7"/>
  <c r="L801" i="7" s="1"/>
  <c r="M801" i="7" l="1"/>
  <c r="N801" i="7"/>
  <c r="G803" i="7"/>
  <c r="K802" i="7"/>
  <c r="L802" i="7" s="1"/>
  <c r="N802" i="7" l="1"/>
  <c r="M802" i="7"/>
  <c r="G804" i="7"/>
  <c r="K803" i="7"/>
  <c r="L803" i="7" s="1"/>
  <c r="N803" i="7" l="1"/>
  <c r="M803" i="7"/>
  <c r="G805" i="7"/>
  <c r="K804" i="7"/>
  <c r="L804" i="7" s="1"/>
  <c r="N804" i="7" l="1"/>
  <c r="M804" i="7"/>
  <c r="G806" i="7"/>
  <c r="K805" i="7"/>
  <c r="L805" i="7" s="1"/>
  <c r="G807" i="7" l="1"/>
  <c r="K806" i="7"/>
  <c r="L806" i="7" s="1"/>
  <c r="N805" i="7"/>
  <c r="M805" i="7"/>
  <c r="N806" i="7" l="1"/>
  <c r="M806" i="7"/>
  <c r="G808" i="7"/>
  <c r="K807" i="7"/>
  <c r="L807" i="7" s="1"/>
  <c r="N807" i="7" l="1"/>
  <c r="M807" i="7"/>
  <c r="G809" i="7"/>
  <c r="K808" i="7"/>
  <c r="L808" i="7" s="1"/>
  <c r="N808" i="7" l="1"/>
  <c r="M808" i="7"/>
  <c r="G810" i="7"/>
  <c r="K809" i="7"/>
  <c r="L809" i="7" s="1"/>
  <c r="N809" i="7" l="1"/>
  <c r="M809" i="7"/>
  <c r="G811" i="7"/>
  <c r="K810" i="7"/>
  <c r="L810" i="7" s="1"/>
  <c r="N810" i="7" l="1"/>
  <c r="M810" i="7"/>
  <c r="G812" i="7"/>
  <c r="K811" i="7"/>
  <c r="L811" i="7" s="1"/>
  <c r="N811" i="7" l="1"/>
  <c r="M811" i="7"/>
  <c r="G813" i="7"/>
  <c r="K812" i="7"/>
  <c r="L812" i="7" s="1"/>
  <c r="G814" i="7" l="1"/>
  <c r="K813" i="7"/>
  <c r="L813" i="7" s="1"/>
  <c r="N812" i="7"/>
  <c r="M812" i="7"/>
  <c r="N813" i="7" l="1"/>
  <c r="M813" i="7"/>
  <c r="G815" i="7"/>
  <c r="K814" i="7"/>
  <c r="L814" i="7" s="1"/>
  <c r="N814" i="7" l="1"/>
  <c r="M814" i="7"/>
  <c r="G816" i="7"/>
  <c r="K815" i="7"/>
  <c r="L815" i="7" s="1"/>
  <c r="N815" i="7" l="1"/>
  <c r="M815" i="7"/>
  <c r="G817" i="7"/>
  <c r="K816" i="7"/>
  <c r="L816" i="7" s="1"/>
  <c r="N816" i="7" l="1"/>
  <c r="M816" i="7"/>
  <c r="G818" i="7"/>
  <c r="K817" i="7"/>
  <c r="L817" i="7" s="1"/>
  <c r="M817" i="7" l="1"/>
  <c r="N817" i="7"/>
  <c r="G819" i="7"/>
  <c r="K818" i="7"/>
  <c r="L818" i="7" s="1"/>
  <c r="N818" i="7" l="1"/>
  <c r="M818" i="7"/>
  <c r="G820" i="7"/>
  <c r="K819" i="7"/>
  <c r="L819" i="7" s="1"/>
  <c r="N819" i="7" l="1"/>
  <c r="M819" i="7"/>
  <c r="G821" i="7"/>
  <c r="K820" i="7"/>
  <c r="L820" i="7" s="1"/>
  <c r="N820" i="7" l="1"/>
  <c r="M820" i="7"/>
  <c r="G822" i="7"/>
  <c r="K821" i="7"/>
  <c r="L821" i="7" s="1"/>
  <c r="N821" i="7" l="1"/>
  <c r="M821" i="7"/>
  <c r="G823" i="7"/>
  <c r="K822" i="7"/>
  <c r="L822" i="7" s="1"/>
  <c r="N822" i="7" l="1"/>
  <c r="M822" i="7"/>
  <c r="G824" i="7"/>
  <c r="K823" i="7"/>
  <c r="L823" i="7" s="1"/>
  <c r="N823" i="7" l="1"/>
  <c r="M823" i="7"/>
  <c r="G825" i="7"/>
  <c r="K824" i="7"/>
  <c r="L824" i="7" s="1"/>
  <c r="M824" i="7" l="1"/>
  <c r="N824" i="7"/>
  <c r="G826" i="7"/>
  <c r="K825" i="7"/>
  <c r="L825" i="7" s="1"/>
  <c r="G827" i="7" l="1"/>
  <c r="K826" i="7"/>
  <c r="L826" i="7" s="1"/>
  <c r="N825" i="7"/>
  <c r="M825" i="7"/>
  <c r="G828" i="7" l="1"/>
  <c r="K827" i="7"/>
  <c r="L827" i="7" s="1"/>
  <c r="M826" i="7"/>
  <c r="N826" i="7"/>
  <c r="G829" i="7" l="1"/>
  <c r="K828" i="7"/>
  <c r="L828" i="7" s="1"/>
  <c r="N827" i="7"/>
  <c r="M827" i="7"/>
  <c r="G830" i="7" l="1"/>
  <c r="K829" i="7"/>
  <c r="L829" i="7" s="1"/>
  <c r="N828" i="7"/>
  <c r="M828" i="7"/>
  <c r="G831" i="7" l="1"/>
  <c r="K830" i="7"/>
  <c r="L830" i="7" s="1"/>
  <c r="N829" i="7"/>
  <c r="M829" i="7"/>
  <c r="G832" i="7" l="1"/>
  <c r="K831" i="7"/>
  <c r="L831" i="7" s="1"/>
  <c r="N830" i="7"/>
  <c r="M830" i="7"/>
  <c r="N831" i="7" l="1"/>
  <c r="M831" i="7"/>
  <c r="G833" i="7"/>
  <c r="K832" i="7"/>
  <c r="L832" i="7" s="1"/>
  <c r="G834" i="7" l="1"/>
  <c r="K833" i="7"/>
  <c r="L833" i="7" s="1"/>
  <c r="N832" i="7"/>
  <c r="M832" i="7"/>
  <c r="M833" i="7" l="1"/>
  <c r="N833" i="7"/>
  <c r="G835" i="7"/>
  <c r="K834" i="7"/>
  <c r="L834" i="7" s="1"/>
  <c r="N834" i="7" l="1"/>
  <c r="M834" i="7"/>
  <c r="G836" i="7"/>
  <c r="K835" i="7"/>
  <c r="L835" i="7" s="1"/>
  <c r="N835" i="7" l="1"/>
  <c r="M835" i="7"/>
  <c r="G837" i="7"/>
  <c r="K836" i="7"/>
  <c r="L836" i="7" s="1"/>
  <c r="G838" i="7" l="1"/>
  <c r="K837" i="7"/>
  <c r="L837" i="7" s="1"/>
  <c r="N836" i="7"/>
  <c r="M836" i="7"/>
  <c r="N837" i="7" l="1"/>
  <c r="M837" i="7"/>
  <c r="G839" i="7"/>
  <c r="K838" i="7"/>
  <c r="L838" i="7" s="1"/>
  <c r="N838" i="7" l="1"/>
  <c r="M838" i="7"/>
  <c r="G840" i="7"/>
  <c r="K839" i="7"/>
  <c r="L839" i="7" s="1"/>
  <c r="N839" i="7" l="1"/>
  <c r="M839" i="7"/>
  <c r="G841" i="7"/>
  <c r="K840" i="7"/>
  <c r="L840" i="7" s="1"/>
  <c r="G842" i="7" l="1"/>
  <c r="K841" i="7"/>
  <c r="L841" i="7" s="1"/>
  <c r="M840" i="7"/>
  <c r="N840" i="7"/>
  <c r="M841" i="7" l="1"/>
  <c r="N841" i="7"/>
  <c r="G843" i="7"/>
  <c r="K842" i="7"/>
  <c r="L842" i="7" s="1"/>
  <c r="G844" i="7" l="1"/>
  <c r="K843" i="7"/>
  <c r="L843" i="7" s="1"/>
  <c r="N842" i="7"/>
  <c r="M842" i="7"/>
  <c r="N843" i="7" l="1"/>
  <c r="M843" i="7"/>
  <c r="G845" i="7"/>
  <c r="K844" i="7"/>
  <c r="L844" i="7" s="1"/>
  <c r="N844" i="7" l="1"/>
  <c r="M844" i="7"/>
  <c r="G846" i="7"/>
  <c r="K845" i="7"/>
  <c r="L845" i="7" s="1"/>
  <c r="N845" i="7" l="1"/>
  <c r="M845" i="7"/>
  <c r="G847" i="7"/>
  <c r="K846" i="7"/>
  <c r="L846" i="7" s="1"/>
  <c r="N846" i="7" l="1"/>
  <c r="M846" i="7"/>
  <c r="G848" i="7"/>
  <c r="K847" i="7"/>
  <c r="L847" i="7" s="1"/>
  <c r="N847" i="7" l="1"/>
  <c r="M847" i="7"/>
  <c r="G849" i="7"/>
  <c r="K848" i="7"/>
  <c r="L848" i="7" s="1"/>
  <c r="N848" i="7" l="1"/>
  <c r="M848" i="7"/>
  <c r="G850" i="7"/>
  <c r="K849" i="7"/>
  <c r="L849" i="7" s="1"/>
  <c r="G851" i="7" l="1"/>
  <c r="K850" i="7"/>
  <c r="L850" i="7" s="1"/>
  <c r="N849" i="7"/>
  <c r="M849" i="7"/>
  <c r="N850" i="7" l="1"/>
  <c r="M850" i="7"/>
  <c r="G852" i="7"/>
  <c r="K851" i="7"/>
  <c r="L851" i="7" s="1"/>
  <c r="G853" i="7" l="1"/>
  <c r="K852" i="7"/>
  <c r="L852" i="7" s="1"/>
  <c r="N851" i="7"/>
  <c r="M851" i="7"/>
  <c r="N852" i="7" l="1"/>
  <c r="M852" i="7"/>
  <c r="G854" i="7"/>
  <c r="K853" i="7"/>
  <c r="L853" i="7" s="1"/>
  <c r="N853" i="7" l="1"/>
  <c r="M853" i="7"/>
  <c r="G855" i="7"/>
  <c r="K854" i="7"/>
  <c r="L854" i="7" s="1"/>
  <c r="N854" i="7" l="1"/>
  <c r="M854" i="7"/>
  <c r="G856" i="7"/>
  <c r="K855" i="7"/>
  <c r="L855" i="7" s="1"/>
  <c r="G857" i="7" l="1"/>
  <c r="K856" i="7"/>
  <c r="L856" i="7" s="1"/>
  <c r="N855" i="7"/>
  <c r="M855" i="7"/>
  <c r="M856" i="7" l="1"/>
  <c r="N856" i="7"/>
  <c r="G858" i="7"/>
  <c r="K857" i="7"/>
  <c r="L857" i="7" s="1"/>
  <c r="N857" i="7" l="1"/>
  <c r="M857" i="7"/>
  <c r="G859" i="7"/>
  <c r="K858" i="7"/>
  <c r="L858" i="7" s="1"/>
  <c r="G860" i="7" l="1"/>
  <c r="K859" i="7"/>
  <c r="L859" i="7" s="1"/>
  <c r="N858" i="7"/>
  <c r="M858" i="7"/>
  <c r="G861" i="7" l="1"/>
  <c r="K860" i="7"/>
  <c r="L860" i="7" s="1"/>
  <c r="N859" i="7"/>
  <c r="M859" i="7"/>
  <c r="N860" i="7" l="1"/>
  <c r="M860" i="7"/>
  <c r="G862" i="7"/>
  <c r="K861" i="7"/>
  <c r="L861" i="7" s="1"/>
  <c r="G863" i="7" l="1"/>
  <c r="K862" i="7"/>
  <c r="L862" i="7" s="1"/>
  <c r="N861" i="7"/>
  <c r="M861" i="7"/>
  <c r="N862" i="7" l="1"/>
  <c r="M862" i="7"/>
  <c r="G864" i="7"/>
  <c r="K863" i="7"/>
  <c r="L863" i="7" s="1"/>
  <c r="N863" i="7" l="1"/>
  <c r="M863" i="7"/>
  <c r="G865" i="7"/>
  <c r="K864" i="7"/>
  <c r="L864" i="7" s="1"/>
  <c r="N864" i="7" l="1"/>
  <c r="M864" i="7"/>
  <c r="G866" i="7"/>
  <c r="K865" i="7"/>
  <c r="L865" i="7" s="1"/>
  <c r="N865" i="7" l="1"/>
  <c r="M865" i="7"/>
  <c r="G867" i="7"/>
  <c r="K866" i="7"/>
  <c r="L866" i="7" s="1"/>
  <c r="N866" i="7" l="1"/>
  <c r="M866" i="7"/>
  <c r="G868" i="7"/>
  <c r="K867" i="7"/>
  <c r="L867" i="7" s="1"/>
  <c r="N867" i="7" l="1"/>
  <c r="M867" i="7"/>
  <c r="G869" i="7"/>
  <c r="K868" i="7"/>
  <c r="L868" i="7" s="1"/>
  <c r="G870" i="7" l="1"/>
  <c r="K869" i="7"/>
  <c r="L869" i="7" s="1"/>
  <c r="N868" i="7"/>
  <c r="M868" i="7"/>
  <c r="G871" i="7" l="1"/>
  <c r="K870" i="7"/>
  <c r="L870" i="7" s="1"/>
  <c r="M869" i="7"/>
  <c r="N869" i="7"/>
  <c r="N870" i="7" l="1"/>
  <c r="M870" i="7"/>
  <c r="G872" i="7"/>
  <c r="K871" i="7"/>
  <c r="L871" i="7" s="1"/>
  <c r="N871" i="7" l="1"/>
  <c r="M871" i="7"/>
  <c r="G873" i="7"/>
  <c r="K872" i="7"/>
  <c r="L872" i="7" s="1"/>
  <c r="N872" i="7" l="1"/>
  <c r="M872" i="7"/>
  <c r="G874" i="7"/>
  <c r="K873" i="7"/>
  <c r="L873" i="7" s="1"/>
  <c r="M873" i="7" l="1"/>
  <c r="N873" i="7"/>
  <c r="G875" i="7"/>
  <c r="K874" i="7"/>
  <c r="L874" i="7" s="1"/>
  <c r="N874" i="7" l="1"/>
  <c r="M874" i="7"/>
  <c r="G876" i="7"/>
  <c r="K875" i="7"/>
  <c r="L875" i="7" s="1"/>
  <c r="G877" i="7" l="1"/>
  <c r="K876" i="7"/>
  <c r="L876" i="7" s="1"/>
  <c r="N875" i="7"/>
  <c r="M875" i="7"/>
  <c r="G878" i="7" l="1"/>
  <c r="K877" i="7"/>
  <c r="L877" i="7" s="1"/>
  <c r="N876" i="7"/>
  <c r="M876" i="7"/>
  <c r="N877" i="7" l="1"/>
  <c r="M877" i="7"/>
  <c r="G879" i="7"/>
  <c r="K878" i="7"/>
  <c r="L878" i="7" s="1"/>
  <c r="N878" i="7" l="1"/>
  <c r="M878" i="7"/>
  <c r="G880" i="7"/>
  <c r="K879" i="7"/>
  <c r="L879" i="7" s="1"/>
  <c r="N879" i="7" l="1"/>
  <c r="M879" i="7"/>
  <c r="G881" i="7"/>
  <c r="K880" i="7"/>
  <c r="L880" i="7" s="1"/>
  <c r="N880" i="7" l="1"/>
  <c r="M880" i="7"/>
  <c r="G882" i="7"/>
  <c r="K881" i="7"/>
  <c r="L881" i="7" s="1"/>
  <c r="N881" i="7" l="1"/>
  <c r="M881" i="7"/>
  <c r="G883" i="7"/>
  <c r="K882" i="7"/>
  <c r="L882" i="7" s="1"/>
  <c r="N882" i="7" l="1"/>
  <c r="M882" i="7"/>
  <c r="G884" i="7"/>
  <c r="K883" i="7"/>
  <c r="L883" i="7" s="1"/>
  <c r="N883" i="7" l="1"/>
  <c r="M883" i="7"/>
  <c r="G885" i="7"/>
  <c r="K884" i="7"/>
  <c r="L884" i="7" s="1"/>
  <c r="N884" i="7" l="1"/>
  <c r="M884" i="7"/>
  <c r="G886" i="7"/>
  <c r="K885" i="7"/>
  <c r="L885" i="7" s="1"/>
  <c r="N885" i="7" l="1"/>
  <c r="M885" i="7"/>
  <c r="G887" i="7"/>
  <c r="K886" i="7"/>
  <c r="L886" i="7" s="1"/>
  <c r="N886" i="7" l="1"/>
  <c r="M886" i="7"/>
  <c r="G888" i="7"/>
  <c r="K887" i="7"/>
  <c r="L887" i="7" s="1"/>
  <c r="N887" i="7" l="1"/>
  <c r="M887" i="7"/>
  <c r="G889" i="7"/>
  <c r="K888" i="7"/>
  <c r="L888" i="7" s="1"/>
  <c r="N888" i="7" l="1"/>
  <c r="M888" i="7"/>
  <c r="G890" i="7"/>
  <c r="K889" i="7"/>
  <c r="L889" i="7" s="1"/>
  <c r="N889" i="7" l="1"/>
  <c r="M889" i="7"/>
  <c r="G891" i="7"/>
  <c r="K890" i="7"/>
  <c r="L890" i="7" s="1"/>
  <c r="M890" i="7" l="1"/>
  <c r="N890" i="7"/>
  <c r="G892" i="7"/>
  <c r="K891" i="7"/>
  <c r="L891" i="7" s="1"/>
  <c r="N891" i="7" l="1"/>
  <c r="M891" i="7"/>
  <c r="G893" i="7"/>
  <c r="K892" i="7"/>
  <c r="L892" i="7" s="1"/>
  <c r="N892" i="7" l="1"/>
  <c r="M892" i="7"/>
  <c r="G894" i="7"/>
  <c r="K893" i="7"/>
  <c r="L893" i="7" s="1"/>
  <c r="N893" i="7" l="1"/>
  <c r="M893" i="7"/>
  <c r="G895" i="7"/>
  <c r="K894" i="7"/>
  <c r="L894" i="7" s="1"/>
  <c r="N894" i="7" l="1"/>
  <c r="M894" i="7"/>
  <c r="G896" i="7"/>
  <c r="K895" i="7"/>
  <c r="L895" i="7" s="1"/>
  <c r="M895" i="7" l="1"/>
  <c r="N895" i="7"/>
  <c r="G897" i="7"/>
  <c r="K896" i="7"/>
  <c r="L896" i="7" s="1"/>
  <c r="G898" i="7" l="1"/>
  <c r="K897" i="7"/>
  <c r="L897" i="7" s="1"/>
  <c r="N896" i="7"/>
  <c r="M896" i="7"/>
  <c r="G899" i="7" l="1"/>
  <c r="K898" i="7"/>
  <c r="L898" i="7" s="1"/>
  <c r="N897" i="7"/>
  <c r="M897" i="7"/>
  <c r="G900" i="7" l="1"/>
  <c r="K899" i="7"/>
  <c r="L899" i="7" s="1"/>
  <c r="N898" i="7"/>
  <c r="M898" i="7"/>
  <c r="G901" i="7" l="1"/>
  <c r="K900" i="7"/>
  <c r="L900" i="7" s="1"/>
  <c r="N899" i="7"/>
  <c r="M899" i="7"/>
  <c r="N900" i="7" l="1"/>
  <c r="M900" i="7"/>
  <c r="G902" i="7"/>
  <c r="K901" i="7"/>
  <c r="L901" i="7" s="1"/>
  <c r="G903" i="7" l="1"/>
  <c r="K902" i="7"/>
  <c r="L902" i="7" s="1"/>
  <c r="N901" i="7"/>
  <c r="M901" i="7"/>
  <c r="G904" i="7" l="1"/>
  <c r="K903" i="7"/>
  <c r="L903" i="7" s="1"/>
  <c r="N902" i="7"/>
  <c r="M902" i="7"/>
  <c r="G905" i="7" l="1"/>
  <c r="K904" i="7"/>
  <c r="L904" i="7" s="1"/>
  <c r="N903" i="7"/>
  <c r="M903" i="7"/>
  <c r="G906" i="7" l="1"/>
  <c r="K905" i="7"/>
  <c r="L905" i="7" s="1"/>
  <c r="N904" i="7"/>
  <c r="M904" i="7"/>
  <c r="G907" i="7" l="1"/>
  <c r="K906" i="7"/>
  <c r="L906" i="7" s="1"/>
  <c r="M905" i="7"/>
  <c r="N905" i="7"/>
  <c r="N906" i="7" l="1"/>
  <c r="M906" i="7"/>
  <c r="G908" i="7"/>
  <c r="K907" i="7"/>
  <c r="L907" i="7" s="1"/>
  <c r="N907" i="7" l="1"/>
  <c r="M907" i="7"/>
  <c r="G909" i="7"/>
  <c r="K908" i="7"/>
  <c r="L908" i="7" s="1"/>
  <c r="N908" i="7" l="1"/>
  <c r="M908" i="7"/>
  <c r="G910" i="7"/>
  <c r="K909" i="7"/>
  <c r="L909" i="7" s="1"/>
  <c r="N909" i="7" l="1"/>
  <c r="M909" i="7"/>
  <c r="G911" i="7"/>
  <c r="K910" i="7"/>
  <c r="L910" i="7" s="1"/>
  <c r="N910" i="7" l="1"/>
  <c r="M910" i="7"/>
  <c r="G912" i="7"/>
  <c r="K911" i="7"/>
  <c r="L911" i="7" s="1"/>
  <c r="N911" i="7" l="1"/>
  <c r="M911" i="7"/>
  <c r="G913" i="7"/>
  <c r="K912" i="7"/>
  <c r="L912" i="7" s="1"/>
  <c r="N912" i="7" l="1"/>
  <c r="M912" i="7"/>
  <c r="G914" i="7"/>
  <c r="K913" i="7"/>
  <c r="L913" i="7" s="1"/>
  <c r="N913" i="7" l="1"/>
  <c r="M913" i="7"/>
  <c r="G915" i="7"/>
  <c r="K914" i="7"/>
  <c r="L914" i="7" s="1"/>
  <c r="N914" i="7" l="1"/>
  <c r="M914" i="7"/>
  <c r="G916" i="7"/>
  <c r="K915" i="7"/>
  <c r="L915" i="7" s="1"/>
  <c r="G917" i="7" l="1"/>
  <c r="K916" i="7"/>
  <c r="L916" i="7" s="1"/>
  <c r="N915" i="7"/>
  <c r="M915" i="7"/>
  <c r="N916" i="7" l="1"/>
  <c r="M916" i="7"/>
  <c r="G918" i="7"/>
  <c r="K917" i="7"/>
  <c r="L917" i="7" s="1"/>
  <c r="N917" i="7" l="1"/>
  <c r="M917" i="7"/>
  <c r="G919" i="7"/>
  <c r="K918" i="7"/>
  <c r="L918" i="7" s="1"/>
  <c r="N918" i="7" l="1"/>
  <c r="M918" i="7"/>
  <c r="G920" i="7"/>
  <c r="K919" i="7"/>
  <c r="L919" i="7" s="1"/>
  <c r="N919" i="7" l="1"/>
  <c r="M919" i="7"/>
  <c r="G921" i="7"/>
  <c r="K920" i="7"/>
  <c r="L920" i="7" s="1"/>
  <c r="M920" i="7" l="1"/>
  <c r="N920" i="7"/>
  <c r="G922" i="7"/>
  <c r="K921" i="7"/>
  <c r="L921" i="7" s="1"/>
  <c r="G923" i="7" l="1"/>
  <c r="K922" i="7"/>
  <c r="L922" i="7" s="1"/>
  <c r="N921" i="7"/>
  <c r="M921" i="7"/>
  <c r="N922" i="7" l="1"/>
  <c r="M922" i="7"/>
  <c r="G924" i="7"/>
  <c r="K923" i="7"/>
  <c r="L923" i="7" s="1"/>
  <c r="N923" i="7" l="1"/>
  <c r="M923" i="7"/>
  <c r="G925" i="7"/>
  <c r="K924" i="7"/>
  <c r="L924" i="7" s="1"/>
  <c r="N924" i="7" l="1"/>
  <c r="M924" i="7"/>
  <c r="G926" i="7"/>
  <c r="K925" i="7"/>
  <c r="L925" i="7" s="1"/>
  <c r="N925" i="7" l="1"/>
  <c r="M925" i="7"/>
  <c r="G927" i="7"/>
  <c r="K926" i="7"/>
  <c r="L926" i="7" s="1"/>
  <c r="G928" i="7" l="1"/>
  <c r="K927" i="7"/>
  <c r="L927" i="7" s="1"/>
  <c r="N926" i="7"/>
  <c r="M926" i="7"/>
  <c r="N927" i="7" l="1"/>
  <c r="M927" i="7"/>
  <c r="G929" i="7"/>
  <c r="K928" i="7"/>
  <c r="L928" i="7" s="1"/>
  <c r="G930" i="7" l="1"/>
  <c r="K929" i="7"/>
  <c r="L929" i="7" s="1"/>
  <c r="N928" i="7"/>
  <c r="M928" i="7"/>
  <c r="N929" i="7" l="1"/>
  <c r="M929" i="7"/>
  <c r="G931" i="7"/>
  <c r="K930" i="7"/>
  <c r="L930" i="7" s="1"/>
  <c r="G932" i="7" l="1"/>
  <c r="K931" i="7"/>
  <c r="L931" i="7" s="1"/>
  <c r="N930" i="7"/>
  <c r="M930" i="7"/>
  <c r="N931" i="7" l="1"/>
  <c r="M931" i="7"/>
  <c r="G933" i="7"/>
  <c r="K932" i="7"/>
  <c r="L932" i="7" s="1"/>
  <c r="N932" i="7" l="1"/>
  <c r="M932" i="7"/>
  <c r="G934" i="7"/>
  <c r="K933" i="7"/>
  <c r="L933" i="7" s="1"/>
  <c r="G935" i="7" l="1"/>
  <c r="K934" i="7"/>
  <c r="L934" i="7" s="1"/>
  <c r="N933" i="7"/>
  <c r="M933" i="7"/>
  <c r="N934" i="7" l="1"/>
  <c r="M934" i="7"/>
  <c r="G936" i="7"/>
  <c r="K935" i="7"/>
  <c r="L935" i="7" s="1"/>
  <c r="N935" i="7" l="1"/>
  <c r="M935" i="7"/>
  <c r="G937" i="7"/>
  <c r="K936" i="7"/>
  <c r="L936" i="7" s="1"/>
  <c r="N936" i="7" l="1"/>
  <c r="M936" i="7"/>
  <c r="G938" i="7"/>
  <c r="K937" i="7"/>
  <c r="L937" i="7" s="1"/>
  <c r="M937" i="7" l="1"/>
  <c r="N937" i="7"/>
  <c r="G939" i="7"/>
  <c r="K938" i="7"/>
  <c r="L938" i="7" s="1"/>
  <c r="G940" i="7" l="1"/>
  <c r="K939" i="7"/>
  <c r="L939" i="7" s="1"/>
  <c r="N938" i="7"/>
  <c r="M938" i="7"/>
  <c r="G941" i="7" l="1"/>
  <c r="K940" i="7"/>
  <c r="L940" i="7" s="1"/>
  <c r="N939" i="7"/>
  <c r="M939" i="7"/>
  <c r="N940" i="7" l="1"/>
  <c r="M940" i="7"/>
  <c r="G942" i="7"/>
  <c r="K941" i="7"/>
  <c r="L941" i="7" s="1"/>
  <c r="N941" i="7" l="1"/>
  <c r="M941" i="7"/>
  <c r="G943" i="7"/>
  <c r="K942" i="7"/>
  <c r="L942" i="7" s="1"/>
  <c r="N942" i="7" l="1"/>
  <c r="M942" i="7"/>
  <c r="G944" i="7"/>
  <c r="K943" i="7"/>
  <c r="L943" i="7" s="1"/>
  <c r="N943" i="7" l="1"/>
  <c r="M943" i="7"/>
  <c r="G945" i="7"/>
  <c r="K944" i="7"/>
  <c r="L944" i="7" s="1"/>
  <c r="N944" i="7" l="1"/>
  <c r="M944" i="7"/>
  <c r="G946" i="7"/>
  <c r="K945" i="7"/>
  <c r="L945" i="7" s="1"/>
  <c r="N945" i="7" l="1"/>
  <c r="M945" i="7"/>
  <c r="G947" i="7"/>
  <c r="K946" i="7"/>
  <c r="L946" i="7" s="1"/>
  <c r="N946" i="7" l="1"/>
  <c r="M946" i="7"/>
  <c r="G948" i="7"/>
  <c r="K947" i="7"/>
  <c r="L947" i="7" s="1"/>
  <c r="N947" i="7" l="1"/>
  <c r="M947" i="7"/>
  <c r="G949" i="7"/>
  <c r="K948" i="7"/>
  <c r="L948" i="7" s="1"/>
  <c r="N948" i="7" l="1"/>
  <c r="M948" i="7"/>
  <c r="G950" i="7"/>
  <c r="K949" i="7"/>
  <c r="L949" i="7" s="1"/>
  <c r="N949" i="7" l="1"/>
  <c r="M949" i="7"/>
  <c r="G951" i="7"/>
  <c r="K950" i="7"/>
  <c r="L950" i="7" s="1"/>
  <c r="G952" i="7" l="1"/>
  <c r="K951" i="7"/>
  <c r="L951" i="7" s="1"/>
  <c r="N950" i="7"/>
  <c r="M950" i="7"/>
  <c r="N951" i="7" l="1"/>
  <c r="M951" i="7"/>
  <c r="G953" i="7"/>
  <c r="K952" i="7"/>
  <c r="L952" i="7" s="1"/>
  <c r="N952" i="7" l="1"/>
  <c r="M952" i="7"/>
  <c r="G954" i="7"/>
  <c r="K953" i="7"/>
  <c r="L953" i="7" s="1"/>
  <c r="M953" i="7" l="1"/>
  <c r="N953" i="7"/>
  <c r="G955" i="7"/>
  <c r="K954" i="7"/>
  <c r="L954" i="7" s="1"/>
  <c r="N954" i="7" l="1"/>
  <c r="M954" i="7"/>
  <c r="G956" i="7"/>
  <c r="K955" i="7"/>
  <c r="L955" i="7" s="1"/>
  <c r="N955" i="7" l="1"/>
  <c r="M955" i="7"/>
  <c r="G957" i="7"/>
  <c r="K956" i="7"/>
  <c r="L956" i="7" s="1"/>
  <c r="N956" i="7" l="1"/>
  <c r="M956" i="7"/>
  <c r="G958" i="7"/>
  <c r="K957" i="7"/>
  <c r="L957" i="7" s="1"/>
  <c r="G959" i="7" l="1"/>
  <c r="K958" i="7"/>
  <c r="L958" i="7" s="1"/>
  <c r="M957" i="7"/>
  <c r="N957" i="7"/>
  <c r="N958" i="7" l="1"/>
  <c r="M958" i="7"/>
  <c r="G960" i="7"/>
  <c r="K959" i="7"/>
  <c r="L959" i="7" s="1"/>
  <c r="G961" i="7" l="1"/>
  <c r="K960" i="7"/>
  <c r="L960" i="7" s="1"/>
  <c r="M959" i="7"/>
  <c r="N959" i="7"/>
  <c r="N960" i="7" l="1"/>
  <c r="M960" i="7"/>
  <c r="G962" i="7"/>
  <c r="K961" i="7"/>
  <c r="L961" i="7" s="1"/>
  <c r="G963" i="7" l="1"/>
  <c r="K962" i="7"/>
  <c r="L962" i="7" s="1"/>
  <c r="N961" i="7"/>
  <c r="M961" i="7"/>
  <c r="N962" i="7" l="1"/>
  <c r="M962" i="7"/>
  <c r="G964" i="7"/>
  <c r="K963" i="7"/>
  <c r="L963" i="7" s="1"/>
  <c r="N963" i="7" l="1"/>
  <c r="M963" i="7"/>
  <c r="G965" i="7"/>
  <c r="K964" i="7"/>
  <c r="L964" i="7" s="1"/>
  <c r="M964" i="7" l="1"/>
  <c r="N964" i="7"/>
  <c r="G966" i="7"/>
  <c r="K965" i="7"/>
  <c r="L965" i="7" s="1"/>
  <c r="N965" i="7" l="1"/>
  <c r="M965" i="7"/>
  <c r="G967" i="7"/>
  <c r="K966" i="7"/>
  <c r="L966" i="7" s="1"/>
  <c r="N966" i="7" l="1"/>
  <c r="M966" i="7"/>
  <c r="G968" i="7"/>
  <c r="K967" i="7"/>
  <c r="L967" i="7" s="1"/>
  <c r="N967" i="7" l="1"/>
  <c r="M967" i="7"/>
  <c r="G969" i="7"/>
  <c r="K968" i="7"/>
  <c r="L968" i="7" s="1"/>
  <c r="M968" i="7" l="1"/>
  <c r="N968" i="7"/>
  <c r="G970" i="7"/>
  <c r="K969" i="7"/>
  <c r="L969" i="7" s="1"/>
  <c r="M969" i="7" l="1"/>
  <c r="N969" i="7"/>
  <c r="G971" i="7"/>
  <c r="K970" i="7"/>
  <c r="L970" i="7" s="1"/>
  <c r="G972" i="7" l="1"/>
  <c r="K971" i="7"/>
  <c r="L971" i="7" s="1"/>
  <c r="N970" i="7"/>
  <c r="M970" i="7"/>
  <c r="N971" i="7" l="1"/>
  <c r="M971" i="7"/>
  <c r="G973" i="7"/>
  <c r="K972" i="7"/>
  <c r="L972" i="7" s="1"/>
  <c r="N972" i="7" l="1"/>
  <c r="M972" i="7"/>
  <c r="G974" i="7"/>
  <c r="K973" i="7"/>
  <c r="L973" i="7" s="1"/>
  <c r="N973" i="7" l="1"/>
  <c r="M973" i="7"/>
  <c r="G975" i="7"/>
  <c r="K974" i="7"/>
  <c r="L974" i="7" s="1"/>
  <c r="N974" i="7" l="1"/>
  <c r="M974" i="7"/>
  <c r="G976" i="7"/>
  <c r="K975" i="7"/>
  <c r="L975" i="7" s="1"/>
  <c r="N975" i="7" l="1"/>
  <c r="M975" i="7"/>
  <c r="G977" i="7"/>
  <c r="K976" i="7"/>
  <c r="L976" i="7" s="1"/>
  <c r="G978" i="7" l="1"/>
  <c r="K977" i="7"/>
  <c r="L977" i="7" s="1"/>
  <c r="N976" i="7"/>
  <c r="M976" i="7"/>
  <c r="N977" i="7" l="1"/>
  <c r="M977" i="7"/>
  <c r="G979" i="7"/>
  <c r="K978" i="7"/>
  <c r="L978" i="7" s="1"/>
  <c r="N978" i="7" l="1"/>
  <c r="M978" i="7"/>
  <c r="G980" i="7"/>
  <c r="K979" i="7"/>
  <c r="L979" i="7" s="1"/>
  <c r="N979" i="7" l="1"/>
  <c r="M979" i="7"/>
  <c r="G981" i="7"/>
  <c r="K980" i="7"/>
  <c r="L980" i="7" s="1"/>
  <c r="G982" i="7" l="1"/>
  <c r="K981" i="7"/>
  <c r="L981" i="7" s="1"/>
  <c r="N980" i="7"/>
  <c r="M980" i="7"/>
  <c r="N981" i="7" l="1"/>
  <c r="M981" i="7"/>
  <c r="G983" i="7"/>
  <c r="K982" i="7"/>
  <c r="L982" i="7" s="1"/>
  <c r="G984" i="7" l="1"/>
  <c r="K983" i="7"/>
  <c r="L983" i="7" s="1"/>
  <c r="N982" i="7"/>
  <c r="M982" i="7"/>
  <c r="N983" i="7" l="1"/>
  <c r="M983" i="7"/>
  <c r="G985" i="7"/>
  <c r="K984" i="7"/>
  <c r="L984" i="7" s="1"/>
  <c r="G986" i="7" l="1"/>
  <c r="K985" i="7"/>
  <c r="L985" i="7" s="1"/>
  <c r="N984" i="7"/>
  <c r="M984" i="7"/>
  <c r="M985" i="7" l="1"/>
  <c r="N985" i="7"/>
  <c r="G987" i="7"/>
  <c r="K986" i="7"/>
  <c r="L986" i="7" s="1"/>
  <c r="G988" i="7" l="1"/>
  <c r="K987" i="7"/>
  <c r="L987" i="7" s="1"/>
  <c r="M986" i="7"/>
  <c r="N986" i="7"/>
  <c r="N987" i="7" l="1"/>
  <c r="M987" i="7"/>
  <c r="G989" i="7"/>
  <c r="K988" i="7"/>
  <c r="L988" i="7" s="1"/>
  <c r="N988" i="7" l="1"/>
  <c r="M988" i="7"/>
  <c r="G990" i="7"/>
  <c r="K989" i="7"/>
  <c r="L989" i="7" s="1"/>
  <c r="N989" i="7" l="1"/>
  <c r="M989" i="7"/>
  <c r="G991" i="7"/>
  <c r="K990" i="7"/>
  <c r="L990" i="7" s="1"/>
  <c r="N990" i="7" l="1"/>
  <c r="M990" i="7"/>
  <c r="G992" i="7"/>
  <c r="K991" i="7"/>
  <c r="L991" i="7" s="1"/>
  <c r="N991" i="7" l="1"/>
  <c r="M991" i="7"/>
  <c r="G993" i="7"/>
  <c r="K992" i="7"/>
  <c r="L992" i="7" s="1"/>
  <c r="G994" i="7" l="1"/>
  <c r="K993" i="7"/>
  <c r="L993" i="7" s="1"/>
  <c r="M992" i="7"/>
  <c r="N992" i="7"/>
  <c r="N993" i="7" l="1"/>
  <c r="M993" i="7"/>
  <c r="G995" i="7"/>
  <c r="K994" i="7"/>
  <c r="L994" i="7" s="1"/>
  <c r="N994" i="7" l="1"/>
  <c r="M994" i="7"/>
  <c r="G996" i="7"/>
  <c r="K995" i="7"/>
  <c r="L995" i="7" s="1"/>
  <c r="N995" i="7" l="1"/>
  <c r="M995" i="7"/>
  <c r="G997" i="7"/>
  <c r="K996" i="7"/>
  <c r="L996" i="7" s="1"/>
  <c r="M996" i="7" l="1"/>
  <c r="N996" i="7"/>
  <c r="G998" i="7"/>
  <c r="K997" i="7"/>
  <c r="L997" i="7" s="1"/>
  <c r="G999" i="7" l="1"/>
  <c r="K998" i="7"/>
  <c r="L998" i="7" s="1"/>
  <c r="N997" i="7"/>
  <c r="M997" i="7"/>
  <c r="N998" i="7" l="1"/>
  <c r="M998" i="7"/>
  <c r="G1000" i="7"/>
  <c r="K999" i="7"/>
  <c r="L999" i="7" s="1"/>
  <c r="G1001" i="7" l="1"/>
  <c r="K1000" i="7"/>
  <c r="L1000" i="7" s="1"/>
  <c r="N999" i="7"/>
  <c r="M999" i="7"/>
  <c r="N1000" i="7" l="1"/>
  <c r="M1000" i="7"/>
  <c r="G1002" i="7"/>
  <c r="K1001" i="7"/>
  <c r="L1001" i="7" s="1"/>
  <c r="M1001" i="7" l="1"/>
  <c r="N1001" i="7"/>
  <c r="G1003" i="7"/>
  <c r="K1002" i="7"/>
  <c r="L1002" i="7" s="1"/>
  <c r="N1002" i="7" l="1"/>
  <c r="M1002" i="7"/>
  <c r="G1004" i="7"/>
  <c r="K1003" i="7"/>
  <c r="L1003" i="7" s="1"/>
  <c r="G1005" i="7" l="1"/>
  <c r="K1004" i="7"/>
  <c r="L1004" i="7" s="1"/>
  <c r="N1003" i="7"/>
  <c r="M1003" i="7"/>
  <c r="N1004" i="7" l="1"/>
  <c r="M1004" i="7"/>
  <c r="G1006" i="7"/>
  <c r="K1005" i="7"/>
  <c r="L1005" i="7" s="1"/>
  <c r="N1005" i="7" l="1"/>
  <c r="M1005" i="7"/>
  <c r="G1007" i="7"/>
  <c r="K1006" i="7"/>
  <c r="L1006" i="7" s="1"/>
  <c r="G1008" i="7" l="1"/>
  <c r="K1007" i="7"/>
  <c r="L1007" i="7" s="1"/>
  <c r="N1006" i="7"/>
  <c r="M1006" i="7"/>
  <c r="N1007" i="7" l="1"/>
  <c r="M1007" i="7"/>
  <c r="G1009" i="7"/>
  <c r="K1008" i="7"/>
  <c r="L1008" i="7" s="1"/>
  <c r="G1010" i="7" l="1"/>
  <c r="K1009" i="7"/>
  <c r="L1009" i="7" s="1"/>
  <c r="N1008" i="7"/>
  <c r="M1008" i="7"/>
  <c r="N1009" i="7" l="1"/>
  <c r="M1009" i="7"/>
  <c r="G1011" i="7"/>
  <c r="K1010" i="7"/>
  <c r="L1010" i="7" s="1"/>
  <c r="G1012" i="7" l="1"/>
  <c r="K1011" i="7"/>
  <c r="L1011" i="7" s="1"/>
  <c r="N1010" i="7"/>
  <c r="M1010" i="7"/>
  <c r="N1011" i="7" l="1"/>
  <c r="M1011" i="7"/>
  <c r="G1013" i="7"/>
  <c r="K1012" i="7"/>
  <c r="L1012" i="7" s="1"/>
  <c r="N1012" i="7" l="1"/>
  <c r="M1012" i="7"/>
  <c r="G1014" i="7"/>
  <c r="K1013" i="7"/>
  <c r="L1013" i="7" s="1"/>
  <c r="M1013" i="7" l="1"/>
  <c r="N1013" i="7"/>
  <c r="G1015" i="7"/>
  <c r="K1014" i="7"/>
  <c r="L1014" i="7" s="1"/>
  <c r="N1014" i="7" l="1"/>
  <c r="M1014" i="7"/>
  <c r="G1016" i="7"/>
  <c r="K1015" i="7"/>
  <c r="L1015" i="7" s="1"/>
  <c r="N1015" i="7" l="1"/>
  <c r="M1015" i="7"/>
  <c r="G1017" i="7"/>
  <c r="K1016" i="7"/>
  <c r="L1016" i="7" s="1"/>
  <c r="M1016" i="7" l="1"/>
  <c r="N1016" i="7"/>
  <c r="G1018" i="7"/>
  <c r="K1017" i="7"/>
  <c r="L1017" i="7" s="1"/>
  <c r="M1017" i="7" l="1"/>
  <c r="N1017" i="7"/>
  <c r="G1019" i="7"/>
  <c r="K1018" i="7"/>
  <c r="L1018" i="7" s="1"/>
  <c r="N1018" i="7" l="1"/>
  <c r="M1018" i="7"/>
  <c r="G1020" i="7"/>
  <c r="K1019" i="7"/>
  <c r="L1019" i="7" s="1"/>
  <c r="N1019" i="7" l="1"/>
  <c r="M1019" i="7"/>
  <c r="G1021" i="7"/>
  <c r="K1020" i="7"/>
  <c r="L1020" i="7" s="1"/>
  <c r="N1020" i="7" l="1"/>
  <c r="M1020" i="7"/>
  <c r="G1022" i="7"/>
  <c r="K1021" i="7"/>
  <c r="L1021" i="7" s="1"/>
  <c r="N1021" i="7" l="1"/>
  <c r="M1021" i="7"/>
  <c r="G1023" i="7"/>
  <c r="K1022" i="7"/>
  <c r="L1022" i="7" s="1"/>
  <c r="N1022" i="7" l="1"/>
  <c r="M1022" i="7"/>
  <c r="G1024" i="7"/>
  <c r="K1023" i="7"/>
  <c r="L1023" i="7" s="1"/>
  <c r="N1023" i="7" l="1"/>
  <c r="M1023" i="7"/>
  <c r="G1025" i="7"/>
  <c r="K1024" i="7"/>
  <c r="L1024" i="7" s="1"/>
  <c r="M1024" i="7" l="1"/>
  <c r="N1024" i="7"/>
  <c r="G1026" i="7"/>
  <c r="K1025" i="7"/>
  <c r="L1025" i="7" s="1"/>
  <c r="N1025" i="7" l="1"/>
  <c r="M1025" i="7"/>
  <c r="G1027" i="7"/>
  <c r="K1026" i="7"/>
  <c r="L1026" i="7" s="1"/>
  <c r="N1026" i="7" l="1"/>
  <c r="M1026" i="7"/>
  <c r="G1028" i="7"/>
  <c r="K1027" i="7"/>
  <c r="L1027" i="7" s="1"/>
  <c r="N1027" i="7" l="1"/>
  <c r="M1027" i="7"/>
  <c r="G1029" i="7"/>
  <c r="K1028" i="7"/>
  <c r="L1028" i="7" s="1"/>
  <c r="N1028" i="7" l="1"/>
  <c r="M1028" i="7"/>
  <c r="G1030" i="7"/>
  <c r="K1029" i="7"/>
  <c r="L1029" i="7" s="1"/>
  <c r="N1029" i="7" l="1"/>
  <c r="M1029" i="7"/>
  <c r="G1031" i="7"/>
  <c r="K1030" i="7"/>
  <c r="L1030" i="7" s="1"/>
  <c r="G1032" i="7" l="1"/>
  <c r="K1031" i="7"/>
  <c r="L1031" i="7" s="1"/>
  <c r="N1030" i="7"/>
  <c r="M1030" i="7"/>
  <c r="N1031" i="7" l="1"/>
  <c r="M1031" i="7"/>
  <c r="G1033" i="7"/>
  <c r="K1032" i="7"/>
  <c r="L1032" i="7" s="1"/>
  <c r="N1032" i="7" l="1"/>
  <c r="M1032" i="7"/>
  <c r="G1034" i="7"/>
  <c r="K1033" i="7"/>
  <c r="L1033" i="7" s="1"/>
  <c r="N1033" i="7" l="1"/>
  <c r="M1033" i="7"/>
  <c r="G1035" i="7"/>
  <c r="K1034" i="7"/>
  <c r="L1034" i="7" s="1"/>
  <c r="N1034" i="7" l="1"/>
  <c r="M1034" i="7"/>
  <c r="G1036" i="7"/>
  <c r="K1035" i="7"/>
  <c r="L1035" i="7" s="1"/>
  <c r="N1035" i="7" l="1"/>
  <c r="M1035" i="7"/>
  <c r="G1037" i="7"/>
  <c r="K1036" i="7"/>
  <c r="L1036" i="7" s="1"/>
  <c r="G1038" i="7" l="1"/>
  <c r="K1037" i="7"/>
  <c r="L1037" i="7" s="1"/>
  <c r="N1036" i="7"/>
  <c r="M1036" i="7"/>
  <c r="N1037" i="7" l="1"/>
  <c r="M1037" i="7"/>
  <c r="G1039" i="7"/>
  <c r="K1038" i="7"/>
  <c r="L1038" i="7" s="1"/>
  <c r="N1038" i="7" l="1"/>
  <c r="M1038" i="7"/>
  <c r="G1040" i="7"/>
  <c r="K1039" i="7"/>
  <c r="L1039" i="7" s="1"/>
  <c r="M1039" i="7" l="1"/>
  <c r="N1039" i="7"/>
  <c r="G1041" i="7"/>
  <c r="K1040" i="7"/>
  <c r="L1040" i="7" s="1"/>
  <c r="N1040" i="7" l="1"/>
  <c r="M1040" i="7"/>
  <c r="G1042" i="7"/>
  <c r="K1041" i="7"/>
  <c r="L1041" i="7" s="1"/>
  <c r="N1041" i="7" l="1"/>
  <c r="M1041" i="7"/>
  <c r="G1043" i="7"/>
  <c r="K1042" i="7"/>
  <c r="L1042" i="7" s="1"/>
  <c r="N1042" i="7" l="1"/>
  <c r="M1042" i="7"/>
  <c r="G1044" i="7"/>
  <c r="K1043" i="7"/>
  <c r="L1043" i="7" s="1"/>
  <c r="N1043" i="7" l="1"/>
  <c r="M1043" i="7"/>
  <c r="G1045" i="7"/>
  <c r="K1044" i="7"/>
  <c r="L1044" i="7" s="1"/>
  <c r="N1044" i="7" l="1"/>
  <c r="M1044" i="7"/>
  <c r="G1046" i="7"/>
  <c r="K1045" i="7"/>
  <c r="L1045" i="7" s="1"/>
  <c r="N1045" i="7" l="1"/>
  <c r="M1045" i="7"/>
  <c r="G1047" i="7"/>
  <c r="K1046" i="7"/>
  <c r="L1046" i="7" s="1"/>
  <c r="N1046" i="7" l="1"/>
  <c r="M1046" i="7"/>
  <c r="G1048" i="7"/>
  <c r="K1047" i="7"/>
  <c r="L1047" i="7" s="1"/>
  <c r="N1047" i="7" l="1"/>
  <c r="M1047" i="7"/>
  <c r="G1049" i="7"/>
  <c r="K1048" i="7"/>
  <c r="L1048" i="7" s="1"/>
  <c r="N1048" i="7" l="1"/>
  <c r="M1048" i="7"/>
  <c r="G1050" i="7"/>
  <c r="K1049" i="7"/>
  <c r="L1049" i="7" s="1"/>
  <c r="M1049" i="7" l="1"/>
  <c r="N1049" i="7"/>
  <c r="G1051" i="7"/>
  <c r="K1050" i="7"/>
  <c r="L1050" i="7" s="1"/>
  <c r="N1050" i="7" l="1"/>
  <c r="M1050" i="7"/>
  <c r="G1052" i="7"/>
  <c r="K1051" i="7"/>
  <c r="L1051" i="7" s="1"/>
  <c r="G1053" i="7" l="1"/>
  <c r="K1052" i="7"/>
  <c r="L1052" i="7" s="1"/>
  <c r="N1051" i="7"/>
  <c r="M1051" i="7"/>
  <c r="N1052" i="7" l="1"/>
  <c r="M1052" i="7"/>
  <c r="G1054" i="7"/>
  <c r="K1053" i="7"/>
  <c r="L1053" i="7" s="1"/>
  <c r="N1053" i="7" l="1"/>
  <c r="M1053" i="7"/>
  <c r="G1055" i="7"/>
  <c r="K1054" i="7"/>
  <c r="L1054" i="7" s="1"/>
  <c r="N1054" i="7" l="1"/>
  <c r="M1054" i="7"/>
  <c r="G1056" i="7"/>
  <c r="K1055" i="7"/>
  <c r="L1055" i="7" s="1"/>
  <c r="N1055" i="7" l="1"/>
  <c r="M1055" i="7"/>
  <c r="G1057" i="7"/>
  <c r="K1056" i="7"/>
  <c r="L1056" i="7" s="1"/>
  <c r="N1056" i="7" l="1"/>
  <c r="M1056" i="7"/>
  <c r="G1058" i="7"/>
  <c r="K1057" i="7"/>
  <c r="L1057" i="7" s="1"/>
  <c r="N1057" i="7" l="1"/>
  <c r="M1057" i="7"/>
  <c r="G1059" i="7"/>
  <c r="K1058" i="7"/>
  <c r="L1058" i="7" s="1"/>
  <c r="G1060" i="7" l="1"/>
  <c r="K1059" i="7"/>
  <c r="L1059" i="7" s="1"/>
  <c r="N1058" i="7"/>
  <c r="M1058" i="7"/>
  <c r="N1059" i="7" l="1"/>
  <c r="M1059" i="7"/>
  <c r="G1061" i="7"/>
  <c r="K1060" i="7"/>
  <c r="L1060" i="7" s="1"/>
  <c r="G1062" i="7" l="1"/>
  <c r="K1061" i="7"/>
  <c r="L1061" i="7" s="1"/>
  <c r="N1060" i="7"/>
  <c r="M1060" i="7"/>
  <c r="N1061" i="7" l="1"/>
  <c r="M1061" i="7"/>
  <c r="G1063" i="7"/>
  <c r="K1062" i="7"/>
  <c r="L1062" i="7" s="1"/>
  <c r="G1064" i="7" l="1"/>
  <c r="K1063" i="7"/>
  <c r="L1063" i="7" s="1"/>
  <c r="N1062" i="7"/>
  <c r="M1062" i="7"/>
  <c r="N1063" i="7" l="1"/>
  <c r="M1063" i="7"/>
  <c r="G1065" i="7"/>
  <c r="K1064" i="7"/>
  <c r="L1064" i="7" s="1"/>
  <c r="N1064" i="7" l="1"/>
  <c r="M1064" i="7"/>
  <c r="G1066" i="7"/>
  <c r="K1065" i="7"/>
  <c r="L1065" i="7" s="1"/>
  <c r="M1065" i="7" l="1"/>
  <c r="N1065" i="7"/>
  <c r="G1067" i="7"/>
  <c r="K1066" i="7"/>
  <c r="L1066" i="7" s="1"/>
  <c r="G1068" i="7" l="1"/>
  <c r="K1067" i="7"/>
  <c r="L1067" i="7" s="1"/>
  <c r="N1066" i="7"/>
  <c r="M1066" i="7"/>
  <c r="N1067" i="7" l="1"/>
  <c r="M1067" i="7"/>
  <c r="G1069" i="7"/>
  <c r="K1068" i="7"/>
  <c r="L1068" i="7" s="1"/>
  <c r="N1068" i="7" l="1"/>
  <c r="M1068" i="7"/>
  <c r="G1070" i="7"/>
  <c r="K1069" i="7"/>
  <c r="L1069" i="7" s="1"/>
  <c r="N1069" i="7" l="1"/>
  <c r="M1069" i="7"/>
  <c r="G1071" i="7"/>
  <c r="K1070" i="7"/>
  <c r="L1070" i="7" s="1"/>
  <c r="N1070" i="7" l="1"/>
  <c r="M1070" i="7"/>
  <c r="G1072" i="7"/>
  <c r="K1071" i="7"/>
  <c r="L1071" i="7" s="1"/>
  <c r="M1071" i="7" l="1"/>
  <c r="N1071" i="7"/>
  <c r="G1073" i="7"/>
  <c r="K1072" i="7"/>
  <c r="L1072" i="7" s="1"/>
  <c r="G1074" i="7" l="1"/>
  <c r="K1073" i="7"/>
  <c r="L1073" i="7" s="1"/>
  <c r="M1072" i="7"/>
  <c r="N1072" i="7"/>
  <c r="N1073" i="7" l="1"/>
  <c r="M1073" i="7"/>
  <c r="G1075" i="7"/>
  <c r="K1074" i="7"/>
  <c r="L1074" i="7" s="1"/>
  <c r="N1074" i="7" l="1"/>
  <c r="M1074" i="7"/>
  <c r="G1076" i="7"/>
  <c r="K1075" i="7"/>
  <c r="L1075" i="7" s="1"/>
  <c r="G1077" i="7" l="1"/>
  <c r="K1076" i="7"/>
  <c r="L1076" i="7" s="1"/>
  <c r="N1075" i="7"/>
  <c r="M1075" i="7"/>
  <c r="N1076" i="7" l="1"/>
  <c r="M1076" i="7"/>
  <c r="G1078" i="7"/>
  <c r="K1077" i="7"/>
  <c r="L1077" i="7" s="1"/>
  <c r="G1079" i="7" l="1"/>
  <c r="K1078" i="7"/>
  <c r="L1078" i="7" s="1"/>
  <c r="N1077" i="7"/>
  <c r="M1077" i="7"/>
  <c r="N1078" i="7" l="1"/>
  <c r="M1078" i="7"/>
  <c r="G1080" i="7"/>
  <c r="K1079" i="7"/>
  <c r="L1079" i="7" s="1"/>
  <c r="N1079" i="7" l="1"/>
  <c r="M1079" i="7"/>
  <c r="G1081" i="7"/>
  <c r="K1080" i="7"/>
  <c r="L1080" i="7" s="1"/>
  <c r="N1080" i="7" l="1"/>
  <c r="M1080" i="7"/>
  <c r="G1082" i="7"/>
  <c r="K1081" i="7"/>
  <c r="L1081" i="7" s="1"/>
  <c r="G1083" i="7" l="1"/>
  <c r="K1082" i="7"/>
  <c r="L1082" i="7" s="1"/>
  <c r="M1081" i="7"/>
  <c r="N1081" i="7"/>
  <c r="G1084" i="7" l="1"/>
  <c r="K1083" i="7"/>
  <c r="L1083" i="7" s="1"/>
  <c r="N1082" i="7"/>
  <c r="M1082" i="7"/>
  <c r="N1083" i="7" l="1"/>
  <c r="M1083" i="7"/>
  <c r="G1085" i="7"/>
  <c r="K1084" i="7"/>
  <c r="L1084" i="7" s="1"/>
  <c r="N1084" i="7" l="1"/>
  <c r="M1084" i="7"/>
  <c r="G1086" i="7"/>
  <c r="K1085" i="7"/>
  <c r="L1085" i="7" s="1"/>
  <c r="G1087" i="7" l="1"/>
  <c r="K1086" i="7"/>
  <c r="L1086" i="7" s="1"/>
  <c r="N1085" i="7"/>
  <c r="M1085" i="7"/>
  <c r="N1086" i="7" l="1"/>
  <c r="M1086" i="7"/>
  <c r="G1088" i="7"/>
  <c r="K1087" i="7"/>
  <c r="L1087" i="7" s="1"/>
  <c r="N1087" i="7" l="1"/>
  <c r="M1087" i="7"/>
  <c r="G1089" i="7"/>
  <c r="K1088" i="7"/>
  <c r="L1088" i="7" s="1"/>
  <c r="N1088" i="7" l="1"/>
  <c r="M1088" i="7"/>
  <c r="G1090" i="7"/>
  <c r="K1089" i="7"/>
  <c r="L1089" i="7" s="1"/>
  <c r="N1089" i="7" l="1"/>
  <c r="M1089" i="7"/>
  <c r="G1091" i="7"/>
  <c r="K1090" i="7"/>
  <c r="L1090" i="7" s="1"/>
  <c r="N1090" i="7" l="1"/>
  <c r="M1090" i="7"/>
  <c r="G1092" i="7"/>
  <c r="K1091" i="7"/>
  <c r="L1091" i="7" s="1"/>
  <c r="N1091" i="7" l="1"/>
  <c r="M1091" i="7"/>
  <c r="G1093" i="7"/>
  <c r="K1092" i="7"/>
  <c r="L1092" i="7" s="1"/>
  <c r="M1092" i="7" l="1"/>
  <c r="N1092" i="7"/>
  <c r="G1094" i="7"/>
  <c r="K1093" i="7"/>
  <c r="L1093" i="7" s="1"/>
  <c r="N1093" i="7" l="1"/>
  <c r="M1093" i="7"/>
  <c r="G1095" i="7"/>
  <c r="K1094" i="7"/>
  <c r="L1094" i="7" s="1"/>
  <c r="N1094" i="7" l="1"/>
  <c r="M1094" i="7"/>
  <c r="G1096" i="7"/>
  <c r="K1095" i="7"/>
  <c r="L1095" i="7" s="1"/>
  <c r="N1095" i="7" l="1"/>
  <c r="M1095" i="7"/>
  <c r="G1097" i="7"/>
  <c r="K1096" i="7"/>
  <c r="L1096" i="7" s="1"/>
  <c r="N1096" i="7" l="1"/>
  <c r="M1096" i="7"/>
  <c r="G1098" i="7"/>
  <c r="K1097" i="7"/>
  <c r="L1097" i="7" s="1"/>
  <c r="M1097" i="7" l="1"/>
  <c r="N1097" i="7"/>
  <c r="G1099" i="7"/>
  <c r="K1098" i="7"/>
  <c r="L1098" i="7" s="1"/>
  <c r="N1098" i="7" l="1"/>
  <c r="M1098" i="7"/>
  <c r="G1100" i="7"/>
  <c r="K1099" i="7"/>
  <c r="L1099" i="7" s="1"/>
  <c r="G1101" i="7" l="1"/>
  <c r="K1100" i="7"/>
  <c r="L1100" i="7" s="1"/>
  <c r="N1099" i="7"/>
  <c r="M1099" i="7"/>
  <c r="N1100" i="7" l="1"/>
  <c r="M1100" i="7"/>
  <c r="G1102" i="7"/>
  <c r="K1101" i="7"/>
  <c r="L1101" i="7" s="1"/>
  <c r="N1101" i="7" l="1"/>
  <c r="M1101" i="7"/>
  <c r="G1103" i="7"/>
  <c r="K1102" i="7"/>
  <c r="L1102" i="7" s="1"/>
  <c r="N1102" i="7" l="1"/>
  <c r="M1102" i="7"/>
  <c r="G1104" i="7"/>
  <c r="K1103" i="7"/>
  <c r="L1103" i="7" s="1"/>
  <c r="G1105" i="7" l="1"/>
  <c r="K1104" i="7"/>
  <c r="L1104" i="7" s="1"/>
  <c r="N1103" i="7"/>
  <c r="M1103" i="7"/>
  <c r="N1104" i="7" l="1"/>
  <c r="M1104" i="7"/>
  <c r="G1106" i="7"/>
  <c r="K1105" i="7"/>
  <c r="L1105" i="7" s="1"/>
  <c r="N1105" i="7" l="1"/>
  <c r="M1105" i="7"/>
  <c r="G1107" i="7"/>
  <c r="K1106" i="7"/>
  <c r="L1106" i="7" s="1"/>
  <c r="N1106" i="7" l="1"/>
  <c r="M1106" i="7"/>
  <c r="G1108" i="7"/>
  <c r="K1107" i="7"/>
  <c r="L1107" i="7" s="1"/>
  <c r="N1107" i="7" l="1"/>
  <c r="M1107" i="7"/>
  <c r="G1109" i="7"/>
  <c r="K1108" i="7"/>
  <c r="L1108" i="7" s="1"/>
  <c r="G1110" i="7" l="1"/>
  <c r="K1109" i="7"/>
  <c r="L1109" i="7" s="1"/>
  <c r="N1108" i="7"/>
  <c r="M1108" i="7"/>
  <c r="N1109" i="7" l="1"/>
  <c r="M1109" i="7"/>
  <c r="G1111" i="7"/>
  <c r="K1110" i="7"/>
  <c r="L1110" i="7" s="1"/>
  <c r="N1110" i="7" l="1"/>
  <c r="M1110" i="7"/>
  <c r="G1112" i="7"/>
  <c r="K1111" i="7"/>
  <c r="L1111" i="7" s="1"/>
  <c r="N1111" i="7" l="1"/>
  <c r="M1111" i="7"/>
  <c r="G1113" i="7"/>
  <c r="K1112" i="7"/>
  <c r="L1112" i="7" s="1"/>
  <c r="N1112" i="7" l="1"/>
  <c r="M1112" i="7"/>
  <c r="G1114" i="7"/>
  <c r="K1113" i="7"/>
  <c r="L1113" i="7" s="1"/>
  <c r="M1113" i="7" l="1"/>
  <c r="N1113" i="7"/>
  <c r="G1115" i="7"/>
  <c r="K1114" i="7"/>
  <c r="L1114" i="7" s="1"/>
  <c r="N1114" i="7" l="1"/>
  <c r="M1114" i="7"/>
  <c r="G1116" i="7"/>
  <c r="K1115" i="7"/>
  <c r="L1115" i="7" s="1"/>
  <c r="N1115" i="7" l="1"/>
  <c r="M1115" i="7"/>
  <c r="G1117" i="7"/>
  <c r="K1116" i="7"/>
  <c r="L1116" i="7" s="1"/>
  <c r="N1116" i="7" l="1"/>
  <c r="M1116" i="7"/>
  <c r="G1118" i="7"/>
  <c r="K1117" i="7"/>
  <c r="L1117" i="7" s="1"/>
  <c r="N1117" i="7" l="1"/>
  <c r="M1117" i="7"/>
  <c r="G1119" i="7"/>
  <c r="K1118" i="7"/>
  <c r="L1118" i="7" s="1"/>
  <c r="N1118" i="7" l="1"/>
  <c r="M1118" i="7"/>
  <c r="G1120" i="7"/>
  <c r="K1119" i="7"/>
  <c r="L1119" i="7" s="1"/>
  <c r="N1119" i="7" l="1"/>
  <c r="M1119" i="7"/>
  <c r="G1121" i="7"/>
  <c r="K1120" i="7"/>
  <c r="L1120" i="7" s="1"/>
  <c r="N1120" i="7" l="1"/>
  <c r="M1120" i="7"/>
  <c r="G1122" i="7"/>
  <c r="K1121" i="7"/>
  <c r="L1121" i="7" s="1"/>
  <c r="N1121" i="7" l="1"/>
  <c r="M1121" i="7"/>
  <c r="G1123" i="7"/>
  <c r="K1122" i="7"/>
  <c r="L1122" i="7" s="1"/>
  <c r="N1122" i="7" l="1"/>
  <c r="M1122" i="7"/>
  <c r="G1124" i="7"/>
  <c r="K1123" i="7"/>
  <c r="L1123" i="7" s="1"/>
  <c r="N1123" i="7" l="1"/>
  <c r="M1123" i="7"/>
  <c r="G1125" i="7"/>
  <c r="K1124" i="7"/>
  <c r="L1124" i="7" s="1"/>
  <c r="M1124" i="7" l="1"/>
  <c r="N1124" i="7"/>
  <c r="G1126" i="7"/>
  <c r="K1125" i="7"/>
  <c r="L1125" i="7" s="1"/>
  <c r="N1125" i="7" l="1"/>
  <c r="M1125" i="7"/>
  <c r="G1127" i="7"/>
  <c r="K1126" i="7"/>
  <c r="L1126" i="7" s="1"/>
  <c r="N1126" i="7" l="1"/>
  <c r="M1126" i="7"/>
  <c r="G1128" i="7"/>
  <c r="K1127" i="7"/>
  <c r="L1127" i="7" s="1"/>
  <c r="N1127" i="7" l="1"/>
  <c r="M1127" i="7"/>
  <c r="G1129" i="7"/>
  <c r="K1128" i="7"/>
  <c r="L1128" i="7" s="1"/>
  <c r="M1128" i="7" l="1"/>
  <c r="N1128" i="7"/>
  <c r="G1130" i="7"/>
  <c r="K1129" i="7"/>
  <c r="L1129" i="7" s="1"/>
  <c r="M1129" i="7" l="1"/>
  <c r="N1129" i="7"/>
  <c r="G1131" i="7"/>
  <c r="K1130" i="7"/>
  <c r="L1130" i="7" s="1"/>
  <c r="N1130" i="7" l="1"/>
  <c r="M1130" i="7"/>
  <c r="G1132" i="7"/>
  <c r="K1131" i="7"/>
  <c r="L1131" i="7" s="1"/>
  <c r="N1131" i="7" l="1"/>
  <c r="M1131" i="7"/>
  <c r="G1133" i="7"/>
  <c r="K1132" i="7"/>
  <c r="L1132" i="7" s="1"/>
  <c r="G1134" i="7" l="1"/>
  <c r="K1133" i="7"/>
  <c r="L1133" i="7" s="1"/>
  <c r="N1132" i="7"/>
  <c r="M1132" i="7"/>
  <c r="N1133" i="7" l="1"/>
  <c r="M1133" i="7"/>
  <c r="G1135" i="7"/>
  <c r="K1134" i="7"/>
  <c r="L1134" i="7" s="1"/>
  <c r="N1134" i="7" l="1"/>
  <c r="M1134" i="7"/>
  <c r="G1136" i="7"/>
  <c r="K1135" i="7"/>
  <c r="L1135" i="7" s="1"/>
  <c r="M1135" i="7" l="1"/>
  <c r="N1135" i="7"/>
  <c r="G1137" i="7"/>
  <c r="K1136" i="7"/>
  <c r="L1136" i="7" s="1"/>
  <c r="N1136" i="7" l="1"/>
  <c r="M1136" i="7"/>
  <c r="G1138" i="7"/>
  <c r="K1137" i="7"/>
  <c r="L1137" i="7" s="1"/>
  <c r="G1139" i="7" l="1"/>
  <c r="K1138" i="7"/>
  <c r="L1138" i="7" s="1"/>
  <c r="N1137" i="7"/>
  <c r="M1137" i="7"/>
  <c r="M1138" i="7" l="1"/>
  <c r="N1138" i="7"/>
  <c r="G1140" i="7"/>
  <c r="K1139" i="7"/>
  <c r="L1139" i="7" s="1"/>
  <c r="N1139" i="7" l="1"/>
  <c r="M1139" i="7"/>
  <c r="G1141" i="7"/>
  <c r="K1140" i="7"/>
  <c r="L1140" i="7" s="1"/>
  <c r="G1142" i="7" l="1"/>
  <c r="K1141" i="7"/>
  <c r="L1141" i="7" s="1"/>
  <c r="N1140" i="7"/>
  <c r="M1140" i="7"/>
  <c r="N1141" i="7" l="1"/>
  <c r="M1141" i="7"/>
  <c r="G1143" i="7"/>
  <c r="K1142" i="7"/>
  <c r="L1142" i="7" s="1"/>
  <c r="G1144" i="7" l="1"/>
  <c r="K1143" i="7"/>
  <c r="L1143" i="7" s="1"/>
  <c r="N1142" i="7"/>
  <c r="M1142" i="7"/>
  <c r="N1143" i="7" l="1"/>
  <c r="M1143" i="7"/>
  <c r="G1145" i="7"/>
  <c r="K1144" i="7"/>
  <c r="L1144" i="7" s="1"/>
  <c r="G1146" i="7" l="1"/>
  <c r="K1145" i="7"/>
  <c r="L1145" i="7" s="1"/>
  <c r="N1144" i="7"/>
  <c r="M1144" i="7"/>
  <c r="M1145" i="7" l="1"/>
  <c r="N1145" i="7"/>
  <c r="G1147" i="7"/>
  <c r="K1146" i="7"/>
  <c r="L1146" i="7" s="1"/>
  <c r="N1146" i="7" l="1"/>
  <c r="M1146" i="7"/>
  <c r="G1148" i="7"/>
  <c r="K1147" i="7"/>
  <c r="L1147" i="7" s="1"/>
  <c r="G1149" i="7" l="1"/>
  <c r="K1148" i="7"/>
  <c r="L1148" i="7" s="1"/>
  <c r="N1147" i="7"/>
  <c r="M1147" i="7"/>
  <c r="N1148" i="7" l="1"/>
  <c r="M1148" i="7"/>
  <c r="G1150" i="7"/>
  <c r="K1149" i="7"/>
  <c r="L1149" i="7" s="1"/>
  <c r="G1151" i="7" l="1"/>
  <c r="K1150" i="7"/>
  <c r="L1150" i="7" s="1"/>
  <c r="N1149" i="7"/>
  <c r="M1149" i="7"/>
  <c r="N1150" i="7" l="1"/>
  <c r="M1150" i="7"/>
  <c r="G1152" i="7"/>
  <c r="K1151" i="7"/>
  <c r="L1151" i="7" s="1"/>
  <c r="N1151" i="7" l="1"/>
  <c r="M1151" i="7"/>
  <c r="G1153" i="7"/>
  <c r="K1152" i="7"/>
  <c r="L1152" i="7" s="1"/>
  <c r="G1154" i="7" l="1"/>
  <c r="K1153" i="7"/>
  <c r="L1153" i="7" s="1"/>
  <c r="N1152" i="7"/>
  <c r="M1152" i="7"/>
  <c r="N1153" i="7" l="1"/>
  <c r="M1153" i="7"/>
  <c r="G1155" i="7"/>
  <c r="K1154" i="7"/>
  <c r="L1154" i="7" s="1"/>
  <c r="G1156" i="7" l="1"/>
  <c r="K1155" i="7"/>
  <c r="L1155" i="7" s="1"/>
  <c r="N1154" i="7"/>
  <c r="M1154" i="7"/>
  <c r="N1155" i="7" l="1"/>
  <c r="M1155" i="7"/>
  <c r="G1157" i="7"/>
  <c r="K1156" i="7"/>
  <c r="L1156" i="7" s="1"/>
  <c r="G1158" i="7" l="1"/>
  <c r="K1157" i="7"/>
  <c r="L1157" i="7" s="1"/>
  <c r="M1156" i="7"/>
  <c r="N1156" i="7"/>
  <c r="M1157" i="7" l="1"/>
  <c r="N1157" i="7"/>
  <c r="G1159" i="7"/>
  <c r="K1158" i="7"/>
  <c r="L1158" i="7" s="1"/>
  <c r="G1160" i="7" l="1"/>
  <c r="K1159" i="7"/>
  <c r="L1159" i="7" s="1"/>
  <c r="N1158" i="7"/>
  <c r="M1158" i="7"/>
  <c r="N1159" i="7" l="1"/>
  <c r="M1159" i="7"/>
  <c r="G1161" i="7"/>
  <c r="K1160" i="7"/>
  <c r="L1160" i="7" s="1"/>
  <c r="G1162" i="7" l="1"/>
  <c r="K1161" i="7"/>
  <c r="L1161" i="7" s="1"/>
  <c r="N1160" i="7"/>
  <c r="M1160" i="7"/>
  <c r="N1161" i="7" l="1"/>
  <c r="M1161" i="7"/>
  <c r="G1163" i="7"/>
  <c r="K1162" i="7"/>
  <c r="L1162" i="7" s="1"/>
  <c r="M1162" i="7" l="1"/>
  <c r="N1162" i="7"/>
  <c r="G1164" i="7"/>
  <c r="K1163" i="7"/>
  <c r="L1163" i="7" s="1"/>
  <c r="N1163" i="7" l="1"/>
  <c r="M1163" i="7"/>
  <c r="G1165" i="7"/>
  <c r="K1164" i="7"/>
  <c r="L1164" i="7" s="1"/>
  <c r="G1166" i="7" l="1"/>
  <c r="K1165" i="7"/>
  <c r="L1165" i="7" s="1"/>
  <c r="N1164" i="7"/>
  <c r="M1164" i="7"/>
  <c r="N1165" i="7" l="1"/>
  <c r="M1165" i="7"/>
  <c r="G1167" i="7"/>
  <c r="K1166" i="7"/>
  <c r="L1166" i="7" s="1"/>
  <c r="N1166" i="7" l="1"/>
  <c r="M1166" i="7"/>
  <c r="G1168" i="7"/>
  <c r="K1167" i="7"/>
  <c r="L1167" i="7" s="1"/>
  <c r="M1167" i="7" l="1"/>
  <c r="N1167" i="7"/>
  <c r="G1169" i="7"/>
  <c r="K1168" i="7"/>
  <c r="L1168" i="7" s="1"/>
  <c r="N1168" i="7" l="1"/>
  <c r="M1168" i="7"/>
  <c r="G1170" i="7"/>
  <c r="K1169" i="7"/>
  <c r="L1169" i="7" s="1"/>
  <c r="G1171" i="7" l="1"/>
  <c r="K1170" i="7"/>
  <c r="L1170" i="7" s="1"/>
  <c r="N1169" i="7"/>
  <c r="M1169" i="7"/>
  <c r="N1170" i="7" l="1"/>
  <c r="M1170" i="7"/>
  <c r="G1172" i="7"/>
  <c r="K1171" i="7"/>
  <c r="L1171" i="7" s="1"/>
  <c r="N1171" i="7" l="1"/>
  <c r="M1171" i="7"/>
  <c r="G1173" i="7"/>
  <c r="K1172" i="7"/>
  <c r="L1172" i="7" s="1"/>
  <c r="G1174" i="7" l="1"/>
  <c r="K1173" i="7"/>
  <c r="L1173" i="7" s="1"/>
  <c r="N1172" i="7"/>
  <c r="M1172" i="7"/>
  <c r="N1173" i="7" l="1"/>
  <c r="M1173" i="7"/>
  <c r="G1175" i="7"/>
  <c r="K1174" i="7"/>
  <c r="L1174" i="7" s="1"/>
  <c r="N1174" i="7" l="1"/>
  <c r="M1174" i="7"/>
  <c r="G1176" i="7"/>
  <c r="K1175" i="7"/>
  <c r="L1175" i="7" s="1"/>
  <c r="N1175" i="7" l="1"/>
  <c r="M1175" i="7"/>
  <c r="G1177" i="7"/>
  <c r="K1176" i="7"/>
  <c r="L1176" i="7" s="1"/>
  <c r="N1176" i="7" l="1"/>
  <c r="M1176" i="7"/>
  <c r="G1178" i="7"/>
  <c r="K1177" i="7"/>
  <c r="L1177" i="7" s="1"/>
  <c r="G1179" i="7" l="1"/>
  <c r="K1178" i="7"/>
  <c r="L1178" i="7" s="1"/>
  <c r="N1177" i="7"/>
  <c r="M1177" i="7"/>
  <c r="N1178" i="7" l="1"/>
  <c r="M1178" i="7"/>
  <c r="G1180" i="7"/>
  <c r="K1179" i="7"/>
  <c r="L1179" i="7" s="1"/>
  <c r="G1181" i="7" l="1"/>
  <c r="K1180" i="7"/>
  <c r="L1180" i="7" s="1"/>
  <c r="N1179" i="7"/>
  <c r="M1179" i="7"/>
  <c r="N1180" i="7" l="1"/>
  <c r="M1180" i="7"/>
  <c r="G1182" i="7"/>
  <c r="K1181" i="7"/>
  <c r="L1181" i="7" s="1"/>
  <c r="N1181" i="7" l="1"/>
  <c r="M1181" i="7"/>
  <c r="G1183" i="7"/>
  <c r="K1182" i="7"/>
  <c r="L1182" i="7" s="1"/>
  <c r="N1182" i="7" l="1"/>
  <c r="M1182" i="7"/>
  <c r="G1184" i="7"/>
  <c r="K1183" i="7"/>
  <c r="L1183" i="7" s="1"/>
  <c r="G1185" i="7" l="1"/>
  <c r="K1184" i="7"/>
  <c r="L1184" i="7" s="1"/>
  <c r="N1183" i="7"/>
  <c r="M1183" i="7"/>
  <c r="M1184" i="7" l="1"/>
  <c r="N1184" i="7"/>
  <c r="G1186" i="7"/>
  <c r="K1185" i="7"/>
  <c r="L1185" i="7" s="1"/>
  <c r="N1185" i="7" l="1"/>
  <c r="M1185" i="7"/>
  <c r="G1187" i="7"/>
  <c r="K1186" i="7"/>
  <c r="L1186" i="7" s="1"/>
  <c r="G1188" i="7" l="1"/>
  <c r="K1187" i="7"/>
  <c r="L1187" i="7" s="1"/>
  <c r="N1186" i="7"/>
  <c r="M1186" i="7"/>
  <c r="N1187" i="7" l="1"/>
  <c r="M1187" i="7"/>
  <c r="G1189" i="7"/>
  <c r="K1188" i="7"/>
  <c r="L1188" i="7" s="1"/>
  <c r="G1190" i="7" l="1"/>
  <c r="K1189" i="7"/>
  <c r="L1189" i="7" s="1"/>
  <c r="N1188" i="7"/>
  <c r="M1188" i="7"/>
  <c r="N1189" i="7" l="1"/>
  <c r="M1189" i="7"/>
  <c r="G1191" i="7"/>
  <c r="K1190" i="7"/>
  <c r="L1190" i="7" s="1"/>
  <c r="N1190" i="7" l="1"/>
  <c r="M1190" i="7"/>
  <c r="G1192" i="7"/>
  <c r="K1191" i="7"/>
  <c r="L1191" i="7" s="1"/>
  <c r="G1193" i="7" l="1"/>
  <c r="K1192" i="7"/>
  <c r="L1192" i="7" s="1"/>
  <c r="N1191" i="7"/>
  <c r="M1191" i="7"/>
  <c r="M1192" i="7" l="1"/>
  <c r="N1192" i="7"/>
  <c r="G1194" i="7"/>
  <c r="K1193" i="7"/>
  <c r="L1193" i="7" s="1"/>
  <c r="N1193" i="7" l="1"/>
  <c r="M1193" i="7"/>
  <c r="G1195" i="7"/>
  <c r="K1194" i="7"/>
  <c r="L1194" i="7" s="1"/>
  <c r="M1194" i="7" l="1"/>
  <c r="N1194" i="7"/>
  <c r="G1196" i="7"/>
  <c r="K1195" i="7"/>
  <c r="L1195" i="7" s="1"/>
  <c r="G1197" i="7" l="1"/>
  <c r="K1196" i="7"/>
  <c r="L1196" i="7" s="1"/>
  <c r="N1195" i="7"/>
  <c r="M1195" i="7"/>
  <c r="N1196" i="7" l="1"/>
  <c r="M1196" i="7"/>
  <c r="G1198" i="7"/>
  <c r="K1197" i="7"/>
  <c r="L1197" i="7" s="1"/>
  <c r="G1199" i="7" l="1"/>
  <c r="K1198" i="7"/>
  <c r="L1198" i="7" s="1"/>
  <c r="N1197" i="7"/>
  <c r="M1197" i="7"/>
  <c r="N1198" i="7" l="1"/>
  <c r="M1198" i="7"/>
  <c r="G1200" i="7"/>
  <c r="K1199" i="7"/>
  <c r="L1199" i="7" s="1"/>
  <c r="N1199" i="7" l="1"/>
  <c r="M1199" i="7"/>
  <c r="G1201" i="7"/>
  <c r="K1200" i="7"/>
  <c r="L1200" i="7" s="1"/>
  <c r="N1200" i="7" l="1"/>
  <c r="M1200" i="7"/>
  <c r="G1202" i="7"/>
  <c r="K1201" i="7"/>
  <c r="L1201" i="7" s="1"/>
  <c r="G1203" i="7" l="1"/>
  <c r="K1202" i="7"/>
  <c r="L1202" i="7" s="1"/>
  <c r="N1201" i="7"/>
  <c r="M1201" i="7"/>
  <c r="N1202" i="7" l="1"/>
  <c r="M1202" i="7"/>
  <c r="G1204" i="7"/>
  <c r="K1203" i="7"/>
  <c r="L1203" i="7" s="1"/>
  <c r="N1203" i="7" l="1"/>
  <c r="M1203" i="7"/>
  <c r="G1205" i="7"/>
  <c r="K1204" i="7"/>
  <c r="L1204" i="7" s="1"/>
  <c r="N1204" i="7" l="1"/>
  <c r="M1204" i="7"/>
  <c r="G1206" i="7"/>
  <c r="K1205" i="7"/>
  <c r="L1205" i="7" s="1"/>
  <c r="N1205" i="7" l="1"/>
  <c r="M1205" i="7"/>
  <c r="G1207" i="7"/>
  <c r="K1206" i="7"/>
  <c r="L1206" i="7" s="1"/>
  <c r="G1208" i="7" l="1"/>
  <c r="K1207" i="7"/>
  <c r="L1207" i="7" s="1"/>
  <c r="N1206" i="7"/>
  <c r="M1206" i="7"/>
  <c r="N1207" i="7" l="1"/>
  <c r="M1207" i="7"/>
  <c r="G1209" i="7"/>
  <c r="K1208" i="7"/>
  <c r="L1208" i="7" s="1"/>
  <c r="G1210" i="7" l="1"/>
  <c r="K1209" i="7"/>
  <c r="L1209" i="7" s="1"/>
  <c r="N1208" i="7"/>
  <c r="M1208" i="7"/>
  <c r="N1209" i="7" l="1"/>
  <c r="M1209" i="7"/>
  <c r="G1211" i="7"/>
  <c r="K1210" i="7"/>
  <c r="L1210" i="7" s="1"/>
  <c r="N1210" i="7" l="1"/>
  <c r="M1210" i="7"/>
  <c r="G1212" i="7"/>
  <c r="K1211" i="7"/>
  <c r="L1211" i="7" s="1"/>
  <c r="N1211" i="7" l="1"/>
  <c r="M1211" i="7"/>
  <c r="G1213" i="7"/>
  <c r="K1212" i="7"/>
  <c r="L1212" i="7" s="1"/>
  <c r="G1214" i="7" l="1"/>
  <c r="K1213" i="7"/>
  <c r="L1213" i="7" s="1"/>
  <c r="N1212" i="7"/>
  <c r="M1212" i="7"/>
  <c r="N1213" i="7" l="1"/>
  <c r="M1213" i="7"/>
  <c r="G1215" i="7"/>
  <c r="K1214" i="7"/>
  <c r="L1214" i="7" s="1"/>
  <c r="N1214" i="7" l="1"/>
  <c r="M1214" i="7"/>
  <c r="G1216" i="7"/>
  <c r="K1215" i="7"/>
  <c r="L1215" i="7" s="1"/>
  <c r="M1215" i="7" l="1"/>
  <c r="N1215" i="7"/>
  <c r="G1217" i="7"/>
  <c r="K1216" i="7"/>
  <c r="L1216" i="7" s="1"/>
  <c r="N1216" i="7" l="1"/>
  <c r="M1216" i="7"/>
  <c r="G1218" i="7"/>
  <c r="K1217" i="7"/>
  <c r="L1217" i="7" s="1"/>
  <c r="N1217" i="7" l="1"/>
  <c r="M1217" i="7"/>
  <c r="G1219" i="7"/>
  <c r="K1218" i="7"/>
  <c r="L1218" i="7" s="1"/>
  <c r="G1220" i="7" l="1"/>
  <c r="K1219" i="7"/>
  <c r="L1219" i="7" s="1"/>
  <c r="N1218" i="7"/>
  <c r="M1218" i="7"/>
  <c r="N1219" i="7" l="1"/>
  <c r="M1219" i="7"/>
  <c r="G1221" i="7"/>
  <c r="K1220" i="7"/>
  <c r="L1220" i="7" s="1"/>
  <c r="N1220" i="7" l="1"/>
  <c r="M1220" i="7"/>
  <c r="G1222" i="7"/>
  <c r="K1221" i="7"/>
  <c r="L1221" i="7" s="1"/>
  <c r="N1221" i="7" l="1"/>
  <c r="M1221" i="7"/>
  <c r="G1223" i="7"/>
  <c r="K1222" i="7"/>
  <c r="L1222" i="7" s="1"/>
  <c r="N1222" i="7" l="1"/>
  <c r="M1222" i="7"/>
  <c r="G1224" i="7"/>
  <c r="K1223" i="7"/>
  <c r="L1223" i="7" s="1"/>
  <c r="N1223" i="7" l="1"/>
  <c r="M1223" i="7"/>
  <c r="G1225" i="7"/>
  <c r="K1224" i="7"/>
  <c r="L1224" i="7" s="1"/>
  <c r="M1224" i="7" l="1"/>
  <c r="N1224" i="7"/>
  <c r="G1226" i="7"/>
  <c r="K1225" i="7"/>
  <c r="L1225" i="7" s="1"/>
  <c r="N1225" i="7" l="1"/>
  <c r="M1225" i="7"/>
  <c r="G1227" i="7"/>
  <c r="K1226" i="7"/>
  <c r="L1226" i="7" s="1"/>
  <c r="N1226" i="7" l="1"/>
  <c r="M1226" i="7"/>
  <c r="G1228" i="7"/>
  <c r="K1227" i="7"/>
  <c r="L1227" i="7" s="1"/>
  <c r="N1227" i="7" l="1"/>
  <c r="M1227" i="7"/>
  <c r="G1229" i="7"/>
  <c r="K1228" i="7"/>
  <c r="L1228" i="7" s="1"/>
  <c r="N1228" i="7" l="1"/>
  <c r="M1228" i="7"/>
  <c r="G1230" i="7"/>
  <c r="K1229" i="7"/>
  <c r="L1229" i="7" s="1"/>
  <c r="G1231" i="7" l="1"/>
  <c r="K1230" i="7"/>
  <c r="L1230" i="7" s="1"/>
  <c r="N1229" i="7"/>
  <c r="M1229" i="7"/>
  <c r="N1230" i="7" l="1"/>
  <c r="M1230" i="7"/>
  <c r="G1232" i="7"/>
  <c r="K1231" i="7"/>
  <c r="L1231" i="7" s="1"/>
  <c r="N1231" i="7" l="1"/>
  <c r="M1231" i="7"/>
  <c r="G1233" i="7"/>
  <c r="K1232" i="7"/>
  <c r="L1232" i="7" s="1"/>
  <c r="N1232" i="7" l="1"/>
  <c r="M1232" i="7"/>
  <c r="G1234" i="7"/>
  <c r="K1233" i="7"/>
  <c r="L1233" i="7" s="1"/>
  <c r="N1233" i="7" l="1"/>
  <c r="M1233" i="7"/>
  <c r="G1235" i="7"/>
  <c r="K1234" i="7"/>
  <c r="L1234" i="7" s="1"/>
  <c r="N1234" i="7" l="1"/>
  <c r="M1234" i="7"/>
  <c r="G1236" i="7"/>
  <c r="K1235" i="7"/>
  <c r="L1235" i="7" s="1"/>
  <c r="N1235" i="7" l="1"/>
  <c r="M1235" i="7"/>
  <c r="G1237" i="7"/>
  <c r="K1236" i="7"/>
  <c r="L1236" i="7" s="1"/>
  <c r="N1236" i="7" l="1"/>
  <c r="M1236" i="7"/>
  <c r="G1238" i="7"/>
  <c r="K1237" i="7"/>
  <c r="L1237" i="7" s="1"/>
  <c r="N1237" i="7" l="1"/>
  <c r="M1237" i="7"/>
  <c r="G1239" i="7"/>
  <c r="K1238" i="7"/>
  <c r="L1238" i="7" s="1"/>
  <c r="N1238" i="7" l="1"/>
  <c r="M1238" i="7"/>
  <c r="G1240" i="7"/>
  <c r="K1239" i="7"/>
  <c r="L1239" i="7" s="1"/>
  <c r="N1239" i="7" l="1"/>
  <c r="M1239" i="7"/>
  <c r="G1241" i="7"/>
  <c r="K1240" i="7"/>
  <c r="L1240" i="7" s="1"/>
  <c r="N1240" i="7" l="1"/>
  <c r="M1240" i="7"/>
  <c r="G1242" i="7"/>
  <c r="K1241" i="7"/>
  <c r="L1241" i="7" s="1"/>
  <c r="M1241" i="7" l="1"/>
  <c r="N1241" i="7"/>
  <c r="G1243" i="7"/>
  <c r="K1242" i="7"/>
  <c r="L1242" i="7" s="1"/>
  <c r="M1242" i="7" l="1"/>
  <c r="N1242" i="7"/>
  <c r="G1244" i="7"/>
  <c r="K1243" i="7"/>
  <c r="L1243" i="7" s="1"/>
  <c r="N1243" i="7" l="1"/>
  <c r="M1243" i="7"/>
  <c r="G1245" i="7"/>
  <c r="K1244" i="7"/>
  <c r="L1244" i="7" s="1"/>
  <c r="N1244" i="7" l="1"/>
  <c r="M1244" i="7"/>
  <c r="G1246" i="7"/>
  <c r="K1245" i="7"/>
  <c r="L1245" i="7" s="1"/>
  <c r="N1245" i="7" l="1"/>
  <c r="M1245" i="7"/>
  <c r="G1247" i="7"/>
  <c r="K1246" i="7"/>
  <c r="L1246" i="7" s="1"/>
  <c r="N1246" i="7" l="1"/>
  <c r="M1246" i="7"/>
  <c r="G1248" i="7"/>
  <c r="K1247" i="7"/>
  <c r="L1247" i="7" s="1"/>
  <c r="G1249" i="7" l="1"/>
  <c r="K1248" i="7"/>
  <c r="L1248" i="7" s="1"/>
  <c r="N1247" i="7"/>
  <c r="M1247" i="7"/>
  <c r="M1248" i="7" l="1"/>
  <c r="N1248" i="7"/>
  <c r="G1250" i="7"/>
  <c r="K1249" i="7"/>
  <c r="L1249" i="7" s="1"/>
  <c r="G1251" i="7" l="1"/>
  <c r="K1250" i="7"/>
  <c r="L1250" i="7" s="1"/>
  <c r="N1249" i="7"/>
  <c r="M1249" i="7"/>
  <c r="N1250" i="7" l="1"/>
  <c r="M1250" i="7"/>
  <c r="G1252" i="7"/>
  <c r="K1251" i="7"/>
  <c r="L1251" i="7" s="1"/>
  <c r="G1253" i="7" l="1"/>
  <c r="K1252" i="7"/>
  <c r="L1252" i="7" s="1"/>
  <c r="N1251" i="7"/>
  <c r="M1251" i="7"/>
  <c r="N1252" i="7" l="1"/>
  <c r="M1252" i="7"/>
  <c r="G1254" i="7"/>
  <c r="K1253" i="7"/>
  <c r="L1253" i="7" s="1"/>
  <c r="N1253" i="7" l="1"/>
  <c r="M1253" i="7"/>
  <c r="G1255" i="7"/>
  <c r="K1254" i="7"/>
  <c r="L1254" i="7" s="1"/>
  <c r="G1256" i="7" l="1"/>
  <c r="K1255" i="7"/>
  <c r="L1255" i="7" s="1"/>
  <c r="N1254" i="7"/>
  <c r="M1254" i="7"/>
  <c r="N1255" i="7" l="1"/>
  <c r="M1255" i="7"/>
  <c r="G1257" i="7"/>
  <c r="K1256" i="7"/>
  <c r="L1256" i="7" s="1"/>
  <c r="N1256" i="7" l="1"/>
  <c r="M1256" i="7"/>
  <c r="G1258" i="7"/>
  <c r="K1257" i="7"/>
  <c r="L1257" i="7" s="1"/>
  <c r="G1259" i="7" l="1"/>
  <c r="K1258" i="7"/>
  <c r="L1258" i="7" s="1"/>
  <c r="N1257" i="7"/>
  <c r="M1257" i="7"/>
  <c r="N1258" i="7" l="1"/>
  <c r="M1258" i="7"/>
  <c r="G1260" i="7"/>
  <c r="K1259" i="7"/>
  <c r="L1259" i="7" s="1"/>
  <c r="G1261" i="7" l="1"/>
  <c r="K1260" i="7"/>
  <c r="L1260" i="7" s="1"/>
  <c r="N1259" i="7"/>
  <c r="M1259" i="7"/>
  <c r="N1260" i="7" l="1"/>
  <c r="M1260" i="7"/>
  <c r="G1262" i="7"/>
  <c r="K1261" i="7"/>
  <c r="L1261" i="7" s="1"/>
  <c r="N1261" i="7" l="1"/>
  <c r="M1261" i="7"/>
  <c r="G1263" i="7"/>
  <c r="K1262" i="7"/>
  <c r="L1262" i="7" s="1"/>
  <c r="N1262" i="7" l="1"/>
  <c r="M1262" i="7"/>
  <c r="G1264" i="7"/>
  <c r="K1263" i="7"/>
  <c r="L1263" i="7" s="1"/>
  <c r="N1263" i="7" l="1"/>
  <c r="M1263" i="7"/>
  <c r="G1265" i="7"/>
  <c r="K1264" i="7"/>
  <c r="L1264" i="7" s="1"/>
  <c r="N1264" i="7" l="1"/>
  <c r="M1264" i="7"/>
  <c r="G1266" i="7"/>
  <c r="K1265" i="7"/>
  <c r="L1265" i="7" s="1"/>
  <c r="G1267" i="7" l="1"/>
  <c r="K1266" i="7"/>
  <c r="L1266" i="7" s="1"/>
  <c r="N1265" i="7"/>
  <c r="M1265" i="7"/>
  <c r="N1266" i="7" l="1"/>
  <c r="M1266" i="7"/>
  <c r="G1268" i="7"/>
  <c r="K1267" i="7"/>
  <c r="L1267" i="7" s="1"/>
  <c r="N1267" i="7" l="1"/>
  <c r="M1267" i="7"/>
  <c r="G1269" i="7"/>
  <c r="K1268" i="7"/>
  <c r="L1268" i="7" s="1"/>
  <c r="G1270" i="7" l="1"/>
  <c r="K1269" i="7"/>
  <c r="L1269" i="7" s="1"/>
  <c r="N1268" i="7"/>
  <c r="M1268" i="7"/>
  <c r="N1269" i="7" l="1"/>
  <c r="M1269" i="7"/>
  <c r="G1271" i="7"/>
  <c r="K1270" i="7"/>
  <c r="L1270" i="7" s="1"/>
  <c r="N1270" i="7" l="1"/>
  <c r="M1270" i="7"/>
  <c r="G1272" i="7"/>
  <c r="K1271" i="7"/>
  <c r="L1271" i="7" s="1"/>
  <c r="N1271" i="7" l="1"/>
  <c r="M1271" i="7"/>
  <c r="G1273" i="7"/>
  <c r="K1272" i="7"/>
  <c r="L1272" i="7" s="1"/>
  <c r="M1272" i="7" l="1"/>
  <c r="N1272" i="7"/>
  <c r="G1274" i="7"/>
  <c r="K1273" i="7"/>
  <c r="L1273" i="7" s="1"/>
  <c r="N1273" i="7" l="1"/>
  <c r="M1273" i="7"/>
  <c r="G1275" i="7"/>
  <c r="K1274" i="7"/>
  <c r="L1274" i="7" s="1"/>
  <c r="N1274" i="7" l="1"/>
  <c r="M1274" i="7"/>
  <c r="G1276" i="7"/>
  <c r="K1275" i="7"/>
  <c r="L1275" i="7" s="1"/>
  <c r="N1275" i="7" l="1"/>
  <c r="M1275" i="7"/>
  <c r="G1277" i="7"/>
  <c r="K1276" i="7"/>
  <c r="L1276" i="7" s="1"/>
  <c r="N1276" i="7" l="1"/>
  <c r="M1276" i="7"/>
  <c r="G1278" i="7"/>
  <c r="K1277" i="7"/>
  <c r="L1277" i="7" s="1"/>
  <c r="N1277" i="7" l="1"/>
  <c r="M1277" i="7"/>
  <c r="G1279" i="7"/>
  <c r="K1278" i="7"/>
  <c r="L1278" i="7" s="1"/>
  <c r="N1278" i="7" l="1"/>
  <c r="M1278" i="7"/>
  <c r="G1280" i="7"/>
  <c r="K1279" i="7"/>
  <c r="L1279" i="7" s="1"/>
  <c r="G1281" i="7" l="1"/>
  <c r="K1280" i="7"/>
  <c r="L1280" i="7" s="1"/>
  <c r="N1279" i="7"/>
  <c r="M1279" i="7"/>
  <c r="M1280" i="7" l="1"/>
  <c r="N1280" i="7"/>
  <c r="G1282" i="7"/>
  <c r="K1281" i="7"/>
  <c r="L1281" i="7" s="1"/>
  <c r="G1283" i="7" l="1"/>
  <c r="K1282" i="7"/>
  <c r="L1282" i="7" s="1"/>
  <c r="N1281" i="7"/>
  <c r="M1281" i="7"/>
  <c r="N1282" i="7" l="1"/>
  <c r="M1282" i="7"/>
  <c r="G1284" i="7"/>
  <c r="K1283" i="7"/>
  <c r="L1283" i="7" s="1"/>
  <c r="G1285" i="7" l="1"/>
  <c r="K1284" i="7"/>
  <c r="L1284" i="7" s="1"/>
  <c r="N1283" i="7"/>
  <c r="M1283" i="7"/>
  <c r="N1284" i="7" l="1"/>
  <c r="M1284" i="7"/>
  <c r="G1286" i="7"/>
  <c r="K1285" i="7"/>
  <c r="L1285" i="7" s="1"/>
  <c r="G1287" i="7" l="1"/>
  <c r="K1286" i="7"/>
  <c r="L1286" i="7" s="1"/>
  <c r="N1285" i="7"/>
  <c r="M1285" i="7"/>
  <c r="N1286" i="7" l="1"/>
  <c r="M1286" i="7"/>
  <c r="G1288" i="7"/>
  <c r="K1287" i="7"/>
  <c r="L1287" i="7" s="1"/>
  <c r="G1289" i="7" l="1"/>
  <c r="K1288" i="7"/>
  <c r="L1288" i="7" s="1"/>
  <c r="N1287" i="7"/>
  <c r="M1287" i="7"/>
  <c r="N1288" i="7" l="1"/>
  <c r="M1288" i="7"/>
  <c r="G1290" i="7"/>
  <c r="K1289" i="7"/>
  <c r="L1289" i="7" s="1"/>
  <c r="N1289" i="7" l="1"/>
  <c r="M1289" i="7"/>
  <c r="G1291" i="7"/>
  <c r="K1290" i="7"/>
  <c r="L1290" i="7" s="1"/>
  <c r="G1292" i="7" l="1"/>
  <c r="K1291" i="7"/>
  <c r="L1291" i="7" s="1"/>
  <c r="N1290" i="7"/>
  <c r="M1290" i="7"/>
  <c r="N1291" i="7" l="1"/>
  <c r="M1291" i="7"/>
  <c r="G1293" i="7"/>
  <c r="K1292" i="7"/>
  <c r="L1292" i="7" s="1"/>
  <c r="N1292" i="7" l="1"/>
  <c r="M1292" i="7"/>
  <c r="G1294" i="7"/>
  <c r="K1293" i="7"/>
  <c r="L1293" i="7" s="1"/>
  <c r="N1293" i="7" l="1"/>
  <c r="M1293" i="7"/>
  <c r="G1295" i="7"/>
  <c r="K1294" i="7"/>
  <c r="L1294" i="7" s="1"/>
  <c r="G1296" i="7" l="1"/>
  <c r="K1295" i="7"/>
  <c r="L1295" i="7" s="1"/>
  <c r="N1294" i="7"/>
  <c r="M1294" i="7"/>
  <c r="M1295" i="7" l="1"/>
  <c r="N1295" i="7"/>
  <c r="G1297" i="7"/>
  <c r="K1296" i="7"/>
  <c r="L1296" i="7" s="1"/>
  <c r="N1296" i="7" l="1"/>
  <c r="M1296" i="7"/>
  <c r="G1298" i="7"/>
  <c r="K1297" i="7"/>
  <c r="L1297" i="7" s="1"/>
  <c r="N1297" i="7" l="1"/>
  <c r="M1297" i="7"/>
  <c r="G1299" i="7"/>
  <c r="K1298" i="7"/>
  <c r="L1298" i="7" s="1"/>
  <c r="N1298" i="7" l="1"/>
  <c r="M1298" i="7"/>
  <c r="G1300" i="7"/>
  <c r="K1299" i="7"/>
  <c r="L1299" i="7" s="1"/>
  <c r="N1299" i="7" l="1"/>
  <c r="M1299" i="7"/>
  <c r="G1301" i="7"/>
  <c r="K1300" i="7"/>
  <c r="L1300" i="7" s="1"/>
  <c r="N1300" i="7" l="1"/>
  <c r="M1300" i="7"/>
  <c r="G1302" i="7"/>
  <c r="K1301" i="7"/>
  <c r="L1301" i="7" s="1"/>
  <c r="N1301" i="7" l="1"/>
  <c r="M1301" i="7"/>
  <c r="G1303" i="7"/>
  <c r="K1302" i="7"/>
  <c r="L1302" i="7" s="1"/>
  <c r="N1302" i="7" l="1"/>
  <c r="M1302" i="7"/>
  <c r="G1304" i="7"/>
  <c r="K1303" i="7"/>
  <c r="L1303" i="7" s="1"/>
  <c r="N1303" i="7" l="1"/>
  <c r="M1303" i="7"/>
  <c r="G1305" i="7"/>
  <c r="K1304" i="7"/>
  <c r="L1304" i="7" s="1"/>
  <c r="G1306" i="7" l="1"/>
  <c r="K1305" i="7"/>
  <c r="L1305" i="7" s="1"/>
  <c r="N1304" i="7"/>
  <c r="M1304" i="7"/>
  <c r="N1305" i="7" l="1"/>
  <c r="M1305" i="7"/>
  <c r="G1307" i="7"/>
  <c r="K1306" i="7"/>
  <c r="L1306" i="7" s="1"/>
  <c r="N1306" i="7" l="1"/>
  <c r="M1306" i="7"/>
  <c r="G1308" i="7"/>
  <c r="K1307" i="7"/>
  <c r="L1307" i="7" s="1"/>
  <c r="N1307" i="7" l="1"/>
  <c r="M1307" i="7"/>
  <c r="G1309" i="7"/>
  <c r="K1308" i="7"/>
  <c r="L1308" i="7" s="1"/>
  <c r="G1310" i="7" l="1"/>
  <c r="K1309" i="7"/>
  <c r="L1309" i="7" s="1"/>
  <c r="N1308" i="7"/>
  <c r="M1308" i="7"/>
  <c r="M1309" i="7" l="1"/>
  <c r="N1309" i="7"/>
  <c r="G1311" i="7"/>
  <c r="K1310" i="7"/>
  <c r="L1310" i="7" s="1"/>
  <c r="N1310" i="7" l="1"/>
  <c r="M1310" i="7"/>
  <c r="G1312" i="7"/>
  <c r="K1311" i="7"/>
  <c r="L1311" i="7" s="1"/>
  <c r="G1313" i="7" l="1"/>
  <c r="K1312" i="7"/>
  <c r="L1312" i="7" s="1"/>
  <c r="N1311" i="7"/>
  <c r="M1311" i="7"/>
  <c r="N1312" i="7" l="1"/>
  <c r="M1312" i="7"/>
  <c r="G1314" i="7"/>
  <c r="K1313" i="7"/>
  <c r="L1313" i="7" s="1"/>
  <c r="N1313" i="7" l="1"/>
  <c r="M1313" i="7"/>
  <c r="G1315" i="7"/>
  <c r="K1314" i="7"/>
  <c r="L1314" i="7" s="1"/>
  <c r="N1314" i="7" l="1"/>
  <c r="M1314" i="7"/>
  <c r="G1316" i="7"/>
  <c r="K1315" i="7"/>
  <c r="L1315" i="7" s="1"/>
  <c r="G1317" i="7" l="1"/>
  <c r="K1316" i="7"/>
  <c r="L1316" i="7" s="1"/>
  <c r="N1315" i="7"/>
  <c r="M1315" i="7"/>
  <c r="N1316" i="7" l="1"/>
  <c r="M1316" i="7"/>
  <c r="G1318" i="7"/>
  <c r="K1317" i="7"/>
  <c r="L1317" i="7" s="1"/>
  <c r="N1317" i="7" l="1"/>
  <c r="M1317" i="7"/>
  <c r="G1319" i="7"/>
  <c r="K1318" i="7"/>
  <c r="L1318" i="7" s="1"/>
  <c r="G1320" i="7" l="1"/>
  <c r="K1319" i="7"/>
  <c r="L1319" i="7" s="1"/>
  <c r="N1318" i="7"/>
  <c r="M1318" i="7"/>
  <c r="N1319" i="7" l="1"/>
  <c r="M1319" i="7"/>
  <c r="G1321" i="7"/>
  <c r="K1320" i="7"/>
  <c r="L1320" i="7" s="1"/>
  <c r="N1320" i="7" l="1"/>
  <c r="M1320" i="7"/>
  <c r="G1322" i="7"/>
  <c r="K1321" i="7"/>
  <c r="L1321" i="7" s="1"/>
  <c r="N1321" i="7" l="1"/>
  <c r="M1321" i="7"/>
  <c r="G1323" i="7"/>
  <c r="K1322" i="7"/>
  <c r="L1322" i="7" s="1"/>
  <c r="G1324" i="7" l="1"/>
  <c r="K1323" i="7"/>
  <c r="L1323" i="7" s="1"/>
  <c r="N1322" i="7"/>
  <c r="M1322" i="7"/>
  <c r="N1323" i="7" l="1"/>
  <c r="M1323" i="7"/>
  <c r="G1325" i="7"/>
  <c r="K1324" i="7"/>
  <c r="L1324" i="7" s="1"/>
  <c r="G1326" i="7" l="1"/>
  <c r="K1325" i="7"/>
  <c r="L1325" i="7" s="1"/>
  <c r="N1324" i="7"/>
  <c r="M1324" i="7"/>
  <c r="N1325" i="7" l="1"/>
  <c r="M1325" i="7"/>
  <c r="G1327" i="7"/>
  <c r="K1326" i="7"/>
  <c r="L1326" i="7" s="1"/>
  <c r="N1326" i="7" l="1"/>
  <c r="M1326" i="7"/>
  <c r="G1328" i="7"/>
  <c r="K1327" i="7"/>
  <c r="L1327" i="7" s="1"/>
  <c r="M1327" i="7" l="1"/>
  <c r="N1327" i="7"/>
  <c r="G1329" i="7"/>
  <c r="K1328" i="7"/>
  <c r="L1328" i="7" s="1"/>
  <c r="M1328" i="7" l="1"/>
  <c r="N1328" i="7"/>
  <c r="G1330" i="7"/>
  <c r="K1329" i="7"/>
  <c r="L1329" i="7" s="1"/>
  <c r="G1331" i="7" l="1"/>
  <c r="K1330" i="7"/>
  <c r="L1330" i="7" s="1"/>
  <c r="N1329" i="7"/>
  <c r="M1329" i="7"/>
  <c r="N1330" i="7" l="1"/>
  <c r="M1330" i="7"/>
  <c r="G1332" i="7"/>
  <c r="K1331" i="7"/>
  <c r="L1331" i="7" s="1"/>
  <c r="N1331" i="7" l="1"/>
  <c r="M1331" i="7"/>
  <c r="G1333" i="7"/>
  <c r="K1332" i="7"/>
  <c r="L1332" i="7" s="1"/>
  <c r="N1332" i="7" l="1"/>
  <c r="M1332" i="7"/>
  <c r="G1334" i="7"/>
  <c r="K1333" i="7"/>
  <c r="L1333" i="7" s="1"/>
  <c r="G1335" i="7" l="1"/>
  <c r="K1334" i="7"/>
  <c r="L1334" i="7" s="1"/>
  <c r="N1333" i="7"/>
  <c r="M1333" i="7"/>
  <c r="N1334" i="7" l="1"/>
  <c r="M1334" i="7"/>
  <c r="G1336" i="7"/>
  <c r="K1335" i="7"/>
  <c r="L1335" i="7" s="1"/>
  <c r="N1335" i="7" l="1"/>
  <c r="M1335" i="7"/>
  <c r="G1337" i="7"/>
  <c r="K1336" i="7"/>
  <c r="L1336" i="7" s="1"/>
  <c r="G1338" i="7" l="1"/>
  <c r="K1337" i="7"/>
  <c r="L1337" i="7" s="1"/>
  <c r="N1336" i="7"/>
  <c r="M1336" i="7"/>
  <c r="N1337" i="7" l="1"/>
  <c r="M1337" i="7"/>
  <c r="G1339" i="7"/>
  <c r="K1338" i="7"/>
  <c r="L1338" i="7" s="1"/>
  <c r="N1338" i="7" l="1"/>
  <c r="M1338" i="7"/>
  <c r="G1340" i="7"/>
  <c r="K1339" i="7"/>
  <c r="L1339" i="7" s="1"/>
  <c r="N1339" i="7" l="1"/>
  <c r="M1339" i="7"/>
  <c r="G1341" i="7"/>
  <c r="K1340" i="7"/>
  <c r="L1340" i="7" s="1"/>
  <c r="G1342" i="7" l="1"/>
  <c r="K1341" i="7"/>
  <c r="L1341" i="7" s="1"/>
  <c r="N1340" i="7"/>
  <c r="M1340" i="7"/>
  <c r="N1341" i="7" l="1"/>
  <c r="M1341" i="7"/>
  <c r="G1343" i="7"/>
  <c r="K1342" i="7"/>
  <c r="L1342" i="7" s="1"/>
  <c r="N1342" i="7" l="1"/>
  <c r="M1342" i="7"/>
  <c r="G1344" i="7"/>
  <c r="K1343" i="7"/>
  <c r="L1343" i="7" s="1"/>
  <c r="N1343" i="7" l="1"/>
  <c r="M1343" i="7"/>
  <c r="G1345" i="7"/>
  <c r="K1344" i="7"/>
  <c r="L1344" i="7" s="1"/>
  <c r="N1344" i="7" l="1"/>
  <c r="M1344" i="7"/>
  <c r="G1346" i="7"/>
  <c r="K1345" i="7"/>
  <c r="L1345" i="7" s="1"/>
  <c r="N1345" i="7" l="1"/>
  <c r="M1345" i="7"/>
  <c r="G1347" i="7"/>
  <c r="K1346" i="7"/>
  <c r="L1346" i="7" s="1"/>
  <c r="N1346" i="7" l="1"/>
  <c r="M1346" i="7"/>
  <c r="G1348" i="7"/>
  <c r="K1347" i="7"/>
  <c r="L1347" i="7" s="1"/>
  <c r="N1347" i="7" l="1"/>
  <c r="M1347" i="7"/>
  <c r="G1349" i="7"/>
  <c r="K1348" i="7"/>
  <c r="L1348" i="7" s="1"/>
  <c r="N1348" i="7" l="1"/>
  <c r="M1348" i="7"/>
  <c r="G1350" i="7"/>
  <c r="K1349" i="7"/>
  <c r="L1349" i="7" s="1"/>
  <c r="N1349" i="7" l="1"/>
  <c r="M1349" i="7"/>
  <c r="G1351" i="7"/>
  <c r="K1350" i="7"/>
  <c r="L1350" i="7" s="1"/>
  <c r="N1350" i="7" l="1"/>
  <c r="M1350" i="7"/>
  <c r="G1352" i="7"/>
  <c r="K1351" i="7"/>
  <c r="L1351" i="7" s="1"/>
  <c r="G1353" i="7" l="1"/>
  <c r="K1352" i="7"/>
  <c r="L1352" i="7" s="1"/>
  <c r="N1351" i="7"/>
  <c r="M1351" i="7"/>
  <c r="N1352" i="7" l="1"/>
  <c r="M1352" i="7"/>
  <c r="G1354" i="7"/>
  <c r="K1353" i="7"/>
  <c r="L1353" i="7" s="1"/>
  <c r="G1355" i="7" l="1"/>
  <c r="K1354" i="7"/>
  <c r="L1354" i="7" s="1"/>
  <c r="N1353" i="7"/>
  <c r="M1353" i="7"/>
  <c r="M1354" i="7" l="1"/>
  <c r="N1354" i="7"/>
  <c r="G1356" i="7"/>
  <c r="K1355" i="7"/>
  <c r="L1355" i="7" s="1"/>
  <c r="N1355" i="7" l="1"/>
  <c r="M1355" i="7"/>
  <c r="G1357" i="7"/>
  <c r="K1356" i="7"/>
  <c r="L1356" i="7" s="1"/>
  <c r="N1356" i="7" l="1"/>
  <c r="M1356" i="7"/>
  <c r="G1358" i="7"/>
  <c r="K1357" i="7"/>
  <c r="L1357" i="7" s="1"/>
  <c r="N1357" i="7" l="1"/>
  <c r="M1357" i="7"/>
  <c r="G1359" i="7"/>
  <c r="K1358" i="7"/>
  <c r="L1358" i="7" s="1"/>
  <c r="N1358" i="7" l="1"/>
  <c r="M1358" i="7"/>
  <c r="G1360" i="7"/>
  <c r="K1359" i="7"/>
  <c r="L1359" i="7" s="1"/>
  <c r="N1359" i="7" l="1"/>
  <c r="M1359" i="7"/>
  <c r="G1361" i="7"/>
  <c r="K1360" i="7"/>
  <c r="L1360" i="7" s="1"/>
  <c r="N1360" i="7" l="1"/>
  <c r="M1360" i="7"/>
  <c r="G1362" i="7"/>
  <c r="K1361" i="7"/>
  <c r="L1361" i="7" s="1"/>
  <c r="N1361" i="7" l="1"/>
  <c r="M1361" i="7"/>
  <c r="G1363" i="7"/>
  <c r="K1362" i="7"/>
  <c r="L1362" i="7" s="1"/>
  <c r="G1364" i="7" l="1"/>
  <c r="K1363" i="7"/>
  <c r="L1363" i="7" s="1"/>
  <c r="N1362" i="7"/>
  <c r="M1362" i="7"/>
  <c r="N1363" i="7" l="1"/>
  <c r="M1363" i="7"/>
  <c r="G1365" i="7"/>
  <c r="K1364" i="7"/>
  <c r="L1364" i="7" s="1"/>
  <c r="N1364" i="7" l="1"/>
  <c r="M1364" i="7"/>
  <c r="G1366" i="7"/>
  <c r="K1365" i="7"/>
  <c r="L1365" i="7" s="1"/>
  <c r="M1365" i="7" l="1"/>
  <c r="N1365" i="7"/>
  <c r="G1367" i="7"/>
  <c r="K1366" i="7"/>
  <c r="L1366" i="7" s="1"/>
  <c r="G1368" i="7" l="1"/>
  <c r="K1367" i="7"/>
  <c r="L1367" i="7" s="1"/>
  <c r="N1366" i="7"/>
  <c r="M1366" i="7"/>
  <c r="G1369" i="7" l="1"/>
  <c r="K1368" i="7"/>
  <c r="L1368" i="7" s="1"/>
  <c r="N1367" i="7"/>
  <c r="M1367" i="7"/>
  <c r="N1368" i="7" l="1"/>
  <c r="M1368" i="7"/>
  <c r="G1370" i="7"/>
  <c r="K1369" i="7"/>
  <c r="L1369" i="7" s="1"/>
  <c r="N1369" i="7" l="1"/>
  <c r="M1369" i="7"/>
  <c r="G1371" i="7"/>
  <c r="K1370" i="7"/>
  <c r="L1370" i="7" s="1"/>
  <c r="N1370" i="7" l="1"/>
  <c r="M1370" i="7"/>
  <c r="G1372" i="7"/>
  <c r="K1371" i="7"/>
  <c r="L1371" i="7" s="1"/>
  <c r="G1373" i="7" l="1"/>
  <c r="K1372" i="7"/>
  <c r="L1372" i="7" s="1"/>
  <c r="N1371" i="7"/>
  <c r="M1371" i="7"/>
  <c r="N1372" i="7" l="1"/>
  <c r="M1372" i="7"/>
  <c r="G1374" i="7"/>
  <c r="K1373" i="7"/>
  <c r="L1373" i="7" s="1"/>
  <c r="N1373" i="7" l="1"/>
  <c r="M1373" i="7"/>
  <c r="G1375" i="7"/>
  <c r="K1374" i="7"/>
  <c r="L1374" i="7" s="1"/>
  <c r="N1374" i="7" l="1"/>
  <c r="M1374" i="7"/>
  <c r="G1376" i="7"/>
  <c r="K1375" i="7"/>
  <c r="L1375" i="7" s="1"/>
  <c r="G1377" i="7" l="1"/>
  <c r="K1376" i="7"/>
  <c r="L1376" i="7" s="1"/>
  <c r="N1375" i="7"/>
  <c r="M1375" i="7"/>
  <c r="N1376" i="7" l="1"/>
  <c r="M1376" i="7"/>
  <c r="G1378" i="7"/>
  <c r="K1377" i="7"/>
  <c r="L1377" i="7" s="1"/>
  <c r="N1377" i="7" l="1"/>
  <c r="M1377" i="7"/>
  <c r="G1379" i="7"/>
  <c r="K1378" i="7"/>
  <c r="L1378" i="7" s="1"/>
  <c r="N1378" i="7" l="1"/>
  <c r="M1378" i="7"/>
  <c r="G1380" i="7"/>
  <c r="K1379" i="7"/>
  <c r="L1379" i="7" s="1"/>
  <c r="N1379" i="7" l="1"/>
  <c r="M1379" i="7"/>
  <c r="G1381" i="7"/>
  <c r="K1380" i="7"/>
  <c r="L1380" i="7" s="1"/>
  <c r="N1380" i="7" l="1"/>
  <c r="M1380" i="7"/>
  <c r="G1382" i="7"/>
  <c r="K1381" i="7"/>
  <c r="L1381" i="7" s="1"/>
  <c r="G1383" i="7" l="1"/>
  <c r="K1382" i="7"/>
  <c r="L1382" i="7" s="1"/>
  <c r="N1381" i="7"/>
  <c r="M1381" i="7"/>
  <c r="N1382" i="7" l="1"/>
  <c r="M1382" i="7"/>
  <c r="G1384" i="7"/>
  <c r="K1383" i="7"/>
  <c r="L1383" i="7" s="1"/>
  <c r="N1383" i="7" l="1"/>
  <c r="M1383" i="7"/>
  <c r="G1385" i="7"/>
  <c r="K1384" i="7"/>
  <c r="L1384" i="7" s="1"/>
  <c r="M1384" i="7" l="1"/>
  <c r="N1384" i="7"/>
  <c r="G1386" i="7"/>
  <c r="K1385" i="7"/>
  <c r="L1385" i="7" s="1"/>
  <c r="N1385" i="7" l="1"/>
  <c r="M1385" i="7"/>
  <c r="G1387" i="7"/>
  <c r="K1386" i="7"/>
  <c r="L1386" i="7" s="1"/>
  <c r="N1386" i="7" l="1"/>
  <c r="M1386" i="7"/>
  <c r="G1388" i="7"/>
  <c r="K1387" i="7"/>
  <c r="L1387" i="7" s="1"/>
  <c r="G1389" i="7" l="1"/>
  <c r="K1388" i="7"/>
  <c r="L1388" i="7" s="1"/>
  <c r="N1387" i="7"/>
  <c r="M1387" i="7"/>
  <c r="G1390" i="7" l="1"/>
  <c r="K1389" i="7"/>
  <c r="L1389" i="7" s="1"/>
  <c r="N1388" i="7"/>
  <c r="M1388" i="7"/>
  <c r="N1389" i="7" l="1"/>
  <c r="M1389" i="7"/>
  <c r="G1391" i="7"/>
  <c r="K1390" i="7"/>
  <c r="L1390" i="7" s="1"/>
  <c r="N1390" i="7" l="1"/>
  <c r="M1390" i="7"/>
  <c r="G1392" i="7"/>
  <c r="K1391" i="7"/>
  <c r="L1391" i="7" s="1"/>
  <c r="M1391" i="7" l="1"/>
  <c r="N1391" i="7"/>
  <c r="G1393" i="7"/>
  <c r="K1392" i="7"/>
  <c r="L1392" i="7" s="1"/>
  <c r="G1394" i="7" l="1"/>
  <c r="K1393" i="7"/>
  <c r="L1393" i="7" s="1"/>
  <c r="N1392" i="7"/>
  <c r="M1392" i="7"/>
  <c r="G1395" i="7" l="1"/>
  <c r="K1394" i="7"/>
  <c r="L1394" i="7" s="1"/>
  <c r="N1393" i="7"/>
  <c r="M1393" i="7"/>
  <c r="N1394" i="7" l="1"/>
  <c r="M1394" i="7"/>
  <c r="G1396" i="7"/>
  <c r="K1395" i="7"/>
  <c r="L1395" i="7" s="1"/>
  <c r="G1397" i="7" l="1"/>
  <c r="K1396" i="7"/>
  <c r="L1396" i="7" s="1"/>
  <c r="N1395" i="7"/>
  <c r="M1395" i="7"/>
  <c r="N1396" i="7" l="1"/>
  <c r="M1396" i="7"/>
  <c r="G1398" i="7"/>
  <c r="K1397" i="7"/>
  <c r="L1397" i="7" s="1"/>
  <c r="G1399" i="7" l="1"/>
  <c r="K1398" i="7"/>
  <c r="L1398" i="7" s="1"/>
  <c r="N1397" i="7"/>
  <c r="M1397" i="7"/>
  <c r="N1398" i="7" l="1"/>
  <c r="M1398" i="7"/>
  <c r="G1400" i="7"/>
  <c r="K1399" i="7"/>
  <c r="L1399" i="7" s="1"/>
  <c r="N1399" i="7" l="1"/>
  <c r="M1399" i="7"/>
  <c r="G1401" i="7"/>
  <c r="K1400" i="7"/>
  <c r="L1400" i="7" s="1"/>
  <c r="N1400" i="7" l="1"/>
  <c r="M1400" i="7"/>
  <c r="G1402" i="7"/>
  <c r="K1401" i="7"/>
  <c r="L1401" i="7" s="1"/>
  <c r="N1401" i="7" l="1"/>
  <c r="M1401" i="7"/>
  <c r="G1403" i="7"/>
  <c r="K1402" i="7"/>
  <c r="L1402" i="7" s="1"/>
  <c r="G1404" i="7" l="1"/>
  <c r="K1403" i="7"/>
  <c r="L1403" i="7" s="1"/>
  <c r="N1402" i="7"/>
  <c r="M1402" i="7"/>
  <c r="N1403" i="7" l="1"/>
  <c r="M1403" i="7"/>
  <c r="G1405" i="7"/>
  <c r="K1404" i="7"/>
  <c r="L1404" i="7" s="1"/>
  <c r="N1404" i="7" l="1"/>
  <c r="M1404" i="7"/>
  <c r="G1406" i="7"/>
  <c r="K1405" i="7"/>
  <c r="L1405" i="7" s="1"/>
  <c r="N1405" i="7" l="1"/>
  <c r="M1405" i="7"/>
  <c r="G1407" i="7"/>
  <c r="K1406" i="7"/>
  <c r="L1406" i="7" s="1"/>
  <c r="N1406" i="7" l="1"/>
  <c r="M1406" i="7"/>
  <c r="G1408" i="7"/>
  <c r="K1407" i="7"/>
  <c r="L1407" i="7" s="1"/>
  <c r="N1407" i="7" l="1"/>
  <c r="M1407" i="7"/>
  <c r="G1409" i="7"/>
  <c r="K1408" i="7"/>
  <c r="L1408" i="7" s="1"/>
  <c r="G1410" i="7" l="1"/>
  <c r="K1409" i="7"/>
  <c r="L1409" i="7" s="1"/>
  <c r="N1408" i="7"/>
  <c r="M1408" i="7"/>
  <c r="G1411" i="7" l="1"/>
  <c r="K1410" i="7"/>
  <c r="L1410" i="7" s="1"/>
  <c r="N1409" i="7"/>
  <c r="M1409" i="7"/>
  <c r="G1412" i="7" l="1"/>
  <c r="K1411" i="7"/>
  <c r="L1411" i="7" s="1"/>
  <c r="N1410" i="7"/>
  <c r="M1410" i="7"/>
  <c r="G1413" i="7" l="1"/>
  <c r="K1412" i="7"/>
  <c r="L1412" i="7" s="1"/>
  <c r="N1411" i="7"/>
  <c r="M1411" i="7"/>
  <c r="G1414" i="7" l="1"/>
  <c r="K1413" i="7"/>
  <c r="L1413" i="7" s="1"/>
  <c r="N1412" i="7"/>
  <c r="M1412" i="7"/>
  <c r="N1413" i="7" l="1"/>
  <c r="M1413" i="7"/>
  <c r="G1415" i="7"/>
  <c r="K1414" i="7"/>
  <c r="L1414" i="7" s="1"/>
  <c r="N1414" i="7" l="1"/>
  <c r="M1414" i="7"/>
  <c r="G1416" i="7"/>
  <c r="K1415" i="7"/>
  <c r="L1415" i="7" s="1"/>
  <c r="G1417" i="7" l="1"/>
  <c r="K1416" i="7"/>
  <c r="L1416" i="7" s="1"/>
  <c r="N1415" i="7"/>
  <c r="M1415" i="7"/>
  <c r="N1416" i="7" l="1"/>
  <c r="M1416" i="7"/>
  <c r="G1418" i="7"/>
  <c r="K1417" i="7"/>
  <c r="L1417" i="7" s="1"/>
  <c r="N1417" i="7" l="1"/>
  <c r="M1417" i="7"/>
  <c r="G1419" i="7"/>
  <c r="K1418" i="7"/>
  <c r="L1418" i="7" s="1"/>
  <c r="G1420" i="7" l="1"/>
  <c r="K1419" i="7"/>
  <c r="L1419" i="7" s="1"/>
  <c r="N1418" i="7"/>
  <c r="M1418" i="7"/>
  <c r="N1419" i="7" l="1"/>
  <c r="M1419" i="7"/>
  <c r="G1421" i="7"/>
  <c r="K1420" i="7"/>
  <c r="L1420" i="7" s="1"/>
  <c r="G1422" i="7" l="1"/>
  <c r="K1421" i="7"/>
  <c r="L1421" i="7" s="1"/>
  <c r="N1420" i="7"/>
  <c r="M1420" i="7"/>
  <c r="N1421" i="7" l="1"/>
  <c r="M1421" i="7"/>
  <c r="G1423" i="7"/>
  <c r="K1422" i="7"/>
  <c r="L1422" i="7" s="1"/>
  <c r="N1422" i="7" l="1"/>
  <c r="M1422" i="7"/>
  <c r="G1424" i="7"/>
  <c r="K1423" i="7"/>
  <c r="L1423" i="7" s="1"/>
  <c r="M1423" i="7" l="1"/>
  <c r="N1423" i="7"/>
  <c r="G1425" i="7"/>
  <c r="K1424" i="7"/>
  <c r="L1424" i="7" s="1"/>
  <c r="N1424" i="7" l="1"/>
  <c r="M1424" i="7"/>
  <c r="G1426" i="7"/>
  <c r="K1425" i="7"/>
  <c r="L1425" i="7" s="1"/>
  <c r="N1425" i="7" l="1"/>
  <c r="M1425" i="7"/>
  <c r="G1427" i="7"/>
  <c r="K1426" i="7"/>
  <c r="L1426" i="7" s="1"/>
  <c r="N1426" i="7" l="1"/>
  <c r="M1426" i="7"/>
  <c r="G1428" i="7"/>
  <c r="K1427" i="7"/>
  <c r="L1427" i="7" s="1"/>
  <c r="N1427" i="7" l="1"/>
  <c r="M1427" i="7"/>
  <c r="G1429" i="7"/>
  <c r="K1428" i="7"/>
  <c r="L1428" i="7" s="1"/>
  <c r="G1430" i="7" l="1"/>
  <c r="K1429" i="7"/>
  <c r="L1429" i="7" s="1"/>
  <c r="N1428" i="7"/>
  <c r="M1428" i="7"/>
  <c r="G1431" i="7" l="1"/>
  <c r="K1430" i="7"/>
  <c r="L1430" i="7" s="1"/>
  <c r="N1429" i="7"/>
  <c r="M1429" i="7"/>
  <c r="G1432" i="7" l="1"/>
  <c r="K1431" i="7"/>
  <c r="L1431" i="7" s="1"/>
  <c r="N1430" i="7"/>
  <c r="M1430" i="7"/>
  <c r="G1433" i="7" l="1"/>
  <c r="K1432" i="7"/>
  <c r="L1432" i="7" s="1"/>
  <c r="N1431" i="7"/>
  <c r="M1431" i="7"/>
  <c r="G1434" i="7" l="1"/>
  <c r="K1433" i="7"/>
  <c r="L1433" i="7" s="1"/>
  <c r="N1432" i="7"/>
  <c r="M1432" i="7"/>
  <c r="G1435" i="7" l="1"/>
  <c r="K1434" i="7"/>
  <c r="L1434" i="7" s="1"/>
  <c r="N1433" i="7"/>
  <c r="M1433" i="7"/>
  <c r="G1436" i="7" l="1"/>
  <c r="K1435" i="7"/>
  <c r="L1435" i="7" s="1"/>
  <c r="N1434" i="7"/>
  <c r="M1434" i="7"/>
  <c r="G1437" i="7" l="1"/>
  <c r="K1436" i="7"/>
  <c r="L1436" i="7" s="1"/>
  <c r="N1435" i="7"/>
  <c r="M1435" i="7"/>
  <c r="N1436" i="7" l="1"/>
  <c r="M1436" i="7"/>
  <c r="G1438" i="7"/>
  <c r="K1437" i="7"/>
  <c r="L1437" i="7" s="1"/>
  <c r="N1437" i="7" l="1"/>
  <c r="M1437" i="7"/>
  <c r="G1439" i="7"/>
  <c r="K1438" i="7"/>
  <c r="L1438" i="7" s="1"/>
  <c r="N1438" i="7" l="1"/>
  <c r="M1438" i="7"/>
  <c r="G1440" i="7"/>
  <c r="K1439" i="7"/>
  <c r="L1439" i="7" s="1"/>
  <c r="N1439" i="7" l="1"/>
  <c r="M1439" i="7"/>
  <c r="G1441" i="7"/>
  <c r="K1440" i="7"/>
  <c r="L1440" i="7" s="1"/>
  <c r="M1440" i="7" l="1"/>
  <c r="N1440" i="7"/>
  <c r="G1442" i="7"/>
  <c r="K1441" i="7"/>
  <c r="L1441" i="7" s="1"/>
  <c r="N1441" i="7" l="1"/>
  <c r="M1441" i="7"/>
  <c r="G1443" i="7"/>
  <c r="K1442" i="7"/>
  <c r="L1442" i="7" s="1"/>
  <c r="N1442" i="7" l="1"/>
  <c r="M1442" i="7"/>
  <c r="G1444" i="7"/>
  <c r="K1443" i="7"/>
  <c r="L1443" i="7" s="1"/>
  <c r="N1443" i="7" l="1"/>
  <c r="M1443" i="7"/>
  <c r="G1445" i="7"/>
  <c r="K1444" i="7"/>
  <c r="L1444" i="7" s="1"/>
  <c r="N1444" i="7" l="1"/>
  <c r="M1444" i="7"/>
  <c r="G1446" i="7"/>
  <c r="K1445" i="7"/>
  <c r="L1445" i="7" s="1"/>
  <c r="N1445" i="7" l="1"/>
  <c r="M1445" i="7"/>
  <c r="G1447" i="7"/>
  <c r="K1446" i="7"/>
  <c r="L1446" i="7" s="1"/>
  <c r="N1446" i="7" l="1"/>
  <c r="M1446" i="7"/>
  <c r="G1448" i="7"/>
  <c r="K1447" i="7"/>
  <c r="L1447" i="7" s="1"/>
  <c r="N1447" i="7" l="1"/>
  <c r="M1447" i="7"/>
  <c r="G1449" i="7"/>
  <c r="K1448" i="7"/>
  <c r="L1448" i="7" s="1"/>
  <c r="G1450" i="7" l="1"/>
  <c r="K1449" i="7"/>
  <c r="L1449" i="7" s="1"/>
  <c r="M1448" i="7"/>
  <c r="N1448" i="7"/>
  <c r="N1449" i="7" l="1"/>
  <c r="M1449" i="7"/>
  <c r="G1451" i="7"/>
  <c r="K1450" i="7"/>
  <c r="L1450" i="7" s="1"/>
  <c r="M1450" i="7" l="1"/>
  <c r="N1450" i="7"/>
  <c r="G1452" i="7"/>
  <c r="K1451" i="7"/>
  <c r="L1451" i="7" s="1"/>
  <c r="G1453" i="7" l="1"/>
  <c r="K1452" i="7"/>
  <c r="L1452" i="7" s="1"/>
  <c r="N1451" i="7"/>
  <c r="M1451" i="7"/>
  <c r="N1452" i="7" l="1"/>
  <c r="M1452" i="7"/>
  <c r="G1454" i="7"/>
  <c r="K1453" i="7"/>
  <c r="L1453" i="7" s="1"/>
  <c r="N1453" i="7" l="1"/>
  <c r="M1453" i="7"/>
  <c r="G1455" i="7"/>
  <c r="K1454" i="7"/>
  <c r="L1454" i="7" s="1"/>
  <c r="N1454" i="7" l="1"/>
  <c r="M1454" i="7"/>
  <c r="G1456" i="7"/>
  <c r="K1455" i="7"/>
  <c r="L1455" i="7" s="1"/>
  <c r="N1455" i="7" l="1"/>
  <c r="M1455" i="7"/>
  <c r="G1457" i="7"/>
  <c r="K1456" i="7"/>
  <c r="L1456" i="7" s="1"/>
  <c r="G1458" i="7" l="1"/>
  <c r="K1457" i="7"/>
  <c r="L1457" i="7" s="1"/>
  <c r="N1456" i="7"/>
  <c r="M1456" i="7"/>
  <c r="N1457" i="7" l="1"/>
  <c r="M1457" i="7"/>
  <c r="G1459" i="7"/>
  <c r="K1458" i="7"/>
  <c r="L1458" i="7" s="1"/>
  <c r="N1458" i="7" l="1"/>
  <c r="M1458" i="7"/>
  <c r="G1460" i="7"/>
  <c r="K1459" i="7"/>
  <c r="L1459" i="7" s="1"/>
  <c r="N1459" i="7" l="1"/>
  <c r="M1459" i="7"/>
  <c r="G1461" i="7"/>
  <c r="K1460" i="7"/>
  <c r="L1460" i="7" s="1"/>
  <c r="N1460" i="7" l="1"/>
  <c r="M1460" i="7"/>
  <c r="G1462" i="7"/>
  <c r="K1461" i="7"/>
  <c r="L1461" i="7" s="1"/>
  <c r="N1461" i="7" l="1"/>
  <c r="M1461" i="7"/>
  <c r="G1463" i="7"/>
  <c r="K1462" i="7"/>
  <c r="L1462" i="7" s="1"/>
  <c r="G1464" i="7" l="1"/>
  <c r="K1463" i="7"/>
  <c r="L1463" i="7" s="1"/>
  <c r="N1462" i="7"/>
  <c r="M1462" i="7"/>
  <c r="N1463" i="7" l="1"/>
  <c r="M1463" i="7"/>
  <c r="G1465" i="7"/>
  <c r="K1464" i="7"/>
  <c r="L1464" i="7" s="1"/>
  <c r="N1464" i="7" l="1"/>
  <c r="M1464" i="7"/>
  <c r="G1466" i="7"/>
  <c r="K1465" i="7"/>
  <c r="L1465" i="7" s="1"/>
  <c r="N1465" i="7" l="1"/>
  <c r="M1465" i="7"/>
  <c r="G1467" i="7"/>
  <c r="K1466" i="7"/>
  <c r="L1466" i="7" s="1"/>
  <c r="N1466" i="7" l="1"/>
  <c r="M1466" i="7"/>
  <c r="G1468" i="7"/>
  <c r="K1467" i="7"/>
  <c r="L1467" i="7" s="1"/>
  <c r="N1467" i="7" l="1"/>
  <c r="M1467" i="7"/>
  <c r="G1469" i="7"/>
  <c r="K1468" i="7"/>
  <c r="L1468" i="7" s="1"/>
  <c r="N1468" i="7" l="1"/>
  <c r="M1468" i="7"/>
  <c r="G1470" i="7"/>
  <c r="K1469" i="7"/>
  <c r="L1469" i="7" s="1"/>
  <c r="G1471" i="7" l="1"/>
  <c r="K1470" i="7"/>
  <c r="L1470" i="7" s="1"/>
  <c r="M1469" i="7"/>
  <c r="N1469" i="7"/>
  <c r="N1470" i="7" l="1"/>
  <c r="M1470" i="7"/>
  <c r="G1472" i="7"/>
  <c r="K1471" i="7"/>
  <c r="L1471" i="7" s="1"/>
  <c r="G1473" i="7" l="1"/>
  <c r="K1472" i="7"/>
  <c r="L1472" i="7" s="1"/>
  <c r="M1471" i="7"/>
  <c r="N1471" i="7"/>
  <c r="N1472" i="7" l="1"/>
  <c r="M1472" i="7"/>
  <c r="G1474" i="7"/>
  <c r="K1473" i="7"/>
  <c r="L1473" i="7" s="1"/>
  <c r="N1473" i="7" l="1"/>
  <c r="M1473" i="7"/>
  <c r="G1475" i="7"/>
  <c r="K1474" i="7"/>
  <c r="L1474" i="7" s="1"/>
  <c r="N1474" i="7" l="1"/>
  <c r="M1474" i="7"/>
  <c r="G1476" i="7"/>
  <c r="K1475" i="7"/>
  <c r="L1475" i="7" s="1"/>
  <c r="G1477" i="7" l="1"/>
  <c r="K1476" i="7"/>
  <c r="L1476" i="7" s="1"/>
  <c r="N1475" i="7"/>
  <c r="M1475" i="7"/>
  <c r="N1476" i="7" l="1"/>
  <c r="M1476" i="7"/>
  <c r="G1478" i="7"/>
  <c r="K1477" i="7"/>
  <c r="L1477" i="7" s="1"/>
  <c r="N1477" i="7" l="1"/>
  <c r="M1477" i="7"/>
  <c r="G1479" i="7"/>
  <c r="K1478" i="7"/>
  <c r="L1478" i="7" s="1"/>
  <c r="N1478" i="7" l="1"/>
  <c r="M1478" i="7"/>
  <c r="G1480" i="7"/>
  <c r="K1479" i="7"/>
  <c r="L1479" i="7" s="1"/>
  <c r="N1479" i="7" l="1"/>
  <c r="M1479" i="7"/>
  <c r="G1481" i="7"/>
  <c r="K1480" i="7"/>
  <c r="L1480" i="7" s="1"/>
  <c r="G1482" i="7" l="1"/>
  <c r="K1481" i="7"/>
  <c r="L1481" i="7" s="1"/>
  <c r="M1480" i="7"/>
  <c r="N1480" i="7"/>
  <c r="G1483" i="7" l="1"/>
  <c r="K1482" i="7"/>
  <c r="L1482" i="7" s="1"/>
  <c r="N1481" i="7"/>
  <c r="M1481" i="7"/>
  <c r="N1482" i="7" l="1"/>
  <c r="M1482" i="7"/>
  <c r="G1484" i="7"/>
  <c r="K1483" i="7"/>
  <c r="L1483" i="7" s="1"/>
  <c r="N1483" i="7" l="1"/>
  <c r="M1483" i="7"/>
  <c r="G1485" i="7"/>
  <c r="K1484" i="7"/>
  <c r="L1484" i="7" s="1"/>
  <c r="G1486" i="7" l="1"/>
  <c r="K1485" i="7"/>
  <c r="L1485" i="7" s="1"/>
  <c r="N1484" i="7"/>
  <c r="M1484" i="7"/>
  <c r="N1485" i="7" l="1"/>
  <c r="M1485" i="7"/>
  <c r="G1487" i="7"/>
  <c r="K1486" i="7"/>
  <c r="L1486" i="7" s="1"/>
  <c r="G1488" i="7" l="1"/>
  <c r="K1487" i="7"/>
  <c r="L1487" i="7" s="1"/>
  <c r="N1486" i="7"/>
  <c r="M1486" i="7"/>
  <c r="N1487" i="7" l="1"/>
  <c r="M1487" i="7"/>
  <c r="G1489" i="7"/>
  <c r="K1488" i="7"/>
  <c r="L1488" i="7" s="1"/>
  <c r="N1488" i="7" l="1"/>
  <c r="M1488" i="7"/>
  <c r="G1490" i="7"/>
  <c r="K1489" i="7"/>
  <c r="L1489" i="7" s="1"/>
  <c r="N1489" i="7" l="1"/>
  <c r="M1489" i="7"/>
  <c r="G1491" i="7"/>
  <c r="K1490" i="7"/>
  <c r="L1490" i="7" s="1"/>
  <c r="N1490" i="7" l="1"/>
  <c r="M1490" i="7"/>
  <c r="G1492" i="7"/>
  <c r="K1491" i="7"/>
  <c r="L1491" i="7" s="1"/>
  <c r="G1493" i="7" l="1"/>
  <c r="K1492" i="7"/>
  <c r="L1492" i="7" s="1"/>
  <c r="N1491" i="7"/>
  <c r="M1491" i="7"/>
  <c r="N1492" i="7" l="1"/>
  <c r="M1492" i="7"/>
  <c r="G1494" i="7"/>
  <c r="K1493" i="7"/>
  <c r="L1493" i="7" s="1"/>
  <c r="N1493" i="7" l="1"/>
  <c r="M1493" i="7"/>
  <c r="G1495" i="7"/>
  <c r="K1494" i="7"/>
  <c r="L1494" i="7" s="1"/>
  <c r="N1494" i="7" l="1"/>
  <c r="M1494" i="7"/>
  <c r="G1496" i="7"/>
  <c r="K1495" i="7"/>
  <c r="L1495" i="7" s="1"/>
  <c r="G1497" i="7" l="1"/>
  <c r="K1496" i="7"/>
  <c r="L1496" i="7" s="1"/>
  <c r="N1495" i="7"/>
  <c r="M1495" i="7"/>
  <c r="N1496" i="7" l="1"/>
  <c r="M1496" i="7"/>
  <c r="G1498" i="7"/>
  <c r="K1497" i="7"/>
  <c r="L1497" i="7" s="1"/>
  <c r="N1497" i="7" l="1"/>
  <c r="M1497" i="7"/>
  <c r="G1499" i="7"/>
  <c r="K1498" i="7"/>
  <c r="L1498" i="7" s="1"/>
  <c r="M1498" i="7" l="1"/>
  <c r="N1498" i="7"/>
  <c r="G1500" i="7"/>
  <c r="K1499" i="7"/>
  <c r="L1499" i="7" s="1"/>
  <c r="N1499" i="7" l="1"/>
  <c r="M1499" i="7"/>
  <c r="G1501" i="7"/>
  <c r="K1500" i="7"/>
  <c r="L1500" i="7" s="1"/>
  <c r="N1500" i="7" l="1"/>
  <c r="M1500" i="7"/>
  <c r="G1502" i="7"/>
  <c r="K1501" i="7"/>
  <c r="L1501" i="7" s="1"/>
  <c r="N1501" i="7" l="1"/>
  <c r="M1501" i="7"/>
  <c r="G1503" i="7"/>
  <c r="K1502" i="7"/>
  <c r="L1502" i="7" s="1"/>
  <c r="N1502" i="7" l="1"/>
  <c r="M1502" i="7"/>
  <c r="G1504" i="7"/>
  <c r="K1503" i="7"/>
  <c r="L1503" i="7" s="1"/>
  <c r="N1503" i="7" l="1"/>
  <c r="M1503" i="7"/>
  <c r="G1505" i="7"/>
  <c r="K1504" i="7"/>
  <c r="L1504" i="7" s="1"/>
  <c r="M1504" i="7" l="1"/>
  <c r="N1504" i="7"/>
  <c r="G1506" i="7"/>
  <c r="K1505" i="7"/>
  <c r="L1505" i="7" s="1"/>
  <c r="G1507" i="7" l="1"/>
  <c r="K1506" i="7"/>
  <c r="L1506" i="7" s="1"/>
  <c r="N1505" i="7"/>
  <c r="M1505" i="7"/>
  <c r="N1506" i="7" l="1"/>
  <c r="M1506" i="7"/>
  <c r="G1508" i="7"/>
  <c r="K1507" i="7"/>
  <c r="L1507" i="7" s="1"/>
  <c r="G1509" i="7" l="1"/>
  <c r="K1508" i="7"/>
  <c r="L1508" i="7" s="1"/>
  <c r="N1507" i="7"/>
  <c r="M1507" i="7"/>
  <c r="N1508" i="7" l="1"/>
  <c r="M1508" i="7"/>
  <c r="G1510" i="7"/>
  <c r="K1509" i="7"/>
  <c r="L1509" i="7" s="1"/>
  <c r="G1511" i="7" l="1"/>
  <c r="K1510" i="7"/>
  <c r="L1510" i="7" s="1"/>
  <c r="N1509" i="7"/>
  <c r="M1509" i="7"/>
  <c r="N1510" i="7" l="1"/>
  <c r="M1510" i="7"/>
  <c r="G1512" i="7"/>
  <c r="K1511" i="7"/>
  <c r="L1511" i="7" s="1"/>
  <c r="G1513" i="7" l="1"/>
  <c r="K1512" i="7"/>
  <c r="L1512" i="7" s="1"/>
  <c r="N1511" i="7"/>
  <c r="M1511" i="7"/>
  <c r="N1512" i="7" l="1"/>
  <c r="M1512" i="7"/>
  <c r="G1514" i="7"/>
  <c r="K1513" i="7"/>
  <c r="L1513" i="7" s="1"/>
  <c r="G1515" i="7" l="1"/>
  <c r="K1514" i="7"/>
  <c r="L1514" i="7" s="1"/>
  <c r="N1513" i="7"/>
  <c r="M1513" i="7"/>
  <c r="N1514" i="7" l="1"/>
  <c r="M1514" i="7"/>
  <c r="G1516" i="7"/>
  <c r="K1515" i="7"/>
  <c r="L1515" i="7" s="1"/>
  <c r="G1517" i="7" l="1"/>
  <c r="K1516" i="7"/>
  <c r="L1516" i="7" s="1"/>
  <c r="N1515" i="7"/>
  <c r="M1515" i="7"/>
  <c r="N1516" i="7" l="1"/>
  <c r="M1516" i="7"/>
  <c r="G1518" i="7"/>
  <c r="K1517" i="7"/>
  <c r="L1517" i="7" s="1"/>
  <c r="N1517" i="7" l="1"/>
  <c r="M1517" i="7"/>
  <c r="G1519" i="7"/>
  <c r="K1518" i="7"/>
  <c r="L1518" i="7" s="1"/>
  <c r="G1520" i="7" l="1"/>
  <c r="K1519" i="7"/>
  <c r="L1519" i="7" s="1"/>
  <c r="N1518" i="7"/>
  <c r="M1518" i="7"/>
  <c r="N1519" i="7" l="1"/>
  <c r="M1519" i="7"/>
  <c r="G1521" i="7"/>
  <c r="K1520" i="7"/>
  <c r="L1520" i="7" s="1"/>
  <c r="N1520" i="7" l="1"/>
  <c r="M1520" i="7"/>
  <c r="G1522" i="7"/>
  <c r="K1521" i="7"/>
  <c r="L1521" i="7" s="1"/>
  <c r="G1523" i="7" l="1"/>
  <c r="K1522" i="7"/>
  <c r="L1522" i="7" s="1"/>
  <c r="N1521" i="7"/>
  <c r="M1521" i="7"/>
  <c r="N1522" i="7" l="1"/>
  <c r="M1522" i="7"/>
  <c r="G1524" i="7"/>
  <c r="K1523" i="7"/>
  <c r="L1523" i="7" s="1"/>
  <c r="N1523" i="7" l="1"/>
  <c r="M1523" i="7"/>
  <c r="G1525" i="7"/>
  <c r="K1524" i="7"/>
  <c r="L1524" i="7" s="1"/>
  <c r="N1524" i="7" l="1"/>
  <c r="M1524" i="7"/>
  <c r="G1526" i="7"/>
  <c r="K1525" i="7"/>
  <c r="L1525" i="7" s="1"/>
  <c r="G1527" i="7" l="1"/>
  <c r="K1526" i="7"/>
  <c r="L1526" i="7" s="1"/>
  <c r="M1525" i="7"/>
  <c r="N1525" i="7"/>
  <c r="N1526" i="7" l="1"/>
  <c r="M1526" i="7"/>
  <c r="G1528" i="7"/>
  <c r="K1527" i="7"/>
  <c r="L1527" i="7" s="1"/>
  <c r="G1529" i="7" l="1"/>
  <c r="K1528" i="7"/>
  <c r="L1528" i="7" s="1"/>
  <c r="N1527" i="7"/>
  <c r="M1527" i="7"/>
  <c r="M1528" i="7" l="1"/>
  <c r="N1528" i="7"/>
  <c r="G1530" i="7"/>
  <c r="K1529" i="7"/>
  <c r="L1529" i="7" s="1"/>
  <c r="N1529" i="7" l="1"/>
  <c r="M1529" i="7"/>
  <c r="G1531" i="7"/>
  <c r="K1530" i="7"/>
  <c r="L1530" i="7" s="1"/>
  <c r="N1530" i="7" l="1"/>
  <c r="M1530" i="7"/>
  <c r="G1532" i="7"/>
  <c r="K1531" i="7"/>
  <c r="L1531" i="7" s="1"/>
  <c r="N1531" i="7" l="1"/>
  <c r="M1531" i="7"/>
  <c r="G1533" i="7"/>
  <c r="K1532" i="7"/>
  <c r="L1532" i="7" s="1"/>
  <c r="N1532" i="7" l="1"/>
  <c r="M1532" i="7"/>
  <c r="G1534" i="7"/>
  <c r="K1533" i="7"/>
  <c r="L1533" i="7" s="1"/>
  <c r="G1535" i="7" l="1"/>
  <c r="K1534" i="7"/>
  <c r="L1534" i="7" s="1"/>
  <c r="N1533" i="7"/>
  <c r="M1533" i="7"/>
  <c r="N1534" i="7" l="1"/>
  <c r="M1534" i="7"/>
  <c r="G1536" i="7"/>
  <c r="K1535" i="7"/>
  <c r="L1535" i="7" s="1"/>
  <c r="G1537" i="7" l="1"/>
  <c r="K1536" i="7"/>
  <c r="L1536" i="7" s="1"/>
  <c r="N1535" i="7"/>
  <c r="M1535" i="7"/>
  <c r="M1536" i="7" l="1"/>
  <c r="N1536" i="7"/>
  <c r="G1538" i="7"/>
  <c r="K1537" i="7"/>
  <c r="L1537" i="7" s="1"/>
  <c r="N1537" i="7" l="1"/>
  <c r="M1537" i="7"/>
  <c r="G1539" i="7"/>
  <c r="K1538" i="7"/>
  <c r="L1538" i="7" s="1"/>
  <c r="G1540" i="7" l="1"/>
  <c r="K1539" i="7"/>
  <c r="L1539" i="7" s="1"/>
  <c r="N1538" i="7"/>
  <c r="M1538" i="7"/>
  <c r="N1539" i="7" l="1"/>
  <c r="M1539" i="7"/>
  <c r="G1541" i="7"/>
  <c r="K1540" i="7"/>
  <c r="L1540" i="7" s="1"/>
  <c r="N1540" i="7" l="1"/>
  <c r="M1540" i="7"/>
  <c r="G1542" i="7"/>
  <c r="K1541" i="7"/>
  <c r="L1541" i="7" s="1"/>
  <c r="N1541" i="7" l="1"/>
  <c r="M1541" i="7"/>
  <c r="G1543" i="7"/>
  <c r="K1542" i="7"/>
  <c r="L1542" i="7" s="1"/>
  <c r="N1542" i="7" l="1"/>
  <c r="M1542" i="7"/>
  <c r="G1544" i="7"/>
  <c r="K1543" i="7"/>
  <c r="L1543" i="7" s="1"/>
  <c r="N1543" i="7" l="1"/>
  <c r="M1543" i="7"/>
  <c r="G1545" i="7"/>
  <c r="K1544" i="7"/>
  <c r="L1544" i="7" s="1"/>
  <c r="G1546" i="7" l="1"/>
  <c r="K1545" i="7"/>
  <c r="L1545" i="7" s="1"/>
  <c r="N1544" i="7"/>
  <c r="M1544" i="7"/>
  <c r="N1545" i="7" l="1"/>
  <c r="M1545" i="7"/>
  <c r="G1547" i="7"/>
  <c r="K1546" i="7"/>
  <c r="L1546" i="7" s="1"/>
  <c r="N1546" i="7" l="1"/>
  <c r="M1546" i="7"/>
  <c r="G1548" i="7"/>
  <c r="K1547" i="7"/>
  <c r="L1547" i="7" s="1"/>
  <c r="N1547" i="7" l="1"/>
  <c r="M1547" i="7"/>
  <c r="G1549" i="7"/>
  <c r="K1548" i="7"/>
  <c r="L1548" i="7" s="1"/>
  <c r="G1550" i="7" l="1"/>
  <c r="K1549" i="7"/>
  <c r="L1549" i="7" s="1"/>
  <c r="N1548" i="7"/>
  <c r="M1548" i="7"/>
  <c r="N1549" i="7" l="1"/>
  <c r="M1549" i="7"/>
  <c r="G1551" i="7"/>
  <c r="K1550" i="7"/>
  <c r="L1550" i="7" s="1"/>
  <c r="G1552" i="7" l="1"/>
  <c r="K1551" i="7"/>
  <c r="L1551" i="7" s="1"/>
  <c r="N1550" i="7"/>
  <c r="M1550" i="7"/>
  <c r="M1551" i="7" l="1"/>
  <c r="N1551" i="7"/>
  <c r="G1553" i="7"/>
  <c r="K1552" i="7"/>
  <c r="L1552" i="7" s="1"/>
  <c r="N1552" i="7" l="1"/>
  <c r="M1552" i="7"/>
  <c r="G1554" i="7"/>
  <c r="K1553" i="7"/>
  <c r="L1553" i="7" s="1"/>
  <c r="G1555" i="7" l="1"/>
  <c r="K1554" i="7"/>
  <c r="L1554" i="7" s="1"/>
  <c r="N1553" i="7"/>
  <c r="M1553" i="7"/>
  <c r="N1554" i="7" l="1"/>
  <c r="M1554" i="7"/>
  <c r="G1556" i="7"/>
  <c r="K1555" i="7"/>
  <c r="L1555" i="7" s="1"/>
  <c r="N1555" i="7" l="1"/>
  <c r="M1555" i="7"/>
  <c r="G1557" i="7"/>
  <c r="K1556" i="7"/>
  <c r="L1556" i="7" s="1"/>
  <c r="G1558" i="7" l="1"/>
  <c r="K1557" i="7"/>
  <c r="L1557" i="7" s="1"/>
  <c r="N1556" i="7"/>
  <c r="M1556" i="7"/>
  <c r="N1557" i="7" l="1"/>
  <c r="M1557" i="7"/>
  <c r="G1559" i="7"/>
  <c r="K1558" i="7"/>
  <c r="L1558" i="7" s="1"/>
  <c r="G1560" i="7" l="1"/>
  <c r="K1559" i="7"/>
  <c r="L1559" i="7" s="1"/>
  <c r="N1558" i="7"/>
  <c r="M1558" i="7"/>
  <c r="N1559" i="7" l="1"/>
  <c r="M1559" i="7"/>
  <c r="G1561" i="7"/>
  <c r="K1560" i="7"/>
  <c r="L1560" i="7" s="1"/>
  <c r="G1562" i="7" l="1"/>
  <c r="K1561" i="7"/>
  <c r="L1561" i="7" s="1"/>
  <c r="M1560" i="7"/>
  <c r="N1560" i="7"/>
  <c r="N1561" i="7" l="1"/>
  <c r="M1561" i="7"/>
  <c r="G1563" i="7"/>
  <c r="K1562" i="7"/>
  <c r="L1562" i="7" s="1"/>
  <c r="N1562" i="7" l="1"/>
  <c r="M1562" i="7"/>
  <c r="G1564" i="7"/>
  <c r="K1563" i="7"/>
  <c r="L1563" i="7" s="1"/>
  <c r="G1565" i="7" l="1"/>
  <c r="K1564" i="7"/>
  <c r="L1564" i="7" s="1"/>
  <c r="N1563" i="7"/>
  <c r="M1563" i="7"/>
  <c r="N1564" i="7" l="1"/>
  <c r="M1564" i="7"/>
  <c r="G1566" i="7"/>
  <c r="K1565" i="7"/>
  <c r="L1565" i="7" s="1"/>
  <c r="N1565" i="7" l="1"/>
  <c r="M1565" i="7"/>
  <c r="G1567" i="7"/>
  <c r="K1566" i="7"/>
  <c r="L1566" i="7" s="1"/>
  <c r="G1568" i="7" l="1"/>
  <c r="K1567" i="7"/>
  <c r="L1567" i="7" s="1"/>
  <c r="N1566" i="7"/>
  <c r="M1566" i="7"/>
  <c r="N1567" i="7" l="1"/>
  <c r="M1567" i="7"/>
  <c r="G1569" i="7"/>
  <c r="K1568" i="7"/>
  <c r="L1568" i="7" s="1"/>
  <c r="G1570" i="7" l="1"/>
  <c r="K1569" i="7"/>
  <c r="L1569" i="7" s="1"/>
  <c r="N1568" i="7"/>
  <c r="M1568" i="7"/>
  <c r="N1569" i="7" l="1"/>
  <c r="M1569" i="7"/>
  <c r="G1571" i="7"/>
  <c r="K1570" i="7"/>
  <c r="L1570" i="7" s="1"/>
  <c r="N1570" i="7" l="1"/>
  <c r="M1570" i="7"/>
  <c r="G1572" i="7"/>
  <c r="K1571" i="7"/>
  <c r="L1571" i="7" s="1"/>
  <c r="G1573" i="7" l="1"/>
  <c r="K1572" i="7"/>
  <c r="L1572" i="7" s="1"/>
  <c r="N1571" i="7"/>
  <c r="M1571" i="7"/>
  <c r="N1572" i="7" l="1"/>
  <c r="M1572" i="7"/>
  <c r="G1574" i="7"/>
  <c r="K1573" i="7"/>
  <c r="L1573" i="7" s="1"/>
  <c r="G1575" i="7" l="1"/>
  <c r="K1574" i="7"/>
  <c r="L1574" i="7" s="1"/>
  <c r="N1573" i="7"/>
  <c r="M1573" i="7"/>
  <c r="N1574" i="7" l="1"/>
  <c r="M1574" i="7"/>
  <c r="G1576" i="7"/>
  <c r="K1575" i="7"/>
  <c r="L1575" i="7" s="1"/>
  <c r="G1577" i="7" l="1"/>
  <c r="K1576" i="7"/>
  <c r="L1576" i="7" s="1"/>
  <c r="N1575" i="7"/>
  <c r="M1575" i="7"/>
  <c r="M1576" i="7" l="1"/>
  <c r="N1576" i="7"/>
  <c r="G1578" i="7"/>
  <c r="K1577" i="7"/>
  <c r="L1577" i="7" s="1"/>
  <c r="M1577" i="7" l="1"/>
  <c r="N1577" i="7"/>
  <c r="G1579" i="7"/>
  <c r="K1578" i="7"/>
  <c r="L1578" i="7" s="1"/>
  <c r="N1578" i="7" l="1"/>
  <c r="M1578" i="7"/>
  <c r="G1580" i="7"/>
  <c r="K1579" i="7"/>
  <c r="L1579" i="7" s="1"/>
  <c r="G1581" i="7" l="1"/>
  <c r="K1580" i="7"/>
  <c r="L1580" i="7" s="1"/>
  <c r="N1579" i="7"/>
  <c r="M1579" i="7"/>
  <c r="N1580" i="7" l="1"/>
  <c r="M1580" i="7"/>
  <c r="G1582" i="7"/>
  <c r="K1581" i="7"/>
  <c r="L1581" i="7" s="1"/>
  <c r="G1583" i="7" l="1"/>
  <c r="K1582" i="7"/>
  <c r="L1582" i="7" s="1"/>
  <c r="N1581" i="7"/>
  <c r="M1581" i="7"/>
  <c r="N1582" i="7" l="1"/>
  <c r="M1582" i="7"/>
  <c r="G1584" i="7"/>
  <c r="K1583" i="7"/>
  <c r="L1583" i="7" s="1"/>
  <c r="G1585" i="7" l="1"/>
  <c r="K1584" i="7"/>
  <c r="L1584" i="7" s="1"/>
  <c r="N1583" i="7"/>
  <c r="M1583" i="7"/>
  <c r="M1584" i="7" l="1"/>
  <c r="N1584" i="7"/>
  <c r="G1586" i="7"/>
  <c r="K1585" i="7"/>
  <c r="L1585" i="7" s="1"/>
  <c r="G1587" i="7" l="1"/>
  <c r="K1586" i="7"/>
  <c r="L1586" i="7" s="1"/>
  <c r="N1585" i="7"/>
  <c r="M1585" i="7"/>
  <c r="N1586" i="7" l="1"/>
  <c r="M1586" i="7"/>
  <c r="G1588" i="7"/>
  <c r="K1587" i="7"/>
  <c r="L1587" i="7" s="1"/>
  <c r="N1587" i="7" l="1"/>
  <c r="M1587" i="7"/>
  <c r="G1589" i="7"/>
  <c r="K1588" i="7"/>
  <c r="L1588" i="7" s="1"/>
  <c r="G1590" i="7" l="1"/>
  <c r="K1589" i="7"/>
  <c r="L1589" i="7" s="1"/>
  <c r="N1588" i="7"/>
  <c r="M1588" i="7"/>
  <c r="N1589" i="7" l="1"/>
  <c r="M1589" i="7"/>
  <c r="G1591" i="7"/>
  <c r="K1590" i="7"/>
  <c r="L1590" i="7" s="1"/>
  <c r="N1590" i="7" l="1"/>
  <c r="M1590" i="7"/>
  <c r="G1592" i="7"/>
  <c r="K1591" i="7"/>
  <c r="L1591" i="7" s="1"/>
  <c r="G1593" i="7" l="1"/>
  <c r="K1592" i="7"/>
  <c r="L1592" i="7" s="1"/>
  <c r="N1591" i="7"/>
  <c r="M1591" i="7"/>
  <c r="N1592" i="7" l="1"/>
  <c r="M1592" i="7"/>
  <c r="G1594" i="7"/>
  <c r="K1593" i="7"/>
  <c r="L1593" i="7" s="1"/>
  <c r="G1595" i="7" l="1"/>
  <c r="K1594" i="7"/>
  <c r="L1594" i="7" s="1"/>
  <c r="N1593" i="7"/>
  <c r="M1593" i="7"/>
  <c r="N1594" i="7" l="1"/>
  <c r="M1594" i="7"/>
  <c r="G1596" i="7"/>
  <c r="K1595" i="7"/>
  <c r="L1595" i="7" s="1"/>
  <c r="N1595" i="7" l="1"/>
  <c r="M1595" i="7"/>
  <c r="G1597" i="7"/>
  <c r="K1596" i="7"/>
  <c r="L1596" i="7" s="1"/>
  <c r="G1598" i="7" l="1"/>
  <c r="K1597" i="7"/>
  <c r="L1597" i="7" s="1"/>
  <c r="N1596" i="7"/>
  <c r="M1596" i="7"/>
  <c r="N1597" i="7" l="1"/>
  <c r="M1597" i="7"/>
  <c r="G1599" i="7"/>
  <c r="K1598" i="7"/>
  <c r="L1598" i="7" s="1"/>
  <c r="N1598" i="7" l="1"/>
  <c r="M1598" i="7"/>
  <c r="G1600" i="7"/>
  <c r="K1599" i="7"/>
  <c r="L1599" i="7" s="1"/>
  <c r="M1599" i="7" l="1"/>
  <c r="N1599" i="7"/>
  <c r="G1601" i="7"/>
  <c r="K1600" i="7"/>
  <c r="L1600" i="7" s="1"/>
  <c r="N1600" i="7" l="1"/>
  <c r="M1600" i="7"/>
  <c r="G1602" i="7"/>
  <c r="K1601" i="7"/>
  <c r="L1601" i="7" s="1"/>
  <c r="N1601" i="7" l="1"/>
  <c r="M1601" i="7"/>
  <c r="G1603" i="7"/>
  <c r="K1602" i="7"/>
  <c r="L1602" i="7" s="1"/>
  <c r="G1604" i="7" l="1"/>
  <c r="K1603" i="7"/>
  <c r="L1603" i="7" s="1"/>
  <c r="N1602" i="7"/>
  <c r="M1602" i="7"/>
  <c r="N1603" i="7" l="1"/>
  <c r="M1603" i="7"/>
  <c r="G1605" i="7"/>
  <c r="K1604" i="7"/>
  <c r="L1604" i="7" s="1"/>
  <c r="G1606" i="7" l="1"/>
  <c r="K1605" i="7"/>
  <c r="L1605" i="7" s="1"/>
  <c r="N1604" i="7"/>
  <c r="M1604" i="7"/>
  <c r="N1605" i="7" l="1"/>
  <c r="M1605" i="7"/>
  <c r="G1607" i="7"/>
  <c r="K1606" i="7"/>
  <c r="L1606" i="7" s="1"/>
  <c r="G1608" i="7" l="1"/>
  <c r="K1607" i="7"/>
  <c r="L1607" i="7" s="1"/>
  <c r="N1606" i="7"/>
  <c r="M1606" i="7"/>
  <c r="N1607" i="7" l="1"/>
  <c r="M1607" i="7"/>
  <c r="G1609" i="7"/>
  <c r="K1608" i="7"/>
  <c r="L1608" i="7" s="1"/>
  <c r="G1610" i="7" l="1"/>
  <c r="K1609" i="7"/>
  <c r="L1609" i="7" s="1"/>
  <c r="N1608" i="7"/>
  <c r="M1608" i="7"/>
  <c r="N1609" i="7" l="1"/>
  <c r="M1609" i="7"/>
  <c r="G1611" i="7"/>
  <c r="K1610" i="7"/>
  <c r="L1610" i="7" s="1"/>
  <c r="G1612" i="7" l="1"/>
  <c r="K1611" i="7"/>
  <c r="L1611" i="7" s="1"/>
  <c r="N1610" i="7"/>
  <c r="M1610" i="7"/>
  <c r="N1611" i="7" l="1"/>
  <c r="M1611" i="7"/>
  <c r="G1613" i="7"/>
  <c r="K1612" i="7"/>
  <c r="L1612" i="7" s="1"/>
  <c r="G1614" i="7" l="1"/>
  <c r="K1613" i="7"/>
  <c r="L1613" i="7" s="1"/>
  <c r="N1612" i="7"/>
  <c r="M1612" i="7"/>
  <c r="N1613" i="7" l="1"/>
  <c r="M1613" i="7"/>
  <c r="G1615" i="7"/>
  <c r="K1614" i="7"/>
  <c r="L1614" i="7" s="1"/>
  <c r="G1616" i="7" l="1"/>
  <c r="K1615" i="7"/>
  <c r="L1615" i="7" s="1"/>
  <c r="N1614" i="7"/>
  <c r="M1614" i="7"/>
  <c r="N1615" i="7" l="1"/>
  <c r="M1615" i="7"/>
  <c r="G1617" i="7"/>
  <c r="K1616" i="7"/>
  <c r="L1616" i="7" s="1"/>
  <c r="G1618" i="7" l="1"/>
  <c r="K1617" i="7"/>
  <c r="L1617" i="7" s="1"/>
  <c r="N1616" i="7"/>
  <c r="M1616" i="7"/>
  <c r="N1617" i="7" l="1"/>
  <c r="M1617" i="7"/>
  <c r="G1619" i="7"/>
  <c r="K1618" i="7"/>
  <c r="L1618" i="7" s="1"/>
  <c r="G1620" i="7" l="1"/>
  <c r="K1619" i="7"/>
  <c r="L1619" i="7" s="1"/>
  <c r="N1618" i="7"/>
  <c r="M1618" i="7"/>
  <c r="M1619" i="7" l="1"/>
  <c r="N1619" i="7"/>
  <c r="G1621" i="7"/>
  <c r="K1620" i="7"/>
  <c r="L1620" i="7" s="1"/>
  <c r="G1622" i="7" l="1"/>
  <c r="K1621" i="7"/>
  <c r="L1621" i="7" s="1"/>
  <c r="M1620" i="7"/>
  <c r="N1620" i="7"/>
  <c r="N1621" i="7" l="1"/>
  <c r="M1621" i="7"/>
  <c r="G1623" i="7"/>
  <c r="K1622" i="7"/>
  <c r="L1622" i="7" s="1"/>
  <c r="G1624" i="7" l="1"/>
  <c r="K1623" i="7"/>
  <c r="L1623" i="7" s="1"/>
  <c r="N1622" i="7"/>
  <c r="M1622" i="7"/>
  <c r="N1623" i="7" l="1"/>
  <c r="M1623" i="7"/>
  <c r="G1625" i="7"/>
  <c r="K1624" i="7"/>
  <c r="L1624" i="7" s="1"/>
  <c r="G1626" i="7" l="1"/>
  <c r="K1625" i="7"/>
  <c r="L1625" i="7" s="1"/>
  <c r="M1624" i="7"/>
  <c r="N1624" i="7"/>
  <c r="N1625" i="7" l="1"/>
  <c r="M1625" i="7"/>
  <c r="G1627" i="7"/>
  <c r="K1626" i="7"/>
  <c r="L1626" i="7" s="1"/>
  <c r="G1628" i="7" l="1"/>
  <c r="K1627" i="7"/>
  <c r="L1627" i="7" s="1"/>
  <c r="N1626" i="7"/>
  <c r="M1626" i="7"/>
  <c r="N1627" i="7" l="1"/>
  <c r="M1627" i="7"/>
  <c r="G1629" i="7"/>
  <c r="K1628" i="7"/>
  <c r="L1628" i="7" s="1"/>
  <c r="N1628" i="7" l="1"/>
  <c r="M1628" i="7"/>
  <c r="G1630" i="7"/>
  <c r="K1629" i="7"/>
  <c r="L1629" i="7" s="1"/>
  <c r="G1631" i="7" l="1"/>
  <c r="K1630" i="7"/>
  <c r="L1630" i="7" s="1"/>
  <c r="N1629" i="7"/>
  <c r="M1629" i="7"/>
  <c r="N1630" i="7" l="1"/>
  <c r="M1630" i="7"/>
  <c r="G1632" i="7"/>
  <c r="K1631" i="7"/>
  <c r="L1631" i="7" s="1"/>
  <c r="N1631" i="7" l="1"/>
  <c r="M1631" i="7"/>
  <c r="G1633" i="7"/>
  <c r="K1632" i="7"/>
  <c r="L1632" i="7" s="1"/>
  <c r="N1632" i="7" l="1"/>
  <c r="M1632" i="7"/>
  <c r="G1634" i="7"/>
  <c r="K1633" i="7"/>
  <c r="L1633" i="7" s="1"/>
  <c r="N1633" i="7" l="1"/>
  <c r="M1633" i="7"/>
  <c r="G1635" i="7"/>
  <c r="K1634" i="7"/>
  <c r="L1634" i="7" s="1"/>
  <c r="G1636" i="7" l="1"/>
  <c r="K1635" i="7"/>
  <c r="L1635" i="7" s="1"/>
  <c r="N1634" i="7"/>
  <c r="M1634" i="7"/>
  <c r="N1635" i="7" l="1"/>
  <c r="M1635" i="7"/>
  <c r="G1637" i="7"/>
  <c r="K1636" i="7"/>
  <c r="L1636" i="7" s="1"/>
  <c r="G1638" i="7" l="1"/>
  <c r="K1637" i="7"/>
  <c r="L1637" i="7" s="1"/>
  <c r="N1636" i="7"/>
  <c r="M1636" i="7"/>
  <c r="N1637" i="7" l="1"/>
  <c r="M1637" i="7"/>
  <c r="G1639" i="7"/>
  <c r="K1638" i="7"/>
  <c r="L1638" i="7" s="1"/>
  <c r="G1640" i="7" l="1"/>
  <c r="K1639" i="7"/>
  <c r="L1639" i="7" s="1"/>
  <c r="N1638" i="7"/>
  <c r="M1638" i="7"/>
  <c r="N1639" i="7" l="1"/>
  <c r="M1639" i="7"/>
  <c r="G1641" i="7"/>
  <c r="K1640" i="7"/>
  <c r="L1640" i="7" s="1"/>
  <c r="G1642" i="7" l="1"/>
  <c r="K1641" i="7"/>
  <c r="L1641" i="7" s="1"/>
  <c r="M1640" i="7"/>
  <c r="N1640" i="7"/>
  <c r="N1641" i="7" l="1"/>
  <c r="M1641" i="7"/>
  <c r="G1643" i="7"/>
  <c r="K1642" i="7"/>
  <c r="L1642" i="7" s="1"/>
  <c r="G1644" i="7" l="1"/>
  <c r="K1643" i="7"/>
  <c r="L1643" i="7" s="1"/>
  <c r="N1642" i="7"/>
  <c r="M1642" i="7"/>
  <c r="N1643" i="7" l="1"/>
  <c r="M1643" i="7"/>
  <c r="G1645" i="7"/>
  <c r="K1644" i="7"/>
  <c r="L1644" i="7" s="1"/>
  <c r="G1646" i="7" l="1"/>
  <c r="K1645" i="7"/>
  <c r="L1645" i="7" s="1"/>
  <c r="N1644" i="7"/>
  <c r="M1644" i="7"/>
  <c r="N1645" i="7" l="1"/>
  <c r="M1645" i="7"/>
  <c r="G1647" i="7"/>
  <c r="K1646" i="7"/>
  <c r="L1646" i="7" s="1"/>
  <c r="N1646" i="7" l="1"/>
  <c r="M1646" i="7"/>
  <c r="G1648" i="7"/>
  <c r="K1647" i="7"/>
  <c r="L1647" i="7" s="1"/>
  <c r="G1649" i="7" l="1"/>
  <c r="K1648" i="7"/>
  <c r="L1648" i="7" s="1"/>
  <c r="N1647" i="7"/>
  <c r="M1647" i="7"/>
  <c r="M1648" i="7" l="1"/>
  <c r="N1648" i="7"/>
  <c r="G1650" i="7"/>
  <c r="K1649" i="7"/>
  <c r="L1649" i="7" s="1"/>
  <c r="G1651" i="7" l="1"/>
  <c r="K1650" i="7"/>
  <c r="L1650" i="7" s="1"/>
  <c r="N1649" i="7"/>
  <c r="M1649" i="7"/>
  <c r="N1650" i="7" l="1"/>
  <c r="M1650" i="7"/>
  <c r="G1652" i="7"/>
  <c r="K1651" i="7"/>
  <c r="L1651" i="7" s="1"/>
  <c r="N1651" i="7" l="1"/>
  <c r="M1651" i="7"/>
  <c r="G1653" i="7"/>
  <c r="K1652" i="7"/>
  <c r="L1652" i="7" s="1"/>
  <c r="N1652" i="7" l="1"/>
  <c r="M1652" i="7"/>
  <c r="G1654" i="7"/>
  <c r="K1653" i="7"/>
  <c r="L1653" i="7" s="1"/>
  <c r="G1655" i="7" l="1"/>
  <c r="K1654" i="7"/>
  <c r="L1654" i="7" s="1"/>
  <c r="N1653" i="7"/>
  <c r="M1653" i="7"/>
  <c r="N1654" i="7" l="1"/>
  <c r="M1654" i="7"/>
  <c r="G1656" i="7"/>
  <c r="K1655" i="7"/>
  <c r="L1655" i="7" s="1"/>
  <c r="G1657" i="7" l="1"/>
  <c r="K1656" i="7"/>
  <c r="L1656" i="7" s="1"/>
  <c r="N1655" i="7"/>
  <c r="M1655" i="7"/>
  <c r="N1656" i="7" l="1"/>
  <c r="M1656" i="7"/>
  <c r="G1658" i="7"/>
  <c r="K1657" i="7"/>
  <c r="L1657" i="7" s="1"/>
  <c r="N1657" i="7" l="1"/>
  <c r="M1657" i="7"/>
  <c r="G1659" i="7"/>
  <c r="K1658" i="7"/>
  <c r="L1658" i="7" s="1"/>
  <c r="G1660" i="7" l="1"/>
  <c r="K1659" i="7"/>
  <c r="L1659" i="7" s="1"/>
  <c r="N1658" i="7"/>
  <c r="M1658" i="7"/>
  <c r="N1659" i="7" l="1"/>
  <c r="M1659" i="7"/>
  <c r="G1661" i="7"/>
  <c r="K1660" i="7"/>
  <c r="L1660" i="7" s="1"/>
  <c r="N1660" i="7" l="1"/>
  <c r="M1660" i="7"/>
  <c r="G1662" i="7"/>
  <c r="K1661" i="7"/>
  <c r="L1661" i="7" s="1"/>
  <c r="G1663" i="7" l="1"/>
  <c r="K1662" i="7"/>
  <c r="L1662" i="7" s="1"/>
  <c r="N1661" i="7"/>
  <c r="M1661" i="7"/>
  <c r="N1662" i="7" l="1"/>
  <c r="M1662" i="7"/>
  <c r="G1664" i="7"/>
  <c r="K1663" i="7"/>
  <c r="L1663" i="7" s="1"/>
  <c r="G1665" i="7" l="1"/>
  <c r="K1664" i="7"/>
  <c r="L1664" i="7" s="1"/>
  <c r="M1663" i="7"/>
  <c r="N1663" i="7"/>
  <c r="N1664" i="7" l="1"/>
  <c r="M1664" i="7"/>
  <c r="G1666" i="7"/>
  <c r="K1665" i="7"/>
  <c r="L1665" i="7" s="1"/>
  <c r="G1667" i="7" l="1"/>
  <c r="K1666" i="7"/>
  <c r="L1666" i="7" s="1"/>
  <c r="N1665" i="7"/>
  <c r="M1665" i="7"/>
  <c r="N1666" i="7" l="1"/>
  <c r="M1666" i="7"/>
  <c r="G1668" i="7"/>
  <c r="K1667" i="7"/>
  <c r="L1667" i="7" s="1"/>
  <c r="G1669" i="7" l="1"/>
  <c r="K1668" i="7"/>
  <c r="L1668" i="7" s="1"/>
  <c r="M1667" i="7"/>
  <c r="N1667" i="7"/>
  <c r="N1668" i="7" l="1"/>
  <c r="M1668" i="7"/>
  <c r="G1670" i="7"/>
  <c r="K1669" i="7"/>
  <c r="L1669" i="7" s="1"/>
  <c r="M1669" i="7" l="1"/>
  <c r="N1669" i="7"/>
  <c r="G1671" i="7"/>
  <c r="K1670" i="7"/>
  <c r="L1670" i="7" s="1"/>
  <c r="N1670" i="7" l="1"/>
  <c r="M1670" i="7"/>
  <c r="G1672" i="7"/>
  <c r="K1671" i="7"/>
  <c r="L1671" i="7" s="1"/>
  <c r="G1673" i="7" l="1"/>
  <c r="K1672" i="7"/>
  <c r="L1672" i="7" s="1"/>
  <c r="N1671" i="7"/>
  <c r="M1671" i="7"/>
  <c r="N1672" i="7" l="1"/>
  <c r="M1672" i="7"/>
  <c r="G1674" i="7"/>
  <c r="K1673" i="7"/>
  <c r="L1673" i="7" s="1"/>
  <c r="G1675" i="7" l="1"/>
  <c r="K1674" i="7"/>
  <c r="L1674" i="7" s="1"/>
  <c r="N1673" i="7"/>
  <c r="M1673" i="7"/>
  <c r="N1674" i="7" l="1"/>
  <c r="M1674" i="7"/>
  <c r="G1676" i="7"/>
  <c r="K1675" i="7"/>
  <c r="L1675" i="7" s="1"/>
  <c r="N1675" i="7" l="1"/>
  <c r="M1675" i="7"/>
  <c r="G1677" i="7"/>
  <c r="K1676" i="7"/>
  <c r="L1676" i="7" s="1"/>
  <c r="N1676" i="7" l="1"/>
  <c r="M1676" i="7"/>
  <c r="G1678" i="7"/>
  <c r="K1677" i="7"/>
  <c r="L1677" i="7" s="1"/>
  <c r="N1677" i="7" l="1"/>
  <c r="M1677" i="7"/>
  <c r="G1679" i="7"/>
  <c r="K1678" i="7"/>
  <c r="L1678" i="7" s="1"/>
  <c r="N1678" i="7" l="1"/>
  <c r="M1678" i="7"/>
  <c r="G1680" i="7"/>
  <c r="K1679" i="7"/>
  <c r="L1679" i="7" s="1"/>
  <c r="G1681" i="7" l="1"/>
  <c r="K1680" i="7"/>
  <c r="L1680" i="7" s="1"/>
  <c r="N1679" i="7"/>
  <c r="M1679" i="7"/>
  <c r="N1680" i="7" l="1"/>
  <c r="M1680" i="7"/>
  <c r="G1682" i="7"/>
  <c r="K1681" i="7"/>
  <c r="L1681" i="7" s="1"/>
  <c r="N1681" i="7" l="1"/>
  <c r="M1681" i="7"/>
  <c r="G1683" i="7"/>
  <c r="K1682" i="7"/>
  <c r="L1682" i="7" s="1"/>
  <c r="N1682" i="7" l="1"/>
  <c r="M1682" i="7"/>
  <c r="G1684" i="7"/>
  <c r="K1683" i="7"/>
  <c r="L1683" i="7" s="1"/>
  <c r="N1683" i="7" l="1"/>
  <c r="M1683" i="7"/>
  <c r="G1685" i="7"/>
  <c r="K1684" i="7"/>
  <c r="L1684" i="7" s="1"/>
  <c r="N1684" i="7" l="1"/>
  <c r="M1684" i="7"/>
  <c r="G1686" i="7"/>
  <c r="K1685" i="7"/>
  <c r="L1685" i="7" s="1"/>
  <c r="N1685" i="7" l="1"/>
  <c r="M1685" i="7"/>
  <c r="G1687" i="7"/>
  <c r="K1686" i="7"/>
  <c r="L1686" i="7" s="1"/>
  <c r="N1686" i="7" l="1"/>
  <c r="M1686" i="7"/>
  <c r="G1688" i="7"/>
  <c r="K1687" i="7"/>
  <c r="L1687" i="7" s="1"/>
  <c r="N1687" i="7" l="1"/>
  <c r="M1687" i="7"/>
  <c r="G1689" i="7"/>
  <c r="K1688" i="7"/>
  <c r="L1688" i="7" s="1"/>
  <c r="M1688" i="7" l="1"/>
  <c r="N1688" i="7"/>
  <c r="G1690" i="7"/>
  <c r="K1689" i="7"/>
  <c r="L1689" i="7" s="1"/>
  <c r="N1689" i="7" l="1"/>
  <c r="M1689" i="7"/>
  <c r="G1691" i="7"/>
  <c r="K1690" i="7"/>
  <c r="L1690" i="7" s="1"/>
  <c r="N1690" i="7" l="1"/>
  <c r="M1690" i="7"/>
  <c r="G1692" i="7"/>
  <c r="K1691" i="7"/>
  <c r="L1691" i="7" s="1"/>
  <c r="G1693" i="7" l="1"/>
  <c r="K1692" i="7"/>
  <c r="L1692" i="7" s="1"/>
  <c r="M1691" i="7"/>
  <c r="N1691" i="7"/>
  <c r="N1692" i="7" l="1"/>
  <c r="M1692" i="7"/>
  <c r="G1694" i="7"/>
  <c r="K1693" i="7"/>
  <c r="L1693" i="7" s="1"/>
  <c r="N1693" i="7" l="1"/>
  <c r="M1693" i="7"/>
  <c r="G1695" i="7"/>
  <c r="K1694" i="7"/>
  <c r="L1694" i="7" s="1"/>
  <c r="G1696" i="7" l="1"/>
  <c r="K1695" i="7"/>
  <c r="L1695" i="7" s="1"/>
  <c r="N1694" i="7"/>
  <c r="M1694" i="7"/>
  <c r="N1695" i="7" l="1"/>
  <c r="M1695" i="7"/>
  <c r="G1697" i="7"/>
  <c r="K1696" i="7"/>
  <c r="L1696" i="7" s="1"/>
  <c r="G1698" i="7" l="1"/>
  <c r="K1697" i="7"/>
  <c r="L1697" i="7" s="1"/>
  <c r="N1696" i="7"/>
  <c r="M1696" i="7"/>
  <c r="N1697" i="7" l="1"/>
  <c r="M1697" i="7"/>
  <c r="G1699" i="7"/>
  <c r="K1698" i="7"/>
  <c r="L1698" i="7" s="1"/>
  <c r="N1698" i="7" l="1"/>
  <c r="M1698" i="7"/>
  <c r="G1700" i="7"/>
  <c r="K1699" i="7"/>
  <c r="L1699" i="7" s="1"/>
  <c r="N1699" i="7" l="1"/>
  <c r="M1699" i="7"/>
  <c r="G1701" i="7"/>
  <c r="K1700" i="7"/>
  <c r="L1700" i="7" s="1"/>
  <c r="N1700" i="7" l="1"/>
  <c r="M1700" i="7"/>
  <c r="G1702" i="7"/>
  <c r="K1701" i="7"/>
  <c r="L1701" i="7" s="1"/>
  <c r="N1701" i="7" l="1"/>
  <c r="M1701" i="7"/>
  <c r="G1703" i="7"/>
  <c r="K1702" i="7"/>
  <c r="L1702" i="7" s="1"/>
  <c r="G1704" i="7" l="1"/>
  <c r="K1703" i="7"/>
  <c r="L1703" i="7" s="1"/>
  <c r="N1702" i="7"/>
  <c r="M1702" i="7"/>
  <c r="N1703" i="7" l="1"/>
  <c r="M1703" i="7"/>
  <c r="G1705" i="7"/>
  <c r="K1704" i="7"/>
  <c r="L1704" i="7" s="1"/>
  <c r="G1706" i="7" l="1"/>
  <c r="K1705" i="7"/>
  <c r="L1705" i="7" s="1"/>
  <c r="M1704" i="7"/>
  <c r="N1704" i="7"/>
  <c r="M1705" i="7" l="1"/>
  <c r="N1705" i="7"/>
  <c r="G1707" i="7"/>
  <c r="K1706" i="7"/>
  <c r="L1706" i="7" s="1"/>
  <c r="N1706" i="7" l="1"/>
  <c r="M1706" i="7"/>
  <c r="G1708" i="7"/>
  <c r="K1707" i="7"/>
  <c r="L1707" i="7" s="1"/>
  <c r="N1707" i="7" l="1"/>
  <c r="M1707" i="7"/>
  <c r="G1709" i="7"/>
  <c r="K1708" i="7"/>
  <c r="L1708" i="7" s="1"/>
  <c r="N1708" i="7" l="1"/>
  <c r="M1708" i="7"/>
  <c r="G1710" i="7"/>
  <c r="K1709" i="7"/>
  <c r="L1709" i="7" s="1"/>
  <c r="N1709" i="7" l="1"/>
  <c r="M1709" i="7"/>
  <c r="G1711" i="7"/>
  <c r="K1710" i="7"/>
  <c r="L1710" i="7" s="1"/>
  <c r="N1710" i="7" l="1"/>
  <c r="M1710" i="7"/>
  <c r="G1712" i="7"/>
  <c r="K1711" i="7"/>
  <c r="L1711" i="7" s="1"/>
  <c r="G1713" i="7" l="1"/>
  <c r="K1712" i="7"/>
  <c r="L1712" i="7" s="1"/>
  <c r="N1711" i="7"/>
  <c r="M1711" i="7"/>
  <c r="M1712" i="7" l="1"/>
  <c r="N1712" i="7"/>
  <c r="G1714" i="7"/>
  <c r="K1713" i="7"/>
  <c r="L1713" i="7" s="1"/>
  <c r="N1713" i="7" l="1"/>
  <c r="M1713" i="7"/>
  <c r="G1715" i="7"/>
  <c r="K1714" i="7"/>
  <c r="L1714" i="7" s="1"/>
  <c r="G1716" i="7" l="1"/>
  <c r="K1715" i="7"/>
  <c r="L1715" i="7" s="1"/>
  <c r="N1714" i="7"/>
  <c r="M1714" i="7"/>
  <c r="N1715" i="7" l="1"/>
  <c r="M1715" i="7"/>
  <c r="G1717" i="7"/>
  <c r="K1716" i="7"/>
  <c r="L1716" i="7" s="1"/>
  <c r="N1716" i="7" l="1"/>
  <c r="M1716" i="7"/>
  <c r="G1718" i="7"/>
  <c r="K1717" i="7"/>
  <c r="L1717" i="7" s="1"/>
  <c r="N1717" i="7" l="1"/>
  <c r="M1717" i="7"/>
  <c r="G1719" i="7"/>
  <c r="K1718" i="7"/>
  <c r="L1718" i="7" s="1"/>
  <c r="G1720" i="7" l="1"/>
  <c r="K1719" i="7"/>
  <c r="L1719" i="7" s="1"/>
  <c r="N1718" i="7"/>
  <c r="M1718" i="7"/>
  <c r="N1719" i="7" l="1"/>
  <c r="M1719" i="7"/>
  <c r="G1721" i="7"/>
  <c r="K1720" i="7"/>
  <c r="L1720" i="7" s="1"/>
  <c r="G1722" i="7" l="1"/>
  <c r="K1721" i="7"/>
  <c r="L1721" i="7" s="1"/>
  <c r="N1720" i="7"/>
  <c r="M1720" i="7"/>
  <c r="N1721" i="7" l="1"/>
  <c r="M1721" i="7"/>
  <c r="G1723" i="7"/>
  <c r="K1722" i="7"/>
  <c r="L1722" i="7" s="1"/>
  <c r="G1724" i="7" l="1"/>
  <c r="K1723" i="7"/>
  <c r="L1723" i="7" s="1"/>
  <c r="N1722" i="7"/>
  <c r="M1722" i="7"/>
  <c r="N1723" i="7" l="1"/>
  <c r="M1723" i="7"/>
  <c r="G1725" i="7"/>
  <c r="K1724" i="7"/>
  <c r="L1724" i="7" s="1"/>
  <c r="G1726" i="7" l="1"/>
  <c r="K1725" i="7"/>
  <c r="L1725" i="7" s="1"/>
  <c r="N1724" i="7"/>
  <c r="M1724" i="7"/>
  <c r="N1725" i="7" l="1"/>
  <c r="M1725" i="7"/>
  <c r="G1727" i="7"/>
  <c r="K1726" i="7"/>
  <c r="L1726" i="7" s="1"/>
  <c r="N1726" i="7" l="1"/>
  <c r="M1726" i="7"/>
  <c r="G1728" i="7"/>
  <c r="K1727" i="7"/>
  <c r="L1727" i="7" s="1"/>
  <c r="M1727" i="7" l="1"/>
  <c r="N1727" i="7"/>
  <c r="G1729" i="7"/>
  <c r="K1728" i="7"/>
  <c r="L1728" i="7" s="1"/>
  <c r="M1728" i="7" l="1"/>
  <c r="N1728" i="7"/>
  <c r="G1730" i="7"/>
  <c r="K1729" i="7"/>
  <c r="L1729" i="7" s="1"/>
  <c r="G1731" i="7" l="1"/>
  <c r="K1730" i="7"/>
  <c r="L1730" i="7" s="1"/>
  <c r="N1729" i="7"/>
  <c r="M1729" i="7"/>
  <c r="N1730" i="7" l="1"/>
  <c r="M1730" i="7"/>
  <c r="G1732" i="7"/>
  <c r="K1731" i="7"/>
  <c r="L1731" i="7" s="1"/>
  <c r="N1731" i="7" l="1"/>
  <c r="M1731" i="7"/>
  <c r="G1733" i="7"/>
  <c r="K1732" i="7"/>
  <c r="L1732" i="7" s="1"/>
  <c r="N1732" i="7" l="1"/>
  <c r="M1732" i="7"/>
  <c r="G1734" i="7"/>
  <c r="K1733" i="7"/>
  <c r="L1733" i="7" s="1"/>
  <c r="N1733" i="7" l="1"/>
  <c r="M1733" i="7"/>
  <c r="G1735" i="7"/>
  <c r="K1734" i="7"/>
  <c r="L1734" i="7" s="1"/>
  <c r="N1734" i="7" l="1"/>
  <c r="M1734" i="7"/>
  <c r="G1736" i="7"/>
  <c r="K1735" i="7"/>
  <c r="L1735" i="7" s="1"/>
  <c r="N1735" i="7" l="1"/>
  <c r="M1735" i="7"/>
  <c r="G1737" i="7"/>
  <c r="K1736" i="7"/>
  <c r="L1736" i="7" s="1"/>
  <c r="N1736" i="7" l="1"/>
  <c r="M1736" i="7"/>
  <c r="G1738" i="7"/>
  <c r="K1737" i="7"/>
  <c r="L1737" i="7" s="1"/>
  <c r="N1737" i="7" l="1"/>
  <c r="M1737" i="7"/>
  <c r="G1739" i="7"/>
  <c r="K1738" i="7"/>
  <c r="L1738" i="7" s="1"/>
  <c r="G1740" i="7" l="1"/>
  <c r="K1739" i="7"/>
  <c r="L1739" i="7" s="1"/>
  <c r="N1738" i="7"/>
  <c r="M1738" i="7"/>
  <c r="M1739" i="7" l="1"/>
  <c r="N1739" i="7"/>
  <c r="G1741" i="7"/>
  <c r="K1740" i="7"/>
  <c r="L1740" i="7" s="1"/>
  <c r="G1742" i="7" l="1"/>
  <c r="K1741" i="7"/>
  <c r="L1741" i="7" s="1"/>
  <c r="N1740" i="7"/>
  <c r="M1740" i="7"/>
  <c r="N1741" i="7" l="1"/>
  <c r="M1741" i="7"/>
  <c r="G1743" i="7"/>
  <c r="K1742" i="7"/>
  <c r="L1742" i="7" s="1"/>
  <c r="N1742" i="7" l="1"/>
  <c r="M1742" i="7"/>
  <c r="G1744" i="7"/>
  <c r="K1743" i="7"/>
  <c r="L1743" i="7" s="1"/>
  <c r="N1743" i="7" l="1"/>
  <c r="M1743" i="7"/>
  <c r="G1745" i="7"/>
  <c r="K1744" i="7"/>
  <c r="L1744" i="7" s="1"/>
  <c r="M1744" i="7" l="1"/>
  <c r="N1744" i="7"/>
  <c r="G1746" i="7"/>
  <c r="K1745" i="7"/>
  <c r="L1745" i="7" s="1"/>
  <c r="N1745" i="7" l="1"/>
  <c r="M1745" i="7"/>
  <c r="G1747" i="7"/>
  <c r="K1746" i="7"/>
  <c r="L1746" i="7" s="1"/>
  <c r="N1746" i="7" l="1"/>
  <c r="M1746" i="7"/>
  <c r="G1748" i="7"/>
  <c r="K1747" i="7"/>
  <c r="L1747" i="7" s="1"/>
  <c r="N1747" i="7" l="1"/>
  <c r="M1747" i="7"/>
  <c r="G1749" i="7"/>
  <c r="K1748" i="7"/>
  <c r="L1748" i="7" s="1"/>
  <c r="N1748" i="7" l="1"/>
  <c r="M1748" i="7"/>
  <c r="G1750" i="7"/>
  <c r="K1749" i="7"/>
  <c r="L1749" i="7" s="1"/>
  <c r="N1749" i="7" l="1"/>
  <c r="M1749" i="7"/>
  <c r="G1751" i="7"/>
  <c r="K1750" i="7"/>
  <c r="L1750" i="7" s="1"/>
  <c r="N1750" i="7" l="1"/>
  <c r="M1750" i="7"/>
  <c r="G1752" i="7"/>
  <c r="K1751" i="7"/>
  <c r="L1751" i="7" s="1"/>
  <c r="N1751" i="7" l="1"/>
  <c r="M1751" i="7"/>
  <c r="G1753" i="7"/>
  <c r="K1752" i="7"/>
  <c r="L1752" i="7" s="1"/>
  <c r="N1752" i="7" l="1"/>
  <c r="M1752" i="7"/>
  <c r="G1754" i="7"/>
  <c r="K1753" i="7"/>
  <c r="L1753" i="7" s="1"/>
  <c r="N1753" i="7" l="1"/>
  <c r="M1753" i="7"/>
  <c r="G1755" i="7"/>
  <c r="K1754" i="7"/>
  <c r="L1754" i="7" s="1"/>
  <c r="N1754" i="7" l="1"/>
  <c r="M1754" i="7"/>
  <c r="G1756" i="7"/>
  <c r="K1755" i="7"/>
  <c r="L1755" i="7" s="1"/>
  <c r="N1755" i="7" l="1"/>
  <c r="M1755" i="7"/>
  <c r="G1757" i="7"/>
  <c r="K1756" i="7"/>
  <c r="L1756" i="7" s="1"/>
  <c r="N1756" i="7" l="1"/>
  <c r="M1756" i="7"/>
  <c r="G1758" i="7"/>
  <c r="K1757" i="7"/>
  <c r="L1757" i="7" s="1"/>
  <c r="N1757" i="7" l="1"/>
  <c r="M1757" i="7"/>
  <c r="G1759" i="7"/>
  <c r="K1758" i="7"/>
  <c r="L1758" i="7" s="1"/>
  <c r="N1758" i="7" l="1"/>
  <c r="M1758" i="7"/>
  <c r="G1760" i="7"/>
  <c r="K1759" i="7"/>
  <c r="L1759" i="7" s="1"/>
  <c r="M1759" i="7" l="1"/>
  <c r="N1759" i="7"/>
  <c r="G1761" i="7"/>
  <c r="K1760" i="7"/>
  <c r="L1760" i="7" s="1"/>
  <c r="M1760" i="7" l="1"/>
  <c r="N1760" i="7"/>
  <c r="G1762" i="7"/>
  <c r="K1761" i="7"/>
  <c r="L1761" i="7" s="1"/>
  <c r="N1761" i="7" l="1"/>
  <c r="M1761" i="7"/>
  <c r="G1763" i="7"/>
  <c r="K1762" i="7"/>
  <c r="L1762" i="7" s="1"/>
  <c r="N1762" i="7" l="1"/>
  <c r="M1762" i="7"/>
  <c r="G1764" i="7"/>
  <c r="K1763" i="7"/>
  <c r="L1763" i="7" s="1"/>
  <c r="M1763" i="7" l="1"/>
  <c r="N1763" i="7"/>
  <c r="G1765" i="7"/>
  <c r="K1764" i="7"/>
  <c r="L1764" i="7" s="1"/>
  <c r="N1764" i="7" l="1"/>
  <c r="M1764" i="7"/>
  <c r="G1766" i="7"/>
  <c r="K1765" i="7"/>
  <c r="L1765" i="7" s="1"/>
  <c r="N1765" i="7" l="1"/>
  <c r="M1765" i="7"/>
  <c r="G1767" i="7"/>
  <c r="K1766" i="7"/>
  <c r="L1766" i="7" s="1"/>
  <c r="N1766" i="7" l="1"/>
  <c r="M1766" i="7"/>
  <c r="G1768" i="7"/>
  <c r="K1767" i="7"/>
  <c r="L1767" i="7" s="1"/>
  <c r="N1767" i="7" l="1"/>
  <c r="M1767" i="7"/>
  <c r="G1769" i="7"/>
  <c r="K1768" i="7"/>
  <c r="L1768" i="7" s="1"/>
  <c r="N1768" i="7" l="1"/>
  <c r="M1768" i="7"/>
  <c r="G1770" i="7"/>
  <c r="K1769" i="7"/>
  <c r="L1769" i="7" s="1"/>
  <c r="G1771" i="7" l="1"/>
  <c r="K1770" i="7"/>
  <c r="L1770" i="7" s="1"/>
  <c r="N1769" i="7"/>
  <c r="M1769" i="7"/>
  <c r="N1770" i="7" l="1"/>
  <c r="M1770" i="7"/>
  <c r="G1772" i="7"/>
  <c r="K1771" i="7"/>
  <c r="L1771" i="7" s="1"/>
  <c r="G1773" i="7" l="1"/>
  <c r="K1772" i="7"/>
  <c r="L1772" i="7" s="1"/>
  <c r="N1771" i="7"/>
  <c r="M1771" i="7"/>
  <c r="N1772" i="7" l="1"/>
  <c r="M1772" i="7"/>
  <c r="G1774" i="7"/>
  <c r="K1773" i="7"/>
  <c r="L1773" i="7" s="1"/>
  <c r="G1775" i="7" l="1"/>
  <c r="K1774" i="7"/>
  <c r="L1774" i="7" s="1"/>
  <c r="M1773" i="7"/>
  <c r="N1773" i="7"/>
  <c r="N1774" i="7" l="1"/>
  <c r="M1774" i="7"/>
  <c r="G1776" i="7"/>
  <c r="K1775" i="7"/>
  <c r="L1775" i="7" s="1"/>
  <c r="G1777" i="7" l="1"/>
  <c r="K1776" i="7"/>
  <c r="L1776" i="7" s="1"/>
  <c r="N1775" i="7"/>
  <c r="M1775" i="7"/>
  <c r="M1776" i="7" l="1"/>
  <c r="N1776" i="7"/>
  <c r="G1778" i="7"/>
  <c r="K1777" i="7"/>
  <c r="L1777" i="7" s="1"/>
  <c r="G1779" i="7" l="1"/>
  <c r="K1778" i="7"/>
  <c r="L1778" i="7" s="1"/>
  <c r="N1777" i="7"/>
  <c r="M1777" i="7"/>
  <c r="N1778" i="7" l="1"/>
  <c r="M1778" i="7"/>
  <c r="G1780" i="7"/>
  <c r="K1779" i="7"/>
  <c r="L1779" i="7" s="1"/>
  <c r="N1779" i="7" l="1"/>
  <c r="M1779" i="7"/>
  <c r="G1781" i="7"/>
  <c r="K1780" i="7"/>
  <c r="L1780" i="7" s="1"/>
  <c r="G1782" i="7" l="1"/>
  <c r="K1781" i="7"/>
  <c r="L1781" i="7" s="1"/>
  <c r="N1780" i="7"/>
  <c r="M1780" i="7"/>
  <c r="N1781" i="7" l="1"/>
  <c r="M1781" i="7"/>
  <c r="G1783" i="7"/>
  <c r="K1782" i="7"/>
  <c r="L1782" i="7" s="1"/>
  <c r="N1782" i="7" l="1"/>
  <c r="M1782" i="7"/>
  <c r="G1784" i="7"/>
  <c r="K1783" i="7"/>
  <c r="L1783" i="7" s="1"/>
  <c r="G1785" i="7" l="1"/>
  <c r="K1784" i="7"/>
  <c r="L1784" i="7" s="1"/>
  <c r="N1783" i="7"/>
  <c r="M1783" i="7"/>
  <c r="N1784" i="7" l="1"/>
  <c r="M1784" i="7"/>
  <c r="G1786" i="7"/>
  <c r="K1785" i="7"/>
  <c r="L1785" i="7" s="1"/>
  <c r="G1787" i="7" l="1"/>
  <c r="K1786" i="7"/>
  <c r="L1786" i="7" s="1"/>
  <c r="N1785" i="7"/>
  <c r="M1785" i="7"/>
  <c r="N1786" i="7" l="1"/>
  <c r="M1786" i="7"/>
  <c r="G1788" i="7"/>
  <c r="K1787" i="7"/>
  <c r="L1787" i="7" s="1"/>
  <c r="G1789" i="7" l="1"/>
  <c r="K1788" i="7"/>
  <c r="L1788" i="7" s="1"/>
  <c r="N1787" i="7"/>
  <c r="M1787" i="7"/>
  <c r="N1788" i="7" l="1"/>
  <c r="M1788" i="7"/>
  <c r="G1790" i="7"/>
  <c r="K1789" i="7"/>
  <c r="L1789" i="7" s="1"/>
  <c r="G1791" i="7" l="1"/>
  <c r="K1790" i="7"/>
  <c r="L1790" i="7" s="1"/>
  <c r="N1789" i="7"/>
  <c r="M1789" i="7"/>
  <c r="N1790" i="7" l="1"/>
  <c r="M1790" i="7"/>
  <c r="G1792" i="7"/>
  <c r="K1791" i="7"/>
  <c r="L1791" i="7" s="1"/>
  <c r="M1791" i="7" l="1"/>
  <c r="N1791" i="7"/>
  <c r="G1793" i="7"/>
  <c r="K1792" i="7"/>
  <c r="L1792" i="7" s="1"/>
  <c r="G1794" i="7" l="1"/>
  <c r="K1793" i="7"/>
  <c r="L1793" i="7" s="1"/>
  <c r="M1792" i="7"/>
  <c r="N1792" i="7"/>
  <c r="N1793" i="7" l="1"/>
  <c r="M1793" i="7"/>
  <c r="G1795" i="7"/>
  <c r="K1794" i="7"/>
  <c r="L1794" i="7" s="1"/>
  <c r="N1794" i="7" l="1"/>
  <c r="M1794" i="7"/>
  <c r="G1796" i="7"/>
  <c r="K1795" i="7"/>
  <c r="L1795" i="7" s="1"/>
  <c r="N1795" i="7" l="1"/>
  <c r="M1795" i="7"/>
  <c r="G1797" i="7"/>
  <c r="K1796" i="7"/>
  <c r="L1796" i="7" s="1"/>
  <c r="G1798" i="7" l="1"/>
  <c r="K1797" i="7"/>
  <c r="L1797" i="7" s="1"/>
  <c r="N1796" i="7"/>
  <c r="M1796" i="7"/>
  <c r="N1797" i="7" l="1"/>
  <c r="M1797" i="7"/>
  <c r="G1799" i="7"/>
  <c r="K1798" i="7"/>
  <c r="L1798" i="7" s="1"/>
  <c r="G1800" i="7" l="1"/>
  <c r="K1799" i="7"/>
  <c r="L1799" i="7" s="1"/>
  <c r="N1798" i="7"/>
  <c r="M1798" i="7"/>
  <c r="N1799" i="7" l="1"/>
  <c r="M1799" i="7"/>
  <c r="G1801" i="7"/>
  <c r="K1800" i="7"/>
  <c r="L1800" i="7" s="1"/>
  <c r="G1802" i="7" l="1"/>
  <c r="K1801" i="7"/>
  <c r="L1801" i="7" s="1"/>
  <c r="N1800" i="7"/>
  <c r="M1800" i="7"/>
  <c r="N1801" i="7" l="1"/>
  <c r="M1801" i="7"/>
  <c r="G1803" i="7"/>
  <c r="K1802" i="7"/>
  <c r="L1802" i="7" s="1"/>
  <c r="G1804" i="7" l="1"/>
  <c r="K1803" i="7"/>
  <c r="L1803" i="7" s="1"/>
  <c r="N1802" i="7"/>
  <c r="M1802" i="7"/>
  <c r="N1803" i="7" l="1"/>
  <c r="M1803" i="7"/>
  <c r="G1805" i="7"/>
  <c r="K1804" i="7"/>
  <c r="L1804" i="7" s="1"/>
  <c r="G1806" i="7" l="1"/>
  <c r="K1805" i="7"/>
  <c r="L1805" i="7" s="1"/>
  <c r="N1804" i="7"/>
  <c r="M1804" i="7"/>
  <c r="N1805" i="7" l="1"/>
  <c r="M1805" i="7"/>
  <c r="G1807" i="7"/>
  <c r="K1806" i="7"/>
  <c r="L1806" i="7" s="1"/>
  <c r="G1808" i="7" l="1"/>
  <c r="K1807" i="7"/>
  <c r="L1807" i="7" s="1"/>
  <c r="N1806" i="7"/>
  <c r="M1806" i="7"/>
  <c r="N1807" i="7" l="1"/>
  <c r="M1807" i="7"/>
  <c r="G1809" i="7"/>
  <c r="K1808" i="7"/>
  <c r="L1808" i="7" s="1"/>
  <c r="M1808" i="7" l="1"/>
  <c r="N1808" i="7"/>
  <c r="G1810" i="7"/>
  <c r="K1809" i="7"/>
  <c r="L1809" i="7" s="1"/>
  <c r="G1811" i="7" l="1"/>
  <c r="K1810" i="7"/>
  <c r="L1810" i="7" s="1"/>
  <c r="N1809" i="7"/>
  <c r="M1809" i="7"/>
  <c r="N1810" i="7" l="1"/>
  <c r="M1810" i="7"/>
  <c r="G1812" i="7"/>
  <c r="K1811" i="7"/>
  <c r="L1811" i="7" s="1"/>
  <c r="N1811" i="7" l="1"/>
  <c r="M1811" i="7"/>
  <c r="G1813" i="7"/>
  <c r="K1812" i="7"/>
  <c r="L1812" i="7" s="1"/>
  <c r="N1812" i="7" l="1"/>
  <c r="M1812" i="7"/>
  <c r="G1814" i="7"/>
  <c r="K1813" i="7"/>
  <c r="L1813" i="7" s="1"/>
  <c r="G1815" i="7" l="1"/>
  <c r="K1814" i="7"/>
  <c r="L1814" i="7" s="1"/>
  <c r="M1813" i="7"/>
  <c r="N1813" i="7"/>
  <c r="N1814" i="7" l="1"/>
  <c r="M1814" i="7"/>
  <c r="G1816" i="7"/>
  <c r="K1815" i="7"/>
  <c r="L1815" i="7" s="1"/>
  <c r="G1817" i="7" l="1"/>
  <c r="K1816" i="7"/>
  <c r="L1816" i="7" s="1"/>
  <c r="N1815" i="7"/>
  <c r="M1815" i="7"/>
  <c r="N1816" i="7" l="1"/>
  <c r="M1816" i="7"/>
  <c r="G1818" i="7"/>
  <c r="K1817" i="7"/>
  <c r="L1817" i="7" s="1"/>
  <c r="G1819" i="7" l="1"/>
  <c r="K1818" i="7"/>
  <c r="L1818" i="7" s="1"/>
  <c r="N1817" i="7"/>
  <c r="M1817" i="7"/>
  <c r="N1818" i="7" l="1"/>
  <c r="M1818" i="7"/>
  <c r="G1820" i="7"/>
  <c r="K1819" i="7"/>
  <c r="L1819" i="7" s="1"/>
  <c r="N1819" i="7" l="1"/>
  <c r="M1819" i="7"/>
  <c r="G1821" i="7"/>
  <c r="K1820" i="7"/>
  <c r="L1820" i="7" s="1"/>
  <c r="N1820" i="7" l="1"/>
  <c r="M1820" i="7"/>
  <c r="G1822" i="7"/>
  <c r="K1821" i="7"/>
  <c r="L1821" i="7" s="1"/>
  <c r="N1821" i="7" l="1"/>
  <c r="M1821" i="7"/>
  <c r="G1823" i="7"/>
  <c r="K1822" i="7"/>
  <c r="L1822" i="7" s="1"/>
  <c r="N1822" i="7" l="1"/>
  <c r="M1822" i="7"/>
  <c r="G1824" i="7"/>
  <c r="K1823" i="7"/>
  <c r="L1823" i="7" s="1"/>
  <c r="M1823" i="7" l="1"/>
  <c r="N1823" i="7"/>
  <c r="G1825" i="7"/>
  <c r="K1824" i="7"/>
  <c r="L1824" i="7" s="1"/>
  <c r="M1824" i="7" l="1"/>
  <c r="N1824" i="7"/>
  <c r="G1826" i="7"/>
  <c r="K1825" i="7"/>
  <c r="L1825" i="7" s="1"/>
  <c r="N1825" i="7" l="1"/>
  <c r="M1825" i="7"/>
  <c r="G1827" i="7"/>
  <c r="K1826" i="7"/>
  <c r="L1826" i="7" s="1"/>
  <c r="N1826" i="7" l="1"/>
  <c r="M1826" i="7"/>
  <c r="G1828" i="7"/>
  <c r="K1827" i="7"/>
  <c r="L1827" i="7" s="1"/>
  <c r="N1827" i="7" l="1"/>
  <c r="M1827" i="7"/>
  <c r="G1829" i="7"/>
  <c r="K1828" i="7"/>
  <c r="L1828" i="7" s="1"/>
  <c r="N1828" i="7" l="1"/>
  <c r="M1828" i="7"/>
  <c r="G1830" i="7"/>
  <c r="K1829" i="7"/>
  <c r="L1829" i="7" s="1"/>
  <c r="N1829" i="7" l="1"/>
  <c r="M1829" i="7"/>
  <c r="G1831" i="7"/>
  <c r="K1830" i="7"/>
  <c r="L1830" i="7" s="1"/>
  <c r="G1832" i="7" l="1"/>
  <c r="K1831" i="7"/>
  <c r="L1831" i="7" s="1"/>
  <c r="N1830" i="7"/>
  <c r="M1830" i="7"/>
  <c r="N1831" i="7" l="1"/>
  <c r="M1831" i="7"/>
  <c r="G1833" i="7"/>
  <c r="K1832" i="7"/>
  <c r="L1832" i="7" s="1"/>
  <c r="G1834" i="7" l="1"/>
  <c r="K1833" i="7"/>
  <c r="L1833" i="7" s="1"/>
  <c r="M1832" i="7"/>
  <c r="N1832" i="7"/>
  <c r="N1833" i="7" l="1"/>
  <c r="M1833" i="7"/>
  <c r="G1835" i="7"/>
  <c r="K1834" i="7"/>
  <c r="L1834" i="7" s="1"/>
  <c r="G1836" i="7" l="1"/>
  <c r="K1835" i="7"/>
  <c r="L1835" i="7" s="1"/>
  <c r="N1834" i="7"/>
  <c r="M1834" i="7"/>
  <c r="N1835" i="7" l="1"/>
  <c r="M1835" i="7"/>
  <c r="G1837" i="7"/>
  <c r="K1836" i="7"/>
  <c r="L1836" i="7" s="1"/>
  <c r="G1838" i="7" l="1"/>
  <c r="K1837" i="7"/>
  <c r="L1837" i="7" s="1"/>
  <c r="N1836" i="7"/>
  <c r="M1836" i="7"/>
  <c r="N1837" i="7" l="1"/>
  <c r="M1837" i="7"/>
  <c r="G1839" i="7"/>
  <c r="K1838" i="7"/>
  <c r="L1838" i="7" s="1"/>
  <c r="G1840" i="7" l="1"/>
  <c r="K1839" i="7"/>
  <c r="L1839" i="7" s="1"/>
  <c r="N1838" i="7"/>
  <c r="M1838" i="7"/>
  <c r="M1839" i="7" l="1"/>
  <c r="N1839" i="7"/>
  <c r="G1841" i="7"/>
  <c r="K1840" i="7"/>
  <c r="L1840" i="7" s="1"/>
  <c r="N1840" i="7" l="1"/>
  <c r="M1840" i="7"/>
  <c r="G1842" i="7"/>
  <c r="K1841" i="7"/>
  <c r="L1841" i="7" s="1"/>
  <c r="G1843" i="7" l="1"/>
  <c r="K1842" i="7"/>
  <c r="L1842" i="7" s="1"/>
  <c r="M1841" i="7"/>
  <c r="N1841" i="7"/>
  <c r="N1842" i="7" l="1"/>
  <c r="M1842" i="7"/>
  <c r="G1844" i="7"/>
  <c r="K1843" i="7"/>
  <c r="L1843" i="7" s="1"/>
  <c r="M1843" i="7" l="1"/>
  <c r="N1843" i="7"/>
  <c r="G1845" i="7"/>
  <c r="K1844" i="7"/>
  <c r="L1844" i="7" s="1"/>
  <c r="N1844" i="7" l="1"/>
  <c r="M1844" i="7"/>
  <c r="G1846" i="7"/>
  <c r="K1845" i="7"/>
  <c r="L1845" i="7" s="1"/>
  <c r="N1845" i="7" l="1"/>
  <c r="M1845" i="7"/>
  <c r="G1847" i="7"/>
  <c r="K1846" i="7"/>
  <c r="L1846" i="7" s="1"/>
  <c r="G1848" i="7" l="1"/>
  <c r="K1847" i="7"/>
  <c r="L1847" i="7" s="1"/>
  <c r="M1846" i="7"/>
  <c r="N1846" i="7"/>
  <c r="N1847" i="7" l="1"/>
  <c r="M1847" i="7"/>
  <c r="G1849" i="7"/>
  <c r="K1848" i="7"/>
  <c r="L1848" i="7" s="1"/>
  <c r="G1850" i="7" l="1"/>
  <c r="K1849" i="7"/>
  <c r="L1849" i="7" s="1"/>
  <c r="N1848" i="7"/>
  <c r="M1848" i="7"/>
  <c r="N1849" i="7" l="1"/>
  <c r="M1849" i="7"/>
  <c r="G1851" i="7"/>
  <c r="K1850" i="7"/>
  <c r="L1850" i="7" s="1"/>
  <c r="N1850" i="7" l="1"/>
  <c r="M1850" i="7"/>
  <c r="G1852" i="7"/>
  <c r="K1851" i="7"/>
  <c r="L1851" i="7" s="1"/>
  <c r="G1853" i="7" l="1"/>
  <c r="K1852" i="7"/>
  <c r="L1852" i="7" s="1"/>
  <c r="N1851" i="7"/>
  <c r="M1851" i="7"/>
  <c r="N1852" i="7" l="1"/>
  <c r="M1852" i="7"/>
  <c r="G1854" i="7"/>
  <c r="K1853" i="7"/>
  <c r="L1853" i="7" s="1"/>
  <c r="G1855" i="7" l="1"/>
  <c r="K1854" i="7"/>
  <c r="L1854" i="7" s="1"/>
  <c r="N1853" i="7"/>
  <c r="M1853" i="7"/>
  <c r="N1854" i="7" l="1"/>
  <c r="M1854" i="7"/>
  <c r="G1856" i="7"/>
  <c r="K1855" i="7"/>
  <c r="L1855" i="7" s="1"/>
  <c r="M1855" i="7" l="1"/>
  <c r="N1855" i="7"/>
  <c r="G1857" i="7"/>
  <c r="K1856" i="7"/>
  <c r="L1856" i="7" s="1"/>
  <c r="N1856" i="7" l="1"/>
  <c r="M1856" i="7"/>
  <c r="G1858" i="7"/>
  <c r="K1857" i="7"/>
  <c r="L1857" i="7" s="1"/>
  <c r="G1859" i="7" l="1"/>
  <c r="K1858" i="7"/>
  <c r="L1858" i="7" s="1"/>
  <c r="N1857" i="7"/>
  <c r="M1857" i="7"/>
  <c r="N1858" i="7" l="1"/>
  <c r="M1858" i="7"/>
  <c r="G1860" i="7"/>
  <c r="K1859" i="7"/>
  <c r="L1859" i="7" s="1"/>
  <c r="N1859" i="7" l="1"/>
  <c r="M1859" i="7"/>
  <c r="G1861" i="7"/>
  <c r="K1860" i="7"/>
  <c r="L1860" i="7" s="1"/>
  <c r="G1862" i="7" l="1"/>
  <c r="K1861" i="7"/>
  <c r="L1861" i="7" s="1"/>
  <c r="N1860" i="7"/>
  <c r="M1860" i="7"/>
  <c r="N1861" i="7" l="1"/>
  <c r="M1861" i="7"/>
  <c r="G1863" i="7"/>
  <c r="K1862" i="7"/>
  <c r="L1862" i="7" s="1"/>
  <c r="G1864" i="7" l="1"/>
  <c r="K1863" i="7"/>
  <c r="L1863" i="7" s="1"/>
  <c r="N1862" i="7"/>
  <c r="M1862" i="7"/>
  <c r="N1863" i="7" l="1"/>
  <c r="M1863" i="7"/>
  <c r="G1865" i="7"/>
  <c r="K1864" i="7"/>
  <c r="L1864" i="7" s="1"/>
  <c r="G1866" i="7" l="1"/>
  <c r="K1865" i="7"/>
  <c r="L1865" i="7" s="1"/>
  <c r="N1864" i="7"/>
  <c r="M1864" i="7"/>
  <c r="N1865" i="7" l="1"/>
  <c r="M1865" i="7"/>
  <c r="G1867" i="7"/>
  <c r="K1866" i="7"/>
  <c r="L1866" i="7" s="1"/>
  <c r="G1868" i="7" l="1"/>
  <c r="K1867" i="7"/>
  <c r="L1867" i="7" s="1"/>
  <c r="N1866" i="7"/>
  <c r="M1866" i="7"/>
  <c r="N1867" i="7" l="1"/>
  <c r="M1867" i="7"/>
  <c r="G1869" i="7"/>
  <c r="K1868" i="7"/>
  <c r="L1868" i="7" s="1"/>
  <c r="G1870" i="7" l="1"/>
  <c r="K1869" i="7"/>
  <c r="L1869" i="7" s="1"/>
  <c r="N1868" i="7"/>
  <c r="M1868" i="7"/>
  <c r="N1869" i="7" l="1"/>
  <c r="M1869" i="7"/>
  <c r="G1871" i="7"/>
  <c r="K1870" i="7"/>
  <c r="L1870" i="7" s="1"/>
  <c r="G1872" i="7" l="1"/>
  <c r="K1871" i="7"/>
  <c r="L1871" i="7" s="1"/>
  <c r="M1870" i="7"/>
  <c r="N1870" i="7"/>
  <c r="M1871" i="7" l="1"/>
  <c r="N1871" i="7"/>
  <c r="G1873" i="7"/>
  <c r="K1872" i="7"/>
  <c r="L1872" i="7" s="1"/>
  <c r="N1872" i="7" l="1"/>
  <c r="M1872" i="7"/>
  <c r="G1874" i="7"/>
  <c r="K1873" i="7"/>
  <c r="L1873" i="7" s="1"/>
  <c r="M1873" i="7" l="1"/>
  <c r="N1873" i="7"/>
  <c r="G1875" i="7"/>
  <c r="K1874" i="7"/>
  <c r="L1874" i="7" s="1"/>
  <c r="N1874" i="7" l="1"/>
  <c r="M1874" i="7"/>
  <c r="G1876" i="7"/>
  <c r="K1875" i="7"/>
  <c r="L1875" i="7" s="1"/>
  <c r="N1875" i="7" l="1"/>
  <c r="M1875" i="7"/>
  <c r="G1877" i="7"/>
  <c r="K1876" i="7"/>
  <c r="L1876" i="7" s="1"/>
  <c r="M1876" i="7" l="1"/>
  <c r="N1876" i="7"/>
  <c r="G1878" i="7"/>
  <c r="K1877" i="7"/>
  <c r="L1877" i="7" s="1"/>
  <c r="N1877" i="7" l="1"/>
  <c r="M1877" i="7"/>
  <c r="G1879" i="7"/>
  <c r="K1878" i="7"/>
  <c r="L1878" i="7" s="1"/>
  <c r="N1878" i="7" l="1"/>
  <c r="M1878" i="7"/>
  <c r="G1880" i="7"/>
  <c r="K1879" i="7"/>
  <c r="L1879" i="7" s="1"/>
  <c r="N1879" i="7" l="1"/>
  <c r="M1879" i="7"/>
  <c r="G1881" i="7"/>
  <c r="K1880" i="7"/>
  <c r="L1880" i="7" s="1"/>
  <c r="N1880" i="7" l="1"/>
  <c r="M1880" i="7"/>
  <c r="G1882" i="7"/>
  <c r="K1881" i="7"/>
  <c r="L1881" i="7" s="1"/>
  <c r="N1881" i="7" l="1"/>
  <c r="M1881" i="7"/>
  <c r="G1883" i="7"/>
  <c r="K1882" i="7"/>
  <c r="L1882" i="7" s="1"/>
  <c r="N1882" i="7" l="1"/>
  <c r="M1882" i="7"/>
  <c r="G1884" i="7"/>
  <c r="K1883" i="7"/>
  <c r="L1883" i="7" s="1"/>
  <c r="N1883" i="7" l="1"/>
  <c r="M1883" i="7"/>
  <c r="G1885" i="7"/>
  <c r="K1884" i="7"/>
  <c r="L1884" i="7" s="1"/>
  <c r="N1884" i="7" l="1"/>
  <c r="M1884" i="7"/>
  <c r="G1886" i="7"/>
  <c r="K1885" i="7"/>
  <c r="L1885" i="7" s="1"/>
  <c r="G1887" i="7" l="1"/>
  <c r="K1886" i="7"/>
  <c r="L1886" i="7" s="1"/>
  <c r="N1885" i="7"/>
  <c r="M1885" i="7"/>
  <c r="N1886" i="7" l="1"/>
  <c r="M1886" i="7"/>
  <c r="G1888" i="7"/>
  <c r="K1887" i="7"/>
  <c r="L1887" i="7" s="1"/>
  <c r="M1887" i="7" l="1"/>
  <c r="N1887" i="7"/>
  <c r="G1889" i="7"/>
  <c r="K1888" i="7"/>
  <c r="L1888" i="7" s="1"/>
  <c r="G1890" i="7" l="1"/>
  <c r="K1889" i="7"/>
  <c r="L1889" i="7" s="1"/>
  <c r="M1888" i="7"/>
  <c r="N1888" i="7"/>
  <c r="M1889" i="7" l="1"/>
  <c r="N1889" i="7"/>
  <c r="G1891" i="7"/>
  <c r="K1890" i="7"/>
  <c r="L1890" i="7" s="1"/>
  <c r="N1890" i="7" l="1"/>
  <c r="M1890" i="7"/>
  <c r="G1892" i="7"/>
  <c r="K1891" i="7"/>
  <c r="L1891" i="7" s="1"/>
  <c r="G1893" i="7" l="1"/>
  <c r="K1892" i="7"/>
  <c r="L1892" i="7" s="1"/>
  <c r="N1891" i="7"/>
  <c r="M1891" i="7"/>
  <c r="N1892" i="7" l="1"/>
  <c r="M1892" i="7"/>
  <c r="G1894" i="7"/>
  <c r="K1893" i="7"/>
  <c r="L1893" i="7" s="1"/>
  <c r="N1893" i="7" l="1"/>
  <c r="M1893" i="7"/>
  <c r="G1895" i="7"/>
  <c r="K1894" i="7"/>
  <c r="L1894" i="7" s="1"/>
  <c r="N1894" i="7" l="1"/>
  <c r="M1894" i="7"/>
  <c r="G1896" i="7"/>
  <c r="K1895" i="7"/>
  <c r="L1895" i="7" s="1"/>
  <c r="N1895" i="7" l="1"/>
  <c r="M1895" i="7"/>
  <c r="G1897" i="7"/>
  <c r="K1896" i="7"/>
  <c r="L1896" i="7" s="1"/>
  <c r="N1896" i="7" l="1"/>
  <c r="M1896" i="7"/>
  <c r="G1898" i="7"/>
  <c r="K1897" i="7"/>
  <c r="L1897" i="7" s="1"/>
  <c r="N1897" i="7" l="1"/>
  <c r="M1897" i="7"/>
  <c r="G1899" i="7"/>
  <c r="K1898" i="7"/>
  <c r="L1898" i="7" s="1"/>
  <c r="N1898" i="7" l="1"/>
  <c r="M1898" i="7"/>
  <c r="G1900" i="7"/>
  <c r="K1899" i="7"/>
  <c r="L1899" i="7" s="1"/>
  <c r="M1899" i="7" l="1"/>
  <c r="N1899" i="7"/>
  <c r="G1901" i="7"/>
  <c r="K1900" i="7"/>
  <c r="L1900" i="7" s="1"/>
  <c r="N1900" i="7" l="1"/>
  <c r="M1900" i="7"/>
  <c r="G1902" i="7"/>
  <c r="K1901" i="7"/>
  <c r="L1901" i="7" s="1"/>
  <c r="N1901" i="7" l="1"/>
  <c r="M1901" i="7"/>
  <c r="G1903" i="7"/>
  <c r="K1902" i="7"/>
  <c r="L1902" i="7" s="1"/>
  <c r="N1902" i="7" l="1"/>
  <c r="M1902" i="7"/>
  <c r="G1904" i="7"/>
  <c r="K1903" i="7"/>
  <c r="L1903" i="7" s="1"/>
  <c r="M1903" i="7" l="1"/>
  <c r="N1903" i="7"/>
  <c r="G1905" i="7"/>
  <c r="K1904" i="7"/>
  <c r="L1904" i="7" s="1"/>
  <c r="N1904" i="7" l="1"/>
  <c r="M1904" i="7"/>
  <c r="G1906" i="7"/>
  <c r="K1905" i="7"/>
  <c r="L1905" i="7" s="1"/>
  <c r="M1905" i="7" l="1"/>
  <c r="N1905" i="7"/>
  <c r="G1907" i="7"/>
  <c r="K1906" i="7"/>
  <c r="L1906" i="7" s="1"/>
  <c r="N1906" i="7" l="1"/>
  <c r="M1906" i="7"/>
  <c r="G1908" i="7"/>
  <c r="K1907" i="7"/>
  <c r="L1907" i="7" s="1"/>
  <c r="N1907" i="7" l="1"/>
  <c r="M1907" i="7"/>
  <c r="G1909" i="7"/>
  <c r="K1908" i="7"/>
  <c r="L1908" i="7" s="1"/>
  <c r="N1908" i="7" l="1"/>
  <c r="M1908" i="7"/>
  <c r="G1910" i="7"/>
  <c r="K1909" i="7"/>
  <c r="L1909" i="7" s="1"/>
  <c r="N1909" i="7" l="1"/>
  <c r="M1909" i="7"/>
  <c r="G1911" i="7"/>
  <c r="K1910" i="7"/>
  <c r="L1910" i="7" s="1"/>
  <c r="M1910" i="7" l="1"/>
  <c r="N1910" i="7"/>
  <c r="G1912" i="7"/>
  <c r="K1911" i="7"/>
  <c r="L1911" i="7" s="1"/>
  <c r="N1911" i="7" l="1"/>
  <c r="M1911" i="7"/>
  <c r="G1913" i="7"/>
  <c r="K1912" i="7"/>
  <c r="L1912" i="7" s="1"/>
  <c r="N1912" i="7" l="1"/>
  <c r="M1912" i="7"/>
  <c r="G1914" i="7"/>
  <c r="K1913" i="7"/>
  <c r="L1913" i="7" s="1"/>
  <c r="N1913" i="7" l="1"/>
  <c r="M1913" i="7"/>
  <c r="G1915" i="7"/>
  <c r="K1914" i="7"/>
  <c r="L1914" i="7" s="1"/>
  <c r="N1914" i="7" l="1"/>
  <c r="M1914" i="7"/>
  <c r="G1916" i="7"/>
  <c r="K1915" i="7"/>
  <c r="L1915" i="7" s="1"/>
  <c r="N1915" i="7" l="1"/>
  <c r="M1915" i="7"/>
  <c r="G1917" i="7"/>
  <c r="K1916" i="7"/>
  <c r="L1916" i="7" s="1"/>
  <c r="G1918" i="7" l="1"/>
  <c r="K1917" i="7"/>
  <c r="L1917" i="7" s="1"/>
  <c r="N1916" i="7"/>
  <c r="M1916" i="7"/>
  <c r="N1917" i="7" l="1"/>
  <c r="M1917" i="7"/>
  <c r="G1919" i="7"/>
  <c r="K1918" i="7"/>
  <c r="L1918" i="7" s="1"/>
  <c r="N1918" i="7" l="1"/>
  <c r="M1918" i="7"/>
  <c r="G1920" i="7"/>
  <c r="K1919" i="7"/>
  <c r="L1919" i="7" s="1"/>
  <c r="G1921" i="7" l="1"/>
  <c r="K1920" i="7"/>
  <c r="L1920" i="7" s="1"/>
  <c r="M1919" i="7"/>
  <c r="N1919" i="7"/>
  <c r="N1920" i="7" l="1"/>
  <c r="M1920" i="7"/>
  <c r="G1922" i="7"/>
  <c r="K1921" i="7"/>
  <c r="L1921" i="7" s="1"/>
  <c r="N1921" i="7" l="1"/>
  <c r="M1921" i="7"/>
  <c r="G1923" i="7"/>
  <c r="K1922" i="7"/>
  <c r="L1922" i="7" s="1"/>
  <c r="N1922" i="7" l="1"/>
  <c r="M1922" i="7"/>
  <c r="G1924" i="7"/>
  <c r="K1923" i="7"/>
  <c r="L1923" i="7" s="1"/>
  <c r="G1925" i="7" l="1"/>
  <c r="K1924" i="7"/>
  <c r="L1924" i="7" s="1"/>
  <c r="N1923" i="7"/>
  <c r="M1923" i="7"/>
  <c r="N1924" i="7" l="1"/>
  <c r="M1924" i="7"/>
  <c r="G1926" i="7"/>
  <c r="K1925" i="7"/>
  <c r="L1925" i="7" s="1"/>
  <c r="N1925" i="7" l="1"/>
  <c r="M1925" i="7"/>
  <c r="G1927" i="7"/>
  <c r="K1926" i="7"/>
  <c r="L1926" i="7" s="1"/>
  <c r="M1926" i="7" l="1"/>
  <c r="N1926" i="7"/>
  <c r="G1928" i="7"/>
  <c r="K1927" i="7"/>
  <c r="L1927" i="7" s="1"/>
  <c r="N1927" i="7" l="1"/>
  <c r="M1927" i="7"/>
  <c r="G1929" i="7"/>
  <c r="K1928" i="7"/>
  <c r="L1928" i="7" s="1"/>
  <c r="M1928" i="7" l="1"/>
  <c r="N1928" i="7"/>
  <c r="G1930" i="7"/>
  <c r="K1929" i="7"/>
  <c r="L1929" i="7" s="1"/>
  <c r="G1931" i="7" l="1"/>
  <c r="K1930" i="7"/>
  <c r="L1930" i="7" s="1"/>
  <c r="N1929" i="7"/>
  <c r="M1929" i="7"/>
  <c r="N1930" i="7" l="1"/>
  <c r="M1930" i="7"/>
  <c r="G1932" i="7"/>
  <c r="K1931" i="7"/>
  <c r="L1931" i="7" s="1"/>
  <c r="G1933" i="7" l="1"/>
  <c r="K1932" i="7"/>
  <c r="L1932" i="7" s="1"/>
  <c r="N1931" i="7"/>
  <c r="M1931" i="7"/>
  <c r="N1932" i="7" l="1"/>
  <c r="M1932" i="7"/>
  <c r="G1934" i="7"/>
  <c r="K1933" i="7"/>
  <c r="L1933" i="7" s="1"/>
  <c r="N1933" i="7" l="1"/>
  <c r="M1933" i="7"/>
  <c r="G1935" i="7"/>
  <c r="K1934" i="7"/>
  <c r="L1934" i="7" s="1"/>
  <c r="M1934" i="7" l="1"/>
  <c r="N1934" i="7"/>
  <c r="G1936" i="7"/>
  <c r="K1935" i="7"/>
  <c r="L1935" i="7" s="1"/>
  <c r="N1935" i="7" l="1"/>
  <c r="M1935" i="7"/>
  <c r="G1937" i="7"/>
  <c r="K1936" i="7"/>
  <c r="L1936" i="7" s="1"/>
  <c r="N1936" i="7" l="1"/>
  <c r="M1936" i="7"/>
  <c r="G1938" i="7"/>
  <c r="K1937" i="7"/>
  <c r="L1937" i="7" s="1"/>
  <c r="N1937" i="7" l="1"/>
  <c r="M1937" i="7"/>
  <c r="G1939" i="7"/>
  <c r="K1938" i="7"/>
  <c r="L1938" i="7" s="1"/>
  <c r="N1938" i="7" l="1"/>
  <c r="M1938" i="7"/>
  <c r="G1940" i="7"/>
  <c r="K1939" i="7"/>
  <c r="L1939" i="7" s="1"/>
  <c r="N1939" i="7" l="1"/>
  <c r="M1939" i="7"/>
  <c r="G1941" i="7"/>
  <c r="K1940" i="7"/>
  <c r="L1940" i="7" s="1"/>
  <c r="N1940" i="7" l="1"/>
  <c r="M1940" i="7"/>
  <c r="G1942" i="7"/>
  <c r="K1941" i="7"/>
  <c r="L1941" i="7" s="1"/>
  <c r="G1943" i="7" l="1"/>
  <c r="K1942" i="7"/>
  <c r="L1942" i="7" s="1"/>
  <c r="N1941" i="7"/>
  <c r="M1941" i="7"/>
  <c r="M1942" i="7" l="1"/>
  <c r="N1942" i="7"/>
  <c r="G1944" i="7"/>
  <c r="K1943" i="7"/>
  <c r="L1943" i="7" s="1"/>
  <c r="M1943" i="7" l="1"/>
  <c r="N1943" i="7"/>
  <c r="G1945" i="7"/>
  <c r="K1944" i="7"/>
  <c r="L1944" i="7" s="1"/>
  <c r="G1946" i="7" l="1"/>
  <c r="K1945" i="7"/>
  <c r="L1945" i="7" s="1"/>
  <c r="M1944" i="7"/>
  <c r="N1944" i="7"/>
  <c r="N1945" i="7" l="1"/>
  <c r="M1945" i="7"/>
  <c r="G1947" i="7"/>
  <c r="K1946" i="7"/>
  <c r="L1946" i="7" s="1"/>
  <c r="G1948" i="7" l="1"/>
  <c r="K1947" i="7"/>
  <c r="L1947" i="7" s="1"/>
  <c r="N1946" i="7"/>
  <c r="M1946" i="7"/>
  <c r="N1947" i="7" l="1"/>
  <c r="M1947" i="7"/>
  <c r="G1949" i="7"/>
  <c r="K1948" i="7"/>
  <c r="L1948" i="7" s="1"/>
  <c r="G1950" i="7" l="1"/>
  <c r="K1949" i="7"/>
  <c r="L1949" i="7" s="1"/>
  <c r="N1948" i="7"/>
  <c r="M1948" i="7"/>
  <c r="M1949" i="7" l="1"/>
  <c r="N1949" i="7"/>
  <c r="G1951" i="7"/>
  <c r="K1950" i="7"/>
  <c r="L1950" i="7" s="1"/>
  <c r="G1952" i="7" l="1"/>
  <c r="K1951" i="7"/>
  <c r="L1951" i="7" s="1"/>
  <c r="N1950" i="7"/>
  <c r="M1950" i="7"/>
  <c r="N1951" i="7" l="1"/>
  <c r="M1951" i="7"/>
  <c r="G1953" i="7"/>
  <c r="K1952" i="7"/>
  <c r="L1952" i="7" s="1"/>
  <c r="G1954" i="7" l="1"/>
  <c r="K1953" i="7"/>
  <c r="L1953" i="7" s="1"/>
  <c r="N1952" i="7"/>
  <c r="M1952" i="7"/>
  <c r="N1953" i="7" l="1"/>
  <c r="M1953" i="7"/>
  <c r="G1955" i="7"/>
  <c r="K1954" i="7"/>
  <c r="L1954" i="7" s="1"/>
  <c r="N1954" i="7" l="1"/>
  <c r="M1954" i="7"/>
  <c r="G1956" i="7"/>
  <c r="K1955" i="7"/>
  <c r="L1955" i="7" s="1"/>
  <c r="N1955" i="7" l="1"/>
  <c r="M1955" i="7"/>
  <c r="G1957" i="7"/>
  <c r="K1956" i="7"/>
  <c r="L1956" i="7" s="1"/>
  <c r="N1956" i="7" l="1"/>
  <c r="M1956" i="7"/>
  <c r="G1958" i="7"/>
  <c r="K1957" i="7"/>
  <c r="L1957" i="7" s="1"/>
  <c r="N1957" i="7" l="1"/>
  <c r="M1957" i="7"/>
  <c r="G1959" i="7"/>
  <c r="K1958" i="7"/>
  <c r="L1958" i="7" s="1"/>
  <c r="M1958" i="7" l="1"/>
  <c r="N1958" i="7"/>
  <c r="G1960" i="7"/>
  <c r="K1959" i="7"/>
  <c r="L1959" i="7" s="1"/>
  <c r="G1961" i="7" l="1"/>
  <c r="K1960" i="7"/>
  <c r="L1960" i="7" s="1"/>
  <c r="N1959" i="7"/>
  <c r="M1959" i="7"/>
  <c r="M1960" i="7" l="1"/>
  <c r="N1960" i="7"/>
  <c r="G1962" i="7"/>
  <c r="K1961" i="7"/>
  <c r="L1961" i="7" s="1"/>
  <c r="N1961" i="7" l="1"/>
  <c r="M1961" i="7"/>
  <c r="G1963" i="7"/>
  <c r="K1962" i="7"/>
  <c r="L1962" i="7" s="1"/>
  <c r="N1962" i="7" l="1"/>
  <c r="M1962" i="7"/>
  <c r="G1964" i="7"/>
  <c r="K1963" i="7"/>
  <c r="L1963" i="7" s="1"/>
  <c r="G1965" i="7" l="1"/>
  <c r="K1964" i="7"/>
  <c r="L1964" i="7" s="1"/>
  <c r="N1963" i="7"/>
  <c r="M1963" i="7"/>
  <c r="N1964" i="7" l="1"/>
  <c r="M1964" i="7"/>
  <c r="G1966" i="7"/>
  <c r="K1965" i="7"/>
  <c r="L1965" i="7" s="1"/>
  <c r="G1967" i="7" l="1"/>
  <c r="K1966" i="7"/>
  <c r="L1966" i="7" s="1"/>
  <c r="N1965" i="7"/>
  <c r="M1965" i="7"/>
  <c r="N1966" i="7" l="1"/>
  <c r="M1966" i="7"/>
  <c r="G1968" i="7"/>
  <c r="K1967" i="7"/>
  <c r="L1967" i="7" s="1"/>
  <c r="N1967" i="7" l="1"/>
  <c r="M1967" i="7"/>
  <c r="G1969" i="7"/>
  <c r="K1968" i="7"/>
  <c r="L1968" i="7" s="1"/>
  <c r="N1968" i="7" l="1"/>
  <c r="M1968" i="7"/>
  <c r="G1970" i="7"/>
  <c r="K1969" i="7"/>
  <c r="L1969" i="7" s="1"/>
  <c r="N1969" i="7" l="1"/>
  <c r="M1969" i="7"/>
  <c r="G1971" i="7"/>
  <c r="K1970" i="7"/>
  <c r="L1970" i="7" s="1"/>
  <c r="N1970" i="7" l="1"/>
  <c r="M1970" i="7"/>
  <c r="G1972" i="7"/>
  <c r="K1971" i="7"/>
  <c r="L1971" i="7" s="1"/>
  <c r="N1971" i="7" l="1"/>
  <c r="M1971" i="7"/>
  <c r="G1973" i="7"/>
  <c r="K1972" i="7"/>
  <c r="L1972" i="7" s="1"/>
  <c r="N1972" i="7" l="1"/>
  <c r="M1972" i="7"/>
  <c r="G1974" i="7"/>
  <c r="K1973" i="7"/>
  <c r="L1973" i="7" s="1"/>
  <c r="N1973" i="7" l="1"/>
  <c r="M1973" i="7"/>
  <c r="G1975" i="7"/>
  <c r="K1974" i="7"/>
  <c r="L1974" i="7" s="1"/>
  <c r="G1976" i="7" l="1"/>
  <c r="K1975" i="7"/>
  <c r="L1975" i="7" s="1"/>
  <c r="M1974" i="7"/>
  <c r="N1974" i="7"/>
  <c r="N1975" i="7" l="1"/>
  <c r="M1975" i="7"/>
  <c r="G1977" i="7"/>
  <c r="K1976" i="7"/>
  <c r="L1976" i="7" s="1"/>
  <c r="M1976" i="7" l="1"/>
  <c r="N1976" i="7"/>
  <c r="G1978" i="7"/>
  <c r="K1977" i="7"/>
  <c r="L1977" i="7" s="1"/>
  <c r="N1977" i="7" l="1"/>
  <c r="M1977" i="7"/>
  <c r="G1979" i="7"/>
  <c r="K1978" i="7"/>
  <c r="L1978" i="7" s="1"/>
  <c r="N1978" i="7" l="1"/>
  <c r="M1978" i="7"/>
  <c r="G1980" i="7"/>
  <c r="K1979" i="7"/>
  <c r="L1979" i="7" s="1"/>
  <c r="N1979" i="7" l="1"/>
  <c r="M1979" i="7"/>
  <c r="G1981" i="7"/>
  <c r="K1980" i="7"/>
  <c r="L1980" i="7" s="1"/>
  <c r="N1980" i="7" l="1"/>
  <c r="M1980" i="7"/>
  <c r="G1982" i="7"/>
  <c r="K1981" i="7"/>
  <c r="L1981" i="7" s="1"/>
  <c r="G1983" i="7" l="1"/>
  <c r="K1982" i="7"/>
  <c r="L1982" i="7" s="1"/>
  <c r="N1981" i="7"/>
  <c r="M1981" i="7"/>
  <c r="N1982" i="7" l="1"/>
  <c r="M1982" i="7"/>
  <c r="G1984" i="7"/>
  <c r="K1983" i="7"/>
  <c r="L1983" i="7" s="1"/>
  <c r="N1983" i="7" l="1"/>
  <c r="M1983" i="7"/>
  <c r="G1985" i="7"/>
  <c r="K1984" i="7"/>
  <c r="L1984" i="7" s="1"/>
  <c r="N1984" i="7" l="1"/>
  <c r="M1984" i="7"/>
  <c r="G1986" i="7"/>
  <c r="K1985" i="7"/>
  <c r="L1985" i="7" s="1"/>
  <c r="N1985" i="7" l="1"/>
  <c r="M1985" i="7"/>
  <c r="G1987" i="7"/>
  <c r="K1986" i="7"/>
  <c r="L1986" i="7" s="1"/>
  <c r="N1986" i="7" l="1"/>
  <c r="M1986" i="7"/>
  <c r="G1988" i="7"/>
  <c r="K1987" i="7"/>
  <c r="L1987" i="7" s="1"/>
  <c r="N1987" i="7" l="1"/>
  <c r="M1987" i="7"/>
  <c r="G1989" i="7"/>
  <c r="K1988" i="7"/>
  <c r="L1988" i="7" s="1"/>
  <c r="G1990" i="7" l="1"/>
  <c r="K1989" i="7"/>
  <c r="L1989" i="7" s="1"/>
  <c r="N1988" i="7"/>
  <c r="M1988" i="7"/>
  <c r="N1989" i="7" l="1"/>
  <c r="M1989" i="7"/>
  <c r="G1991" i="7"/>
  <c r="K1990" i="7"/>
  <c r="L1990" i="7" s="1"/>
  <c r="G1992" i="7" l="1"/>
  <c r="K1991" i="7"/>
  <c r="L1991" i="7" s="1"/>
  <c r="M1990" i="7"/>
  <c r="N1990" i="7"/>
  <c r="N1991" i="7" l="1"/>
  <c r="M1991" i="7"/>
  <c r="G1993" i="7"/>
  <c r="K1992" i="7"/>
  <c r="L1992" i="7" s="1"/>
  <c r="M1992" i="7" l="1"/>
  <c r="N1992" i="7"/>
  <c r="G1994" i="7"/>
  <c r="K1993" i="7"/>
  <c r="L1993" i="7" s="1"/>
  <c r="G1995" i="7" l="1"/>
  <c r="K1994" i="7"/>
  <c r="L1994" i="7" s="1"/>
  <c r="N1993" i="7"/>
  <c r="M1993" i="7"/>
  <c r="N1994" i="7" l="1"/>
  <c r="M1994" i="7"/>
  <c r="G1996" i="7"/>
  <c r="K1995" i="7"/>
  <c r="L1995" i="7" s="1"/>
  <c r="N1995" i="7" l="1"/>
  <c r="M1995" i="7"/>
  <c r="G1997" i="7"/>
  <c r="K1996" i="7"/>
  <c r="L1996" i="7" s="1"/>
  <c r="G1998" i="7" l="1"/>
  <c r="K1997" i="7"/>
  <c r="L1997" i="7" s="1"/>
  <c r="N1996" i="7"/>
  <c r="M1996" i="7"/>
  <c r="N1997" i="7" l="1"/>
  <c r="M1997" i="7"/>
  <c r="G1999" i="7"/>
  <c r="K1998" i="7"/>
  <c r="L1998" i="7" s="1"/>
  <c r="M1998" i="7" l="1"/>
  <c r="N1998" i="7"/>
  <c r="G2000" i="7"/>
  <c r="K1999" i="7"/>
  <c r="L1999" i="7" s="1"/>
  <c r="M1999" i="7" l="1"/>
  <c r="N1999" i="7"/>
  <c r="G2001" i="7"/>
  <c r="K2000" i="7"/>
  <c r="L2000" i="7" s="1"/>
  <c r="N2000" i="7" l="1"/>
  <c r="M2000" i="7"/>
  <c r="G2002" i="7"/>
  <c r="K2001" i="7"/>
  <c r="L2001" i="7" s="1"/>
  <c r="N2001" i="7" l="1"/>
  <c r="M2001" i="7"/>
  <c r="G2003" i="7"/>
  <c r="K2002" i="7"/>
  <c r="L2002" i="7" s="1"/>
  <c r="N2002" i="7" l="1"/>
  <c r="M2002" i="7"/>
  <c r="G2004" i="7"/>
  <c r="K2003" i="7"/>
  <c r="L2003" i="7" s="1"/>
  <c r="N2003" i="7" l="1"/>
  <c r="M2003" i="7"/>
  <c r="G2005" i="7"/>
  <c r="K2004" i="7"/>
  <c r="L2004" i="7" s="1"/>
  <c r="N2004" i="7" l="1"/>
  <c r="M2004" i="7"/>
  <c r="G2006" i="7"/>
  <c r="K2005" i="7"/>
  <c r="L2005" i="7" s="1"/>
  <c r="N2005" i="7" l="1"/>
  <c r="M2005" i="7"/>
  <c r="G2007" i="7"/>
  <c r="K2006" i="7"/>
  <c r="L2006" i="7" s="1"/>
  <c r="M2006" i="7" l="1"/>
  <c r="N2006" i="7"/>
  <c r="G2008" i="7"/>
  <c r="K2007" i="7"/>
  <c r="L2007" i="7" s="1"/>
  <c r="M2007" i="7" l="1"/>
  <c r="N2007" i="7"/>
  <c r="G2009" i="7"/>
  <c r="K2008" i="7"/>
  <c r="L2008" i="7" s="1"/>
  <c r="N2008" i="7" l="1"/>
  <c r="M2008" i="7"/>
  <c r="G2010" i="7"/>
  <c r="K2009" i="7"/>
  <c r="L2009" i="7" s="1"/>
  <c r="N2009" i="7" l="1"/>
  <c r="M2009" i="7"/>
  <c r="G2011" i="7"/>
  <c r="K2010" i="7"/>
  <c r="L2010" i="7" s="1"/>
  <c r="N2010" i="7" l="1"/>
  <c r="M2010" i="7"/>
  <c r="G2012" i="7"/>
  <c r="K2011" i="7"/>
  <c r="L2011" i="7" s="1"/>
  <c r="N2011" i="7" l="1"/>
  <c r="M2011" i="7"/>
  <c r="G2013" i="7"/>
  <c r="K2012" i="7"/>
  <c r="L2012" i="7" s="1"/>
  <c r="N2012" i="7" l="1"/>
  <c r="M2012" i="7"/>
  <c r="G2014" i="7"/>
  <c r="K2013" i="7"/>
  <c r="L2013" i="7" s="1"/>
  <c r="N2013" i="7" l="1"/>
  <c r="M2013" i="7"/>
  <c r="G2015" i="7"/>
  <c r="K2014" i="7"/>
  <c r="L2014" i="7" s="1"/>
  <c r="N2014" i="7" l="1"/>
  <c r="M2014" i="7"/>
  <c r="G2016" i="7"/>
  <c r="K2015" i="7"/>
  <c r="L2015" i="7" s="1"/>
  <c r="N2015" i="7" l="1"/>
  <c r="M2015" i="7"/>
  <c r="G2017" i="7"/>
  <c r="K2016" i="7"/>
  <c r="L2016" i="7" s="1"/>
  <c r="M2016" i="7" l="1"/>
  <c r="N2016" i="7"/>
  <c r="G2018" i="7"/>
  <c r="K2017" i="7"/>
  <c r="L2017" i="7" s="1"/>
  <c r="M2017" i="7" l="1"/>
  <c r="N2017" i="7"/>
  <c r="G2019" i="7"/>
  <c r="K2018" i="7"/>
  <c r="L2018" i="7" s="1"/>
  <c r="N2018" i="7" l="1"/>
  <c r="M2018" i="7"/>
  <c r="G2020" i="7"/>
  <c r="K2019" i="7"/>
  <c r="L2019" i="7" s="1"/>
  <c r="N2019" i="7" l="1"/>
  <c r="M2019" i="7"/>
  <c r="G2021" i="7"/>
  <c r="K2020" i="7"/>
  <c r="L2020" i="7" s="1"/>
  <c r="N2020" i="7" l="1"/>
  <c r="M2020" i="7"/>
  <c r="G2022" i="7"/>
  <c r="K2021" i="7"/>
  <c r="L2021" i="7" s="1"/>
  <c r="N2021" i="7" l="1"/>
  <c r="M2021" i="7"/>
  <c r="G2023" i="7"/>
  <c r="K2022" i="7"/>
  <c r="L2022" i="7" s="1"/>
  <c r="M2022" i="7" l="1"/>
  <c r="N2022" i="7"/>
  <c r="G2024" i="7"/>
  <c r="K2023" i="7"/>
  <c r="L2023" i="7" s="1"/>
  <c r="N2023" i="7" l="1"/>
  <c r="M2023" i="7"/>
  <c r="G2025" i="7"/>
  <c r="K2024" i="7"/>
  <c r="L2024" i="7" s="1"/>
  <c r="N2024" i="7" l="1"/>
  <c r="M2024" i="7"/>
  <c r="G2026" i="7"/>
  <c r="K2025" i="7"/>
  <c r="L2025" i="7" s="1"/>
  <c r="N2025" i="7" l="1"/>
  <c r="M2025" i="7"/>
  <c r="G2027" i="7"/>
  <c r="K2026" i="7"/>
  <c r="L2026" i="7" s="1"/>
  <c r="N2026" i="7" l="1"/>
  <c r="M2026" i="7"/>
  <c r="G2028" i="7"/>
  <c r="K2027" i="7"/>
  <c r="L2027" i="7" s="1"/>
  <c r="N2027" i="7" l="1"/>
  <c r="M2027" i="7"/>
  <c r="G2029" i="7"/>
  <c r="K2028" i="7"/>
  <c r="L2028" i="7" s="1"/>
  <c r="N2028" i="7" l="1"/>
  <c r="M2028" i="7"/>
  <c r="G2030" i="7"/>
  <c r="K2029" i="7"/>
  <c r="L2029" i="7" s="1"/>
  <c r="N2029" i="7" l="1"/>
  <c r="M2029" i="7"/>
  <c r="G2031" i="7"/>
  <c r="K2030" i="7"/>
  <c r="L2030" i="7" s="1"/>
  <c r="N2030" i="7" l="1"/>
  <c r="M2030" i="7"/>
  <c r="G2032" i="7"/>
  <c r="K2031" i="7"/>
  <c r="L2031" i="7" s="1"/>
  <c r="N2031" i="7" l="1"/>
  <c r="M2031" i="7"/>
  <c r="G2033" i="7"/>
  <c r="K2032" i="7"/>
  <c r="L2032" i="7" s="1"/>
  <c r="N2032" i="7" l="1"/>
  <c r="M2032" i="7"/>
  <c r="G2034" i="7"/>
  <c r="K2033" i="7"/>
  <c r="L2033" i="7" s="1"/>
  <c r="N2033" i="7" l="1"/>
  <c r="M2033" i="7"/>
  <c r="G2035" i="7"/>
  <c r="K2034" i="7"/>
  <c r="L2034" i="7" s="1"/>
  <c r="N2034" i="7" l="1"/>
  <c r="M2034" i="7"/>
  <c r="G2036" i="7"/>
  <c r="K2035" i="7"/>
  <c r="L2035" i="7" s="1"/>
  <c r="N2035" i="7" l="1"/>
  <c r="M2035" i="7"/>
  <c r="G2037" i="7"/>
  <c r="K2036" i="7"/>
  <c r="L2036" i="7" s="1"/>
  <c r="M2036" i="7" l="1"/>
  <c r="N2036" i="7"/>
  <c r="G2038" i="7"/>
  <c r="K2037" i="7"/>
  <c r="L2037" i="7" s="1"/>
  <c r="N2037" i="7" l="1"/>
  <c r="M2037" i="7"/>
  <c r="G2039" i="7"/>
  <c r="K2038" i="7"/>
  <c r="L2038" i="7" s="1"/>
  <c r="N2038" i="7" l="1"/>
  <c r="M2038" i="7"/>
  <c r="G2040" i="7"/>
  <c r="K2039" i="7"/>
  <c r="L2039" i="7" s="1"/>
  <c r="N2039" i="7" l="1"/>
  <c r="M2039" i="7"/>
  <c r="G2041" i="7"/>
  <c r="K2040" i="7"/>
  <c r="L2040" i="7" s="1"/>
  <c r="N2040" i="7" l="1"/>
  <c r="M2040" i="7"/>
  <c r="G2042" i="7"/>
  <c r="K2041" i="7"/>
  <c r="L2041" i="7" s="1"/>
  <c r="N2041" i="7" l="1"/>
  <c r="M2041" i="7"/>
  <c r="G2043" i="7"/>
  <c r="K2042" i="7"/>
  <c r="L2042" i="7" s="1"/>
  <c r="N2042" i="7" l="1"/>
  <c r="M2042" i="7"/>
  <c r="G2044" i="7"/>
  <c r="K2043" i="7"/>
  <c r="L2043" i="7" s="1"/>
  <c r="N2043" i="7" l="1"/>
  <c r="M2043" i="7"/>
  <c r="G2045" i="7"/>
  <c r="K2044" i="7"/>
  <c r="L2044" i="7" s="1"/>
  <c r="N2044" i="7" l="1"/>
  <c r="M2044" i="7"/>
  <c r="G2046" i="7"/>
  <c r="K2045" i="7"/>
  <c r="L2045" i="7" s="1"/>
  <c r="N2045" i="7" l="1"/>
  <c r="M2045" i="7"/>
  <c r="G2047" i="7"/>
  <c r="K2046" i="7"/>
  <c r="L2046" i="7" s="1"/>
  <c r="M2046" i="7" l="1"/>
  <c r="N2046" i="7"/>
  <c r="G2048" i="7"/>
  <c r="K2047" i="7"/>
  <c r="L2047" i="7" s="1"/>
  <c r="N2047" i="7" l="1"/>
  <c r="M2047" i="7"/>
  <c r="G2049" i="7"/>
  <c r="K2048" i="7"/>
  <c r="L2048" i="7" s="1"/>
  <c r="M2048" i="7" l="1"/>
  <c r="N2048" i="7"/>
  <c r="G2050" i="7"/>
  <c r="K2049" i="7"/>
  <c r="L2049" i="7" s="1"/>
  <c r="N2049" i="7" l="1"/>
  <c r="M2049" i="7"/>
  <c r="G2051" i="7"/>
  <c r="K2050" i="7"/>
  <c r="L2050" i="7" s="1"/>
  <c r="M2050" i="7" l="1"/>
  <c r="N2050" i="7"/>
  <c r="G2052" i="7"/>
  <c r="K2051" i="7"/>
  <c r="L2051" i="7" s="1"/>
  <c r="N2051" i="7" l="1"/>
  <c r="M2051" i="7"/>
  <c r="G2053" i="7"/>
  <c r="K2052" i="7"/>
  <c r="L2052" i="7" s="1"/>
  <c r="N2052" i="7" l="1"/>
  <c r="M2052" i="7"/>
  <c r="G2054" i="7"/>
  <c r="K2053" i="7"/>
  <c r="L2053" i="7" s="1"/>
  <c r="N2053" i="7" l="1"/>
  <c r="M2053" i="7"/>
  <c r="G2055" i="7"/>
  <c r="K2054" i="7"/>
  <c r="L2054" i="7" s="1"/>
  <c r="M2054" i="7" l="1"/>
  <c r="N2054" i="7"/>
  <c r="G2056" i="7"/>
  <c r="K2055" i="7"/>
  <c r="L2055" i="7" s="1"/>
  <c r="N2055" i="7" l="1"/>
  <c r="M2055" i="7"/>
  <c r="G2057" i="7"/>
  <c r="K2056" i="7"/>
  <c r="L2056" i="7" s="1"/>
  <c r="N2056" i="7" l="1"/>
  <c r="M2056" i="7"/>
  <c r="G2058" i="7"/>
  <c r="K2057" i="7"/>
  <c r="L2057" i="7" s="1"/>
  <c r="N2057" i="7" l="1"/>
  <c r="M2057" i="7"/>
  <c r="G2059" i="7"/>
  <c r="K2058" i="7"/>
  <c r="L2058" i="7" s="1"/>
  <c r="N2058" i="7" l="1"/>
  <c r="M2058" i="7"/>
  <c r="G2060" i="7"/>
  <c r="K2059" i="7"/>
  <c r="L2059" i="7" s="1"/>
  <c r="N2059" i="7" l="1"/>
  <c r="M2059" i="7"/>
  <c r="G2061" i="7"/>
  <c r="K2060" i="7"/>
  <c r="L2060" i="7" s="1"/>
  <c r="N2060" i="7" l="1"/>
  <c r="M2060" i="7"/>
  <c r="G2062" i="7"/>
  <c r="K2061" i="7"/>
  <c r="L2061" i="7" s="1"/>
  <c r="N2061" i="7" l="1"/>
  <c r="M2061" i="7"/>
  <c r="G2063" i="7"/>
  <c r="K2062" i="7"/>
  <c r="L2062" i="7" s="1"/>
  <c r="M2062" i="7" l="1"/>
  <c r="N2062" i="7"/>
  <c r="G2064" i="7"/>
  <c r="K2063" i="7"/>
  <c r="L2063" i="7" s="1"/>
  <c r="G2065" i="7" l="1"/>
  <c r="K2064" i="7"/>
  <c r="L2064" i="7" s="1"/>
  <c r="N2063" i="7"/>
  <c r="M2063" i="7"/>
  <c r="N2064" i="7" l="1"/>
  <c r="M2064" i="7"/>
  <c r="G2066" i="7"/>
  <c r="K2065" i="7"/>
  <c r="L2065" i="7" s="1"/>
  <c r="N2065" i="7" l="1"/>
  <c r="M2065" i="7"/>
  <c r="G2067" i="7"/>
  <c r="K2066" i="7"/>
  <c r="L2066" i="7" s="1"/>
  <c r="G2068" i="7" l="1"/>
  <c r="K2067" i="7"/>
  <c r="L2067" i="7" s="1"/>
  <c r="N2066" i="7"/>
  <c r="M2066" i="7"/>
  <c r="N2067" i="7" l="1"/>
  <c r="M2067" i="7"/>
  <c r="G2069" i="7"/>
  <c r="K2068" i="7"/>
  <c r="L2068" i="7" s="1"/>
  <c r="N2068" i="7" l="1"/>
  <c r="M2068" i="7"/>
  <c r="G2070" i="7"/>
  <c r="K2069" i="7"/>
  <c r="L2069" i="7" s="1"/>
  <c r="N2069" i="7" l="1"/>
  <c r="M2069" i="7"/>
  <c r="G2071" i="7"/>
  <c r="K2070" i="7"/>
  <c r="L2070" i="7" s="1"/>
  <c r="G2072" i="7" l="1"/>
  <c r="K2071" i="7"/>
  <c r="L2071" i="7" s="1"/>
  <c r="M2070" i="7"/>
  <c r="N2070" i="7"/>
  <c r="N2071" i="7" l="1"/>
  <c r="M2071" i="7"/>
  <c r="G2073" i="7"/>
  <c r="K2072" i="7"/>
  <c r="L2072" i="7" s="1"/>
  <c r="M2072" i="7" l="1"/>
  <c r="N2072" i="7"/>
  <c r="G2074" i="7"/>
  <c r="K2073" i="7"/>
  <c r="L2073" i="7" s="1"/>
  <c r="N2073" i="7" l="1"/>
  <c r="M2073" i="7"/>
  <c r="G2075" i="7"/>
  <c r="K2074" i="7"/>
  <c r="L2074" i="7" s="1"/>
  <c r="N2074" i="7" l="1"/>
  <c r="M2074" i="7"/>
  <c r="G2076" i="7"/>
  <c r="K2075" i="7"/>
  <c r="L2075" i="7" s="1"/>
  <c r="N2075" i="7" l="1"/>
  <c r="M2075" i="7"/>
  <c r="G2077" i="7"/>
  <c r="K2076" i="7"/>
  <c r="L2076" i="7" s="1"/>
  <c r="N2076" i="7" l="1"/>
  <c r="M2076" i="7"/>
  <c r="G2078" i="7"/>
  <c r="K2077" i="7"/>
  <c r="L2077" i="7" s="1"/>
  <c r="N2077" i="7" l="1"/>
  <c r="M2077" i="7"/>
  <c r="G2079" i="7"/>
  <c r="K2078" i="7"/>
  <c r="L2078" i="7" s="1"/>
  <c r="G2080" i="7" l="1"/>
  <c r="K2079" i="7"/>
  <c r="L2079" i="7" s="1"/>
  <c r="N2078" i="7"/>
  <c r="M2078" i="7"/>
  <c r="N2079" i="7" l="1"/>
  <c r="M2079" i="7"/>
  <c r="G2081" i="7"/>
  <c r="K2080" i="7"/>
  <c r="L2080" i="7" s="1"/>
  <c r="N2080" i="7" l="1"/>
  <c r="M2080" i="7"/>
  <c r="G2082" i="7"/>
  <c r="K2081" i="7"/>
  <c r="L2081" i="7" s="1"/>
  <c r="N2081" i="7" l="1"/>
  <c r="M2081" i="7"/>
  <c r="G2083" i="7"/>
  <c r="K2082" i="7"/>
  <c r="L2082" i="7" s="1"/>
  <c r="N2082" i="7" l="1"/>
  <c r="M2082" i="7"/>
  <c r="G2084" i="7"/>
  <c r="K2083" i="7"/>
  <c r="L2083" i="7" s="1"/>
  <c r="N2083" i="7" l="1"/>
  <c r="M2083" i="7"/>
  <c r="G2085" i="7"/>
  <c r="K2084" i="7"/>
  <c r="L2084" i="7" s="1"/>
  <c r="N2084" i="7" l="1"/>
  <c r="M2084" i="7"/>
  <c r="G2086" i="7"/>
  <c r="K2085" i="7"/>
  <c r="L2085" i="7" s="1"/>
  <c r="N2085" i="7" l="1"/>
  <c r="M2085" i="7"/>
  <c r="G2087" i="7"/>
  <c r="K2086" i="7"/>
  <c r="L2086" i="7" s="1"/>
  <c r="G2088" i="7" l="1"/>
  <c r="K2087" i="7"/>
  <c r="L2087" i="7" s="1"/>
  <c r="M2086" i="7"/>
  <c r="N2086" i="7"/>
  <c r="N2087" i="7" l="1"/>
  <c r="M2087" i="7"/>
  <c r="G2089" i="7"/>
  <c r="K2088" i="7"/>
  <c r="L2088" i="7" s="1"/>
  <c r="M2088" i="7" l="1"/>
  <c r="N2088" i="7"/>
  <c r="G2090" i="7"/>
  <c r="K2089" i="7"/>
  <c r="L2089" i="7" s="1"/>
  <c r="G2091" i="7" l="1"/>
  <c r="K2090" i="7"/>
  <c r="L2090" i="7" s="1"/>
  <c r="N2089" i="7"/>
  <c r="M2089" i="7"/>
  <c r="N2090" i="7" l="1"/>
  <c r="M2090" i="7"/>
  <c r="G2092" i="7"/>
  <c r="K2091" i="7"/>
  <c r="L2091" i="7" s="1"/>
  <c r="G2093" i="7" l="1"/>
  <c r="K2092" i="7"/>
  <c r="L2092" i="7" s="1"/>
  <c r="N2091" i="7"/>
  <c r="M2091" i="7"/>
  <c r="N2092" i="7" l="1"/>
  <c r="M2092" i="7"/>
  <c r="G2094" i="7"/>
  <c r="K2093" i="7"/>
  <c r="L2093" i="7" s="1"/>
  <c r="N2093" i="7" l="1"/>
  <c r="M2093" i="7"/>
  <c r="G2095" i="7"/>
  <c r="K2094" i="7"/>
  <c r="L2094" i="7" s="1"/>
  <c r="M2094" i="7" l="1"/>
  <c r="N2094" i="7"/>
  <c r="G2096" i="7"/>
  <c r="K2095" i="7"/>
  <c r="L2095" i="7" s="1"/>
  <c r="N2095" i="7" l="1"/>
  <c r="M2095" i="7"/>
  <c r="G2097" i="7"/>
  <c r="K2096" i="7"/>
  <c r="L2096" i="7" s="1"/>
  <c r="M2096" i="7" l="1"/>
  <c r="N2096" i="7"/>
  <c r="G2098" i="7"/>
  <c r="K2097" i="7"/>
  <c r="L2097" i="7" s="1"/>
  <c r="G2099" i="7" l="1"/>
  <c r="K2098" i="7"/>
  <c r="L2098" i="7" s="1"/>
  <c r="N2097" i="7"/>
  <c r="M2097" i="7"/>
  <c r="N2098" i="7" l="1"/>
  <c r="M2098" i="7"/>
  <c r="G2100" i="7"/>
  <c r="K2099" i="7"/>
  <c r="L2099" i="7" s="1"/>
  <c r="N2099" i="7" l="1"/>
  <c r="M2099" i="7"/>
  <c r="G2101" i="7"/>
  <c r="K2100" i="7"/>
  <c r="L2100" i="7" s="1"/>
  <c r="M2100" i="7" l="1"/>
  <c r="N2100" i="7"/>
  <c r="G2102" i="7"/>
  <c r="K2101" i="7"/>
  <c r="L2101" i="7" s="1"/>
  <c r="G2103" i="7" l="1"/>
  <c r="K2102" i="7"/>
  <c r="L2102" i="7" s="1"/>
  <c r="N2101" i="7"/>
  <c r="M2101" i="7"/>
  <c r="N2102" i="7" l="1"/>
  <c r="M2102" i="7"/>
  <c r="G2104" i="7"/>
  <c r="K2103" i="7"/>
  <c r="L2103" i="7" s="1"/>
  <c r="N2103" i="7" l="1"/>
  <c r="M2103" i="7"/>
  <c r="G2105" i="7"/>
  <c r="K2104" i="7"/>
  <c r="L2104" i="7" s="1"/>
  <c r="G2106" i="7" l="1"/>
  <c r="K2105" i="7"/>
  <c r="L2105" i="7" s="1"/>
  <c r="N2104" i="7"/>
  <c r="M2104" i="7"/>
  <c r="N2105" i="7" l="1"/>
  <c r="M2105" i="7"/>
  <c r="G2107" i="7"/>
  <c r="K2106" i="7"/>
  <c r="L2106" i="7" s="1"/>
  <c r="N2106" i="7" l="1"/>
  <c r="M2106" i="7"/>
  <c r="G2108" i="7"/>
  <c r="K2107" i="7"/>
  <c r="L2107" i="7" s="1"/>
  <c r="G2109" i="7" l="1"/>
  <c r="K2108" i="7"/>
  <c r="L2108" i="7" s="1"/>
  <c r="N2107" i="7"/>
  <c r="M2107" i="7"/>
  <c r="N2108" i="7" l="1"/>
  <c r="M2108" i="7"/>
  <c r="G2110" i="7"/>
  <c r="K2109" i="7"/>
  <c r="L2109" i="7" s="1"/>
  <c r="N2109" i="7" l="1"/>
  <c r="M2109" i="7"/>
  <c r="G2111" i="7"/>
  <c r="K2110" i="7"/>
  <c r="L2110" i="7" s="1"/>
  <c r="M2110" i="7" l="1"/>
  <c r="N2110" i="7"/>
  <c r="G2112" i="7"/>
  <c r="K2111" i="7"/>
  <c r="L2111" i="7" s="1"/>
  <c r="N2111" i="7" l="1"/>
  <c r="M2111" i="7"/>
  <c r="G2113" i="7"/>
  <c r="K2112" i="7"/>
  <c r="L2112" i="7" s="1"/>
  <c r="M2112" i="7" l="1"/>
  <c r="N2112" i="7"/>
  <c r="G2114" i="7"/>
  <c r="K2113" i="7"/>
  <c r="L2113" i="7" s="1"/>
  <c r="N2113" i="7" l="1"/>
  <c r="M2113" i="7"/>
  <c r="G2115" i="7"/>
  <c r="K2114" i="7"/>
  <c r="L2114" i="7" s="1"/>
  <c r="M2114" i="7" l="1"/>
  <c r="N2114" i="7"/>
  <c r="G2116" i="7"/>
  <c r="K2115" i="7"/>
  <c r="L2115" i="7" s="1"/>
  <c r="N2115" i="7" l="1"/>
  <c r="M2115" i="7"/>
  <c r="G2117" i="7"/>
  <c r="K2116" i="7"/>
  <c r="L2116" i="7" s="1"/>
  <c r="N2116" i="7" l="1"/>
  <c r="M2116" i="7"/>
  <c r="G2118" i="7"/>
  <c r="K2117" i="7"/>
  <c r="L2117" i="7" s="1"/>
  <c r="N2117" i="7" l="1"/>
  <c r="M2117" i="7"/>
  <c r="G2119" i="7"/>
  <c r="K2118" i="7"/>
  <c r="L2118" i="7" s="1"/>
  <c r="M2118" i="7" l="1"/>
  <c r="N2118" i="7"/>
  <c r="G2120" i="7"/>
  <c r="K2119" i="7"/>
  <c r="L2119" i="7" s="1"/>
  <c r="N2119" i="7" l="1"/>
  <c r="M2119" i="7"/>
  <c r="G2121" i="7"/>
  <c r="K2120" i="7"/>
  <c r="L2120" i="7" s="1"/>
  <c r="N2120" i="7" l="1"/>
  <c r="M2120" i="7"/>
  <c r="G2122" i="7"/>
  <c r="K2121" i="7"/>
  <c r="L2121" i="7" s="1"/>
  <c r="N2121" i="7" l="1"/>
  <c r="M2121" i="7"/>
  <c r="G2123" i="7"/>
  <c r="K2122" i="7"/>
  <c r="L2122" i="7" s="1"/>
  <c r="M2122" i="7" l="1"/>
  <c r="N2122" i="7"/>
  <c r="G2124" i="7"/>
  <c r="K2123" i="7"/>
  <c r="L2123" i="7" s="1"/>
  <c r="M2123" i="7" l="1"/>
  <c r="N2123" i="7"/>
  <c r="G2125" i="7"/>
  <c r="K2124" i="7"/>
  <c r="L2124" i="7" s="1"/>
  <c r="N2124" i="7" l="1"/>
  <c r="M2124" i="7"/>
  <c r="G2126" i="7"/>
  <c r="K2125" i="7"/>
  <c r="L2125" i="7" s="1"/>
  <c r="N2125" i="7" l="1"/>
  <c r="M2125" i="7"/>
  <c r="G2127" i="7"/>
  <c r="K2126" i="7"/>
  <c r="L2126" i="7" s="1"/>
  <c r="M2126" i="7" l="1"/>
  <c r="N2126" i="7"/>
  <c r="G2128" i="7"/>
  <c r="K2127" i="7"/>
  <c r="L2127" i="7" s="1"/>
  <c r="N2127" i="7" l="1"/>
  <c r="M2127" i="7"/>
  <c r="G2129" i="7"/>
  <c r="K2128" i="7"/>
  <c r="L2128" i="7" s="1"/>
  <c r="N2128" i="7" l="1"/>
  <c r="M2128" i="7"/>
  <c r="G2130" i="7"/>
  <c r="K2129" i="7"/>
  <c r="L2129" i="7" s="1"/>
  <c r="N2129" i="7" l="1"/>
  <c r="M2129" i="7"/>
  <c r="G2131" i="7"/>
  <c r="K2130" i="7"/>
  <c r="L2130" i="7" s="1"/>
  <c r="N2130" i="7" l="1"/>
  <c r="M2130" i="7"/>
  <c r="G2132" i="7"/>
  <c r="K2131" i="7"/>
  <c r="L2131" i="7" s="1"/>
  <c r="N2131" i="7" l="1"/>
  <c r="M2131" i="7"/>
  <c r="G2133" i="7"/>
  <c r="K2132" i="7"/>
  <c r="L2132" i="7" s="1"/>
  <c r="N2132" i="7" l="1"/>
  <c r="M2132" i="7"/>
  <c r="G2134" i="7"/>
  <c r="K2133" i="7"/>
  <c r="L2133" i="7" s="1"/>
  <c r="N2133" i="7" l="1"/>
  <c r="M2133" i="7"/>
  <c r="G2135" i="7"/>
  <c r="K2134" i="7"/>
  <c r="L2134" i="7" s="1"/>
  <c r="M2134" i="7" l="1"/>
  <c r="N2134" i="7"/>
  <c r="G2136" i="7"/>
  <c r="K2135" i="7"/>
  <c r="L2135" i="7" s="1"/>
  <c r="N2135" i="7" l="1"/>
  <c r="M2135" i="7"/>
  <c r="G2137" i="7"/>
  <c r="K2136" i="7"/>
  <c r="L2136" i="7" s="1"/>
  <c r="M2136" i="7" l="1"/>
  <c r="N2136" i="7"/>
  <c r="G2138" i="7"/>
  <c r="K2137" i="7"/>
  <c r="L2137" i="7" s="1"/>
  <c r="N2137" i="7" l="1"/>
  <c r="M2137" i="7"/>
  <c r="G2139" i="7"/>
  <c r="K2138" i="7"/>
  <c r="L2138" i="7" s="1"/>
  <c r="N2138" i="7" l="1"/>
  <c r="M2138" i="7"/>
  <c r="G2140" i="7"/>
  <c r="K2139" i="7"/>
  <c r="L2139" i="7" s="1"/>
  <c r="G2141" i="7" l="1"/>
  <c r="K2140" i="7"/>
  <c r="L2140" i="7" s="1"/>
  <c r="N2139" i="7"/>
  <c r="M2139" i="7"/>
  <c r="N2140" i="7" l="1"/>
  <c r="M2140" i="7"/>
  <c r="G2142" i="7"/>
  <c r="K2141" i="7"/>
  <c r="L2141" i="7" s="1"/>
  <c r="N2141" i="7" l="1"/>
  <c r="M2141" i="7"/>
  <c r="G2143" i="7"/>
  <c r="K2142" i="7"/>
  <c r="L2142" i="7" s="1"/>
  <c r="M2142" i="7" l="1"/>
  <c r="N2142" i="7"/>
  <c r="G2144" i="7"/>
  <c r="K2143" i="7"/>
  <c r="L2143" i="7" s="1"/>
  <c r="G2145" i="7" l="1"/>
  <c r="K2144" i="7"/>
  <c r="L2144" i="7" s="1"/>
  <c r="N2143" i="7"/>
  <c r="M2143" i="7"/>
  <c r="N2144" i="7" l="1"/>
  <c r="M2144" i="7"/>
  <c r="G2146" i="7"/>
  <c r="K2145" i="7"/>
  <c r="L2145" i="7" s="1"/>
  <c r="M2145" i="7" l="1"/>
  <c r="N2145" i="7"/>
  <c r="G2147" i="7"/>
  <c r="K2146" i="7"/>
  <c r="L2146" i="7" s="1"/>
  <c r="M2146" i="7" l="1"/>
  <c r="N2146" i="7"/>
  <c r="G2148" i="7"/>
  <c r="K2147" i="7"/>
  <c r="L2147" i="7" s="1"/>
  <c r="N2147" i="7" l="1"/>
  <c r="M2147" i="7"/>
  <c r="G2149" i="7"/>
  <c r="K2149" i="7" s="1"/>
  <c r="L2149" i="7" s="1"/>
  <c r="K2148" i="7"/>
  <c r="L2148" i="7" s="1"/>
  <c r="N2148" i="7" l="1"/>
  <c r="M2148" i="7"/>
  <c r="N2149" i="7"/>
  <c r="P2" i="7" s="1"/>
  <c r="R2" i="7" s="1"/>
  <c r="M2149" i="7"/>
  <c r="O2" i="7" s="1"/>
  <c r="Q2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13077A-DB62-4A16-834D-E5273742F829}" keepAlive="1" name="Zapytanie — telefony" description="Połączenie z zapytaniem „telefony” w skoroszycie." type="5" refreshedVersion="0" background="1">
    <dbPr connection="Provider=Microsoft.Mashup.OleDb.1;Data Source=$Workbook$;Location=telefony;Extended Properties=&quot;&quot;" command="SELECT * FROM [telefony]"/>
  </connection>
</connections>
</file>

<file path=xl/sharedStrings.xml><?xml version="1.0" encoding="utf-8"?>
<sst xmlns="http://schemas.openxmlformats.org/spreadsheetml/2006/main" count="55" uniqueCount="32">
  <si>
    <t>nr</t>
  </si>
  <si>
    <t>data</t>
  </si>
  <si>
    <t>rozpoczecie</t>
  </si>
  <si>
    <t>zakonczenie</t>
  </si>
  <si>
    <t>polaczenie</t>
  </si>
  <si>
    <t>Etykiety wierszy</t>
  </si>
  <si>
    <t>Suma końcowa</t>
  </si>
  <si>
    <t>Suma z polaczenie</t>
  </si>
  <si>
    <t>(Wszystko)</t>
  </si>
  <si>
    <t>czy_stacjonarny</t>
  </si>
  <si>
    <t>czy_komorkowy</t>
  </si>
  <si>
    <t>stacjonarne</t>
  </si>
  <si>
    <t>komórkowe</t>
  </si>
  <si>
    <t>czas trwania polaczenia</t>
  </si>
  <si>
    <t>czy nr stacjonarny od 12</t>
  </si>
  <si>
    <t>minuty</t>
  </si>
  <si>
    <t>typ polaczenia</t>
  </si>
  <si>
    <t>suma sekund stacjonarne</t>
  </si>
  <si>
    <t>suma sekund komorkowe</t>
  </si>
  <si>
    <t>suma sekund zagraniczne</t>
  </si>
  <si>
    <t>suma sekund stacjonarne + komorkowe</t>
  </si>
  <si>
    <t>czy jeszcze abonament</t>
  </si>
  <si>
    <t>dodatkowy sekundy stacjonarne</t>
  </si>
  <si>
    <t>dodatkowy sekundy komorkowe</t>
  </si>
  <si>
    <t>suma dodatkowych stacjonarne</t>
  </si>
  <si>
    <t>suma dodatkowych komorkowe</t>
  </si>
  <si>
    <t>minuty dodatkowe stacjonarne</t>
  </si>
  <si>
    <t>minuty dodatkowe komorkowe</t>
  </si>
  <si>
    <t>liczba pakietow</t>
  </si>
  <si>
    <t>do dodatkowego zaplacenia</t>
  </si>
  <si>
    <t xml:space="preserve">suma </t>
  </si>
  <si>
    <t>zagraniczne koszt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</si>
</sst>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14" fontId="0" fillId="3" borderId="5" xfId="0" applyNumberFormat="1" applyFill="1" applyBorder="1"/>
    <xf numFmtId="164" fontId="0" fillId="3" borderId="5" xfId="0" applyNumberFormat="1" applyFill="1" applyBorder="1"/>
    <xf numFmtId="164" fontId="0" fillId="3" borderId="6" xfId="0" applyNumberFormat="1" applyFill="1" applyBorder="1"/>
    <xf numFmtId="0" fontId="0" fillId="0" borderId="4" xfId="0" applyBorder="1"/>
    <xf numFmtId="14" fontId="0" fillId="0" borderId="5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4" fontId="0" fillId="0" borderId="2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/>
    <xf numFmtId="0" fontId="1" fillId="2" borderId="0" xfId="0" applyFont="1" applyFill="1" applyBorder="1"/>
    <xf numFmtId="0" fontId="1" fillId="2" borderId="0" xfId="0" applyNumberFormat="1" applyFont="1" applyFill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[telefony.xlsx]5.2!Tabela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liczby połączeń</a:t>
            </a:r>
            <a:r>
              <a:rPr lang="pl-PL" baseline="0"/>
              <a:t> w danych dniach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'5.2'!$J$5</c:f>
              <c:strCache>
                <c:ptCount val="1"/>
                <c:pt idx="0">
                  <c:v>stacjonarne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'5.2'!$I$6:$I$27</c:f>
              <c:strCache>
                <c:ptCount val="21"/>
                <c:pt idx="0">
                  <c:v>03.07.2017</c:v>
                </c:pt>
                <c:pt idx="1">
                  <c:v>04.07.2017</c:v>
                </c:pt>
                <c:pt idx="2">
                  <c:v>05.07.2017</c:v>
                </c:pt>
                <c:pt idx="3">
                  <c:v>06.07.2017</c:v>
                </c:pt>
                <c:pt idx="4">
                  <c:v>07.07.2017</c:v>
                </c:pt>
                <c:pt idx="5">
                  <c:v>10.07.2017</c:v>
                </c:pt>
                <c:pt idx="6">
                  <c:v>11.07.2017</c:v>
                </c:pt>
                <c:pt idx="7">
                  <c:v>12.07.2017</c:v>
                </c:pt>
                <c:pt idx="8">
                  <c:v>13.07.2017</c:v>
                </c:pt>
                <c:pt idx="9">
                  <c:v>14.07.2017</c:v>
                </c:pt>
                <c:pt idx="10">
                  <c:v>17.07.2017</c:v>
                </c:pt>
                <c:pt idx="11">
                  <c:v>18.07.2017</c:v>
                </c:pt>
                <c:pt idx="12">
                  <c:v>19.07.2017</c:v>
                </c:pt>
                <c:pt idx="13">
                  <c:v>20.07.2017</c:v>
                </c:pt>
                <c:pt idx="14">
                  <c:v>21.07.2017</c:v>
                </c:pt>
                <c:pt idx="15">
                  <c:v>24.07.2017</c:v>
                </c:pt>
                <c:pt idx="16">
                  <c:v>25.07.2017</c:v>
                </c:pt>
                <c:pt idx="17">
                  <c:v>26.07.2017</c:v>
                </c:pt>
                <c:pt idx="18">
                  <c:v>27.07.2017</c:v>
                </c:pt>
                <c:pt idx="19">
                  <c:v>28.07.2017</c:v>
                </c:pt>
                <c:pt idx="20">
                  <c:v>31.07.2017</c:v>
                </c:pt>
              </c:strCache>
            </c:strRef>
          </c:cat>
          <c:val>
            <c:numRef>
              <c:f>'5.2'!$J$6:$J$27</c:f>
              <c:numCache>
                <c:formatCode>General</c:formatCode>
                <c:ptCount val="21"/>
                <c:pt idx="0">
                  <c:v>67</c:v>
                </c:pt>
                <c:pt idx="1">
                  <c:v>68</c:v>
                </c:pt>
                <c:pt idx="2">
                  <c:v>79</c:v>
                </c:pt>
                <c:pt idx="3">
                  <c:v>78</c:v>
                </c:pt>
                <c:pt idx="4">
                  <c:v>69</c:v>
                </c:pt>
                <c:pt idx="5">
                  <c:v>73</c:v>
                </c:pt>
                <c:pt idx="6">
                  <c:v>60</c:v>
                </c:pt>
                <c:pt idx="7">
                  <c:v>70</c:v>
                </c:pt>
                <c:pt idx="8">
                  <c:v>67</c:v>
                </c:pt>
                <c:pt idx="9">
                  <c:v>74</c:v>
                </c:pt>
                <c:pt idx="10">
                  <c:v>76</c:v>
                </c:pt>
                <c:pt idx="11">
                  <c:v>74</c:v>
                </c:pt>
                <c:pt idx="12">
                  <c:v>67</c:v>
                </c:pt>
                <c:pt idx="13">
                  <c:v>75</c:v>
                </c:pt>
                <c:pt idx="14">
                  <c:v>73</c:v>
                </c:pt>
                <c:pt idx="15">
                  <c:v>77</c:v>
                </c:pt>
                <c:pt idx="16">
                  <c:v>79</c:v>
                </c:pt>
                <c:pt idx="17">
                  <c:v>78</c:v>
                </c:pt>
                <c:pt idx="18">
                  <c:v>70</c:v>
                </c:pt>
                <c:pt idx="19">
                  <c:v>68</c:v>
                </c:pt>
                <c:pt idx="20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F-4DC4-890F-0783A803F9CC}"/>
            </c:ext>
          </c:extLst>
        </c:ser>
        <c:ser>
          <c:idx val="1"/>
          <c:order val="1"/>
          <c:tx>
            <c:strRef>
              <c:f>'5.2'!$K$5</c:f>
              <c:strCache>
                <c:ptCount val="1"/>
                <c:pt idx="0">
                  <c:v>komórkowe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'5.2'!$I$6:$I$27</c:f>
              <c:strCache>
                <c:ptCount val="21"/>
                <c:pt idx="0">
                  <c:v>03.07.2017</c:v>
                </c:pt>
                <c:pt idx="1">
                  <c:v>04.07.2017</c:v>
                </c:pt>
                <c:pt idx="2">
                  <c:v>05.07.2017</c:v>
                </c:pt>
                <c:pt idx="3">
                  <c:v>06.07.2017</c:v>
                </c:pt>
                <c:pt idx="4">
                  <c:v>07.07.2017</c:v>
                </c:pt>
                <c:pt idx="5">
                  <c:v>10.07.2017</c:v>
                </c:pt>
                <c:pt idx="6">
                  <c:v>11.07.2017</c:v>
                </c:pt>
                <c:pt idx="7">
                  <c:v>12.07.2017</c:v>
                </c:pt>
                <c:pt idx="8">
                  <c:v>13.07.2017</c:v>
                </c:pt>
                <c:pt idx="9">
                  <c:v>14.07.2017</c:v>
                </c:pt>
                <c:pt idx="10">
                  <c:v>17.07.2017</c:v>
                </c:pt>
                <c:pt idx="11">
                  <c:v>18.07.2017</c:v>
                </c:pt>
                <c:pt idx="12">
                  <c:v>19.07.2017</c:v>
                </c:pt>
                <c:pt idx="13">
                  <c:v>20.07.2017</c:v>
                </c:pt>
                <c:pt idx="14">
                  <c:v>21.07.2017</c:v>
                </c:pt>
                <c:pt idx="15">
                  <c:v>24.07.2017</c:v>
                </c:pt>
                <c:pt idx="16">
                  <c:v>25.07.2017</c:v>
                </c:pt>
                <c:pt idx="17">
                  <c:v>26.07.2017</c:v>
                </c:pt>
                <c:pt idx="18">
                  <c:v>27.07.2017</c:v>
                </c:pt>
                <c:pt idx="19">
                  <c:v>28.07.2017</c:v>
                </c:pt>
                <c:pt idx="20">
                  <c:v>31.07.2017</c:v>
                </c:pt>
              </c:strCache>
            </c:strRef>
          </c:cat>
          <c:val>
            <c:numRef>
              <c:f>'5.2'!$K$6:$K$27</c:f>
              <c:numCache>
                <c:formatCode>General</c:formatCode>
                <c:ptCount val="21"/>
                <c:pt idx="0">
                  <c:v>27</c:v>
                </c:pt>
                <c:pt idx="1">
                  <c:v>23</c:v>
                </c:pt>
                <c:pt idx="2">
                  <c:v>24</c:v>
                </c:pt>
                <c:pt idx="3">
                  <c:v>20</c:v>
                </c:pt>
                <c:pt idx="4">
                  <c:v>31</c:v>
                </c:pt>
                <c:pt idx="5">
                  <c:v>23</c:v>
                </c:pt>
                <c:pt idx="6">
                  <c:v>27</c:v>
                </c:pt>
                <c:pt idx="7">
                  <c:v>27</c:v>
                </c:pt>
                <c:pt idx="8">
                  <c:v>24</c:v>
                </c:pt>
                <c:pt idx="9">
                  <c:v>24</c:v>
                </c:pt>
                <c:pt idx="10">
                  <c:v>26</c:v>
                </c:pt>
                <c:pt idx="11">
                  <c:v>17</c:v>
                </c:pt>
                <c:pt idx="12">
                  <c:v>24</c:v>
                </c:pt>
                <c:pt idx="13">
                  <c:v>20</c:v>
                </c:pt>
                <c:pt idx="14">
                  <c:v>25</c:v>
                </c:pt>
                <c:pt idx="15">
                  <c:v>30</c:v>
                </c:pt>
                <c:pt idx="16">
                  <c:v>27</c:v>
                </c:pt>
                <c:pt idx="17">
                  <c:v>24</c:v>
                </c:pt>
                <c:pt idx="18">
                  <c:v>22</c:v>
                </c:pt>
                <c:pt idx="19">
                  <c:v>24</c:v>
                </c:pt>
                <c:pt idx="2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F-4DC4-890F-0783A803F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068672"/>
        <c:axId val="451073712"/>
      </c:barChart>
      <c:catAx>
        <c:axId val="451068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1073712"/>
        <c:crosses val="autoZero"/>
        <c:auto val="1"/>
        <c:lblAlgn val="ctr"/>
        <c:lblOffset val="100"/>
        <c:noMultiLvlLbl val="0"/>
      </c:catAx>
      <c:valAx>
        <c:axId val="45107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liczba połączeń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106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78967</xdr:colOff>
      <xdr:row>6</xdr:row>
      <xdr:rowOff>130419</xdr:rowOff>
    </xdr:from>
    <xdr:to>
      <xdr:col>18</xdr:col>
      <xdr:colOff>376929</xdr:colOff>
      <xdr:row>21</xdr:row>
      <xdr:rowOff>64966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C7FF5C5-F784-6D99-FB69-A49EF99C9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93.959568981481" createdVersion="8" refreshedVersion="8" minRefreshableVersion="3" recordCount="2148" xr:uid="{D8F48F5C-38CF-41E9-9075-D0EF7DCDBDBB}">
  <cacheSource type="worksheet">
    <worksheetSource ref="A1:E2149" sheet="5.1"/>
  </cacheSource>
  <cacheFields count="5">
    <cacheField name="nr" numFmtId="0">
      <sharedItems containsSemiMixedTypes="0" containsString="0" containsNumber="1" containsInteger="1" minValue="1003402" maxValue="9967523741" count="1834">
        <n v="3539762"/>
        <n v="4546455"/>
        <n v="6900303"/>
        <n v="4250194"/>
        <n v="54586484"/>
        <n v="26204415"/>
        <n v="8596929"/>
        <n v="44937926"/>
        <n v="5816822"/>
        <n v="96191858"/>
        <n v="47261256"/>
        <n v="22747425"/>
        <n v="3352943"/>
        <n v="35634368"/>
        <n v="8313390"/>
        <n v="3954712"/>
        <n v="2109147679"/>
        <n v="1787732"/>
        <n v="7834807"/>
        <n v="33320202"/>
        <n v="1488369"/>
        <n v="2631285"/>
        <n v="7415603"/>
        <n v="96375379"/>
        <n v="6976431"/>
        <n v="4093292"/>
        <n v="6312575"/>
        <n v="38535407"/>
        <n v="9413315"/>
        <n v="8514016"/>
        <n v="40965486"/>
        <n v="1435049"/>
        <n v="85598139"/>
        <n v="1926053"/>
        <n v="82949156"/>
        <n v="73690742"/>
        <n v="5107477025"/>
        <n v="4787793"/>
        <n v="79381100"/>
        <n v="4146159"/>
        <n v="13484133"/>
        <n v="4657345"/>
        <n v="3697935"/>
        <n v="2668991"/>
        <n v="3520189"/>
        <n v="3897347"/>
        <n v="1867016"/>
        <n v="96949751"/>
        <n v="81613163"/>
        <n v="6050344"/>
        <n v="7727942"/>
        <n v="8249721"/>
        <n v="6894270"/>
        <n v="3095218"/>
        <n v="45081794"/>
        <n v="3533271"/>
        <n v="9088452"/>
        <n v="3379401"/>
        <n v="73350537"/>
        <n v="83707586"/>
        <n v="1480206"/>
        <n v="2028923"/>
        <n v="81880891"/>
        <n v="4274149"/>
        <n v="3505978"/>
        <n v="8504601"/>
        <n v="8214927"/>
        <n v="5913547"/>
        <n v="14783929"/>
        <n v="2915745"/>
        <n v="1100142"/>
        <n v="7795911"/>
        <n v="1709455"/>
        <n v="6674505"/>
        <n v="6920814"/>
        <n v="6161675"/>
        <n v="8498076"/>
        <n v="4174785"/>
        <n v="3776937"/>
        <n v="2636055"/>
        <n v="4555937"/>
        <n v="80306197"/>
        <n v="99162491"/>
        <n v="9422310"/>
        <n v="20679187"/>
        <n v="6087997"/>
        <n v="5253133"/>
        <n v="1508356"/>
        <n v="9171025"/>
        <n v="7191598"/>
        <n v="90533733"/>
        <n v="6859181"/>
        <n v="7207066"/>
        <n v="4230507"/>
        <n v="2235911"/>
        <n v="1611389"/>
        <n v="9052652"/>
        <n v="93611539"/>
        <n v="68966479"/>
        <n v="4697138"/>
        <n v="5786740"/>
        <n v="8384647"/>
        <n v="1858872516"/>
        <n v="5528648"/>
        <n v="2157195"/>
        <n v="7747085"/>
        <n v="6865106"/>
        <n v="8819206"/>
        <n v="3990337"/>
        <n v="4238684"/>
        <n v="86774913"/>
        <n v="93696449"/>
        <n v="1269611"/>
        <n v="4623731"/>
        <n v="3127402"/>
        <n v="1714791"/>
        <n v="7768277"/>
        <n v="4371394"/>
        <n v="9803545"/>
        <n v="4176704"/>
        <n v="90271112"/>
        <n v="8136309"/>
        <n v="3178616"/>
        <n v="27791497"/>
        <n v="4738129"/>
        <n v="54840810"/>
        <n v="8885606"/>
        <n v="6730442"/>
        <n v="3326913"/>
        <n v="9865716"/>
        <n v="73284745"/>
        <n v="1761255"/>
        <n v="48625903"/>
        <n v="18036364"/>
        <n v="38063903"/>
        <n v="16999529"/>
        <n v="8385222"/>
        <n v="8086847"/>
        <n v="5215912"/>
        <n v="1973826522"/>
        <n v="2255197"/>
        <n v="6719542"/>
        <n v="1837797"/>
        <n v="6772052"/>
        <n v="6495517"/>
        <n v="6275284312"/>
        <n v="5997385"/>
        <n v="8449157"/>
        <n v="1301099"/>
        <n v="1774304298"/>
        <n v="52165701"/>
        <n v="49158974"/>
        <n v="6231537"/>
        <n v="6965661375"/>
        <n v="8831940"/>
        <n v="7421868"/>
        <n v="5131341"/>
        <n v="3121850"/>
        <n v="6905863"/>
        <n v="2514802"/>
        <n v="3931464"/>
        <n v="1583683"/>
        <n v="1521041994"/>
        <n v="9187410"/>
        <n v="8228350"/>
        <n v="5508903"/>
        <n v="3102910"/>
        <n v="45948073"/>
        <n v="58037769"/>
        <n v="3434934"/>
        <n v="4963499"/>
        <n v="7904403"/>
        <n v="4389240"/>
        <n v="68647339"/>
        <n v="8461631"/>
        <n v="3087246"/>
        <n v="9321082"/>
        <n v="4941247888"/>
        <n v="9610703"/>
        <n v="7236035"/>
        <n v="2675422"/>
        <n v="99056276"/>
        <n v="1715377"/>
        <n v="6700458395"/>
        <n v="2211277198"/>
        <n v="9866373"/>
        <n v="4526057"/>
        <n v="70786056"/>
        <n v="9874705"/>
        <n v="2506618"/>
        <n v="9620895"/>
        <n v="8187780"/>
        <n v="4176999"/>
        <n v="9937257"/>
        <n v="4363716"/>
        <n v="96323047"/>
        <n v="2750193"/>
        <n v="7973319"/>
        <n v="1908394"/>
        <n v="19116274"/>
        <n v="1235622"/>
        <n v="1458287"/>
        <n v="3758539398"/>
        <n v="8471021"/>
        <n v="4039284"/>
        <n v="3177370"/>
        <n v="6689117"/>
        <n v="4824267"/>
        <n v="6978234"/>
        <n v="2158377"/>
        <n v="73970924"/>
        <n v="6927270"/>
        <n v="7318247385"/>
        <n v="1579531"/>
        <n v="9593481"/>
        <n v="6657074"/>
        <n v="1797960"/>
        <n v="65923776"/>
        <n v="3407358"/>
        <n v="1887758"/>
        <n v="9983997"/>
        <n v="58067439"/>
        <n v="6760428735"/>
        <n v="9803006"/>
        <n v="5312081"/>
        <n v="7114306"/>
        <n v="7594764"/>
        <n v="3004571"/>
        <n v="1081610"/>
        <n v="20220216"/>
        <n v="79890857"/>
        <n v="4600571814"/>
        <n v="7110850"/>
        <n v="6712006"/>
        <n v="5646830"/>
        <n v="66871690"/>
        <n v="7085993"/>
        <n v="2890720"/>
        <n v="8375968"/>
        <n v="1119740"/>
        <n v="3796958"/>
        <n v="8010775"/>
        <n v="46023878"/>
        <n v="3379007610"/>
        <n v="2890519255"/>
        <n v="27858818"/>
        <n v="5076649"/>
        <n v="70367818"/>
        <n v="9788998"/>
        <n v="1951101"/>
        <n v="12687991"/>
        <n v="4328583"/>
        <n v="2184116"/>
        <n v="24724570"/>
        <n v="4843076"/>
        <n v="42722517"/>
        <n v="9697189"/>
        <n v="4471203"/>
        <n v="1439114"/>
        <n v="5822881"/>
        <n v="6027120"/>
        <n v="2790475"/>
        <n v="30893038"/>
        <n v="5013602"/>
        <n v="5696056"/>
        <n v="11274735"/>
        <n v="1158631"/>
        <n v="6009110"/>
        <n v="6644360383"/>
        <n v="6045882"/>
        <n v="4113351"/>
        <n v="9777118"/>
        <n v="1659814"/>
        <n v="8471544"/>
        <n v="5912377607"/>
        <n v="77705897"/>
        <n v="5894865"/>
        <n v="7449832"/>
        <n v="49390412"/>
        <n v="6156594"/>
        <n v="5006675"/>
        <n v="2096180"/>
        <n v="9683894"/>
        <n v="2808052"/>
        <n v="18084593"/>
        <n v="1390402"/>
        <n v="44200961"/>
        <n v="5859235"/>
        <n v="51855396"/>
        <n v="8768896"/>
        <n v="9088045"/>
        <n v="9872216"/>
        <n v="8369815"/>
        <n v="3370151"/>
        <n v="4132754"/>
        <n v="66638685"/>
        <n v="6818507"/>
        <n v="66336445"/>
        <n v="9356324"/>
        <n v="5111892302"/>
        <n v="2435007"/>
        <n v="6694568"/>
        <n v="6420583"/>
        <n v="19835498"/>
        <n v="6663334"/>
        <n v="44765837"/>
        <n v="2469778"/>
        <n v="1959826"/>
        <n v="37032078"/>
        <n v="6516512"/>
        <n v="4726561"/>
        <n v="9685747"/>
        <n v="7507354"/>
        <n v="8605742"/>
        <n v="4681236"/>
        <n v="3590468"/>
        <n v="9878283"/>
        <n v="5991516"/>
        <n v="1240369"/>
        <n v="25133293"/>
        <n v="5036422"/>
        <n v="4283724"/>
        <n v="5856822"/>
        <n v="7880396"/>
        <n v="2201085"/>
        <n v="9319894"/>
        <n v="3211876"/>
        <n v="4736016"/>
        <n v="8063487"/>
        <n v="1319121"/>
        <n v="5026277"/>
        <n v="48661666"/>
        <n v="9304830"/>
        <n v="3040267"/>
        <n v="8405954"/>
        <n v="75873682"/>
        <n v="5984039"/>
        <n v="9807682"/>
        <n v="3029994"/>
        <n v="9415767851"/>
        <n v="2388040"/>
        <n v="41974998"/>
        <n v="8400710"/>
        <n v="1088377750"/>
        <n v="62016185"/>
        <n v="4002406"/>
        <n v="2394144"/>
        <n v="9763924"/>
        <n v="7977726"/>
        <n v="7219884"/>
        <n v="8211396842"/>
        <n v="4860618"/>
        <n v="6290575"/>
        <n v="13972929"/>
        <n v="7663988"/>
        <n v="90532439"/>
        <n v="5505912"/>
        <n v="70678482"/>
        <n v="6578914"/>
        <n v="3444629"/>
        <n v="95211263"/>
        <n v="9468070"/>
        <n v="31516318"/>
        <n v="8163790"/>
        <n v="18070008"/>
        <n v="94634526"/>
        <n v="67964973"/>
        <n v="8685299481"/>
        <n v="8863988"/>
        <n v="29121099"/>
        <n v="2814524"/>
        <n v="5341697748"/>
        <n v="4102482"/>
        <n v="5636281"/>
        <n v="7715424"/>
        <n v="3811342"/>
        <n v="8177683"/>
        <n v="51367705"/>
        <n v="7646265"/>
        <n v="37906881"/>
        <n v="9740908"/>
        <n v="8070345"/>
        <n v="52214055"/>
        <n v="8434044"/>
        <n v="4702334"/>
        <n v="1308483040"/>
        <n v="34556399"/>
        <n v="48676568"/>
        <n v="4405604"/>
        <n v="2327418"/>
        <n v="5205087"/>
        <n v="1936989939"/>
        <n v="2722706"/>
        <n v="3018218"/>
        <n v="3765658"/>
        <n v="43109897"/>
        <n v="71207090"/>
        <n v="3465997"/>
        <n v="17490780"/>
        <n v="9805082"/>
        <n v="6333547"/>
        <n v="8424969"/>
        <n v="41210751"/>
        <n v="80907155"/>
        <n v="16303399"/>
        <n v="7841442"/>
        <n v="5512237"/>
        <n v="2557668"/>
        <n v="4469748"/>
        <n v="7773546"/>
        <n v="9521805"/>
        <n v="1640140"/>
        <n v="5415372"/>
        <n v="23504109"/>
        <n v="7914439"/>
        <n v="3900921"/>
        <n v="9176754"/>
        <n v="1814327"/>
        <n v="87702896"/>
        <n v="4131448"/>
        <n v="97798921"/>
        <n v="3919087"/>
        <n v="2619219"/>
        <n v="54536153"/>
        <n v="6813775"/>
        <n v="72312196"/>
        <n v="9532678004"/>
        <n v="4653709"/>
        <n v="1734512"/>
        <n v="6741642"/>
        <n v="45862784"/>
        <n v="25147401"/>
        <n v="7432767"/>
        <n v="3599100"/>
        <n v="8251878"/>
        <n v="2826868"/>
        <n v="76099906"/>
        <n v="5147242"/>
        <n v="9600226"/>
        <n v="1337042"/>
        <n v="1223943"/>
        <n v="3525921"/>
        <n v="5094248"/>
        <n v="7275091"/>
        <n v="73042148"/>
        <n v="8570276"/>
        <n v="1775586"/>
        <n v="5162775"/>
        <n v="56115408"/>
        <n v="6766881"/>
        <n v="9502975"/>
        <n v="4212838"/>
        <n v="6952061"/>
        <n v="56127547"/>
        <n v="4952685"/>
        <n v="8632893"/>
        <n v="7320123"/>
        <n v="4901642"/>
        <n v="39669014"/>
        <n v="48919339"/>
        <n v="4960687"/>
        <n v="41156424"/>
        <n v="5087066"/>
        <n v="4636713"/>
        <n v="3944120"/>
        <n v="5960122"/>
        <n v="6795454"/>
        <n v="5013688"/>
        <n v="9487255"/>
        <n v="1592822"/>
        <n v="9084978"/>
        <n v="80038636"/>
        <n v="2021941339"/>
        <n v="7718350"/>
        <n v="3153283"/>
        <n v="6341482"/>
        <n v="8049834"/>
        <n v="6374704"/>
        <n v="99625315"/>
        <n v="9728932"/>
        <n v="9121149"/>
        <n v="4148520"/>
        <n v="55462392"/>
        <n v="8130722"/>
        <n v="5448890"/>
        <n v="6118241"/>
        <n v="98238772"/>
        <n v="9524588"/>
        <n v="4759206"/>
        <n v="9197309"/>
        <n v="8322522"/>
        <n v="4264808"/>
        <n v="5820632164"/>
        <n v="89814525"/>
        <n v="1223816"/>
        <n v="18503160"/>
        <n v="21677804"/>
        <n v="4144248"/>
        <n v="16392077"/>
        <n v="8865092"/>
        <n v="92597723"/>
        <n v="49840829"/>
        <n v="20354301"/>
        <n v="2731955"/>
        <n v="2304726"/>
        <n v="4848864"/>
        <n v="6709939"/>
        <n v="8870498"/>
        <n v="2947889"/>
        <n v="8270097"/>
        <n v="8183468"/>
        <n v="3263806"/>
        <n v="7792980"/>
        <n v="88929925"/>
        <n v="2478461"/>
        <n v="2838216"/>
        <n v="4853153"/>
        <n v="2985743"/>
        <n v="97596112"/>
        <n v="1247125"/>
        <n v="6982652"/>
        <n v="11209967"/>
        <n v="6251788"/>
        <n v="8679036"/>
        <n v="1288637"/>
        <n v="4825302"/>
        <n v="5349562"/>
        <n v="5893512"/>
        <n v="7138804596"/>
        <n v="6468376"/>
        <n v="3494192"/>
        <n v="8150086"/>
        <n v="3934931"/>
        <n v="2111996"/>
        <n v="6484436"/>
        <n v="97646706"/>
        <n v="9932676"/>
        <n v="6062869"/>
        <n v="2828759"/>
        <n v="7215284"/>
        <n v="1384299"/>
        <n v="2486941"/>
        <n v="6561564994"/>
        <n v="1207918"/>
        <n v="66800387"/>
        <n v="49093359"/>
        <n v="2252239"/>
        <n v="4925279"/>
        <n v="25459710"/>
        <n v="3943994"/>
        <n v="9967649"/>
        <n v="2947660"/>
        <n v="6492842"/>
        <n v="70730125"/>
        <n v="4056361"/>
        <n v="12721215"/>
        <n v="4566750"/>
        <n v="7279106"/>
        <n v="3824660"/>
        <n v="5815339"/>
        <n v="77946476"/>
        <n v="84589848"/>
        <n v="4501823"/>
        <n v="38244568"/>
        <n v="3613950"/>
        <n v="5750819"/>
        <n v="63291235"/>
        <n v="3198725"/>
        <n v="6248157784"/>
        <n v="6607648"/>
        <n v="5340881"/>
        <n v="3072421"/>
        <n v="1909553"/>
        <n v="62836073"/>
        <n v="9566647"/>
        <n v="5833452"/>
        <n v="10760583"/>
        <n v="5147651"/>
        <n v="41144838"/>
        <n v="1332513"/>
        <n v="7743548"/>
        <n v="7451541965"/>
        <n v="5022247"/>
        <n v="2920581"/>
        <n v="7126980"/>
        <n v="54006070"/>
        <n v="8672651"/>
        <n v="54136845"/>
        <n v="5223970"/>
        <n v="5790304"/>
        <n v="6269166"/>
        <n v="5089019"/>
        <n v="6994188"/>
        <n v="16883712"/>
        <n v="2781512"/>
        <n v="4273704"/>
        <n v="3707498"/>
        <n v="5251861"/>
        <n v="7473070"/>
        <n v="3596504"/>
        <n v="9620982"/>
        <n v="6833658"/>
        <n v="85422307"/>
        <n v="6191682"/>
        <n v="6461167"/>
        <n v="8982137"/>
        <n v="47677051"/>
        <n v="76139570"/>
        <n v="38047574"/>
        <n v="3184339"/>
        <n v="8126744698"/>
        <n v="52391912"/>
        <n v="14201334"/>
        <n v="1972250241"/>
        <n v="3028093"/>
        <n v="27487200"/>
        <n v="7377702"/>
        <n v="9294571"/>
        <n v="62086163"/>
        <n v="6367284"/>
        <n v="1811630"/>
        <n v="9346036178"/>
        <n v="1138033"/>
        <n v="2114812"/>
        <n v="4195677"/>
        <n v="3493348"/>
        <n v="6005020"/>
        <n v="2227803"/>
        <n v="4007464"/>
        <n v="54713807"/>
        <n v="7097883"/>
        <n v="48630026"/>
        <n v="1279245"/>
        <n v="2571251"/>
        <n v="1454555"/>
        <n v="21996267"/>
        <n v="8429072"/>
        <n v="9815754"/>
        <n v="2434652"/>
        <n v="4939683"/>
        <n v="6821027"/>
        <n v="3253368"/>
        <n v="91743317"/>
        <n v="5104536"/>
        <n v="7353916"/>
        <n v="4412771"/>
        <n v="7891185"/>
        <n v="90417363"/>
        <n v="4929499"/>
        <n v="3824371"/>
        <n v="1219073"/>
        <n v="94197168"/>
        <n v="8655825"/>
        <n v="47707639"/>
        <n v="5029329"/>
        <n v="8825868"/>
        <n v="76777492"/>
        <n v="71036125"/>
        <n v="2989192"/>
        <n v="9849071"/>
        <n v="47025160"/>
        <n v="2248131"/>
        <n v="6293367175"/>
        <n v="5092577"/>
        <n v="7937998"/>
        <n v="7269536"/>
        <n v="98939809"/>
        <n v="7766265"/>
        <n v="1233459"/>
        <n v="9398644"/>
        <n v="3390459"/>
        <n v="5252835"/>
        <n v="15643568"/>
        <n v="39921944"/>
        <n v="88664428"/>
        <n v="4111617"/>
        <n v="9804309"/>
        <n v="3382728"/>
        <n v="9091369"/>
        <n v="3981821518"/>
        <n v="6304174"/>
        <n v="8233999"/>
        <n v="97782375"/>
        <n v="93794133"/>
        <n v="85838361"/>
        <n v="1616328"/>
        <n v="9773176"/>
        <n v="8246306"/>
        <n v="2412611"/>
        <n v="68677362"/>
        <n v="6766787935"/>
        <n v="6158527"/>
        <n v="3456554"/>
        <n v="3437033"/>
        <n v="2128068"/>
        <n v="9259392564"/>
        <n v="7852624"/>
        <n v="8838584"/>
        <n v="2492731"/>
        <n v="8028777"/>
        <n v="7979313"/>
        <n v="23123600"/>
        <n v="9849476"/>
        <n v="27410048"/>
        <n v="6746757"/>
        <n v="9680416"/>
        <n v="9356216"/>
        <n v="28145499"/>
        <n v="61527800"/>
        <n v="4873703"/>
        <n v="43019885"/>
        <n v="7388260"/>
        <n v="4581715"/>
        <n v="58420185"/>
        <n v="4473835"/>
        <n v="7739841"/>
        <n v="1692981"/>
        <n v="9270571"/>
        <n v="6299545"/>
        <n v="67064385"/>
        <n v="4062215"/>
        <n v="2835355"/>
        <n v="9283739"/>
        <n v="7118082"/>
        <n v="30178521"/>
        <n v="5014399"/>
        <n v="3984696"/>
        <n v="53386383"/>
        <n v="8733120283"/>
        <n v="6934405"/>
        <n v="76310343"/>
        <n v="9005999"/>
        <n v="7763451"/>
        <n v="3765001"/>
        <n v="4995171"/>
        <n v="8929993"/>
        <n v="7473804"/>
        <n v="1816002"/>
        <n v="4133182"/>
        <n v="63141248"/>
        <n v="7384686"/>
        <n v="3150344"/>
        <n v="6786847"/>
        <n v="28961250"/>
        <n v="3328479"/>
        <n v="61322035"/>
        <n v="40308049"/>
        <n v="7066778"/>
        <n v="3017523"/>
        <n v="26699217"/>
        <n v="3192836"/>
        <n v="6979384"/>
        <n v="5277660"/>
        <n v="9543572"/>
        <n v="47855743"/>
        <n v="7933399"/>
        <n v="54821549"/>
        <n v="14919021"/>
        <n v="9175377"/>
        <n v="3656681"/>
        <n v="5741700"/>
        <n v="18816694"/>
        <n v="6177366"/>
        <n v="4221160"/>
        <n v="9339774"/>
        <n v="46255010"/>
        <n v="91208799"/>
        <n v="7211782"/>
        <n v="3429335"/>
        <n v="3206241"/>
        <n v="8750670"/>
        <n v="7792679"/>
        <n v="9287211"/>
        <n v="1997542"/>
        <n v="3558582"/>
        <n v="25240352"/>
        <n v="5829504"/>
        <n v="97317489"/>
        <n v="53762222"/>
        <n v="3363840"/>
        <n v="5542324"/>
        <n v="9853612"/>
        <n v="5392799"/>
        <n v="1089768"/>
        <n v="4274311"/>
        <n v="8276893"/>
        <n v="24724114"/>
        <n v="23580194"/>
        <n v="1775131"/>
        <n v="8001915"/>
        <n v="7508054"/>
        <n v="5854377"/>
        <n v="3478173"/>
        <n v="3999937"/>
        <n v="83559673"/>
        <n v="1355775"/>
        <n v="3463982286"/>
        <n v="9894998"/>
        <n v="8841955"/>
        <n v="7379567"/>
        <n v="2092198"/>
        <n v="6006309"/>
        <n v="6736331"/>
        <n v="7291318"/>
        <n v="3232376"/>
        <n v="7536048937"/>
        <n v="6026397"/>
        <n v="65621292"/>
        <n v="13898038"/>
        <n v="6018613"/>
        <n v="7741751"/>
        <n v="5512492"/>
        <n v="36332723"/>
        <n v="49342013"/>
        <n v="2329556"/>
        <n v="2969264"/>
        <n v="8498683"/>
        <n v="2341441"/>
        <n v="30270334"/>
        <n v="2145244"/>
        <n v="7627829"/>
        <n v="9182658"/>
        <n v="4191600"/>
        <n v="5492379"/>
        <n v="2861766"/>
        <n v="1309359"/>
        <n v="5272270"/>
        <n v="9266643"/>
        <n v="3460208"/>
        <n v="25545000"/>
        <n v="4471828"/>
        <n v="6516836"/>
        <n v="1197931"/>
        <n v="8750619"/>
        <n v="2076719"/>
        <n v="3131883"/>
        <n v="1552302"/>
        <n v="33708687"/>
        <n v="5913571"/>
        <n v="97953696"/>
        <n v="13588783"/>
        <n v="3300626"/>
        <n v="39697250"/>
        <n v="3826370863"/>
        <n v="8026912"/>
        <n v="24290062"/>
        <n v="6785899"/>
        <n v="75048005"/>
        <n v="97459926"/>
        <n v="9979899"/>
        <n v="4575865"/>
        <n v="1808444"/>
        <n v="1649912"/>
        <n v="6128500046"/>
        <n v="6580951"/>
        <n v="5536146"/>
        <n v="7396921"/>
        <n v="8331262"/>
        <n v="5146166"/>
        <n v="6729705"/>
        <n v="5372125"/>
        <n v="7880585"/>
        <n v="3652646"/>
        <n v="3691457"/>
        <n v="4344184930"/>
        <n v="5290460"/>
        <n v="6922037"/>
        <n v="7060245"/>
        <n v="5788783"/>
        <n v="8647144"/>
        <n v="24665933"/>
        <n v="3326329"/>
        <n v="3478111"/>
        <n v="82239478"/>
        <n v="2557643"/>
        <n v="4501726"/>
        <n v="1415198"/>
        <n v="23368531"/>
        <n v="5750549"/>
        <n v="3897850970"/>
        <n v="2573868"/>
        <n v="1701008"/>
        <n v="1617146"/>
        <n v="73460179"/>
        <n v="5983034"/>
        <n v="16724936"/>
        <n v="19343766"/>
        <n v="7439955"/>
        <n v="7224275"/>
        <n v="1679471"/>
        <n v="6270159"/>
        <n v="1482340"/>
        <n v="28185580"/>
        <n v="4222605"/>
        <n v="3785540"/>
        <n v="6151478"/>
        <n v="9926754"/>
        <n v="89098100"/>
        <n v="6460935"/>
        <n v="1661633"/>
        <n v="5809293"/>
        <n v="7088840"/>
        <n v="1302112"/>
        <n v="8299537"/>
        <n v="1519891"/>
        <n v="29771613"/>
        <n v="59864989"/>
        <n v="2741017"/>
        <n v="1092699"/>
        <n v="3284714"/>
        <n v="1822675725"/>
        <n v="9595194"/>
        <n v="5015921"/>
        <n v="1015521"/>
        <n v="4452201"/>
        <n v="6801890"/>
        <n v="19638469"/>
        <n v="43897696"/>
        <n v="8253162"/>
        <n v="42038927"/>
        <n v="5758962"/>
        <n v="77096634"/>
        <n v="8041809"/>
        <n v="6735390"/>
        <n v="93811207"/>
        <n v="8079505"/>
        <n v="3348581"/>
        <n v="5464497"/>
        <n v="5744567"/>
        <n v="1332884"/>
        <n v="38823305"/>
        <n v="7160339"/>
        <n v="43277353"/>
        <n v="8749135"/>
        <n v="16977213"/>
        <n v="13221411"/>
        <n v="2653312"/>
        <n v="4187727"/>
        <n v="4370146"/>
        <n v="5725773"/>
        <n v="6345014"/>
        <n v="7507831"/>
        <n v="1198407"/>
        <n v="4055319"/>
        <n v="45158089"/>
        <n v="8159631"/>
        <n v="2645518"/>
        <n v="5199929"/>
        <n v="1431491"/>
        <n v="39848401"/>
        <n v="9225807"/>
        <n v="7986409"/>
        <n v="54554135"/>
        <n v="1263080"/>
        <n v="9772824"/>
        <n v="1157434"/>
        <n v="8799928507"/>
        <n v="5372891"/>
        <n v="2663800"/>
        <n v="32779069"/>
        <n v="8261808"/>
        <n v="7321543"/>
        <n v="7513392"/>
        <n v="77036136"/>
        <n v="1700508"/>
        <n v="7872182"/>
        <n v="84513035"/>
        <n v="1225082"/>
        <n v="1586675"/>
        <n v="2672229"/>
        <n v="2443869"/>
        <n v="7166411"/>
        <n v="6070329"/>
        <n v="4845362"/>
        <n v="6333341"/>
        <n v="5060909"/>
        <n v="4673703944"/>
        <n v="2079170589"/>
        <n v="1117628"/>
        <n v="5487496"/>
        <n v="1472682"/>
        <n v="43885630"/>
        <n v="5543741"/>
        <n v="2590674"/>
        <n v="7836418"/>
        <n v="2844911"/>
        <n v="9655946"/>
        <n v="6050570"/>
        <n v="1607422"/>
        <n v="1192412"/>
        <n v="4959551431"/>
        <n v="9808221"/>
        <n v="8672623"/>
        <n v="3862016"/>
        <n v="16580449"/>
        <n v="2078150"/>
        <n v="2584185"/>
        <n v="3346801494"/>
        <n v="4535172"/>
        <n v="8723323"/>
        <n v="76845076"/>
        <n v="12063341"/>
        <n v="9866204"/>
        <n v="9364912"/>
        <n v="9975977"/>
        <n v="8802222"/>
        <n v="1552877"/>
        <n v="6516534288"/>
        <n v="68647777"/>
        <n v="3360951"/>
        <n v="9127211929"/>
        <n v="9647309"/>
        <n v="6024447"/>
        <n v="12919749"/>
        <n v="3287315"/>
        <n v="9953379"/>
        <n v="97558765"/>
        <n v="97876188"/>
        <n v="4068728"/>
        <n v="7624070"/>
        <n v="2419247"/>
        <n v="5244597"/>
        <n v="2005653"/>
        <n v="7203715"/>
        <n v="4520463"/>
        <n v="4454837"/>
        <n v="6999348"/>
        <n v="90884366"/>
        <n v="3121640"/>
        <n v="5912710"/>
        <n v="9100303"/>
        <n v="25581178"/>
        <n v="78976022"/>
        <n v="7781904"/>
        <n v="8474693946"/>
        <n v="8984769"/>
        <n v="40395856"/>
        <n v="8135542"/>
        <n v="10093488"/>
        <n v="4203418"/>
        <n v="2456290"/>
        <n v="27610972"/>
        <n v="3073815"/>
        <n v="9776810"/>
        <n v="6763741"/>
        <n v="2309436"/>
        <n v="69001821"/>
        <n v="2150051"/>
        <n v="9967523741"/>
        <n v="23300236"/>
        <n v="4714815"/>
        <n v="47596793"/>
        <n v="6574044"/>
        <n v="9475290"/>
        <n v="4458725"/>
        <n v="4785864"/>
        <n v="3109039"/>
        <n v="7340326"/>
        <n v="7865428"/>
        <n v="1467591"/>
        <n v="2475157"/>
        <n v="6023049"/>
        <n v="39210366"/>
        <n v="90880011"/>
        <n v="3931739393"/>
        <n v="4079013"/>
        <n v="7751076"/>
        <n v="27684909"/>
        <n v="1588418"/>
        <n v="5333653356"/>
        <n v="6305758"/>
        <n v="45373038"/>
        <n v="7589993"/>
        <n v="5588421"/>
        <n v="9662407"/>
        <n v="3422062"/>
        <n v="9305031"/>
        <n v="4911005"/>
        <n v="1391272"/>
        <n v="5027404"/>
        <n v="64900068"/>
        <n v="45015009"/>
        <n v="20424852"/>
        <n v="8250018"/>
        <n v="1161028310"/>
        <n v="66465215"/>
        <n v="6386788"/>
        <n v="3589291"/>
        <n v="9254070"/>
        <n v="6337931"/>
        <n v="3563037"/>
        <n v="2302227"/>
        <n v="24454566"/>
        <n v="6551880"/>
        <n v="6616163"/>
        <n v="96381896"/>
        <n v="6892980"/>
        <n v="52064221"/>
        <n v="7571642"/>
        <n v="9570286"/>
        <n v="7632647"/>
        <n v="81575080"/>
        <n v="7677384"/>
        <n v="6194112"/>
        <n v="67913744"/>
        <n v="9418587"/>
        <n v="3273221616"/>
        <n v="7364500"/>
        <n v="69273048"/>
        <n v="1345591"/>
        <n v="13674393"/>
        <n v="5273579381"/>
        <n v="2873323"/>
        <n v="2733008"/>
        <n v="7292887"/>
        <n v="6855900"/>
        <n v="2402827"/>
        <n v="6510330"/>
        <n v="4065787"/>
        <n v="4303543625"/>
        <n v="3858766"/>
        <n v="41852472"/>
        <n v="25574074"/>
        <n v="8690793"/>
        <n v="8487003"/>
        <n v="50583407"/>
        <n v="4983193"/>
        <n v="1316116"/>
        <n v="3574623"/>
        <n v="71218936"/>
        <n v="55621633"/>
        <n v="1898174"/>
        <n v="4844054"/>
        <n v="7701901"/>
        <n v="5900664"/>
        <n v="4698731"/>
        <n v="4606501"/>
        <n v="3851940"/>
        <n v="7972076"/>
        <n v="1911796"/>
        <n v="7362963"/>
        <n v="3086185"/>
        <n v="7622819"/>
        <n v="5610335"/>
        <n v="2089993"/>
        <n v="2635121"/>
        <n v="6725216"/>
        <n v="6530661"/>
        <n v="8691743"/>
        <n v="2771511"/>
        <n v="7471152"/>
        <n v="89691426"/>
        <n v="5305478"/>
        <n v="4305632"/>
        <n v="9526179"/>
        <n v="1268336"/>
        <n v="7288626"/>
        <n v="53117702"/>
        <n v="10201038"/>
        <n v="3153023"/>
        <n v="1747389"/>
        <n v="5526425146"/>
        <n v="93050839"/>
        <n v="1288318920"/>
        <n v="5613566"/>
        <n v="2406196"/>
        <n v="9046365"/>
        <n v="5019634"/>
        <n v="90993861"/>
        <n v="4034491"/>
        <n v="57395204"/>
        <n v="9156106"/>
        <n v="7076463"/>
        <n v="3136675"/>
        <n v="7826456"/>
        <n v="4094662"/>
        <n v="3134379"/>
        <n v="1119016"/>
        <n v="28601187"/>
        <n v="2841969"/>
        <n v="57957786"/>
        <n v="6068132"/>
        <n v="8195842"/>
        <n v="98737794"/>
        <n v="6523054"/>
        <n v="26895957"/>
        <n v="5254694"/>
        <n v="3979680"/>
        <n v="96424596"/>
        <n v="4923459"/>
        <n v="81218024"/>
        <n v="6552755"/>
        <n v="44017210"/>
        <n v="64733982"/>
        <n v="2289072"/>
        <n v="71730854"/>
        <n v="3757504"/>
        <n v="8501225"/>
        <n v="3704193"/>
        <n v="4577789"/>
        <n v="5730350"/>
        <n v="8953850"/>
        <n v="3109133"/>
        <n v="3382699"/>
        <n v="9132555"/>
        <n v="5016981"/>
        <n v="1294973"/>
        <n v="7769531"/>
        <n v="1068000"/>
        <n v="5980925"/>
        <n v="9905075"/>
        <n v="1043289"/>
        <n v="8252939"/>
        <n v="67748426"/>
        <n v="4376637"/>
        <n v="6426011"/>
        <n v="9137235"/>
        <n v="7151490"/>
        <n v="5138547"/>
        <n v="79212542"/>
        <n v="1507196"/>
        <n v="8362094"/>
        <n v="5379981"/>
        <n v="4960672"/>
        <n v="9052582"/>
        <n v="2054346"/>
        <n v="6070136"/>
        <n v="6949463"/>
        <n v="1626862"/>
        <n v="99905503"/>
        <n v="2753778"/>
        <n v="3508755"/>
        <n v="1409543"/>
        <n v="6891636"/>
        <n v="8541151"/>
        <n v="8322802"/>
        <n v="30678431"/>
        <n v="41837828"/>
        <n v="13639748"/>
        <n v="8972366"/>
        <n v="5233531"/>
        <n v="3691176"/>
        <n v="66377806"/>
        <n v="6357818"/>
        <n v="7123731"/>
        <n v="91907883"/>
        <n v="69734527"/>
        <n v="7536096"/>
        <n v="60158843"/>
        <n v="6942059"/>
        <n v="28282891"/>
        <n v="2186880"/>
        <n v="92461001"/>
        <n v="16775888"/>
        <n v="1166111"/>
        <n v="9225043"/>
        <n v="6408952"/>
        <n v="81010250"/>
        <n v="8596442"/>
        <n v="3804078"/>
        <n v="6312012"/>
        <n v="7322741"/>
        <n v="2354992"/>
        <n v="1766133"/>
        <n v="2922327"/>
        <n v="1469705"/>
        <n v="4661635"/>
        <n v="4497624"/>
        <n v="52468382"/>
        <n v="5687077"/>
        <n v="3914070"/>
        <n v="84684423"/>
        <n v="6493406"/>
        <n v="1563816"/>
        <n v="7779935"/>
        <n v="4429479"/>
        <n v="2963652"/>
        <n v="91032395"/>
        <n v="4424322"/>
        <n v="9500083"/>
        <n v="2912297"/>
        <n v="4303945"/>
        <n v="3264546470"/>
        <n v="9021766"/>
        <n v="1500342"/>
        <n v="7295667"/>
        <n v="22266436"/>
        <n v="60885211"/>
        <n v="4379415"/>
        <n v="1296262"/>
        <n v="6175467"/>
        <n v="6434255"/>
        <n v="2723614"/>
        <n v="92326393"/>
        <n v="5039266"/>
        <n v="3861280"/>
        <n v="3982833"/>
        <n v="5835972"/>
        <n v="98382147"/>
        <n v="9427353"/>
        <n v="9727873"/>
        <n v="4804872"/>
        <n v="22583033"/>
        <n v="4056070"/>
        <n v="2701816"/>
        <n v="20735440"/>
        <n v="9076015"/>
        <n v="11070759"/>
        <n v="22176115"/>
        <n v="7456918"/>
        <n v="6896787"/>
        <n v="8414788"/>
        <n v="7896629"/>
        <n v="5970183"/>
        <n v="57891628"/>
        <n v="53378457"/>
        <n v="88666908"/>
        <n v="9279730"/>
        <n v="2928766"/>
        <n v="4334364"/>
        <n v="8405292"/>
        <n v="9870841"/>
        <n v="9722484"/>
        <n v="1159432"/>
        <n v="25194612"/>
        <n v="3624713"/>
        <n v="5616210"/>
        <n v="3305212"/>
        <n v="72701808"/>
        <n v="4285095"/>
        <n v="2585298"/>
        <n v="2947035"/>
        <n v="6615729"/>
        <n v="2135609"/>
        <n v="2697566"/>
        <n v="2569721"/>
        <n v="3968528766"/>
        <n v="8133585"/>
        <n v="45232967"/>
        <n v="8900603"/>
        <n v="9781981"/>
        <n v="9527543"/>
        <n v="91626903"/>
        <n v="1475008"/>
        <n v="4767842"/>
        <n v="64586869"/>
        <n v="7066389"/>
        <n v="28791070"/>
        <n v="44882393"/>
        <n v="29391132"/>
        <n v="9892639"/>
        <n v="3979295"/>
        <n v="8471219"/>
        <n v="5631380"/>
        <n v="6309138"/>
        <n v="72287838"/>
        <n v="2515441"/>
        <n v="8056387"/>
        <n v="5489867"/>
        <n v="4293872"/>
        <n v="99625946"/>
        <n v="9827875"/>
        <n v="40120881"/>
        <n v="42373338"/>
        <n v="55464931"/>
        <n v="3616291"/>
        <n v="3473734"/>
        <n v="63492662"/>
        <n v="2104331"/>
        <n v="9555643"/>
        <n v="5220235"/>
        <n v="26254490"/>
        <n v="26463662"/>
        <n v="2853860"/>
        <n v="1829028"/>
        <n v="1365581"/>
        <n v="9282666"/>
        <n v="7994769"/>
        <n v="3638038"/>
        <n v="5221005"/>
        <n v="2780765"/>
        <n v="3720500"/>
        <n v="89419064"/>
        <n v="9961121"/>
        <n v="5303411"/>
        <n v="5850216"/>
        <n v="4927402"/>
        <n v="60113139"/>
        <n v="2644526"/>
        <n v="7226610"/>
        <n v="9328179"/>
        <n v="7457716"/>
        <n v="1739364"/>
        <n v="1677537"/>
        <n v="55614678"/>
        <n v="4272221"/>
        <n v="1740380"/>
        <n v="6005355"/>
        <n v="2400590"/>
        <n v="7918038"/>
        <n v="7969038"/>
        <n v="11425383"/>
        <n v="2900584"/>
        <n v="48497496"/>
        <n v="98695684"/>
        <n v="7712618"/>
        <n v="8872311"/>
        <n v="6056372"/>
        <n v="8936656"/>
        <n v="22966872"/>
        <n v="3908162"/>
        <n v="20485333"/>
        <n v="78709747"/>
        <n v="1859884"/>
        <n v="2866546"/>
        <n v="23715237"/>
        <n v="6013508"/>
        <n v="22416837"/>
        <n v="9065927"/>
        <n v="8849918"/>
        <n v="20349502"/>
        <n v="9894723"/>
        <n v="9458504"/>
        <n v="4824710"/>
        <n v="6465122"/>
        <n v="6940373"/>
        <n v="29555837"/>
        <n v="6890486"/>
        <n v="1992079"/>
        <n v="7599611"/>
        <n v="1418351"/>
        <n v="5883714"/>
        <n v="1457083"/>
        <n v="9948096"/>
        <n v="2567031"/>
        <n v="5952625"/>
        <n v="8284495"/>
        <n v="5354141"/>
        <n v="5713477"/>
        <n v="6865322"/>
        <n v="9007177570"/>
        <n v="49920930"/>
        <n v="2239958"/>
        <n v="3680149"/>
        <n v="3654212"/>
        <n v="3192053"/>
        <n v="2355456"/>
        <n v="64932677"/>
        <n v="9419117"/>
        <n v="2509631"/>
        <n v="4505950"/>
        <n v="39663331"/>
        <n v="36929553"/>
        <n v="74135093"/>
        <n v="4483996"/>
        <n v="6264844"/>
        <n v="92127966"/>
        <n v="5440420"/>
        <n v="8840288"/>
        <n v="24850212"/>
        <n v="7857206"/>
        <n v="6146223"/>
        <n v="7119239917"/>
        <n v="8622421"/>
        <n v="9183185"/>
        <n v="2185216"/>
        <n v="9664191"/>
        <n v="8743781"/>
        <n v="97997759"/>
        <n v="4100331"/>
        <n v="9474267"/>
        <n v="3200206"/>
        <n v="72014227"/>
        <n v="3976931"/>
        <n v="6717763"/>
        <n v="2117176"/>
        <n v="67688044"/>
        <n v="3025855"/>
        <n v="8773356"/>
        <n v="1211446"/>
        <n v="3607585"/>
        <n v="7622848"/>
        <n v="7883595"/>
        <n v="61812355"/>
        <n v="6493766"/>
        <n v="4965118"/>
        <n v="7973476"/>
        <n v="6642574"/>
        <n v="2325155"/>
        <n v="1340323"/>
        <n v="8957203"/>
        <n v="7894591002"/>
        <n v="26891502"/>
        <n v="71021004"/>
        <n v="17314583"/>
        <n v="3972159"/>
        <n v="94989369"/>
        <n v="4857453"/>
        <n v="7980513"/>
        <n v="6896175"/>
        <n v="1689993"/>
        <n v="1183006"/>
        <n v="9446278"/>
        <n v="2445944"/>
        <n v="4404713"/>
        <n v="6495153"/>
        <n v="2684831"/>
        <n v="8748493"/>
        <n v="7230252"/>
        <n v="5082463"/>
        <n v="1830054"/>
        <n v="8369071681"/>
        <n v="5582631"/>
        <n v="68043713"/>
        <n v="89263578"/>
        <n v="7511410"/>
        <n v="2128803"/>
        <n v="3135285"/>
        <n v="5231877"/>
        <n v="98391891"/>
        <n v="9865524"/>
        <n v="7988607"/>
        <n v="4599598"/>
        <n v="59984179"/>
        <n v="1531672"/>
        <n v="59723258"/>
        <n v="6878722"/>
        <n v="49278984"/>
        <n v="5672312"/>
        <n v="9716545"/>
        <n v="18636086"/>
        <n v="2071691"/>
        <n v="8023179"/>
        <n v="3533421"/>
        <n v="1160932"/>
        <n v="6320579"/>
        <n v="6021417"/>
        <n v="3638658"/>
        <n v="7595348"/>
        <n v="6637746981"/>
        <n v="8501947"/>
        <n v="85666950"/>
        <n v="72289518"/>
        <n v="4419123"/>
        <n v="75645195"/>
        <n v="4305960"/>
        <n v="21681406"/>
        <n v="6401011"/>
        <n v="1879412"/>
        <n v="6218089"/>
        <n v="3408462348"/>
        <n v="9535780"/>
        <n v="4945889"/>
        <n v="8985437"/>
        <n v="4154521"/>
        <n v="96977805"/>
        <n v="5465004"/>
        <n v="9560827"/>
        <n v="3443287"/>
        <n v="7551668"/>
        <n v="3189059"/>
        <n v="9061957"/>
        <n v="59508384"/>
        <n v="48529464"/>
        <n v="4082744"/>
        <n v="2395447"/>
        <n v="96620804"/>
        <n v="9489003225"/>
        <n v="6897893"/>
        <n v="9759222"/>
        <n v="39793981"/>
        <n v="3759991"/>
        <n v="37838778"/>
        <n v="9689833"/>
        <n v="1177203"/>
        <n v="6060835"/>
        <n v="8534481"/>
        <n v="4959594"/>
        <n v="1047809"/>
        <n v="2604004"/>
        <n v="4379524"/>
        <n v="12377650"/>
        <n v="77869622"/>
        <n v="3414247278"/>
        <n v="5839324907"/>
        <n v="4852863"/>
        <n v="3245936"/>
        <n v="9591892"/>
        <n v="96404523"/>
        <n v="1405478"/>
        <n v="5900506"/>
        <n v="8880275"/>
        <n v="57101974"/>
        <n v="2096100"/>
        <n v="2366545"/>
        <n v="2260131"/>
        <n v="75818182"/>
        <n v="3733011"/>
        <n v="6844342"/>
        <n v="1117708"/>
        <n v="6055986"/>
        <n v="4569864426"/>
        <n v="3093964"/>
        <n v="1890121"/>
        <n v="9906846123"/>
        <n v="27798660"/>
        <n v="37077953"/>
        <n v="70606958"/>
        <n v="21303266"/>
        <n v="88366261"/>
        <n v="9506446"/>
        <n v="6956143"/>
        <n v="1472253"/>
        <n v="4025325"/>
        <n v="6220398"/>
        <n v="6326108"/>
        <n v="88929709"/>
        <n v="3004967"/>
        <n v="1721264"/>
        <n v="92414932"/>
        <n v="3202610"/>
        <n v="2825289"/>
        <n v="7915936"/>
        <n v="3680072"/>
        <n v="6980867"/>
        <n v="4445684"/>
        <n v="9864502"/>
        <n v="5881130"/>
        <n v="2056567"/>
        <n v="62150310"/>
        <n v="9340299"/>
        <n v="3912924"/>
        <n v="8159466"/>
        <n v="7467198"/>
        <n v="4703748"/>
        <n v="1165705"/>
        <n v="90762334"/>
        <n v="16527855"/>
        <n v="1055495"/>
        <n v="9120318"/>
        <n v="4030817"/>
        <n v="1025756"/>
        <n v="29880225"/>
        <n v="4791902"/>
        <n v="5228419"/>
        <n v="8991671"/>
        <n v="8045338707"/>
        <n v="9192546"/>
        <n v="9664752"/>
        <n v="62653835"/>
        <n v="6087301"/>
        <n v="3864488"/>
        <n v="5604405"/>
        <n v="4774889"/>
        <n v="4017213"/>
        <n v="4720934"/>
        <n v="13494237"/>
        <n v="71807686"/>
        <n v="7865609"/>
        <n v="5318850"/>
        <n v="63613334"/>
        <n v="2256093"/>
        <n v="7421094"/>
        <n v="5376362"/>
        <n v="8967842"/>
        <n v="76644634"/>
        <n v="3524259"/>
        <n v="5550678"/>
        <n v="8799570155"/>
        <n v="9329226"/>
        <n v="9219408"/>
        <n v="2163209"/>
        <n v="98021540"/>
        <n v="2188847"/>
        <n v="2419817"/>
        <n v="8938444"/>
        <n v="8512255"/>
        <n v="7488966"/>
        <n v="6131743"/>
        <n v="71564278"/>
        <n v="4529192"/>
        <n v="2193730"/>
        <n v="3120387"/>
        <n v="5726531"/>
        <n v="4659808"/>
        <n v="55896338"/>
        <n v="9747403"/>
        <n v="5687447"/>
        <n v="78940032"/>
        <n v="1094486764"/>
        <n v="2611045"/>
        <n v="6047761"/>
        <n v="8895257"/>
        <n v="2199311"/>
        <n v="17864361"/>
        <n v="6943996503"/>
        <n v="9547712"/>
        <n v="3925701"/>
        <n v="78009874"/>
        <n v="8590206"/>
        <n v="7273239"/>
        <n v="9975967"/>
        <n v="2134315"/>
        <n v="6919928"/>
        <n v="1639829"/>
        <n v="8585321"/>
        <n v="1661643168"/>
        <n v="5136126"/>
        <n v="9747700"/>
        <n v="8387594"/>
        <n v="65166542"/>
        <n v="77607017"/>
        <n v="9028434625"/>
        <n v="7503173"/>
        <n v="9039872"/>
        <n v="45940361"/>
        <n v="6242177"/>
        <n v="60454232"/>
        <n v="4060894"/>
        <n v="8223406"/>
        <n v="95805020"/>
        <n v="2849439"/>
        <n v="9589060"/>
        <n v="2603125"/>
        <n v="8770898"/>
        <n v="3224960"/>
        <n v="4150421"/>
        <n v="44302763"/>
        <n v="1922212"/>
        <n v="9603024"/>
        <n v="1640513"/>
        <n v="16592072"/>
        <n v="4895290"/>
        <n v="8715278"/>
        <n v="1462418"/>
        <n v="8077806"/>
        <n v="5759409"/>
        <n v="6257971"/>
        <n v="91129571"/>
        <n v="6884037"/>
        <n v="26766818"/>
        <n v="9941776"/>
        <n v="9045402"/>
        <n v="7662302259"/>
        <n v="2756059784"/>
        <n v="8667012"/>
        <n v="34964547"/>
        <n v="9357185"/>
        <n v="12471534"/>
        <n v="1003402"/>
        <n v="4509550"/>
        <n v="5356824"/>
        <n v="5086182"/>
        <n v="2107985"/>
        <n v="9388066"/>
        <n v="4614100"/>
        <n v="8279741"/>
        <n v="9564752674"/>
        <n v="1451455"/>
        <n v="8156713"/>
        <n v="24024164"/>
        <n v="75122204"/>
        <n v="33166727"/>
        <n v="5087484"/>
        <n v="47615054"/>
        <n v="7775602353"/>
        <n v="9533304954"/>
        <n v="7564861"/>
        <n v="37930610"/>
        <n v="7518300"/>
        <n v="9233918039"/>
        <n v="5744555"/>
        <n v="17005785"/>
        <n v="35281950"/>
        <n v="3236046"/>
        <n v="20149106"/>
        <n v="6124638"/>
        <n v="1090396060"/>
        <n v="9355422"/>
        <n v="9950462"/>
        <n v="2474506"/>
        <n v="2462682"/>
        <n v="8159788"/>
        <n v="6384230"/>
        <n v="3263854"/>
        <n v="8489588"/>
        <n v="57211290"/>
        <n v="7225111"/>
        <n v="5418543"/>
        <n v="6439414"/>
        <n v="61228399"/>
        <n v="9282166"/>
        <n v="6426246"/>
        <n v="9791237"/>
        <n v="1830251"/>
        <n v="42603700"/>
        <n v="3983714"/>
        <n v="4520226"/>
        <n v="3767866"/>
        <n v="6051341"/>
        <n v="4326245"/>
        <n v="5356378"/>
        <n v="1302842"/>
        <n v="2025194"/>
        <n v="6703754"/>
        <n v="86965710"/>
        <n v="9797571"/>
        <n v="34628061"/>
        <n v="6716140"/>
        <n v="9709339"/>
        <n v="1331802"/>
        <n v="4824250"/>
        <n v="3931914"/>
        <n v="79698655"/>
        <n v="5387521845"/>
        <n v="1927908"/>
        <n v="7975900"/>
        <n v="1731500345"/>
        <n v="5926011"/>
        <n v="53370610"/>
        <n v="8060169"/>
        <n v="9147613"/>
        <n v="3537655"/>
        <n v="96302157"/>
        <n v="1809111"/>
        <n v="8493652"/>
        <n v="1026326"/>
        <n v="1475165"/>
        <n v="9861652"/>
        <n v="5446203"/>
        <n v="7762020"/>
        <n v="4045129075"/>
        <n v="96736796"/>
        <n v="1035023"/>
      </sharedItems>
    </cacheField>
    <cacheField name="data" numFmtId="14">
      <sharedItems containsSemiMixedTypes="0" containsNonDate="0" containsDate="1" containsString="0" minDate="2017-07-03T00:00:00" maxDate="2017-08-01T00:00:00"/>
    </cacheField>
    <cacheField name="rozpoczecie" numFmtId="164">
      <sharedItems containsSemiMixedTypes="0" containsNonDate="0" containsDate="1" containsString="0" minDate="1899-12-30T08:00:19" maxDate="1899-12-30T15:06:44"/>
    </cacheField>
    <cacheField name="zakonczenie" numFmtId="164">
      <sharedItems containsSemiMixedTypes="0" containsNonDate="0" containsDate="1" containsString="0" minDate="1899-12-30T08:04:55" maxDate="1899-12-30T15:18:49"/>
    </cacheField>
    <cacheField name="polaczenie" numFmtId="0">
      <sharedItems containsSemiMixedTypes="0" containsString="0" containsNumber="1" containsInteger="1" minValue="1" maxValue="1" count="1"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98.843318981482" createdVersion="8" refreshedVersion="8" minRefreshableVersion="3" recordCount="2148" xr:uid="{6E8DE296-28E9-46C4-A71E-4D38FAC2FCFE}">
  <cacheSource type="worksheet">
    <worksheetSource ref="A1:F2149" sheet="5.2"/>
  </cacheSource>
  <cacheFields count="6">
    <cacheField name="nr" numFmtId="0">
      <sharedItems containsSemiMixedTypes="0" containsString="0" containsNumber="1" containsInteger="1" minValue="1003402" maxValue="9967523741"/>
    </cacheField>
    <cacheField name="data" numFmtId="14">
      <sharedItems containsSemiMixedTypes="0" containsNonDate="0" containsDate="1" containsString="0" minDate="2017-07-03T00:00:00" maxDate="2017-08-01T00:00:00" count="21"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</sharedItems>
    </cacheField>
    <cacheField name="rozpoczecie" numFmtId="164">
      <sharedItems containsSemiMixedTypes="0" containsNonDate="0" containsDate="1" containsString="0" minDate="1899-12-30T08:00:19" maxDate="1899-12-30T15:06:44"/>
    </cacheField>
    <cacheField name="zakonczenie" numFmtId="164">
      <sharedItems containsSemiMixedTypes="0" containsNonDate="0" containsDate="1" containsString="0" minDate="1899-12-30T08:04:55" maxDate="1899-12-30T15:18:49"/>
    </cacheField>
    <cacheField name="czy_stacjonarny" numFmtId="0">
      <sharedItems containsSemiMixedTypes="0" containsString="0" containsNumber="1" containsInteger="1" minValue="0" maxValue="1"/>
    </cacheField>
    <cacheField name="czy_komorkowy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8">
  <r>
    <x v="0"/>
    <d v="2017-07-03T00:00:00"/>
    <d v="1899-12-30T08:04:54"/>
    <d v="1899-12-30T08:21:26"/>
    <x v="0"/>
  </r>
  <r>
    <x v="1"/>
    <d v="2017-07-03T00:00:00"/>
    <d v="1899-12-30T08:10:08"/>
    <d v="1899-12-30T08:23:46"/>
    <x v="0"/>
  </r>
  <r>
    <x v="1"/>
    <d v="2017-07-03T00:00:00"/>
    <d v="1899-12-30T08:10:13"/>
    <d v="1899-12-30T08:24:40"/>
    <x v="0"/>
  </r>
  <r>
    <x v="2"/>
    <d v="2017-07-03T00:00:00"/>
    <d v="1899-12-30T08:14:49"/>
    <d v="1899-12-30T08:21:33"/>
    <x v="0"/>
  </r>
  <r>
    <x v="3"/>
    <d v="2017-07-03T00:00:00"/>
    <d v="1899-12-30T08:15:21"/>
    <d v="1899-12-30T08:22:10"/>
    <x v="0"/>
  </r>
  <r>
    <x v="4"/>
    <d v="2017-07-03T00:00:00"/>
    <d v="1899-12-30T08:18:16"/>
    <d v="1899-12-30T08:23:34"/>
    <x v="0"/>
  </r>
  <r>
    <x v="5"/>
    <d v="2017-07-03T00:00:00"/>
    <d v="1899-12-30T08:22:17"/>
    <d v="1899-12-30T08:24:20"/>
    <x v="0"/>
  </r>
  <r>
    <x v="6"/>
    <d v="2017-07-03T00:00:00"/>
    <d v="1899-12-30T08:28:39"/>
    <d v="1899-12-30T08:37:57"/>
    <x v="0"/>
  </r>
  <r>
    <x v="1"/>
    <d v="2017-07-03T00:00:00"/>
    <d v="1899-12-30T08:34:25"/>
    <d v="1899-12-30T08:48:28"/>
    <x v="0"/>
  </r>
  <r>
    <x v="7"/>
    <d v="2017-07-03T00:00:00"/>
    <d v="1899-12-30T08:40:58"/>
    <d v="1899-12-30T08:56:33"/>
    <x v="0"/>
  </r>
  <r>
    <x v="8"/>
    <d v="2017-07-03T00:00:00"/>
    <d v="1899-12-30T08:48:31"/>
    <d v="1899-12-30T09:00:59"/>
    <x v="0"/>
  </r>
  <r>
    <x v="9"/>
    <d v="2017-07-03T00:00:00"/>
    <d v="1899-12-30T08:50:48"/>
    <d v="1899-12-30T09:00:47"/>
    <x v="0"/>
  </r>
  <r>
    <x v="10"/>
    <d v="2017-07-03T00:00:00"/>
    <d v="1899-12-30T08:53:03"/>
    <d v="1899-12-30T08:57:32"/>
    <x v="0"/>
  </r>
  <r>
    <x v="5"/>
    <d v="2017-07-03T00:00:00"/>
    <d v="1899-12-30T09:00:14"/>
    <d v="1899-12-30T09:13:19"/>
    <x v="0"/>
  </r>
  <r>
    <x v="11"/>
    <d v="2017-07-03T00:00:00"/>
    <d v="1899-12-30T09:03:10"/>
    <d v="1899-12-30T09:14:36"/>
    <x v="0"/>
  </r>
  <r>
    <x v="9"/>
    <d v="2017-07-03T00:00:00"/>
    <d v="1899-12-30T09:07:01"/>
    <d v="1899-12-30T09:18:45"/>
    <x v="0"/>
  </r>
  <r>
    <x v="8"/>
    <d v="2017-07-03T00:00:00"/>
    <d v="1899-12-30T09:08:59"/>
    <d v="1899-12-30T09:12:49"/>
    <x v="0"/>
  </r>
  <r>
    <x v="12"/>
    <d v="2017-07-03T00:00:00"/>
    <d v="1899-12-30T09:17:18"/>
    <d v="1899-12-30T09:27:51"/>
    <x v="0"/>
  </r>
  <r>
    <x v="13"/>
    <d v="2017-07-03T00:00:00"/>
    <d v="1899-12-30T09:24:13"/>
    <d v="1899-12-30T09:40:49"/>
    <x v="0"/>
  </r>
  <r>
    <x v="14"/>
    <d v="2017-07-03T00:00:00"/>
    <d v="1899-12-30T09:29:50"/>
    <d v="1899-12-30T09:33:46"/>
    <x v="0"/>
  </r>
  <r>
    <x v="15"/>
    <d v="2017-07-03T00:00:00"/>
    <d v="1899-12-30T09:34:13"/>
    <d v="1899-12-30T09:38:59"/>
    <x v="0"/>
  </r>
  <r>
    <x v="16"/>
    <d v="2017-07-03T00:00:00"/>
    <d v="1899-12-30T09:36:31"/>
    <d v="1899-12-30T09:52:48"/>
    <x v="0"/>
  </r>
  <r>
    <x v="17"/>
    <d v="2017-07-03T00:00:00"/>
    <d v="1899-12-30T09:43:34"/>
    <d v="1899-12-30T09:51:06"/>
    <x v="0"/>
  </r>
  <r>
    <x v="18"/>
    <d v="2017-07-03T00:00:00"/>
    <d v="1899-12-30T09:50:07"/>
    <d v="1899-12-30T09:50:55"/>
    <x v="0"/>
  </r>
  <r>
    <x v="19"/>
    <d v="2017-07-03T00:00:00"/>
    <d v="1899-12-30T09:57:42"/>
    <d v="1899-12-30T10:13:45"/>
    <x v="0"/>
  </r>
  <r>
    <x v="20"/>
    <d v="2017-07-03T00:00:00"/>
    <d v="1899-12-30T09:59:13"/>
    <d v="1899-12-30T10:01:18"/>
    <x v="0"/>
  </r>
  <r>
    <x v="21"/>
    <d v="2017-07-03T00:00:00"/>
    <d v="1899-12-30T10:01:23"/>
    <d v="1899-12-30T10:10:12"/>
    <x v="0"/>
  </r>
  <r>
    <x v="22"/>
    <d v="2017-07-03T00:00:00"/>
    <d v="1899-12-30T10:05:56"/>
    <d v="1899-12-30T10:22:19"/>
    <x v="0"/>
  </r>
  <r>
    <x v="23"/>
    <d v="2017-07-03T00:00:00"/>
    <d v="1899-12-30T10:11:15"/>
    <d v="1899-12-30T10:14:19"/>
    <x v="0"/>
  </r>
  <r>
    <x v="24"/>
    <d v="2017-07-03T00:00:00"/>
    <d v="1899-12-30T10:16:34"/>
    <d v="1899-12-30T10:29:10"/>
    <x v="0"/>
  </r>
  <r>
    <x v="25"/>
    <d v="2017-07-03T00:00:00"/>
    <d v="1899-12-30T10:19:45"/>
    <d v="1899-12-30T10:26:19"/>
    <x v="0"/>
  </r>
  <r>
    <x v="26"/>
    <d v="2017-07-03T00:00:00"/>
    <d v="1899-12-30T10:20:37"/>
    <d v="1899-12-30T10:29:59"/>
    <x v="0"/>
  </r>
  <r>
    <x v="27"/>
    <d v="2017-07-03T00:00:00"/>
    <d v="1899-12-30T10:27:45"/>
    <d v="1899-12-30T10:39:37"/>
    <x v="0"/>
  </r>
  <r>
    <x v="27"/>
    <d v="2017-07-03T00:00:00"/>
    <d v="1899-12-30T10:31:04"/>
    <d v="1899-12-30T10:32:21"/>
    <x v="0"/>
  </r>
  <r>
    <x v="28"/>
    <d v="2017-07-03T00:00:00"/>
    <d v="1899-12-30T10:38:07"/>
    <d v="1899-12-30T10:52:20"/>
    <x v="0"/>
  </r>
  <r>
    <x v="29"/>
    <d v="2017-07-03T00:00:00"/>
    <d v="1899-12-30T10:44:49"/>
    <d v="1899-12-30T10:47:59"/>
    <x v="0"/>
  </r>
  <r>
    <x v="30"/>
    <d v="2017-07-03T00:00:00"/>
    <d v="1899-12-30T10:47:13"/>
    <d v="1899-12-30T11:02:34"/>
    <x v="0"/>
  </r>
  <r>
    <x v="1"/>
    <d v="2017-07-03T00:00:00"/>
    <d v="1899-12-30T10:51:54"/>
    <d v="1899-12-30T10:56:56"/>
    <x v="0"/>
  </r>
  <r>
    <x v="31"/>
    <d v="2017-07-03T00:00:00"/>
    <d v="1899-12-30T10:55:07"/>
    <d v="1899-12-30T10:56:10"/>
    <x v="0"/>
  </r>
  <r>
    <x v="32"/>
    <d v="2017-07-03T00:00:00"/>
    <d v="1899-12-30T10:56:46"/>
    <d v="1899-12-30T11:06:56"/>
    <x v="0"/>
  </r>
  <r>
    <x v="17"/>
    <d v="2017-07-03T00:00:00"/>
    <d v="1899-12-30T11:04:35"/>
    <d v="1899-12-30T11:10:16"/>
    <x v="0"/>
  </r>
  <r>
    <x v="33"/>
    <d v="2017-07-03T00:00:00"/>
    <d v="1899-12-30T11:04:38"/>
    <d v="1899-12-30T11:13:26"/>
    <x v="0"/>
  </r>
  <r>
    <x v="34"/>
    <d v="2017-07-03T00:00:00"/>
    <d v="1899-12-30T11:05:38"/>
    <d v="1899-12-30T11:08:01"/>
    <x v="0"/>
  </r>
  <r>
    <x v="35"/>
    <d v="2017-07-03T00:00:00"/>
    <d v="1899-12-30T11:13:26"/>
    <d v="1899-12-30T11:26:35"/>
    <x v="0"/>
  </r>
  <r>
    <x v="36"/>
    <d v="2017-07-03T00:00:00"/>
    <d v="1899-12-30T11:18:36"/>
    <d v="1899-12-30T11:29:21"/>
    <x v="0"/>
  </r>
  <r>
    <x v="37"/>
    <d v="2017-07-03T00:00:00"/>
    <d v="1899-12-30T11:25:13"/>
    <d v="1899-12-30T11:38:40"/>
    <x v="0"/>
  </r>
  <r>
    <x v="38"/>
    <d v="2017-07-03T00:00:00"/>
    <d v="1899-12-30T11:32:20"/>
    <d v="1899-12-30T11:39:08"/>
    <x v="0"/>
  </r>
  <r>
    <x v="39"/>
    <d v="2017-07-03T00:00:00"/>
    <d v="1899-12-30T11:32:59"/>
    <d v="1899-12-30T11:49:22"/>
    <x v="0"/>
  </r>
  <r>
    <x v="40"/>
    <d v="2017-07-03T00:00:00"/>
    <d v="1899-12-30T11:34:52"/>
    <d v="1899-12-30T11:41:51"/>
    <x v="0"/>
  </r>
  <r>
    <x v="41"/>
    <d v="2017-07-03T00:00:00"/>
    <d v="1899-12-30T11:38:15"/>
    <d v="1899-12-30T11:41:47"/>
    <x v="0"/>
  </r>
  <r>
    <x v="42"/>
    <d v="2017-07-03T00:00:00"/>
    <d v="1899-12-30T11:46:23"/>
    <d v="1899-12-30T11:49:13"/>
    <x v="0"/>
  </r>
  <r>
    <x v="43"/>
    <d v="2017-07-03T00:00:00"/>
    <d v="1899-12-30T11:49:42"/>
    <d v="1899-12-30T12:05:06"/>
    <x v="0"/>
  </r>
  <r>
    <x v="44"/>
    <d v="2017-07-03T00:00:00"/>
    <d v="1899-12-30T11:58:01"/>
    <d v="1899-12-30T12:04:08"/>
    <x v="0"/>
  </r>
  <r>
    <x v="1"/>
    <d v="2017-07-03T00:00:00"/>
    <d v="1899-12-30T12:01:17"/>
    <d v="1899-12-30T12:12:37"/>
    <x v="0"/>
  </r>
  <r>
    <x v="45"/>
    <d v="2017-07-03T00:00:00"/>
    <d v="1899-12-30T12:07:55"/>
    <d v="1899-12-30T12:14:26"/>
    <x v="0"/>
  </r>
  <r>
    <x v="46"/>
    <d v="2017-07-03T00:00:00"/>
    <d v="1899-12-30T12:13:07"/>
    <d v="1899-12-30T12:13:24"/>
    <x v="0"/>
  </r>
  <r>
    <x v="47"/>
    <d v="2017-07-03T00:00:00"/>
    <d v="1899-12-30T12:18:11"/>
    <d v="1899-12-30T12:20:32"/>
    <x v="0"/>
  </r>
  <r>
    <x v="48"/>
    <d v="2017-07-03T00:00:00"/>
    <d v="1899-12-30T12:25:20"/>
    <d v="1899-12-30T12:29:07"/>
    <x v="0"/>
  </r>
  <r>
    <x v="3"/>
    <d v="2017-07-03T00:00:00"/>
    <d v="1899-12-30T12:31:56"/>
    <d v="1899-12-30T12:42:02"/>
    <x v="0"/>
  </r>
  <r>
    <x v="49"/>
    <d v="2017-07-03T00:00:00"/>
    <d v="1899-12-30T12:35:12"/>
    <d v="1899-12-30T12:38:37"/>
    <x v="0"/>
  </r>
  <r>
    <x v="1"/>
    <d v="2017-07-03T00:00:00"/>
    <d v="1899-12-30T12:37:15"/>
    <d v="1899-12-30T12:50:51"/>
    <x v="0"/>
  </r>
  <r>
    <x v="50"/>
    <d v="2017-07-03T00:00:00"/>
    <d v="1899-12-30T12:43:24"/>
    <d v="1899-12-30T12:53:23"/>
    <x v="0"/>
  </r>
  <r>
    <x v="51"/>
    <d v="2017-07-03T00:00:00"/>
    <d v="1899-12-30T12:50:12"/>
    <d v="1899-12-30T12:54:06"/>
    <x v="0"/>
  </r>
  <r>
    <x v="52"/>
    <d v="2017-07-03T00:00:00"/>
    <d v="1899-12-30T12:50:14"/>
    <d v="1899-12-30T12:50:44"/>
    <x v="0"/>
  </r>
  <r>
    <x v="53"/>
    <d v="2017-07-03T00:00:00"/>
    <d v="1899-12-30T12:51:39"/>
    <d v="1899-12-30T13:02:21"/>
    <x v="0"/>
  </r>
  <r>
    <x v="54"/>
    <d v="2017-07-03T00:00:00"/>
    <d v="1899-12-30T12:57:50"/>
    <d v="1899-12-30T13:01:53"/>
    <x v="0"/>
  </r>
  <r>
    <x v="55"/>
    <d v="2017-07-03T00:00:00"/>
    <d v="1899-12-30T13:01:38"/>
    <d v="1899-12-30T13:04:29"/>
    <x v="0"/>
  </r>
  <r>
    <x v="22"/>
    <d v="2017-07-03T00:00:00"/>
    <d v="1899-12-30T13:09:49"/>
    <d v="1899-12-30T13:23:21"/>
    <x v="0"/>
  </r>
  <r>
    <x v="56"/>
    <d v="2017-07-03T00:00:00"/>
    <d v="1899-12-30T13:16:05"/>
    <d v="1899-12-30T13:22:54"/>
    <x v="0"/>
  </r>
  <r>
    <x v="57"/>
    <d v="2017-07-03T00:00:00"/>
    <d v="1899-12-30T13:20:18"/>
    <d v="1899-12-30T13:31:20"/>
    <x v="0"/>
  </r>
  <r>
    <x v="58"/>
    <d v="2017-07-03T00:00:00"/>
    <d v="1899-12-30T13:22:24"/>
    <d v="1899-12-30T13:23:20"/>
    <x v="0"/>
  </r>
  <r>
    <x v="59"/>
    <d v="2017-07-03T00:00:00"/>
    <d v="1899-12-30T13:23:34"/>
    <d v="1899-12-30T13:28:55"/>
    <x v="0"/>
  </r>
  <r>
    <x v="36"/>
    <d v="2017-07-03T00:00:00"/>
    <d v="1899-12-30T13:24:48"/>
    <d v="1899-12-30T13:37:08"/>
    <x v="0"/>
  </r>
  <r>
    <x v="60"/>
    <d v="2017-07-03T00:00:00"/>
    <d v="1899-12-30T13:32:57"/>
    <d v="1899-12-30T13:33:00"/>
    <x v="0"/>
  </r>
  <r>
    <x v="53"/>
    <d v="2017-07-03T00:00:00"/>
    <d v="1899-12-30T13:34:24"/>
    <d v="1899-12-30T13:34:26"/>
    <x v="0"/>
  </r>
  <r>
    <x v="61"/>
    <d v="2017-07-03T00:00:00"/>
    <d v="1899-12-30T13:37:56"/>
    <d v="1899-12-30T13:42:09"/>
    <x v="0"/>
  </r>
  <r>
    <x v="62"/>
    <d v="2017-07-03T00:00:00"/>
    <d v="1899-12-30T13:42:50"/>
    <d v="1899-12-30T13:48:41"/>
    <x v="0"/>
  </r>
  <r>
    <x v="63"/>
    <d v="2017-07-03T00:00:00"/>
    <d v="1899-12-30T13:43:20"/>
    <d v="1899-12-30T13:56:09"/>
    <x v="0"/>
  </r>
  <r>
    <x v="64"/>
    <d v="2017-07-03T00:00:00"/>
    <d v="1899-12-30T13:50:03"/>
    <d v="1899-12-30T13:55:06"/>
    <x v="0"/>
  </r>
  <r>
    <x v="65"/>
    <d v="2017-07-03T00:00:00"/>
    <d v="1899-12-30T13:54:36"/>
    <d v="1899-12-30T13:56:01"/>
    <x v="0"/>
  </r>
  <r>
    <x v="66"/>
    <d v="2017-07-03T00:00:00"/>
    <d v="1899-12-30T13:57:58"/>
    <d v="1899-12-30T14:11:08"/>
    <x v="0"/>
  </r>
  <r>
    <x v="67"/>
    <d v="2017-07-03T00:00:00"/>
    <d v="1899-12-30T14:01:10"/>
    <d v="1899-12-30T14:04:04"/>
    <x v="0"/>
  </r>
  <r>
    <x v="64"/>
    <d v="2017-07-03T00:00:00"/>
    <d v="1899-12-30T14:05:16"/>
    <d v="1899-12-30T14:10:28"/>
    <x v="0"/>
  </r>
  <r>
    <x v="68"/>
    <d v="2017-07-03T00:00:00"/>
    <d v="1899-12-30T14:09:58"/>
    <d v="1899-12-30T14:17:02"/>
    <x v="0"/>
  </r>
  <r>
    <x v="69"/>
    <d v="2017-07-03T00:00:00"/>
    <d v="1899-12-30T14:14:16"/>
    <d v="1899-12-30T14:28:13"/>
    <x v="0"/>
  </r>
  <r>
    <x v="70"/>
    <d v="2017-07-03T00:00:00"/>
    <d v="1899-12-30T14:19:50"/>
    <d v="1899-12-30T14:24:29"/>
    <x v="0"/>
  </r>
  <r>
    <x v="71"/>
    <d v="2017-07-03T00:00:00"/>
    <d v="1899-12-30T14:26:50"/>
    <d v="1899-12-30T14:42:08"/>
    <x v="0"/>
  </r>
  <r>
    <x v="72"/>
    <d v="2017-07-03T00:00:00"/>
    <d v="1899-12-30T14:28:31"/>
    <d v="1899-12-30T14:35:01"/>
    <x v="0"/>
  </r>
  <r>
    <x v="4"/>
    <d v="2017-07-03T00:00:00"/>
    <d v="1899-12-30T14:34:51"/>
    <d v="1899-12-30T14:40:08"/>
    <x v="0"/>
  </r>
  <r>
    <x v="73"/>
    <d v="2017-07-03T00:00:00"/>
    <d v="1899-12-30T14:41:54"/>
    <d v="1899-12-30T14:56:39"/>
    <x v="0"/>
  </r>
  <r>
    <x v="74"/>
    <d v="2017-07-03T00:00:00"/>
    <d v="1899-12-30T14:44:23"/>
    <d v="1899-12-30T14:44:45"/>
    <x v="0"/>
  </r>
  <r>
    <x v="75"/>
    <d v="2017-07-03T00:00:00"/>
    <d v="1899-12-30T14:44:52"/>
    <d v="1899-12-30T14:58:47"/>
    <x v="0"/>
  </r>
  <r>
    <x v="76"/>
    <d v="2017-07-03T00:00:00"/>
    <d v="1899-12-30T14:45:56"/>
    <d v="1899-12-30T14:56:01"/>
    <x v="0"/>
  </r>
  <r>
    <x v="77"/>
    <d v="2017-07-03T00:00:00"/>
    <d v="1899-12-30T14:47:24"/>
    <d v="1899-12-30T15:02:55"/>
    <x v="0"/>
  </r>
  <r>
    <x v="78"/>
    <d v="2017-07-03T00:00:00"/>
    <d v="1899-12-30T14:49:27"/>
    <d v="1899-12-30T14:57:43"/>
    <x v="0"/>
  </r>
  <r>
    <x v="79"/>
    <d v="2017-07-03T00:00:00"/>
    <d v="1899-12-30T14:55:19"/>
    <d v="1899-12-30T14:55:46"/>
    <x v="0"/>
  </r>
  <r>
    <x v="80"/>
    <d v="2017-07-03T00:00:00"/>
    <d v="1899-12-30T15:02:06"/>
    <d v="1899-12-30T15:18:37"/>
    <x v="0"/>
  </r>
  <r>
    <x v="81"/>
    <d v="2017-07-04T00:00:00"/>
    <d v="1899-12-30T08:04:29"/>
    <d v="1899-12-30T08:07:56"/>
    <x v="0"/>
  </r>
  <r>
    <x v="82"/>
    <d v="2017-07-04T00:00:00"/>
    <d v="1899-12-30T08:08:48"/>
    <d v="1899-12-30T08:25:14"/>
    <x v="0"/>
  </r>
  <r>
    <x v="16"/>
    <d v="2017-07-04T00:00:00"/>
    <d v="1899-12-30T08:16:53"/>
    <d v="1899-12-30T08:29:42"/>
    <x v="0"/>
  </r>
  <r>
    <x v="83"/>
    <d v="2017-07-04T00:00:00"/>
    <d v="1899-12-30T08:25:02"/>
    <d v="1899-12-30T08:41:22"/>
    <x v="0"/>
  </r>
  <r>
    <x v="84"/>
    <d v="2017-07-04T00:00:00"/>
    <d v="1899-12-30T08:29:22"/>
    <d v="1899-12-30T08:37:49"/>
    <x v="0"/>
  </r>
  <r>
    <x v="85"/>
    <d v="2017-07-04T00:00:00"/>
    <d v="1899-12-30T08:33:25"/>
    <d v="1899-12-30T08:39:18"/>
    <x v="0"/>
  </r>
  <r>
    <x v="84"/>
    <d v="2017-07-04T00:00:00"/>
    <d v="1899-12-30T08:36:15"/>
    <d v="1899-12-30T08:43:45"/>
    <x v="0"/>
  </r>
  <r>
    <x v="86"/>
    <d v="2017-07-04T00:00:00"/>
    <d v="1899-12-30T08:38:12"/>
    <d v="1899-12-30T08:52:15"/>
    <x v="0"/>
  </r>
  <r>
    <x v="47"/>
    <d v="2017-07-04T00:00:00"/>
    <d v="1899-12-30T08:45:06"/>
    <d v="1899-12-30T08:45:58"/>
    <x v="0"/>
  </r>
  <r>
    <x v="87"/>
    <d v="2017-07-04T00:00:00"/>
    <d v="1899-12-30T08:53:00"/>
    <d v="1899-12-30T09:07:41"/>
    <x v="0"/>
  </r>
  <r>
    <x v="88"/>
    <d v="2017-07-04T00:00:00"/>
    <d v="1899-12-30T08:57:01"/>
    <d v="1899-12-30T09:12:49"/>
    <x v="0"/>
  </r>
  <r>
    <x v="89"/>
    <d v="2017-07-04T00:00:00"/>
    <d v="1899-12-30T09:00:51"/>
    <d v="1899-12-30T09:07:00"/>
    <x v="0"/>
  </r>
  <r>
    <x v="64"/>
    <d v="2017-07-04T00:00:00"/>
    <d v="1899-12-30T09:03:53"/>
    <d v="1899-12-30T09:10:15"/>
    <x v="0"/>
  </r>
  <r>
    <x v="90"/>
    <d v="2017-07-04T00:00:00"/>
    <d v="1899-12-30T09:08:32"/>
    <d v="1899-12-30T09:19:41"/>
    <x v="0"/>
  </r>
  <r>
    <x v="91"/>
    <d v="2017-07-04T00:00:00"/>
    <d v="1899-12-30T09:09:55"/>
    <d v="1899-12-30T09:15:03"/>
    <x v="0"/>
  </r>
  <r>
    <x v="92"/>
    <d v="2017-07-04T00:00:00"/>
    <d v="1899-12-30T09:16:16"/>
    <d v="1899-12-30T09:19:13"/>
    <x v="0"/>
  </r>
  <r>
    <x v="93"/>
    <d v="2017-07-04T00:00:00"/>
    <d v="1899-12-30T09:18:12"/>
    <d v="1899-12-30T09:26:10"/>
    <x v="0"/>
  </r>
  <r>
    <x v="69"/>
    <d v="2017-07-04T00:00:00"/>
    <d v="1899-12-30T09:24:38"/>
    <d v="1899-12-30T09:25:36"/>
    <x v="0"/>
  </r>
  <r>
    <x v="94"/>
    <d v="2017-07-04T00:00:00"/>
    <d v="1899-12-30T09:31:03"/>
    <d v="1899-12-30T09:39:24"/>
    <x v="0"/>
  </r>
  <r>
    <x v="95"/>
    <d v="2017-07-04T00:00:00"/>
    <d v="1899-12-30T09:34:16"/>
    <d v="1899-12-30T09:50:53"/>
    <x v="0"/>
  </r>
  <r>
    <x v="96"/>
    <d v="2017-07-04T00:00:00"/>
    <d v="1899-12-30T09:35:37"/>
    <d v="1899-12-30T09:42:42"/>
    <x v="0"/>
  </r>
  <r>
    <x v="97"/>
    <d v="2017-07-04T00:00:00"/>
    <d v="1899-12-30T09:37:55"/>
    <d v="1899-12-30T09:49:53"/>
    <x v="0"/>
  </r>
  <r>
    <x v="98"/>
    <d v="2017-07-04T00:00:00"/>
    <d v="1899-12-30T09:43:06"/>
    <d v="1899-12-30T09:44:54"/>
    <x v="0"/>
  </r>
  <r>
    <x v="38"/>
    <d v="2017-07-04T00:00:00"/>
    <d v="1899-12-30T09:44:51"/>
    <d v="1899-12-30T10:01:22"/>
    <x v="0"/>
  </r>
  <r>
    <x v="99"/>
    <d v="2017-07-04T00:00:00"/>
    <d v="1899-12-30T09:46:37"/>
    <d v="1899-12-30T09:50:48"/>
    <x v="0"/>
  </r>
  <r>
    <x v="100"/>
    <d v="2017-07-04T00:00:00"/>
    <d v="1899-12-30T09:47:28"/>
    <d v="1899-12-30T09:57:32"/>
    <x v="0"/>
  </r>
  <r>
    <x v="50"/>
    <d v="2017-07-04T00:00:00"/>
    <d v="1899-12-30T09:51:48"/>
    <d v="1899-12-30T09:59:14"/>
    <x v="0"/>
  </r>
  <r>
    <x v="101"/>
    <d v="2017-07-04T00:00:00"/>
    <d v="1899-12-30T09:51:53"/>
    <d v="1899-12-30T10:07:08"/>
    <x v="0"/>
  </r>
  <r>
    <x v="102"/>
    <d v="2017-07-04T00:00:00"/>
    <d v="1899-12-30T09:57:45"/>
    <d v="1899-12-30T10:00:02"/>
    <x v="0"/>
  </r>
  <r>
    <x v="1"/>
    <d v="2017-07-04T00:00:00"/>
    <d v="1899-12-30T10:03:32"/>
    <d v="1899-12-30T10:05:15"/>
    <x v="0"/>
  </r>
  <r>
    <x v="43"/>
    <d v="2017-07-04T00:00:00"/>
    <d v="1899-12-30T10:08:24"/>
    <d v="1899-12-30T10:16:49"/>
    <x v="0"/>
  </r>
  <r>
    <x v="103"/>
    <d v="2017-07-04T00:00:00"/>
    <d v="1899-12-30T10:13:19"/>
    <d v="1899-12-30T10:26:12"/>
    <x v="0"/>
  </r>
  <r>
    <x v="104"/>
    <d v="2017-07-04T00:00:00"/>
    <d v="1899-12-30T10:18:22"/>
    <d v="1899-12-30T10:26:17"/>
    <x v="0"/>
  </r>
  <r>
    <x v="105"/>
    <d v="2017-07-04T00:00:00"/>
    <d v="1899-12-30T10:22:46"/>
    <d v="1899-12-30T10:28:02"/>
    <x v="0"/>
  </r>
  <r>
    <x v="106"/>
    <d v="2017-07-04T00:00:00"/>
    <d v="1899-12-30T10:29:53"/>
    <d v="1899-12-30T10:45:49"/>
    <x v="0"/>
  </r>
  <r>
    <x v="107"/>
    <d v="2017-07-04T00:00:00"/>
    <d v="1899-12-30T10:34:35"/>
    <d v="1899-12-30T10:46:44"/>
    <x v="0"/>
  </r>
  <r>
    <x v="108"/>
    <d v="2017-07-04T00:00:00"/>
    <d v="1899-12-30T10:35:53"/>
    <d v="1899-12-30T10:43:46"/>
    <x v="0"/>
  </r>
  <r>
    <x v="109"/>
    <d v="2017-07-04T00:00:00"/>
    <d v="1899-12-30T10:40:19"/>
    <d v="1899-12-30T10:53:09"/>
    <x v="0"/>
  </r>
  <r>
    <x v="110"/>
    <d v="2017-07-04T00:00:00"/>
    <d v="1899-12-30T10:41:30"/>
    <d v="1899-12-30T10:54:02"/>
    <x v="0"/>
  </r>
  <r>
    <x v="111"/>
    <d v="2017-07-04T00:00:00"/>
    <d v="1899-12-30T10:48:55"/>
    <d v="1899-12-30T10:56:22"/>
    <x v="0"/>
  </r>
  <r>
    <x v="112"/>
    <d v="2017-07-04T00:00:00"/>
    <d v="1899-12-30T10:56:35"/>
    <d v="1899-12-30T11:02:33"/>
    <x v="0"/>
  </r>
  <r>
    <x v="113"/>
    <d v="2017-07-04T00:00:00"/>
    <d v="1899-12-30T11:03:10"/>
    <d v="1899-12-30T11:18:42"/>
    <x v="0"/>
  </r>
  <r>
    <x v="113"/>
    <d v="2017-07-04T00:00:00"/>
    <d v="1899-12-30T11:08:30"/>
    <d v="1899-12-30T11:14:32"/>
    <x v="0"/>
  </r>
  <r>
    <x v="114"/>
    <d v="2017-07-04T00:00:00"/>
    <d v="1899-12-30T11:14:48"/>
    <d v="1899-12-30T11:27:34"/>
    <x v="0"/>
  </r>
  <r>
    <x v="115"/>
    <d v="2017-07-04T00:00:00"/>
    <d v="1899-12-30T11:20:07"/>
    <d v="1899-12-30T11:20:57"/>
    <x v="0"/>
  </r>
  <r>
    <x v="116"/>
    <d v="2017-07-04T00:00:00"/>
    <d v="1899-12-30T11:23:20"/>
    <d v="1899-12-30T11:31:16"/>
    <x v="0"/>
  </r>
  <r>
    <x v="117"/>
    <d v="2017-07-04T00:00:00"/>
    <d v="1899-12-30T11:30:44"/>
    <d v="1899-12-30T11:34:36"/>
    <x v="0"/>
  </r>
  <r>
    <x v="118"/>
    <d v="2017-07-04T00:00:00"/>
    <d v="1899-12-30T11:30:53"/>
    <d v="1899-12-30T11:47:24"/>
    <x v="0"/>
  </r>
  <r>
    <x v="119"/>
    <d v="2017-07-04T00:00:00"/>
    <d v="1899-12-30T11:30:58"/>
    <d v="1899-12-30T11:44:52"/>
    <x v="0"/>
  </r>
  <r>
    <x v="120"/>
    <d v="2017-07-04T00:00:00"/>
    <d v="1899-12-30T11:32:02"/>
    <d v="1899-12-30T11:41:14"/>
    <x v="0"/>
  </r>
  <r>
    <x v="121"/>
    <d v="2017-07-04T00:00:00"/>
    <d v="1899-12-30T11:33:56"/>
    <d v="1899-12-30T11:47:16"/>
    <x v="0"/>
  </r>
  <r>
    <x v="122"/>
    <d v="2017-07-04T00:00:00"/>
    <d v="1899-12-30T11:35:42"/>
    <d v="1899-12-30T11:47:36"/>
    <x v="0"/>
  </r>
  <r>
    <x v="123"/>
    <d v="2017-07-04T00:00:00"/>
    <d v="1899-12-30T11:42:46"/>
    <d v="1899-12-30T11:55:26"/>
    <x v="0"/>
  </r>
  <r>
    <x v="124"/>
    <d v="2017-07-04T00:00:00"/>
    <d v="1899-12-30T11:45:18"/>
    <d v="1899-12-30T12:00:40"/>
    <x v="0"/>
  </r>
  <r>
    <x v="125"/>
    <d v="2017-07-04T00:00:00"/>
    <d v="1899-12-30T11:51:48"/>
    <d v="1899-12-30T12:03:20"/>
    <x v="0"/>
  </r>
  <r>
    <x v="126"/>
    <d v="2017-07-04T00:00:00"/>
    <d v="1899-12-30T11:59:47"/>
    <d v="1899-12-30T12:13:50"/>
    <x v="0"/>
  </r>
  <r>
    <x v="127"/>
    <d v="2017-07-04T00:00:00"/>
    <d v="1899-12-30T12:00:55"/>
    <d v="1899-12-30T12:12:37"/>
    <x v="0"/>
  </r>
  <r>
    <x v="128"/>
    <d v="2017-07-04T00:00:00"/>
    <d v="1899-12-30T12:08:34"/>
    <d v="1899-12-30T12:22:11"/>
    <x v="0"/>
  </r>
  <r>
    <x v="129"/>
    <d v="2017-07-04T00:00:00"/>
    <d v="1899-12-30T12:15:30"/>
    <d v="1899-12-30T12:27:13"/>
    <x v="0"/>
  </r>
  <r>
    <x v="130"/>
    <d v="2017-07-04T00:00:00"/>
    <d v="1899-12-30T12:20:54"/>
    <d v="1899-12-30T12:26:45"/>
    <x v="0"/>
  </r>
  <r>
    <x v="131"/>
    <d v="2017-07-04T00:00:00"/>
    <d v="1899-12-30T12:28:12"/>
    <d v="1899-12-30T12:32:38"/>
    <x v="0"/>
  </r>
  <r>
    <x v="132"/>
    <d v="2017-07-04T00:00:00"/>
    <d v="1899-12-30T12:33:10"/>
    <d v="1899-12-30T12:34:25"/>
    <x v="0"/>
  </r>
  <r>
    <x v="94"/>
    <d v="2017-07-04T00:00:00"/>
    <d v="1899-12-30T12:35:21"/>
    <d v="1899-12-30T12:51:04"/>
    <x v="0"/>
  </r>
  <r>
    <x v="133"/>
    <d v="2017-07-04T00:00:00"/>
    <d v="1899-12-30T12:43:25"/>
    <d v="1899-12-30T12:47:10"/>
    <x v="0"/>
  </r>
  <r>
    <x v="134"/>
    <d v="2017-07-04T00:00:00"/>
    <d v="1899-12-30T12:49:54"/>
    <d v="1899-12-30T12:56:32"/>
    <x v="0"/>
  </r>
  <r>
    <x v="80"/>
    <d v="2017-07-04T00:00:00"/>
    <d v="1899-12-30T12:53:59"/>
    <d v="1899-12-30T13:08:46"/>
    <x v="0"/>
  </r>
  <r>
    <x v="83"/>
    <d v="2017-07-04T00:00:00"/>
    <d v="1899-12-30T12:59:35"/>
    <d v="1899-12-30T13:12:58"/>
    <x v="0"/>
  </r>
  <r>
    <x v="135"/>
    <d v="2017-07-04T00:00:00"/>
    <d v="1899-12-30T13:03:18"/>
    <d v="1899-12-30T13:04:06"/>
    <x v="0"/>
  </r>
  <r>
    <x v="136"/>
    <d v="2017-07-04T00:00:00"/>
    <d v="1899-12-30T13:05:32"/>
    <d v="1899-12-30T13:08:23"/>
    <x v="0"/>
  </r>
  <r>
    <x v="137"/>
    <d v="2017-07-04T00:00:00"/>
    <d v="1899-12-30T13:10:42"/>
    <d v="1899-12-30T13:15:34"/>
    <x v="0"/>
  </r>
  <r>
    <x v="138"/>
    <d v="2017-07-04T00:00:00"/>
    <d v="1899-12-30T13:13:50"/>
    <d v="1899-12-30T13:18:16"/>
    <x v="0"/>
  </r>
  <r>
    <x v="139"/>
    <d v="2017-07-04T00:00:00"/>
    <d v="1899-12-30T13:19:44"/>
    <d v="1899-12-30T13:24:00"/>
    <x v="0"/>
  </r>
  <r>
    <x v="140"/>
    <d v="2017-07-04T00:00:00"/>
    <d v="1899-12-30T13:25:02"/>
    <d v="1899-12-30T13:31:20"/>
    <x v="0"/>
  </r>
  <r>
    <x v="141"/>
    <d v="2017-07-04T00:00:00"/>
    <d v="1899-12-30T13:31:58"/>
    <d v="1899-12-30T13:32:32"/>
    <x v="0"/>
  </r>
  <r>
    <x v="142"/>
    <d v="2017-07-04T00:00:00"/>
    <d v="1899-12-30T13:39:10"/>
    <d v="1899-12-30T13:48:21"/>
    <x v="0"/>
  </r>
  <r>
    <x v="143"/>
    <d v="2017-07-04T00:00:00"/>
    <d v="1899-12-30T13:43:45"/>
    <d v="1899-12-30T13:46:09"/>
    <x v="0"/>
  </r>
  <r>
    <x v="144"/>
    <d v="2017-07-04T00:00:00"/>
    <d v="1899-12-30T13:45:48"/>
    <d v="1899-12-30T14:01:15"/>
    <x v="0"/>
  </r>
  <r>
    <x v="145"/>
    <d v="2017-07-04T00:00:00"/>
    <d v="1899-12-30T13:53:12"/>
    <d v="1899-12-30T13:59:28"/>
    <x v="0"/>
  </r>
  <r>
    <x v="146"/>
    <d v="2017-07-04T00:00:00"/>
    <d v="1899-12-30T13:57:10"/>
    <d v="1899-12-30T13:57:27"/>
    <x v="0"/>
  </r>
  <r>
    <x v="4"/>
    <d v="2017-07-04T00:00:00"/>
    <d v="1899-12-30T14:00:02"/>
    <d v="1899-12-30T14:01:09"/>
    <x v="0"/>
  </r>
  <r>
    <x v="147"/>
    <d v="2017-07-04T00:00:00"/>
    <d v="1899-12-30T14:00:38"/>
    <d v="1899-12-30T14:12:17"/>
    <x v="0"/>
  </r>
  <r>
    <x v="148"/>
    <d v="2017-07-04T00:00:00"/>
    <d v="1899-12-30T14:01:43"/>
    <d v="1899-12-30T14:07:37"/>
    <x v="0"/>
  </r>
  <r>
    <x v="149"/>
    <d v="2017-07-04T00:00:00"/>
    <d v="1899-12-30T14:01:43"/>
    <d v="1899-12-30T14:10:52"/>
    <x v="0"/>
  </r>
  <r>
    <x v="150"/>
    <d v="2017-07-04T00:00:00"/>
    <d v="1899-12-30T14:09:52"/>
    <d v="1899-12-30T14:24:41"/>
    <x v="0"/>
  </r>
  <r>
    <x v="151"/>
    <d v="2017-07-04T00:00:00"/>
    <d v="1899-12-30T14:15:44"/>
    <d v="1899-12-30T14:22:22"/>
    <x v="0"/>
  </r>
  <r>
    <x v="152"/>
    <d v="2017-07-04T00:00:00"/>
    <d v="1899-12-30T14:20:39"/>
    <d v="1899-12-30T14:27:47"/>
    <x v="0"/>
  </r>
  <r>
    <x v="153"/>
    <d v="2017-07-04T00:00:00"/>
    <d v="1899-12-30T14:23:56"/>
    <d v="1899-12-30T14:30:22"/>
    <x v="0"/>
  </r>
  <r>
    <x v="80"/>
    <d v="2017-07-04T00:00:00"/>
    <d v="1899-12-30T14:31:20"/>
    <d v="1899-12-30T14:31:20"/>
    <x v="0"/>
  </r>
  <r>
    <x v="154"/>
    <d v="2017-07-04T00:00:00"/>
    <d v="1899-12-30T14:33:34"/>
    <d v="1899-12-30T14:40:19"/>
    <x v="0"/>
  </r>
  <r>
    <x v="155"/>
    <d v="2017-07-04T00:00:00"/>
    <d v="1899-12-30T14:40:22"/>
    <d v="1899-12-30T14:47:34"/>
    <x v="0"/>
  </r>
  <r>
    <x v="156"/>
    <d v="2017-07-04T00:00:00"/>
    <d v="1899-12-30T14:41:05"/>
    <d v="1899-12-30T14:51:19"/>
    <x v="0"/>
  </r>
  <r>
    <x v="157"/>
    <d v="2017-07-04T00:00:00"/>
    <d v="1899-12-30T14:44:19"/>
    <d v="1899-12-30T14:55:12"/>
    <x v="0"/>
  </r>
  <r>
    <x v="158"/>
    <d v="2017-07-04T00:00:00"/>
    <d v="1899-12-30T14:50:50"/>
    <d v="1899-12-30T14:57:04"/>
    <x v="0"/>
  </r>
  <r>
    <x v="159"/>
    <d v="2017-07-04T00:00:00"/>
    <d v="1899-12-30T14:50:50"/>
    <d v="1899-12-30T15:02:17"/>
    <x v="0"/>
  </r>
  <r>
    <x v="111"/>
    <d v="2017-07-04T00:00:00"/>
    <d v="1899-12-30T14:56:44"/>
    <d v="1899-12-30T15:08:01"/>
    <x v="0"/>
  </r>
  <r>
    <x v="160"/>
    <d v="2017-07-04T00:00:00"/>
    <d v="1899-12-30T14:58:18"/>
    <d v="1899-12-30T15:10:23"/>
    <x v="0"/>
  </r>
  <r>
    <x v="161"/>
    <d v="2017-07-04T00:00:00"/>
    <d v="1899-12-30T15:03:42"/>
    <d v="1899-12-30T15:10:18"/>
    <x v="0"/>
  </r>
  <r>
    <x v="150"/>
    <d v="2017-07-05T00:00:00"/>
    <d v="1899-12-30T08:03:03"/>
    <d v="1899-12-30T08:14:41"/>
    <x v="0"/>
  </r>
  <r>
    <x v="162"/>
    <d v="2017-07-05T00:00:00"/>
    <d v="1899-12-30T08:11:02"/>
    <d v="1899-12-30T08:20:24"/>
    <x v="0"/>
  </r>
  <r>
    <x v="163"/>
    <d v="2017-07-05T00:00:00"/>
    <d v="1899-12-30T08:19:08"/>
    <d v="1899-12-30T08:22:41"/>
    <x v="0"/>
  </r>
  <r>
    <x v="164"/>
    <d v="2017-07-05T00:00:00"/>
    <d v="1899-12-30T08:19:13"/>
    <d v="1899-12-30T08:20:08"/>
    <x v="0"/>
  </r>
  <r>
    <x v="14"/>
    <d v="2017-07-05T00:00:00"/>
    <d v="1899-12-30T08:22:37"/>
    <d v="1899-12-30T08:29:30"/>
    <x v="0"/>
  </r>
  <r>
    <x v="165"/>
    <d v="2017-07-05T00:00:00"/>
    <d v="1899-12-30T08:22:47"/>
    <d v="1899-12-30T08:39:15"/>
    <x v="0"/>
  </r>
  <r>
    <x v="166"/>
    <d v="2017-07-05T00:00:00"/>
    <d v="1899-12-30T08:26:10"/>
    <d v="1899-12-30T08:33:41"/>
    <x v="0"/>
  </r>
  <r>
    <x v="167"/>
    <d v="2017-07-05T00:00:00"/>
    <d v="1899-12-30T08:32:16"/>
    <d v="1899-12-30T08:40:44"/>
    <x v="0"/>
  </r>
  <r>
    <x v="35"/>
    <d v="2017-07-05T00:00:00"/>
    <d v="1899-12-30T08:35:57"/>
    <d v="1899-12-30T08:50:18"/>
    <x v="0"/>
  </r>
  <r>
    <x v="168"/>
    <d v="2017-07-05T00:00:00"/>
    <d v="1899-12-30T08:42:10"/>
    <d v="1899-12-30T08:48:55"/>
    <x v="0"/>
  </r>
  <r>
    <x v="169"/>
    <d v="2017-07-05T00:00:00"/>
    <d v="1899-12-30T08:49:21"/>
    <d v="1899-12-30T09:05:06"/>
    <x v="0"/>
  </r>
  <r>
    <x v="170"/>
    <d v="2017-07-05T00:00:00"/>
    <d v="1899-12-30T08:52:55"/>
    <d v="1899-12-30T08:55:20"/>
    <x v="0"/>
  </r>
  <r>
    <x v="171"/>
    <d v="2017-07-05T00:00:00"/>
    <d v="1899-12-30T08:58:00"/>
    <d v="1899-12-30T09:03:17"/>
    <x v="0"/>
  </r>
  <r>
    <x v="172"/>
    <d v="2017-07-05T00:00:00"/>
    <d v="1899-12-30T09:03:03"/>
    <d v="1899-12-30T09:05:34"/>
    <x v="0"/>
  </r>
  <r>
    <x v="173"/>
    <d v="2017-07-05T00:00:00"/>
    <d v="1899-12-30T09:09:48"/>
    <d v="1899-12-30T09:25:51"/>
    <x v="0"/>
  </r>
  <r>
    <x v="174"/>
    <d v="2017-07-05T00:00:00"/>
    <d v="1899-12-30T09:12:02"/>
    <d v="1899-12-30T09:13:42"/>
    <x v="0"/>
  </r>
  <r>
    <x v="175"/>
    <d v="2017-07-05T00:00:00"/>
    <d v="1899-12-30T09:16:19"/>
    <d v="1899-12-30T09:27:14"/>
    <x v="0"/>
  </r>
  <r>
    <x v="176"/>
    <d v="2017-07-05T00:00:00"/>
    <d v="1899-12-30T09:21:16"/>
    <d v="1899-12-30T09:37:18"/>
    <x v="0"/>
  </r>
  <r>
    <x v="177"/>
    <d v="2017-07-05T00:00:00"/>
    <d v="1899-12-30T09:23:15"/>
    <d v="1899-12-30T09:34:08"/>
    <x v="0"/>
  </r>
  <r>
    <x v="40"/>
    <d v="2017-07-05T00:00:00"/>
    <d v="1899-12-30T09:30:09"/>
    <d v="1899-12-30T09:33:25"/>
    <x v="0"/>
  </r>
  <r>
    <x v="178"/>
    <d v="2017-07-05T00:00:00"/>
    <d v="1899-12-30T09:37:04"/>
    <d v="1899-12-30T09:47:02"/>
    <x v="0"/>
  </r>
  <r>
    <x v="179"/>
    <d v="2017-07-05T00:00:00"/>
    <d v="1899-12-30T09:43:27"/>
    <d v="1899-12-30T09:53:08"/>
    <x v="0"/>
  </r>
  <r>
    <x v="179"/>
    <d v="2017-07-05T00:00:00"/>
    <d v="1899-12-30T09:48:56"/>
    <d v="1899-12-30T10:03:45"/>
    <x v="0"/>
  </r>
  <r>
    <x v="180"/>
    <d v="2017-07-05T00:00:00"/>
    <d v="1899-12-30T09:56:04"/>
    <d v="1899-12-30T10:05:53"/>
    <x v="0"/>
  </r>
  <r>
    <x v="181"/>
    <d v="2017-07-05T00:00:00"/>
    <d v="1899-12-30T10:01:12"/>
    <d v="1899-12-30T10:17:38"/>
    <x v="0"/>
  </r>
  <r>
    <x v="182"/>
    <d v="2017-07-05T00:00:00"/>
    <d v="1899-12-30T10:02:36"/>
    <d v="1899-12-30T10:16:48"/>
    <x v="0"/>
  </r>
  <r>
    <x v="183"/>
    <d v="2017-07-05T00:00:00"/>
    <d v="1899-12-30T10:06:57"/>
    <d v="1899-12-30T10:14:34"/>
    <x v="0"/>
  </r>
  <r>
    <x v="184"/>
    <d v="2017-07-05T00:00:00"/>
    <d v="1899-12-30T10:07:14"/>
    <d v="1899-12-30T10:09:30"/>
    <x v="0"/>
  </r>
  <r>
    <x v="185"/>
    <d v="2017-07-05T00:00:00"/>
    <d v="1899-12-30T10:07:43"/>
    <d v="1899-12-30T10:17:50"/>
    <x v="0"/>
  </r>
  <r>
    <x v="186"/>
    <d v="2017-07-05T00:00:00"/>
    <d v="1899-12-30T10:09:19"/>
    <d v="1899-12-30T10:12:07"/>
    <x v="0"/>
  </r>
  <r>
    <x v="187"/>
    <d v="2017-07-05T00:00:00"/>
    <d v="1899-12-30T10:09:57"/>
    <d v="1899-12-30T10:12:31"/>
    <x v="0"/>
  </r>
  <r>
    <x v="188"/>
    <d v="2017-07-05T00:00:00"/>
    <d v="1899-12-30T10:15:28"/>
    <d v="1899-12-30T10:25:05"/>
    <x v="0"/>
  </r>
  <r>
    <x v="189"/>
    <d v="2017-07-05T00:00:00"/>
    <d v="1899-12-30T10:20:25"/>
    <d v="1899-12-30T10:29:50"/>
    <x v="0"/>
  </r>
  <r>
    <x v="26"/>
    <d v="2017-07-05T00:00:00"/>
    <d v="1899-12-30T10:22:35"/>
    <d v="1899-12-30T10:36:58"/>
    <x v="0"/>
  </r>
  <r>
    <x v="190"/>
    <d v="2017-07-05T00:00:00"/>
    <d v="1899-12-30T10:28:15"/>
    <d v="1899-12-30T10:43:53"/>
    <x v="0"/>
  </r>
  <r>
    <x v="191"/>
    <d v="2017-07-05T00:00:00"/>
    <d v="1899-12-30T10:32:08"/>
    <d v="1899-12-30T10:45:08"/>
    <x v="0"/>
  </r>
  <r>
    <x v="192"/>
    <d v="2017-07-05T00:00:00"/>
    <d v="1899-12-30T10:35:44"/>
    <d v="1899-12-30T10:51:12"/>
    <x v="0"/>
  </r>
  <r>
    <x v="193"/>
    <d v="2017-07-05T00:00:00"/>
    <d v="1899-12-30T10:39:07"/>
    <d v="1899-12-30T10:43:39"/>
    <x v="0"/>
  </r>
  <r>
    <x v="194"/>
    <d v="2017-07-05T00:00:00"/>
    <d v="1899-12-30T10:39:53"/>
    <d v="1899-12-30T10:49:32"/>
    <x v="0"/>
  </r>
  <r>
    <x v="195"/>
    <d v="2017-07-05T00:00:00"/>
    <d v="1899-12-30T10:47:28"/>
    <d v="1899-12-30T10:52:55"/>
    <x v="0"/>
  </r>
  <r>
    <x v="196"/>
    <d v="2017-07-05T00:00:00"/>
    <d v="1899-12-30T10:54:25"/>
    <d v="1899-12-30T10:56:06"/>
    <x v="0"/>
  </r>
  <r>
    <x v="197"/>
    <d v="2017-07-05T00:00:00"/>
    <d v="1899-12-30T10:56:09"/>
    <d v="1899-12-30T11:03:42"/>
    <x v="0"/>
  </r>
  <r>
    <x v="198"/>
    <d v="2017-07-05T00:00:00"/>
    <d v="1899-12-30T10:59:53"/>
    <d v="1899-12-30T11:14:11"/>
    <x v="0"/>
  </r>
  <r>
    <x v="199"/>
    <d v="2017-07-05T00:00:00"/>
    <d v="1899-12-30T11:02:52"/>
    <d v="1899-12-30T11:13:53"/>
    <x v="0"/>
  </r>
  <r>
    <x v="200"/>
    <d v="2017-07-05T00:00:00"/>
    <d v="1899-12-30T11:09:02"/>
    <d v="1899-12-30T11:18:04"/>
    <x v="0"/>
  </r>
  <r>
    <x v="33"/>
    <d v="2017-07-05T00:00:00"/>
    <d v="1899-12-30T11:13:13"/>
    <d v="1899-12-30T11:15:04"/>
    <x v="0"/>
  </r>
  <r>
    <x v="201"/>
    <d v="2017-07-05T00:00:00"/>
    <d v="1899-12-30T11:17:40"/>
    <d v="1899-12-30T11:25:13"/>
    <x v="0"/>
  </r>
  <r>
    <x v="202"/>
    <d v="2017-07-05T00:00:00"/>
    <d v="1899-12-30T11:21:04"/>
    <d v="1899-12-30T11:24:06"/>
    <x v="0"/>
  </r>
  <r>
    <x v="203"/>
    <d v="2017-07-05T00:00:00"/>
    <d v="1899-12-30T11:23:01"/>
    <d v="1899-12-30T11:27:33"/>
    <x v="0"/>
  </r>
  <r>
    <x v="204"/>
    <d v="2017-07-05T00:00:00"/>
    <d v="1899-12-30T11:26:39"/>
    <d v="1899-12-30T11:34:40"/>
    <x v="0"/>
  </r>
  <r>
    <x v="205"/>
    <d v="2017-07-05T00:00:00"/>
    <d v="1899-12-30T11:30:48"/>
    <d v="1899-12-30T11:40:43"/>
    <x v="0"/>
  </r>
  <r>
    <x v="179"/>
    <d v="2017-07-05T00:00:00"/>
    <d v="1899-12-30T11:33:21"/>
    <d v="1899-12-30T11:39:35"/>
    <x v="0"/>
  </r>
  <r>
    <x v="206"/>
    <d v="2017-07-05T00:00:00"/>
    <d v="1899-12-30T11:39:11"/>
    <d v="1899-12-30T11:53:34"/>
    <x v="0"/>
  </r>
  <r>
    <x v="207"/>
    <d v="2017-07-05T00:00:00"/>
    <d v="1899-12-30T11:41:33"/>
    <d v="1899-12-30T11:52:56"/>
    <x v="0"/>
  </r>
  <r>
    <x v="208"/>
    <d v="2017-07-05T00:00:00"/>
    <d v="1899-12-30T11:43:47"/>
    <d v="1899-12-30T11:47:30"/>
    <x v="0"/>
  </r>
  <r>
    <x v="209"/>
    <d v="2017-07-05T00:00:00"/>
    <d v="1899-12-30T11:47:45"/>
    <d v="1899-12-30T11:49:41"/>
    <x v="0"/>
  </r>
  <r>
    <x v="210"/>
    <d v="2017-07-05T00:00:00"/>
    <d v="1899-12-30T11:50:27"/>
    <d v="1899-12-30T11:51:25"/>
    <x v="0"/>
  </r>
  <r>
    <x v="211"/>
    <d v="2017-07-05T00:00:00"/>
    <d v="1899-12-30T11:53:50"/>
    <d v="1899-12-30T12:07:26"/>
    <x v="0"/>
  </r>
  <r>
    <x v="212"/>
    <d v="2017-07-05T00:00:00"/>
    <d v="1899-12-30T11:54:11"/>
    <d v="1899-12-30T11:58:22"/>
    <x v="0"/>
  </r>
  <r>
    <x v="213"/>
    <d v="2017-07-05T00:00:00"/>
    <d v="1899-12-30T12:01:56"/>
    <d v="1899-12-30T12:12:35"/>
    <x v="0"/>
  </r>
  <r>
    <x v="214"/>
    <d v="2017-07-05T00:00:00"/>
    <d v="1899-12-30T12:02:35"/>
    <d v="1899-12-30T12:03:35"/>
    <x v="0"/>
  </r>
  <r>
    <x v="215"/>
    <d v="2017-07-05T00:00:00"/>
    <d v="1899-12-30T12:04:09"/>
    <d v="1899-12-30T12:17:59"/>
    <x v="0"/>
  </r>
  <r>
    <x v="20"/>
    <d v="2017-07-05T00:00:00"/>
    <d v="1899-12-30T12:06:35"/>
    <d v="1899-12-30T12:22:05"/>
    <x v="0"/>
  </r>
  <r>
    <x v="216"/>
    <d v="2017-07-05T00:00:00"/>
    <d v="1899-12-30T12:14:47"/>
    <d v="1899-12-30T12:22:26"/>
    <x v="0"/>
  </r>
  <r>
    <x v="217"/>
    <d v="2017-07-05T00:00:00"/>
    <d v="1899-12-30T12:20:00"/>
    <d v="1899-12-30T12:24:06"/>
    <x v="0"/>
  </r>
  <r>
    <x v="218"/>
    <d v="2017-07-05T00:00:00"/>
    <d v="1899-12-30T12:26:19"/>
    <d v="1899-12-30T12:28:36"/>
    <x v="0"/>
  </r>
  <r>
    <x v="219"/>
    <d v="2017-07-05T00:00:00"/>
    <d v="1899-12-30T12:27:08"/>
    <d v="1899-12-30T12:37:59"/>
    <x v="0"/>
  </r>
  <r>
    <x v="220"/>
    <d v="2017-07-05T00:00:00"/>
    <d v="1899-12-30T12:34:51"/>
    <d v="1899-12-30T12:49:43"/>
    <x v="0"/>
  </r>
  <r>
    <x v="0"/>
    <d v="2017-07-05T00:00:00"/>
    <d v="1899-12-30T12:36:02"/>
    <d v="1899-12-30T12:38:07"/>
    <x v="0"/>
  </r>
  <r>
    <x v="221"/>
    <d v="2017-07-05T00:00:00"/>
    <d v="1899-12-30T12:37:33"/>
    <d v="1899-12-30T12:38:20"/>
    <x v="0"/>
  </r>
  <r>
    <x v="222"/>
    <d v="2017-07-05T00:00:00"/>
    <d v="1899-12-30T12:40:29"/>
    <d v="1899-12-30T12:46:01"/>
    <x v="0"/>
  </r>
  <r>
    <x v="223"/>
    <d v="2017-07-05T00:00:00"/>
    <d v="1899-12-30T12:46:34"/>
    <d v="1899-12-30T12:59:17"/>
    <x v="0"/>
  </r>
  <r>
    <x v="224"/>
    <d v="2017-07-05T00:00:00"/>
    <d v="1899-12-30T12:48:34"/>
    <d v="1899-12-30T12:57:29"/>
    <x v="0"/>
  </r>
  <r>
    <x v="225"/>
    <d v="2017-07-05T00:00:00"/>
    <d v="1899-12-30T12:51:57"/>
    <d v="1899-12-30T12:59:06"/>
    <x v="0"/>
  </r>
  <r>
    <x v="226"/>
    <d v="2017-07-05T00:00:00"/>
    <d v="1899-12-30T12:55:27"/>
    <d v="1899-12-30T12:56:48"/>
    <x v="0"/>
  </r>
  <r>
    <x v="227"/>
    <d v="2017-07-05T00:00:00"/>
    <d v="1899-12-30T13:00:24"/>
    <d v="1899-12-30T13:07:12"/>
    <x v="0"/>
  </r>
  <r>
    <x v="206"/>
    <d v="2017-07-05T00:00:00"/>
    <d v="1899-12-30T13:06:23"/>
    <d v="1899-12-30T13:18:16"/>
    <x v="0"/>
  </r>
  <r>
    <x v="228"/>
    <d v="2017-07-05T00:00:00"/>
    <d v="1899-12-30T13:09:15"/>
    <d v="1899-12-30T13:20:11"/>
    <x v="0"/>
  </r>
  <r>
    <x v="229"/>
    <d v="2017-07-05T00:00:00"/>
    <d v="1899-12-30T13:09:57"/>
    <d v="1899-12-30T13:24:40"/>
    <x v="0"/>
  </r>
  <r>
    <x v="230"/>
    <d v="2017-07-05T00:00:00"/>
    <d v="1899-12-30T13:09:59"/>
    <d v="1899-12-30T13:26:16"/>
    <x v="0"/>
  </r>
  <r>
    <x v="231"/>
    <d v="2017-07-05T00:00:00"/>
    <d v="1899-12-30T13:14:24"/>
    <d v="1899-12-30T13:24:28"/>
    <x v="0"/>
  </r>
  <r>
    <x v="213"/>
    <d v="2017-07-05T00:00:00"/>
    <d v="1899-12-30T13:15:50"/>
    <d v="1899-12-30T13:32:14"/>
    <x v="0"/>
  </r>
  <r>
    <x v="232"/>
    <d v="2017-07-05T00:00:00"/>
    <d v="1899-12-30T13:15:53"/>
    <d v="1899-12-30T13:31:31"/>
    <x v="0"/>
  </r>
  <r>
    <x v="133"/>
    <d v="2017-07-05T00:00:00"/>
    <d v="1899-12-30T13:24:12"/>
    <d v="1899-12-30T13:28:48"/>
    <x v="0"/>
  </r>
  <r>
    <x v="233"/>
    <d v="2017-07-05T00:00:00"/>
    <d v="1899-12-30T13:27:56"/>
    <d v="1899-12-30T13:36:43"/>
    <x v="0"/>
  </r>
  <r>
    <x v="234"/>
    <d v="2017-07-05T00:00:00"/>
    <d v="1899-12-30T13:31:36"/>
    <d v="1899-12-30T13:47:34"/>
    <x v="0"/>
  </r>
  <r>
    <x v="27"/>
    <d v="2017-07-05T00:00:00"/>
    <d v="1899-12-30T13:34:35"/>
    <d v="1899-12-30T13:40:32"/>
    <x v="0"/>
  </r>
  <r>
    <x v="235"/>
    <d v="2017-07-05T00:00:00"/>
    <d v="1899-12-30T13:36:32"/>
    <d v="1899-12-30T13:50:22"/>
    <x v="0"/>
  </r>
  <r>
    <x v="236"/>
    <d v="2017-07-05T00:00:00"/>
    <d v="1899-12-30T13:43:34"/>
    <d v="1899-12-30T13:48:06"/>
    <x v="0"/>
  </r>
  <r>
    <x v="237"/>
    <d v="2017-07-05T00:00:00"/>
    <d v="1899-12-30T13:49:17"/>
    <d v="1899-12-30T13:50:08"/>
    <x v="0"/>
  </r>
  <r>
    <x v="238"/>
    <d v="2017-07-05T00:00:00"/>
    <d v="1899-12-30T13:53:15"/>
    <d v="1899-12-30T13:54:33"/>
    <x v="0"/>
  </r>
  <r>
    <x v="239"/>
    <d v="2017-07-05T00:00:00"/>
    <d v="1899-12-30T13:53:25"/>
    <d v="1899-12-30T13:56:52"/>
    <x v="0"/>
  </r>
  <r>
    <x v="240"/>
    <d v="2017-07-05T00:00:00"/>
    <d v="1899-12-30T13:53:47"/>
    <d v="1899-12-30T14:08:45"/>
    <x v="0"/>
  </r>
  <r>
    <x v="241"/>
    <d v="2017-07-05T00:00:00"/>
    <d v="1899-12-30T13:59:10"/>
    <d v="1899-12-30T14:02:46"/>
    <x v="0"/>
  </r>
  <r>
    <x v="242"/>
    <d v="2017-07-05T00:00:00"/>
    <d v="1899-12-30T14:07:09"/>
    <d v="1899-12-30T14:18:50"/>
    <x v="0"/>
  </r>
  <r>
    <x v="243"/>
    <d v="2017-07-05T00:00:00"/>
    <d v="1899-12-30T14:13:39"/>
    <d v="1899-12-30T14:22:09"/>
    <x v="0"/>
  </r>
  <r>
    <x v="244"/>
    <d v="2017-07-05T00:00:00"/>
    <d v="1899-12-30T14:17:38"/>
    <d v="1899-12-30T14:23:00"/>
    <x v="0"/>
  </r>
  <r>
    <x v="245"/>
    <d v="2017-07-05T00:00:00"/>
    <d v="1899-12-30T14:19:57"/>
    <d v="1899-12-30T14:34:15"/>
    <x v="0"/>
  </r>
  <r>
    <x v="246"/>
    <d v="2017-07-05T00:00:00"/>
    <d v="1899-12-30T14:21:10"/>
    <d v="1899-12-30T14:27:13"/>
    <x v="0"/>
  </r>
  <r>
    <x v="247"/>
    <d v="2017-07-05T00:00:00"/>
    <d v="1899-12-30T14:21:27"/>
    <d v="1899-12-30T14:25:07"/>
    <x v="0"/>
  </r>
  <r>
    <x v="248"/>
    <d v="2017-07-05T00:00:00"/>
    <d v="1899-12-30T14:25:01"/>
    <d v="1899-12-30T14:34:54"/>
    <x v="0"/>
  </r>
  <r>
    <x v="249"/>
    <d v="2017-07-05T00:00:00"/>
    <d v="1899-12-30T14:29:28"/>
    <d v="1899-12-30T14:44:09"/>
    <x v="0"/>
  </r>
  <r>
    <x v="1"/>
    <d v="2017-07-05T00:00:00"/>
    <d v="1899-12-30T14:29:52"/>
    <d v="1899-12-30T14:41:01"/>
    <x v="0"/>
  </r>
  <r>
    <x v="250"/>
    <d v="2017-07-05T00:00:00"/>
    <d v="1899-12-30T14:33:31"/>
    <d v="1899-12-30T14:36:31"/>
    <x v="0"/>
  </r>
  <r>
    <x v="251"/>
    <d v="2017-07-05T00:00:00"/>
    <d v="1899-12-30T14:37:21"/>
    <d v="1899-12-30T14:40:14"/>
    <x v="0"/>
  </r>
  <r>
    <x v="252"/>
    <d v="2017-07-05T00:00:00"/>
    <d v="1899-12-30T14:42:01"/>
    <d v="1899-12-30T14:52:47"/>
    <x v="0"/>
  </r>
  <r>
    <x v="253"/>
    <d v="2017-07-05T00:00:00"/>
    <d v="1899-12-30T14:44:36"/>
    <d v="1899-12-30T14:50:33"/>
    <x v="0"/>
  </r>
  <r>
    <x v="254"/>
    <d v="2017-07-05T00:00:00"/>
    <d v="1899-12-30T14:52:11"/>
    <d v="1899-12-30T14:56:17"/>
    <x v="0"/>
  </r>
  <r>
    <x v="71"/>
    <d v="2017-07-05T00:00:00"/>
    <d v="1899-12-30T14:53:29"/>
    <d v="1899-12-30T15:03:06"/>
    <x v="0"/>
  </r>
  <r>
    <x v="255"/>
    <d v="2017-07-05T00:00:00"/>
    <d v="1899-12-30T14:54:10"/>
    <d v="1899-12-30T15:02:42"/>
    <x v="0"/>
  </r>
  <r>
    <x v="256"/>
    <d v="2017-07-05T00:00:00"/>
    <d v="1899-12-30T14:56:25"/>
    <d v="1899-12-30T14:57:43"/>
    <x v="0"/>
  </r>
  <r>
    <x v="257"/>
    <d v="2017-07-05T00:00:00"/>
    <d v="1899-12-30T14:58:37"/>
    <d v="1899-12-30T15:06:17"/>
    <x v="0"/>
  </r>
  <r>
    <x v="258"/>
    <d v="2017-07-05T00:00:00"/>
    <d v="1899-12-30T15:01:17"/>
    <d v="1899-12-30T15:03:57"/>
    <x v="0"/>
  </r>
  <r>
    <x v="259"/>
    <d v="2017-07-06T00:00:00"/>
    <d v="1899-12-30T08:03:12"/>
    <d v="1899-12-30T08:11:35"/>
    <x v="0"/>
  </r>
  <r>
    <x v="260"/>
    <d v="2017-07-06T00:00:00"/>
    <d v="1899-12-30T08:06:56"/>
    <d v="1899-12-30T08:12:57"/>
    <x v="0"/>
  </r>
  <r>
    <x v="261"/>
    <d v="2017-07-06T00:00:00"/>
    <d v="1899-12-30T08:14:38"/>
    <d v="1899-12-30T08:23:30"/>
    <x v="0"/>
  </r>
  <r>
    <x v="262"/>
    <d v="2017-07-06T00:00:00"/>
    <d v="1899-12-30T08:19:48"/>
    <d v="1899-12-30T08:22:44"/>
    <x v="0"/>
  </r>
  <r>
    <x v="246"/>
    <d v="2017-07-06T00:00:00"/>
    <d v="1899-12-30T08:26:21"/>
    <d v="1899-12-30T08:33:39"/>
    <x v="0"/>
  </r>
  <r>
    <x v="263"/>
    <d v="2017-07-06T00:00:00"/>
    <d v="1899-12-30T08:31:39"/>
    <d v="1899-12-30T08:42:51"/>
    <x v="0"/>
  </r>
  <r>
    <x v="264"/>
    <d v="2017-07-06T00:00:00"/>
    <d v="1899-12-30T08:39:48"/>
    <d v="1899-12-30T08:46:06"/>
    <x v="0"/>
  </r>
  <r>
    <x v="265"/>
    <d v="2017-07-06T00:00:00"/>
    <d v="1899-12-30T08:47:18"/>
    <d v="1899-12-30T08:53:21"/>
    <x v="0"/>
  </r>
  <r>
    <x v="266"/>
    <d v="2017-07-06T00:00:00"/>
    <d v="1899-12-30T08:47:40"/>
    <d v="1899-12-30T09:02:07"/>
    <x v="0"/>
  </r>
  <r>
    <x v="267"/>
    <d v="2017-07-06T00:00:00"/>
    <d v="1899-12-30T08:54:08"/>
    <d v="1899-12-30T08:55:35"/>
    <x v="0"/>
  </r>
  <r>
    <x v="268"/>
    <d v="2017-07-06T00:00:00"/>
    <d v="1899-12-30T08:57:36"/>
    <d v="1899-12-30T09:06:45"/>
    <x v="0"/>
  </r>
  <r>
    <x v="269"/>
    <d v="2017-07-06T00:00:00"/>
    <d v="1899-12-30T09:04:19"/>
    <d v="1899-12-30T09:12:38"/>
    <x v="0"/>
  </r>
  <r>
    <x v="270"/>
    <d v="2017-07-06T00:00:00"/>
    <d v="1899-12-30T09:05:57"/>
    <d v="1899-12-30T09:07:13"/>
    <x v="0"/>
  </r>
  <r>
    <x v="271"/>
    <d v="2017-07-06T00:00:00"/>
    <d v="1899-12-30T09:09:27"/>
    <d v="1899-12-30T09:18:28"/>
    <x v="0"/>
  </r>
  <r>
    <x v="272"/>
    <d v="2017-07-06T00:00:00"/>
    <d v="1899-12-30T09:13:12"/>
    <d v="1899-12-30T09:29:35"/>
    <x v="0"/>
  </r>
  <r>
    <x v="5"/>
    <d v="2017-07-06T00:00:00"/>
    <d v="1899-12-30T09:18:49"/>
    <d v="1899-12-30T09:23:41"/>
    <x v="0"/>
  </r>
  <r>
    <x v="273"/>
    <d v="2017-07-06T00:00:00"/>
    <d v="1899-12-30T09:21:02"/>
    <d v="1899-12-30T09:28:47"/>
    <x v="0"/>
  </r>
  <r>
    <x v="57"/>
    <d v="2017-07-06T00:00:00"/>
    <d v="1899-12-30T09:28:19"/>
    <d v="1899-12-30T09:43:13"/>
    <x v="0"/>
  </r>
  <r>
    <x v="274"/>
    <d v="2017-07-06T00:00:00"/>
    <d v="1899-12-30T09:30:26"/>
    <d v="1899-12-30T09:34:06"/>
    <x v="0"/>
  </r>
  <r>
    <x v="275"/>
    <d v="2017-07-06T00:00:00"/>
    <d v="1899-12-30T09:35:22"/>
    <d v="1899-12-30T09:36:22"/>
    <x v="0"/>
  </r>
  <r>
    <x v="276"/>
    <d v="2017-07-06T00:00:00"/>
    <d v="1899-12-30T09:39:41"/>
    <d v="1899-12-30T09:43:59"/>
    <x v="0"/>
  </r>
  <r>
    <x v="277"/>
    <d v="2017-07-06T00:00:00"/>
    <d v="1899-12-30T09:44:03"/>
    <d v="1899-12-30T09:56:32"/>
    <x v="0"/>
  </r>
  <r>
    <x v="278"/>
    <d v="2017-07-06T00:00:00"/>
    <d v="1899-12-30T09:45:18"/>
    <d v="1899-12-30T09:59:01"/>
    <x v="0"/>
  </r>
  <r>
    <x v="279"/>
    <d v="2017-07-06T00:00:00"/>
    <d v="1899-12-30T09:52:27"/>
    <d v="1899-12-30T10:07:14"/>
    <x v="0"/>
  </r>
  <r>
    <x v="280"/>
    <d v="2017-07-06T00:00:00"/>
    <d v="1899-12-30T09:54:43"/>
    <d v="1899-12-30T10:04:08"/>
    <x v="0"/>
  </r>
  <r>
    <x v="281"/>
    <d v="2017-07-06T00:00:00"/>
    <d v="1899-12-30T09:55:28"/>
    <d v="1899-12-30T10:00:03"/>
    <x v="0"/>
  </r>
  <r>
    <x v="66"/>
    <d v="2017-07-06T00:00:00"/>
    <d v="1899-12-30T09:59:36"/>
    <d v="1899-12-30T10:06:29"/>
    <x v="0"/>
  </r>
  <r>
    <x v="8"/>
    <d v="2017-07-06T00:00:00"/>
    <d v="1899-12-30T10:00:15"/>
    <d v="1899-12-30T10:09:15"/>
    <x v="0"/>
  </r>
  <r>
    <x v="282"/>
    <d v="2017-07-06T00:00:00"/>
    <d v="1899-12-30T10:05:28"/>
    <d v="1899-12-30T10:06:03"/>
    <x v="0"/>
  </r>
  <r>
    <x v="283"/>
    <d v="2017-07-06T00:00:00"/>
    <d v="1899-12-30T10:06:53"/>
    <d v="1899-12-30T10:20:21"/>
    <x v="0"/>
  </r>
  <r>
    <x v="284"/>
    <d v="2017-07-06T00:00:00"/>
    <d v="1899-12-30T10:11:45"/>
    <d v="1899-12-30T10:23:25"/>
    <x v="0"/>
  </r>
  <r>
    <x v="285"/>
    <d v="2017-07-06T00:00:00"/>
    <d v="1899-12-30T10:17:29"/>
    <d v="1899-12-30T10:34:06"/>
    <x v="0"/>
  </r>
  <r>
    <x v="286"/>
    <d v="2017-07-06T00:00:00"/>
    <d v="1899-12-30T10:18:03"/>
    <d v="1899-12-30T10:26:52"/>
    <x v="0"/>
  </r>
  <r>
    <x v="287"/>
    <d v="2017-07-06T00:00:00"/>
    <d v="1899-12-30T10:19:44"/>
    <d v="1899-12-30T10:25:38"/>
    <x v="0"/>
  </r>
  <r>
    <x v="288"/>
    <d v="2017-07-06T00:00:00"/>
    <d v="1899-12-30T10:23:02"/>
    <d v="1899-12-30T10:38:51"/>
    <x v="0"/>
  </r>
  <r>
    <x v="289"/>
    <d v="2017-07-06T00:00:00"/>
    <d v="1899-12-30T10:27:42"/>
    <d v="1899-12-30T10:35:26"/>
    <x v="0"/>
  </r>
  <r>
    <x v="290"/>
    <d v="2017-07-06T00:00:00"/>
    <d v="1899-12-30T10:34:31"/>
    <d v="1899-12-30T10:37:43"/>
    <x v="0"/>
  </r>
  <r>
    <x v="291"/>
    <d v="2017-07-06T00:00:00"/>
    <d v="1899-12-30T10:36:29"/>
    <d v="1899-12-30T10:46:22"/>
    <x v="0"/>
  </r>
  <r>
    <x v="292"/>
    <d v="2017-07-06T00:00:00"/>
    <d v="1899-12-30T10:38:39"/>
    <d v="1899-12-30T10:41:13"/>
    <x v="0"/>
  </r>
  <r>
    <x v="293"/>
    <d v="2017-07-06T00:00:00"/>
    <d v="1899-12-30T10:40:07"/>
    <d v="1899-12-30T10:46:54"/>
    <x v="0"/>
  </r>
  <r>
    <x v="20"/>
    <d v="2017-07-06T00:00:00"/>
    <d v="1899-12-30T10:46:09"/>
    <d v="1899-12-30T10:57:02"/>
    <x v="0"/>
  </r>
  <r>
    <x v="294"/>
    <d v="2017-07-06T00:00:00"/>
    <d v="1899-12-30T10:52:03"/>
    <d v="1899-12-30T10:53:24"/>
    <x v="0"/>
  </r>
  <r>
    <x v="295"/>
    <d v="2017-07-06T00:00:00"/>
    <d v="1899-12-30T10:53:47"/>
    <d v="1899-12-30T11:08:15"/>
    <x v="0"/>
  </r>
  <r>
    <x v="296"/>
    <d v="2017-07-06T00:00:00"/>
    <d v="1899-12-30T11:00:08"/>
    <d v="1899-12-30T11:07:53"/>
    <x v="0"/>
  </r>
  <r>
    <x v="97"/>
    <d v="2017-07-06T00:00:00"/>
    <d v="1899-12-30T11:00:17"/>
    <d v="1899-12-30T11:12:07"/>
    <x v="0"/>
  </r>
  <r>
    <x v="244"/>
    <d v="2017-07-06T00:00:00"/>
    <d v="1899-12-30T11:04:24"/>
    <d v="1899-12-30T11:14:27"/>
    <x v="0"/>
  </r>
  <r>
    <x v="297"/>
    <d v="2017-07-06T00:00:00"/>
    <d v="1899-12-30T11:07:03"/>
    <d v="1899-12-30T11:08:27"/>
    <x v="0"/>
  </r>
  <r>
    <x v="298"/>
    <d v="2017-07-06T00:00:00"/>
    <d v="1899-12-30T11:07:17"/>
    <d v="1899-12-30T11:22:56"/>
    <x v="0"/>
  </r>
  <r>
    <x v="299"/>
    <d v="2017-07-06T00:00:00"/>
    <d v="1899-12-30T11:14:57"/>
    <d v="1899-12-30T11:21:24"/>
    <x v="0"/>
  </r>
  <r>
    <x v="300"/>
    <d v="2017-07-06T00:00:00"/>
    <d v="1899-12-30T11:22:30"/>
    <d v="1899-12-30T11:22:54"/>
    <x v="0"/>
  </r>
  <r>
    <x v="301"/>
    <d v="2017-07-06T00:00:00"/>
    <d v="1899-12-30T11:29:16"/>
    <d v="1899-12-30T11:44:30"/>
    <x v="0"/>
  </r>
  <r>
    <x v="302"/>
    <d v="2017-07-06T00:00:00"/>
    <d v="1899-12-30T11:31:12"/>
    <d v="1899-12-30T11:38:58"/>
    <x v="0"/>
  </r>
  <r>
    <x v="303"/>
    <d v="2017-07-06T00:00:00"/>
    <d v="1899-12-30T11:38:05"/>
    <d v="1899-12-30T11:48:58"/>
    <x v="0"/>
  </r>
  <r>
    <x v="304"/>
    <d v="2017-07-06T00:00:00"/>
    <d v="1899-12-30T11:39:55"/>
    <d v="1899-12-30T11:51:06"/>
    <x v="0"/>
  </r>
  <r>
    <x v="305"/>
    <d v="2017-07-06T00:00:00"/>
    <d v="1899-12-30T11:43:44"/>
    <d v="1899-12-30T11:50:33"/>
    <x v="0"/>
  </r>
  <r>
    <x v="306"/>
    <d v="2017-07-06T00:00:00"/>
    <d v="1899-12-30T11:49:00"/>
    <d v="1899-12-30T11:56:50"/>
    <x v="0"/>
  </r>
  <r>
    <x v="307"/>
    <d v="2017-07-06T00:00:00"/>
    <d v="1899-12-30T11:50:58"/>
    <d v="1899-12-30T12:06:17"/>
    <x v="0"/>
  </r>
  <r>
    <x v="308"/>
    <d v="2017-07-06T00:00:00"/>
    <d v="1899-12-30T11:51:11"/>
    <d v="1899-12-30T12:06:03"/>
    <x v="0"/>
  </r>
  <r>
    <x v="309"/>
    <d v="2017-07-06T00:00:00"/>
    <d v="1899-12-30T11:51:55"/>
    <d v="1899-12-30T11:58:42"/>
    <x v="0"/>
  </r>
  <r>
    <x v="310"/>
    <d v="2017-07-06T00:00:00"/>
    <d v="1899-12-30T11:58:43"/>
    <d v="1899-12-30T12:01:25"/>
    <x v="0"/>
  </r>
  <r>
    <x v="311"/>
    <d v="2017-07-06T00:00:00"/>
    <d v="1899-12-30T12:04:56"/>
    <d v="1899-12-30T12:20:03"/>
    <x v="0"/>
  </r>
  <r>
    <x v="312"/>
    <d v="2017-07-06T00:00:00"/>
    <d v="1899-12-30T12:10:05"/>
    <d v="1899-12-30T12:17:05"/>
    <x v="0"/>
  </r>
  <r>
    <x v="313"/>
    <d v="2017-07-06T00:00:00"/>
    <d v="1899-12-30T12:17:09"/>
    <d v="1899-12-30T12:32:57"/>
    <x v="0"/>
  </r>
  <r>
    <x v="314"/>
    <d v="2017-07-06T00:00:00"/>
    <d v="1899-12-30T12:20:55"/>
    <d v="1899-12-30T12:22:37"/>
    <x v="0"/>
  </r>
  <r>
    <x v="315"/>
    <d v="2017-07-06T00:00:00"/>
    <d v="1899-12-30T12:22:25"/>
    <d v="1899-12-30T12:37:03"/>
    <x v="0"/>
  </r>
  <r>
    <x v="316"/>
    <d v="2017-07-06T00:00:00"/>
    <d v="1899-12-30T12:26:46"/>
    <d v="1899-12-30T12:39:59"/>
    <x v="0"/>
  </r>
  <r>
    <x v="317"/>
    <d v="2017-07-06T00:00:00"/>
    <d v="1899-12-30T12:31:56"/>
    <d v="1899-12-30T12:45:42"/>
    <x v="0"/>
  </r>
  <r>
    <x v="318"/>
    <d v="2017-07-06T00:00:00"/>
    <d v="1899-12-30T12:39:51"/>
    <d v="1899-12-30T12:41:03"/>
    <x v="0"/>
  </r>
  <r>
    <x v="319"/>
    <d v="2017-07-06T00:00:00"/>
    <d v="1899-12-30T12:41:37"/>
    <d v="1899-12-30T12:53:52"/>
    <x v="0"/>
  </r>
  <r>
    <x v="320"/>
    <d v="2017-07-06T00:00:00"/>
    <d v="1899-12-30T12:43:00"/>
    <d v="1899-12-30T12:43:53"/>
    <x v="0"/>
  </r>
  <r>
    <x v="321"/>
    <d v="2017-07-06T00:00:00"/>
    <d v="1899-12-30T12:45:08"/>
    <d v="1899-12-30T12:53:50"/>
    <x v="0"/>
  </r>
  <r>
    <x v="322"/>
    <d v="2017-07-06T00:00:00"/>
    <d v="1899-12-30T12:48:23"/>
    <d v="1899-12-30T12:49:58"/>
    <x v="0"/>
  </r>
  <r>
    <x v="323"/>
    <d v="2017-07-06T00:00:00"/>
    <d v="1899-12-30T12:54:40"/>
    <d v="1899-12-30T13:04:30"/>
    <x v="0"/>
  </r>
  <r>
    <x v="324"/>
    <d v="2017-07-06T00:00:00"/>
    <d v="1899-12-30T12:58:39"/>
    <d v="1899-12-30T13:04:07"/>
    <x v="0"/>
  </r>
  <r>
    <x v="262"/>
    <d v="2017-07-06T00:00:00"/>
    <d v="1899-12-30T12:58:47"/>
    <d v="1899-12-30T13:11:56"/>
    <x v="0"/>
  </r>
  <r>
    <x v="325"/>
    <d v="2017-07-06T00:00:00"/>
    <d v="1899-12-30T13:00:35"/>
    <d v="1899-12-30T13:11:20"/>
    <x v="0"/>
  </r>
  <r>
    <x v="326"/>
    <d v="2017-07-06T00:00:00"/>
    <d v="1899-12-30T13:07:35"/>
    <d v="1899-12-30T13:08:51"/>
    <x v="0"/>
  </r>
  <r>
    <x v="327"/>
    <d v="2017-07-06T00:00:00"/>
    <d v="1899-12-30T13:13:40"/>
    <d v="1899-12-30T13:15:35"/>
    <x v="0"/>
  </r>
  <r>
    <x v="328"/>
    <d v="2017-07-06T00:00:00"/>
    <d v="1899-12-30T13:15:53"/>
    <d v="1899-12-30T13:26:39"/>
    <x v="0"/>
  </r>
  <r>
    <x v="329"/>
    <d v="2017-07-06T00:00:00"/>
    <d v="1899-12-30T13:21:24"/>
    <d v="1899-12-30T13:21:50"/>
    <x v="0"/>
  </r>
  <r>
    <x v="330"/>
    <d v="2017-07-06T00:00:00"/>
    <d v="1899-12-30T13:25:58"/>
    <d v="1899-12-30T13:34:22"/>
    <x v="0"/>
  </r>
  <r>
    <x v="289"/>
    <d v="2017-07-06T00:00:00"/>
    <d v="1899-12-30T13:26:09"/>
    <d v="1899-12-30T13:41:22"/>
    <x v="0"/>
  </r>
  <r>
    <x v="331"/>
    <d v="2017-07-06T00:00:00"/>
    <d v="1899-12-30T13:28:11"/>
    <d v="1899-12-30T13:31:49"/>
    <x v="0"/>
  </r>
  <r>
    <x v="332"/>
    <d v="2017-07-06T00:00:00"/>
    <d v="1899-12-30T13:36:04"/>
    <d v="1899-12-30T13:38:23"/>
    <x v="0"/>
  </r>
  <r>
    <x v="333"/>
    <d v="2017-07-06T00:00:00"/>
    <d v="1899-12-30T13:37:02"/>
    <d v="1899-12-30T13:53:10"/>
    <x v="0"/>
  </r>
  <r>
    <x v="334"/>
    <d v="2017-07-06T00:00:00"/>
    <d v="1899-12-30T13:43:10"/>
    <d v="1899-12-30T13:48:25"/>
    <x v="0"/>
  </r>
  <r>
    <x v="335"/>
    <d v="2017-07-06T00:00:00"/>
    <d v="1899-12-30T13:46:33"/>
    <d v="1899-12-30T14:01:01"/>
    <x v="0"/>
  </r>
  <r>
    <x v="336"/>
    <d v="2017-07-06T00:00:00"/>
    <d v="1899-12-30T13:49:15"/>
    <d v="1899-12-30T13:54:56"/>
    <x v="0"/>
  </r>
  <r>
    <x v="337"/>
    <d v="2017-07-06T00:00:00"/>
    <d v="1899-12-30T13:49:20"/>
    <d v="1899-12-30T13:54:07"/>
    <x v="0"/>
  </r>
  <r>
    <x v="338"/>
    <d v="2017-07-06T00:00:00"/>
    <d v="1899-12-30T13:51:25"/>
    <d v="1899-12-30T14:00:50"/>
    <x v="0"/>
  </r>
  <r>
    <x v="339"/>
    <d v="2017-07-06T00:00:00"/>
    <d v="1899-12-30T13:59:09"/>
    <d v="1899-12-30T13:59:39"/>
    <x v="0"/>
  </r>
  <r>
    <x v="340"/>
    <d v="2017-07-06T00:00:00"/>
    <d v="1899-12-30T14:02:21"/>
    <d v="1899-12-30T14:14:25"/>
    <x v="0"/>
  </r>
  <r>
    <x v="341"/>
    <d v="2017-07-06T00:00:00"/>
    <d v="1899-12-30T14:08:01"/>
    <d v="1899-12-30T14:18:27"/>
    <x v="0"/>
  </r>
  <r>
    <x v="342"/>
    <d v="2017-07-06T00:00:00"/>
    <d v="1899-12-30T14:12:14"/>
    <d v="1899-12-30T14:15:01"/>
    <x v="0"/>
  </r>
  <r>
    <x v="343"/>
    <d v="2017-07-06T00:00:00"/>
    <d v="1899-12-30T14:19:12"/>
    <d v="1899-12-30T14:20:28"/>
    <x v="0"/>
  </r>
  <r>
    <x v="344"/>
    <d v="2017-07-06T00:00:00"/>
    <d v="1899-12-30T14:26:07"/>
    <d v="1899-12-30T14:37:26"/>
    <x v="0"/>
  </r>
  <r>
    <x v="345"/>
    <d v="2017-07-06T00:00:00"/>
    <d v="1899-12-30T14:27:34"/>
    <d v="1899-12-30T14:35:16"/>
    <x v="0"/>
  </r>
  <r>
    <x v="346"/>
    <d v="2017-07-06T00:00:00"/>
    <d v="1899-12-30T14:35:09"/>
    <d v="1899-12-30T14:42:41"/>
    <x v="0"/>
  </r>
  <r>
    <x v="347"/>
    <d v="2017-07-06T00:00:00"/>
    <d v="1899-12-30T14:40:53"/>
    <d v="1899-12-30T14:55:56"/>
    <x v="0"/>
  </r>
  <r>
    <x v="348"/>
    <d v="2017-07-06T00:00:00"/>
    <d v="1899-12-30T14:44:09"/>
    <d v="1899-12-30T14:58:03"/>
    <x v="0"/>
  </r>
  <r>
    <x v="349"/>
    <d v="2017-07-06T00:00:00"/>
    <d v="1899-12-30T14:50:57"/>
    <d v="1899-12-30T14:59:24"/>
    <x v="0"/>
  </r>
  <r>
    <x v="350"/>
    <d v="2017-07-06T00:00:00"/>
    <d v="1899-12-30T14:58:14"/>
    <d v="1899-12-30T15:11:31"/>
    <x v="0"/>
  </r>
  <r>
    <x v="351"/>
    <d v="2017-07-06T00:00:00"/>
    <d v="1899-12-30T14:58:31"/>
    <d v="1899-12-30T15:02:47"/>
    <x v="0"/>
  </r>
  <r>
    <x v="143"/>
    <d v="2017-07-06T00:00:00"/>
    <d v="1899-12-30T14:59:53"/>
    <d v="1899-12-30T15:11:01"/>
    <x v="0"/>
  </r>
  <r>
    <x v="352"/>
    <d v="2017-07-06T00:00:00"/>
    <d v="1899-12-30T15:01:39"/>
    <d v="1899-12-30T15:09:50"/>
    <x v="0"/>
  </r>
  <r>
    <x v="353"/>
    <d v="2017-07-07T00:00:00"/>
    <d v="1899-12-30T08:04:57"/>
    <d v="1899-12-30T08:19:41"/>
    <x v="0"/>
  </r>
  <r>
    <x v="354"/>
    <d v="2017-07-07T00:00:00"/>
    <d v="1899-12-30T08:10:56"/>
    <d v="1899-12-30T08:16:32"/>
    <x v="0"/>
  </r>
  <r>
    <x v="355"/>
    <d v="2017-07-07T00:00:00"/>
    <d v="1899-12-30T08:13:45"/>
    <d v="1899-12-30T08:16:54"/>
    <x v="0"/>
  </r>
  <r>
    <x v="356"/>
    <d v="2017-07-07T00:00:00"/>
    <d v="1899-12-30T08:16:18"/>
    <d v="1899-12-30T08:21:24"/>
    <x v="0"/>
  </r>
  <r>
    <x v="356"/>
    <d v="2017-07-07T00:00:00"/>
    <d v="1899-12-30T08:21:49"/>
    <d v="1899-12-30T08:24:13"/>
    <x v="0"/>
  </r>
  <r>
    <x v="357"/>
    <d v="2017-07-07T00:00:00"/>
    <d v="1899-12-30T08:25:53"/>
    <d v="1899-12-30T08:36:57"/>
    <x v="0"/>
  </r>
  <r>
    <x v="358"/>
    <d v="2017-07-07T00:00:00"/>
    <d v="1899-12-30T08:34:04"/>
    <d v="1899-12-30T08:46:16"/>
    <x v="0"/>
  </r>
  <r>
    <x v="359"/>
    <d v="2017-07-07T00:00:00"/>
    <d v="1899-12-30T08:38:37"/>
    <d v="1899-12-30T08:47:51"/>
    <x v="0"/>
  </r>
  <r>
    <x v="360"/>
    <d v="2017-07-07T00:00:00"/>
    <d v="1899-12-30T08:39:24"/>
    <d v="1899-12-30T08:46:39"/>
    <x v="0"/>
  </r>
  <r>
    <x v="361"/>
    <d v="2017-07-07T00:00:00"/>
    <d v="1899-12-30T08:41:39"/>
    <d v="1899-12-30T08:43:39"/>
    <x v="0"/>
  </r>
  <r>
    <x v="362"/>
    <d v="2017-07-07T00:00:00"/>
    <d v="1899-12-30T08:42:15"/>
    <d v="1899-12-30T08:47:22"/>
    <x v="0"/>
  </r>
  <r>
    <x v="129"/>
    <d v="2017-07-07T00:00:00"/>
    <d v="1899-12-30T08:46:49"/>
    <d v="1899-12-30T09:03:01"/>
    <x v="0"/>
  </r>
  <r>
    <x v="363"/>
    <d v="2017-07-07T00:00:00"/>
    <d v="1899-12-30T08:51:09"/>
    <d v="1899-12-30T08:51:50"/>
    <x v="0"/>
  </r>
  <r>
    <x v="364"/>
    <d v="2017-07-07T00:00:00"/>
    <d v="1899-12-30T08:52:45"/>
    <d v="1899-12-30T08:54:57"/>
    <x v="0"/>
  </r>
  <r>
    <x v="239"/>
    <d v="2017-07-07T00:00:00"/>
    <d v="1899-12-30T08:54:25"/>
    <d v="1899-12-30T09:00:30"/>
    <x v="0"/>
  </r>
  <r>
    <x v="365"/>
    <d v="2017-07-07T00:00:00"/>
    <d v="1899-12-30T08:55:58"/>
    <d v="1899-12-30T09:06:34"/>
    <x v="0"/>
  </r>
  <r>
    <x v="366"/>
    <d v="2017-07-07T00:00:00"/>
    <d v="1899-12-30T08:59:13"/>
    <d v="1899-12-30T09:09:18"/>
    <x v="0"/>
  </r>
  <r>
    <x v="64"/>
    <d v="2017-07-07T00:00:00"/>
    <d v="1899-12-30T09:02:31"/>
    <d v="1899-12-30T09:09:58"/>
    <x v="0"/>
  </r>
  <r>
    <x v="367"/>
    <d v="2017-07-07T00:00:00"/>
    <d v="1899-12-30T09:04:02"/>
    <d v="1899-12-30T09:06:09"/>
    <x v="0"/>
  </r>
  <r>
    <x v="368"/>
    <d v="2017-07-07T00:00:00"/>
    <d v="1899-12-30T09:07:11"/>
    <d v="1899-12-30T09:13:27"/>
    <x v="0"/>
  </r>
  <r>
    <x v="369"/>
    <d v="2017-07-07T00:00:00"/>
    <d v="1899-12-30T09:12:21"/>
    <d v="1899-12-30T09:21:06"/>
    <x v="0"/>
  </r>
  <r>
    <x v="370"/>
    <d v="2017-07-07T00:00:00"/>
    <d v="1899-12-30T09:20:29"/>
    <d v="1899-12-30T09:22:59"/>
    <x v="0"/>
  </r>
  <r>
    <x v="371"/>
    <d v="2017-07-07T00:00:00"/>
    <d v="1899-12-30T09:22:55"/>
    <d v="1899-12-30T09:30:32"/>
    <x v="0"/>
  </r>
  <r>
    <x v="372"/>
    <d v="2017-07-07T00:00:00"/>
    <d v="1899-12-30T09:24:26"/>
    <d v="1899-12-30T09:28:36"/>
    <x v="0"/>
  </r>
  <r>
    <x v="373"/>
    <d v="2017-07-07T00:00:00"/>
    <d v="1899-12-30T09:32:08"/>
    <d v="1899-12-30T09:45:55"/>
    <x v="0"/>
  </r>
  <r>
    <x v="374"/>
    <d v="2017-07-07T00:00:00"/>
    <d v="1899-12-30T09:40:05"/>
    <d v="1899-12-30T09:51:43"/>
    <x v="0"/>
  </r>
  <r>
    <x v="375"/>
    <d v="2017-07-07T00:00:00"/>
    <d v="1899-12-30T09:41:44"/>
    <d v="1899-12-30T09:53:27"/>
    <x v="0"/>
  </r>
  <r>
    <x v="376"/>
    <d v="2017-07-07T00:00:00"/>
    <d v="1899-12-30T09:43:42"/>
    <d v="1899-12-30T09:48:47"/>
    <x v="0"/>
  </r>
  <r>
    <x v="377"/>
    <d v="2017-07-07T00:00:00"/>
    <d v="1899-12-30T09:50:46"/>
    <d v="1899-12-30T09:51:20"/>
    <x v="0"/>
  </r>
  <r>
    <x v="378"/>
    <d v="2017-07-07T00:00:00"/>
    <d v="1899-12-30T09:50:54"/>
    <d v="1899-12-30T09:58:44"/>
    <x v="0"/>
  </r>
  <r>
    <x v="379"/>
    <d v="2017-07-07T00:00:00"/>
    <d v="1899-12-30T09:53:59"/>
    <d v="1899-12-30T09:55:08"/>
    <x v="0"/>
  </r>
  <r>
    <x v="380"/>
    <d v="2017-07-07T00:00:00"/>
    <d v="1899-12-30T09:54:09"/>
    <d v="1899-12-30T09:57:54"/>
    <x v="0"/>
  </r>
  <r>
    <x v="167"/>
    <d v="2017-07-07T00:00:00"/>
    <d v="1899-12-30T10:00:12"/>
    <d v="1899-12-30T10:11:07"/>
    <x v="0"/>
  </r>
  <r>
    <x v="381"/>
    <d v="2017-07-07T00:00:00"/>
    <d v="1899-12-30T10:02:21"/>
    <d v="1899-12-30T10:14:58"/>
    <x v="0"/>
  </r>
  <r>
    <x v="382"/>
    <d v="2017-07-07T00:00:00"/>
    <d v="1899-12-30T10:04:40"/>
    <d v="1899-12-30T10:09:57"/>
    <x v="0"/>
  </r>
  <r>
    <x v="383"/>
    <d v="2017-07-07T00:00:00"/>
    <d v="1899-12-30T10:06:57"/>
    <d v="1899-12-30T10:15:24"/>
    <x v="0"/>
  </r>
  <r>
    <x v="384"/>
    <d v="2017-07-07T00:00:00"/>
    <d v="1899-12-30T10:12:51"/>
    <d v="1899-12-30T10:25:53"/>
    <x v="0"/>
  </r>
  <r>
    <x v="385"/>
    <d v="2017-07-07T00:00:00"/>
    <d v="1899-12-30T10:19:26"/>
    <d v="1899-12-30T10:35:23"/>
    <x v="0"/>
  </r>
  <r>
    <x v="386"/>
    <d v="2017-07-07T00:00:00"/>
    <d v="1899-12-30T10:21:19"/>
    <d v="1899-12-30T10:21:58"/>
    <x v="0"/>
  </r>
  <r>
    <x v="387"/>
    <d v="2017-07-07T00:00:00"/>
    <d v="1899-12-30T10:23:43"/>
    <d v="1899-12-30T10:30:53"/>
    <x v="0"/>
  </r>
  <r>
    <x v="219"/>
    <d v="2017-07-07T00:00:00"/>
    <d v="1899-12-30T10:30:02"/>
    <d v="1899-12-30T10:45:13"/>
    <x v="0"/>
  </r>
  <r>
    <x v="64"/>
    <d v="2017-07-07T00:00:00"/>
    <d v="1899-12-30T10:36:15"/>
    <d v="1899-12-30T10:41:59"/>
    <x v="0"/>
  </r>
  <r>
    <x v="388"/>
    <d v="2017-07-07T00:00:00"/>
    <d v="1899-12-30T10:41:26"/>
    <d v="1899-12-30T10:51:55"/>
    <x v="0"/>
  </r>
  <r>
    <x v="389"/>
    <d v="2017-07-07T00:00:00"/>
    <d v="1899-12-30T10:44:46"/>
    <d v="1899-12-30T10:54:29"/>
    <x v="0"/>
  </r>
  <r>
    <x v="390"/>
    <d v="2017-07-07T00:00:00"/>
    <d v="1899-12-30T10:46:57"/>
    <d v="1899-12-30T10:57:36"/>
    <x v="0"/>
  </r>
  <r>
    <x v="391"/>
    <d v="2017-07-07T00:00:00"/>
    <d v="1899-12-30T10:49:19"/>
    <d v="1899-12-30T11:00:28"/>
    <x v="0"/>
  </r>
  <r>
    <x v="392"/>
    <d v="2017-07-07T00:00:00"/>
    <d v="1899-12-30T10:54:00"/>
    <d v="1899-12-30T11:04:38"/>
    <x v="0"/>
  </r>
  <r>
    <x v="393"/>
    <d v="2017-07-07T00:00:00"/>
    <d v="1899-12-30T11:01:41"/>
    <d v="1899-12-30T11:03:43"/>
    <x v="0"/>
  </r>
  <r>
    <x v="394"/>
    <d v="2017-07-07T00:00:00"/>
    <d v="1899-12-30T11:02:08"/>
    <d v="1899-12-30T11:04:32"/>
    <x v="0"/>
  </r>
  <r>
    <x v="395"/>
    <d v="2017-07-07T00:00:00"/>
    <d v="1899-12-30T11:07:33"/>
    <d v="1899-12-30T11:14:02"/>
    <x v="0"/>
  </r>
  <r>
    <x v="122"/>
    <d v="2017-07-07T00:00:00"/>
    <d v="1899-12-30T11:15:14"/>
    <d v="1899-12-30T11:19:49"/>
    <x v="0"/>
  </r>
  <r>
    <x v="396"/>
    <d v="2017-07-07T00:00:00"/>
    <d v="1899-12-30T11:18:38"/>
    <d v="1899-12-30T11:23:39"/>
    <x v="0"/>
  </r>
  <r>
    <x v="397"/>
    <d v="2017-07-07T00:00:00"/>
    <d v="1899-12-30T11:20:55"/>
    <d v="1899-12-30T11:23:42"/>
    <x v="0"/>
  </r>
  <r>
    <x v="398"/>
    <d v="2017-07-07T00:00:00"/>
    <d v="1899-12-30T11:22:42"/>
    <d v="1899-12-30T11:38:54"/>
    <x v="0"/>
  </r>
  <r>
    <x v="399"/>
    <d v="2017-07-07T00:00:00"/>
    <d v="1899-12-30T11:24:53"/>
    <d v="1899-12-30T11:30:29"/>
    <x v="0"/>
  </r>
  <r>
    <x v="400"/>
    <d v="2017-07-07T00:00:00"/>
    <d v="1899-12-30T11:29:32"/>
    <d v="1899-12-30T11:41:04"/>
    <x v="0"/>
  </r>
  <r>
    <x v="401"/>
    <d v="2017-07-07T00:00:00"/>
    <d v="1899-12-30T11:36:41"/>
    <d v="1899-12-30T11:49:27"/>
    <x v="0"/>
  </r>
  <r>
    <x v="402"/>
    <d v="2017-07-07T00:00:00"/>
    <d v="1899-12-30T11:41:16"/>
    <d v="1899-12-30T11:43:56"/>
    <x v="0"/>
  </r>
  <r>
    <x v="176"/>
    <d v="2017-07-07T00:00:00"/>
    <d v="1899-12-30T11:48:34"/>
    <d v="1899-12-30T12:01:15"/>
    <x v="0"/>
  </r>
  <r>
    <x v="403"/>
    <d v="2017-07-07T00:00:00"/>
    <d v="1899-12-30T11:55:14"/>
    <d v="1899-12-30T12:03:50"/>
    <x v="0"/>
  </r>
  <r>
    <x v="404"/>
    <d v="2017-07-07T00:00:00"/>
    <d v="1899-12-30T12:03:21"/>
    <d v="1899-12-30T12:05:04"/>
    <x v="0"/>
  </r>
  <r>
    <x v="405"/>
    <d v="2017-07-07T00:00:00"/>
    <d v="1899-12-30T12:07:11"/>
    <d v="1899-12-30T12:11:38"/>
    <x v="0"/>
  </r>
  <r>
    <x v="406"/>
    <d v="2017-07-07T00:00:00"/>
    <d v="1899-12-30T12:12:43"/>
    <d v="1899-12-30T12:14:23"/>
    <x v="0"/>
  </r>
  <r>
    <x v="407"/>
    <d v="2017-07-07T00:00:00"/>
    <d v="1899-12-30T12:18:03"/>
    <d v="1899-12-30T12:28:26"/>
    <x v="0"/>
  </r>
  <r>
    <x v="408"/>
    <d v="2017-07-07T00:00:00"/>
    <d v="1899-12-30T12:25:07"/>
    <d v="1899-12-30T12:31:04"/>
    <x v="0"/>
  </r>
  <r>
    <x v="409"/>
    <d v="2017-07-07T00:00:00"/>
    <d v="1899-12-30T12:27:07"/>
    <d v="1899-12-30T12:36:39"/>
    <x v="0"/>
  </r>
  <r>
    <x v="410"/>
    <d v="2017-07-07T00:00:00"/>
    <d v="1899-12-30T12:33:57"/>
    <d v="1899-12-30T12:44:35"/>
    <x v="0"/>
  </r>
  <r>
    <x v="411"/>
    <d v="2017-07-07T00:00:00"/>
    <d v="1899-12-30T12:35:47"/>
    <d v="1899-12-30T12:47:58"/>
    <x v="0"/>
  </r>
  <r>
    <x v="412"/>
    <d v="2017-07-07T00:00:00"/>
    <d v="1899-12-30T12:38:45"/>
    <d v="1899-12-30T12:47:02"/>
    <x v="0"/>
  </r>
  <r>
    <x v="413"/>
    <d v="2017-07-07T00:00:00"/>
    <d v="1899-12-30T12:42:04"/>
    <d v="1899-12-30T12:53:22"/>
    <x v="0"/>
  </r>
  <r>
    <x v="414"/>
    <d v="2017-07-07T00:00:00"/>
    <d v="1899-12-30T12:42:41"/>
    <d v="1899-12-30T12:51:57"/>
    <x v="0"/>
  </r>
  <r>
    <x v="415"/>
    <d v="2017-07-07T00:00:00"/>
    <d v="1899-12-30T12:42:45"/>
    <d v="1899-12-30T12:55:40"/>
    <x v="0"/>
  </r>
  <r>
    <x v="228"/>
    <d v="2017-07-07T00:00:00"/>
    <d v="1899-12-30T12:48:34"/>
    <d v="1899-12-30T12:58:47"/>
    <x v="0"/>
  </r>
  <r>
    <x v="416"/>
    <d v="2017-07-07T00:00:00"/>
    <d v="1899-12-30T12:49:48"/>
    <d v="1899-12-30T13:05:16"/>
    <x v="0"/>
  </r>
  <r>
    <x v="417"/>
    <d v="2017-07-07T00:00:00"/>
    <d v="1899-12-30T12:55:30"/>
    <d v="1899-12-30T12:55:44"/>
    <x v="0"/>
  </r>
  <r>
    <x v="418"/>
    <d v="2017-07-07T00:00:00"/>
    <d v="1899-12-30T12:59:35"/>
    <d v="1899-12-30T13:15:39"/>
    <x v="0"/>
  </r>
  <r>
    <x v="419"/>
    <d v="2017-07-07T00:00:00"/>
    <d v="1899-12-30T13:02:00"/>
    <d v="1899-12-30T13:04:00"/>
    <x v="0"/>
  </r>
  <r>
    <x v="420"/>
    <d v="2017-07-07T00:00:00"/>
    <d v="1899-12-30T13:02:35"/>
    <d v="1899-12-30T13:12:03"/>
    <x v="0"/>
  </r>
  <r>
    <x v="420"/>
    <d v="2017-07-07T00:00:00"/>
    <d v="1899-12-30T13:02:58"/>
    <d v="1899-12-30T13:09:56"/>
    <x v="0"/>
  </r>
  <r>
    <x v="421"/>
    <d v="2017-07-07T00:00:00"/>
    <d v="1899-12-30T13:03:04"/>
    <d v="1899-12-30T13:07:23"/>
    <x v="0"/>
  </r>
  <r>
    <x v="422"/>
    <d v="2017-07-07T00:00:00"/>
    <d v="1899-12-30T13:08:26"/>
    <d v="1899-12-30T13:10:06"/>
    <x v="0"/>
  </r>
  <r>
    <x v="423"/>
    <d v="2017-07-07T00:00:00"/>
    <d v="1899-12-30T13:09:58"/>
    <d v="1899-12-30T13:22:25"/>
    <x v="0"/>
  </r>
  <r>
    <x v="424"/>
    <d v="2017-07-07T00:00:00"/>
    <d v="1899-12-30T13:17:14"/>
    <d v="1899-12-30T13:23:48"/>
    <x v="0"/>
  </r>
  <r>
    <x v="425"/>
    <d v="2017-07-07T00:00:00"/>
    <d v="1899-12-30T13:19:40"/>
    <d v="1899-12-30T13:35:01"/>
    <x v="0"/>
  </r>
  <r>
    <x v="94"/>
    <d v="2017-07-07T00:00:00"/>
    <d v="1899-12-30T13:26:41"/>
    <d v="1899-12-30T13:37:41"/>
    <x v="0"/>
  </r>
  <r>
    <x v="426"/>
    <d v="2017-07-07T00:00:00"/>
    <d v="1899-12-30T13:31:24"/>
    <d v="1899-12-30T13:43:04"/>
    <x v="0"/>
  </r>
  <r>
    <x v="427"/>
    <d v="2017-07-07T00:00:00"/>
    <d v="1899-12-30T13:37:51"/>
    <d v="1899-12-30T13:49:23"/>
    <x v="0"/>
  </r>
  <r>
    <x v="428"/>
    <d v="2017-07-07T00:00:00"/>
    <d v="1899-12-30T13:42:09"/>
    <d v="1899-12-30T13:50:13"/>
    <x v="0"/>
  </r>
  <r>
    <x v="429"/>
    <d v="2017-07-07T00:00:00"/>
    <d v="1899-12-30T13:48:20"/>
    <d v="1899-12-30T13:48:31"/>
    <x v="0"/>
  </r>
  <r>
    <x v="430"/>
    <d v="2017-07-07T00:00:00"/>
    <d v="1899-12-30T13:51:52"/>
    <d v="1899-12-30T14:04:22"/>
    <x v="0"/>
  </r>
  <r>
    <x v="431"/>
    <d v="2017-07-07T00:00:00"/>
    <d v="1899-12-30T13:54:05"/>
    <d v="1899-12-30T14:07:02"/>
    <x v="0"/>
  </r>
  <r>
    <x v="170"/>
    <d v="2017-07-07T00:00:00"/>
    <d v="1899-12-30T14:02:11"/>
    <d v="1899-12-30T14:05:10"/>
    <x v="0"/>
  </r>
  <r>
    <x v="432"/>
    <d v="2017-07-07T00:00:00"/>
    <d v="1899-12-30T14:02:31"/>
    <d v="1899-12-30T14:04:21"/>
    <x v="0"/>
  </r>
  <r>
    <x v="433"/>
    <d v="2017-07-07T00:00:00"/>
    <d v="1899-12-30T14:07:11"/>
    <d v="1899-12-30T14:13:36"/>
    <x v="0"/>
  </r>
  <r>
    <x v="434"/>
    <d v="2017-07-07T00:00:00"/>
    <d v="1899-12-30T14:13:39"/>
    <d v="1899-12-30T14:15:00"/>
    <x v="0"/>
  </r>
  <r>
    <x v="435"/>
    <d v="2017-07-07T00:00:00"/>
    <d v="1899-12-30T14:19:17"/>
    <d v="1899-12-30T14:30:16"/>
    <x v="0"/>
  </r>
  <r>
    <x v="436"/>
    <d v="2017-07-07T00:00:00"/>
    <d v="1899-12-30T14:24:43"/>
    <d v="1899-12-30T14:39:56"/>
    <x v="0"/>
  </r>
  <r>
    <x v="437"/>
    <d v="2017-07-07T00:00:00"/>
    <d v="1899-12-30T14:29:30"/>
    <d v="1899-12-30T14:32:29"/>
    <x v="0"/>
  </r>
  <r>
    <x v="438"/>
    <d v="2017-07-07T00:00:00"/>
    <d v="1899-12-30T14:34:55"/>
    <d v="1899-12-30T14:38:31"/>
    <x v="0"/>
  </r>
  <r>
    <x v="439"/>
    <d v="2017-07-07T00:00:00"/>
    <d v="1899-12-30T14:37:24"/>
    <d v="1899-12-30T14:54:02"/>
    <x v="0"/>
  </r>
  <r>
    <x v="440"/>
    <d v="2017-07-07T00:00:00"/>
    <d v="1899-12-30T14:44:20"/>
    <d v="1899-12-30T14:57:44"/>
    <x v="0"/>
  </r>
  <r>
    <x v="441"/>
    <d v="2017-07-07T00:00:00"/>
    <d v="1899-12-30T14:46:26"/>
    <d v="1899-12-30T14:52:02"/>
    <x v="0"/>
  </r>
  <r>
    <x v="442"/>
    <d v="2017-07-07T00:00:00"/>
    <d v="1899-12-30T14:51:23"/>
    <d v="1899-12-30T15:05:12"/>
    <x v="0"/>
  </r>
  <r>
    <x v="443"/>
    <d v="2017-07-07T00:00:00"/>
    <d v="1899-12-30T14:57:13"/>
    <d v="1899-12-30T15:11:56"/>
    <x v="0"/>
  </r>
  <r>
    <x v="444"/>
    <d v="2017-07-07T00:00:00"/>
    <d v="1899-12-30T15:00:32"/>
    <d v="1899-12-30T15:14:23"/>
    <x v="0"/>
  </r>
  <r>
    <x v="445"/>
    <d v="2017-07-10T00:00:00"/>
    <d v="1899-12-30T08:06:08"/>
    <d v="1899-12-30T08:22:17"/>
    <x v="0"/>
  </r>
  <r>
    <x v="446"/>
    <d v="2017-07-10T00:00:00"/>
    <d v="1899-12-30T08:09:50"/>
    <d v="1899-12-30T08:23:18"/>
    <x v="0"/>
  </r>
  <r>
    <x v="123"/>
    <d v="2017-07-10T00:00:00"/>
    <d v="1899-12-30T08:14:06"/>
    <d v="1899-12-30T08:14:59"/>
    <x v="0"/>
  </r>
  <r>
    <x v="447"/>
    <d v="2017-07-10T00:00:00"/>
    <d v="1899-12-30T08:14:51"/>
    <d v="1899-12-30T08:22:58"/>
    <x v="0"/>
  </r>
  <r>
    <x v="448"/>
    <d v="2017-07-10T00:00:00"/>
    <d v="1899-12-30T08:21:04"/>
    <d v="1899-12-30T08:34:29"/>
    <x v="0"/>
  </r>
  <r>
    <x v="449"/>
    <d v="2017-07-10T00:00:00"/>
    <d v="1899-12-30T08:27:36"/>
    <d v="1899-12-30T08:28:01"/>
    <x v="0"/>
  </r>
  <r>
    <x v="450"/>
    <d v="2017-07-10T00:00:00"/>
    <d v="1899-12-30T08:30:58"/>
    <d v="1899-12-30T08:34:04"/>
    <x v="0"/>
  </r>
  <r>
    <x v="451"/>
    <d v="2017-07-10T00:00:00"/>
    <d v="1899-12-30T08:34:57"/>
    <d v="1899-12-30T08:37:42"/>
    <x v="0"/>
  </r>
  <r>
    <x v="452"/>
    <d v="2017-07-10T00:00:00"/>
    <d v="1899-12-30T08:42:28"/>
    <d v="1899-12-30T08:54:09"/>
    <x v="0"/>
  </r>
  <r>
    <x v="453"/>
    <d v="2017-07-10T00:00:00"/>
    <d v="1899-12-30T08:49:58"/>
    <d v="1899-12-30T09:00:57"/>
    <x v="0"/>
  </r>
  <r>
    <x v="454"/>
    <d v="2017-07-10T00:00:00"/>
    <d v="1899-12-30T08:51:18"/>
    <d v="1899-12-30T09:02:14"/>
    <x v="0"/>
  </r>
  <r>
    <x v="455"/>
    <d v="2017-07-10T00:00:00"/>
    <d v="1899-12-30T08:52:45"/>
    <d v="1899-12-30T09:07:02"/>
    <x v="0"/>
  </r>
  <r>
    <x v="456"/>
    <d v="2017-07-10T00:00:00"/>
    <d v="1899-12-30T08:53:01"/>
    <d v="1899-12-30T09:00:25"/>
    <x v="0"/>
  </r>
  <r>
    <x v="231"/>
    <d v="2017-07-10T00:00:00"/>
    <d v="1899-12-30T08:53:46"/>
    <d v="1899-12-30T09:01:03"/>
    <x v="0"/>
  </r>
  <r>
    <x v="134"/>
    <d v="2017-07-10T00:00:00"/>
    <d v="1899-12-30T08:55:47"/>
    <d v="1899-12-30T08:57:35"/>
    <x v="0"/>
  </r>
  <r>
    <x v="457"/>
    <d v="2017-07-10T00:00:00"/>
    <d v="1899-12-30T09:03:34"/>
    <d v="1899-12-30T09:15:59"/>
    <x v="0"/>
  </r>
  <r>
    <x v="458"/>
    <d v="2017-07-10T00:00:00"/>
    <d v="1899-12-30T09:06:12"/>
    <d v="1899-12-30T09:17:05"/>
    <x v="0"/>
  </r>
  <r>
    <x v="459"/>
    <d v="2017-07-10T00:00:00"/>
    <d v="1899-12-30T09:07:47"/>
    <d v="1899-12-30T09:14:11"/>
    <x v="0"/>
  </r>
  <r>
    <x v="460"/>
    <d v="2017-07-10T00:00:00"/>
    <d v="1899-12-30T09:12:20"/>
    <d v="1899-12-30T09:27:31"/>
    <x v="0"/>
  </r>
  <r>
    <x v="461"/>
    <d v="2017-07-10T00:00:00"/>
    <d v="1899-12-30T09:17:30"/>
    <d v="1899-12-30T09:25:50"/>
    <x v="0"/>
  </r>
  <r>
    <x v="462"/>
    <d v="2017-07-10T00:00:00"/>
    <d v="1899-12-30T09:20:45"/>
    <d v="1899-12-30T09:34:07"/>
    <x v="0"/>
  </r>
  <r>
    <x v="463"/>
    <d v="2017-07-10T00:00:00"/>
    <d v="1899-12-30T09:24:23"/>
    <d v="1899-12-30T09:31:52"/>
    <x v="0"/>
  </r>
  <r>
    <x v="464"/>
    <d v="2017-07-10T00:00:00"/>
    <d v="1899-12-30T09:26:02"/>
    <d v="1899-12-30T09:27:05"/>
    <x v="0"/>
  </r>
  <r>
    <x v="465"/>
    <d v="2017-07-10T00:00:00"/>
    <d v="1899-12-30T09:33:45"/>
    <d v="1899-12-30T09:47:33"/>
    <x v="0"/>
  </r>
  <r>
    <x v="466"/>
    <d v="2017-07-10T00:00:00"/>
    <d v="1899-12-30T09:39:49"/>
    <d v="1899-12-30T09:40:06"/>
    <x v="0"/>
  </r>
  <r>
    <x v="467"/>
    <d v="2017-07-10T00:00:00"/>
    <d v="1899-12-30T09:45:32"/>
    <d v="1899-12-30T09:52:52"/>
    <x v="0"/>
  </r>
  <r>
    <x v="468"/>
    <d v="2017-07-10T00:00:00"/>
    <d v="1899-12-30T09:50:22"/>
    <d v="1899-12-30T10:04:03"/>
    <x v="0"/>
  </r>
  <r>
    <x v="469"/>
    <d v="2017-07-10T00:00:00"/>
    <d v="1899-12-30T09:56:29"/>
    <d v="1899-12-30T10:12:43"/>
    <x v="0"/>
  </r>
  <r>
    <x v="470"/>
    <d v="2017-07-10T00:00:00"/>
    <d v="1899-12-30T09:58:22"/>
    <d v="1899-12-30T10:13:21"/>
    <x v="0"/>
  </r>
  <r>
    <x v="471"/>
    <d v="2017-07-10T00:00:00"/>
    <d v="1899-12-30T10:00:59"/>
    <d v="1899-12-30T10:16:39"/>
    <x v="0"/>
  </r>
  <r>
    <x v="472"/>
    <d v="2017-07-10T00:00:00"/>
    <d v="1899-12-30T10:02:50"/>
    <d v="1899-12-30T10:17:26"/>
    <x v="0"/>
  </r>
  <r>
    <x v="473"/>
    <d v="2017-07-10T00:00:00"/>
    <d v="1899-12-30T10:04:50"/>
    <d v="1899-12-30T10:14:53"/>
    <x v="0"/>
  </r>
  <r>
    <x v="474"/>
    <d v="2017-07-10T00:00:00"/>
    <d v="1899-12-30T10:10:31"/>
    <d v="1899-12-30T10:24:02"/>
    <x v="0"/>
  </r>
  <r>
    <x v="475"/>
    <d v="2017-07-10T00:00:00"/>
    <d v="1899-12-30T10:18:05"/>
    <d v="1899-12-30T10:32:51"/>
    <x v="0"/>
  </r>
  <r>
    <x v="366"/>
    <d v="2017-07-10T00:00:00"/>
    <d v="1899-12-30T10:26:03"/>
    <d v="1899-12-30T10:27:42"/>
    <x v="0"/>
  </r>
  <r>
    <x v="440"/>
    <d v="2017-07-10T00:00:00"/>
    <d v="1899-12-30T10:33:03"/>
    <d v="1899-12-30T10:49:16"/>
    <x v="0"/>
  </r>
  <r>
    <x v="476"/>
    <d v="2017-07-10T00:00:00"/>
    <d v="1899-12-30T10:36:38"/>
    <d v="1899-12-30T10:38:55"/>
    <x v="0"/>
  </r>
  <r>
    <x v="477"/>
    <d v="2017-07-10T00:00:00"/>
    <d v="1899-12-30T10:41:51"/>
    <d v="1899-12-30T10:55:01"/>
    <x v="0"/>
  </r>
  <r>
    <x v="478"/>
    <d v="2017-07-10T00:00:00"/>
    <d v="1899-12-30T10:42:08"/>
    <d v="1899-12-30T10:48:23"/>
    <x v="0"/>
  </r>
  <r>
    <x v="479"/>
    <d v="2017-07-10T00:00:00"/>
    <d v="1899-12-30T10:42:50"/>
    <d v="1899-12-30T10:49:17"/>
    <x v="0"/>
  </r>
  <r>
    <x v="480"/>
    <d v="2017-07-10T00:00:00"/>
    <d v="1899-12-30T10:49:32"/>
    <d v="1899-12-30T10:56:41"/>
    <x v="0"/>
  </r>
  <r>
    <x v="261"/>
    <d v="2017-07-10T00:00:00"/>
    <d v="1899-12-30T10:57:33"/>
    <d v="1899-12-30T11:09:51"/>
    <x v="0"/>
  </r>
  <r>
    <x v="481"/>
    <d v="2017-07-10T00:00:00"/>
    <d v="1899-12-30T11:03:58"/>
    <d v="1899-12-30T11:16:39"/>
    <x v="0"/>
  </r>
  <r>
    <x v="482"/>
    <d v="2017-07-10T00:00:00"/>
    <d v="1899-12-30T11:11:00"/>
    <d v="1899-12-30T11:12:57"/>
    <x v="0"/>
  </r>
  <r>
    <x v="483"/>
    <d v="2017-07-10T00:00:00"/>
    <d v="1899-12-30T11:11:45"/>
    <d v="1899-12-30T11:27:08"/>
    <x v="0"/>
  </r>
  <r>
    <x v="484"/>
    <d v="2017-07-10T00:00:00"/>
    <d v="1899-12-30T11:16:11"/>
    <d v="1899-12-30T11:20:22"/>
    <x v="0"/>
  </r>
  <r>
    <x v="485"/>
    <d v="2017-07-10T00:00:00"/>
    <d v="1899-12-30T11:23:28"/>
    <d v="1899-12-30T11:28:53"/>
    <x v="0"/>
  </r>
  <r>
    <x v="343"/>
    <d v="2017-07-10T00:00:00"/>
    <d v="1899-12-30T11:24:31"/>
    <d v="1899-12-30T11:37:45"/>
    <x v="0"/>
  </r>
  <r>
    <x v="486"/>
    <d v="2017-07-10T00:00:00"/>
    <d v="1899-12-30T11:31:03"/>
    <d v="1899-12-30T11:33:12"/>
    <x v="0"/>
  </r>
  <r>
    <x v="487"/>
    <d v="2017-07-10T00:00:00"/>
    <d v="1899-12-30T11:37:56"/>
    <d v="1899-12-30T11:53:32"/>
    <x v="0"/>
  </r>
  <r>
    <x v="23"/>
    <d v="2017-07-10T00:00:00"/>
    <d v="1899-12-30T11:42:58"/>
    <d v="1899-12-30T11:56:41"/>
    <x v="0"/>
  </r>
  <r>
    <x v="488"/>
    <d v="2017-07-10T00:00:00"/>
    <d v="1899-12-30T11:46:24"/>
    <d v="1899-12-30T11:52:04"/>
    <x v="0"/>
  </r>
  <r>
    <x v="489"/>
    <d v="2017-07-10T00:00:00"/>
    <d v="1899-12-30T11:52:38"/>
    <d v="1899-12-30T12:08:30"/>
    <x v="0"/>
  </r>
  <r>
    <x v="490"/>
    <d v="2017-07-10T00:00:00"/>
    <d v="1899-12-30T11:55:19"/>
    <d v="1899-12-30T12:11:28"/>
    <x v="0"/>
  </r>
  <r>
    <x v="491"/>
    <d v="2017-07-10T00:00:00"/>
    <d v="1899-12-30T12:01:17"/>
    <d v="1899-12-30T12:01:35"/>
    <x v="0"/>
  </r>
  <r>
    <x v="53"/>
    <d v="2017-07-10T00:00:00"/>
    <d v="1899-12-30T12:09:09"/>
    <d v="1899-12-30T12:24:43"/>
    <x v="0"/>
  </r>
  <r>
    <x v="492"/>
    <d v="2017-07-10T00:00:00"/>
    <d v="1899-12-30T12:14:33"/>
    <d v="1899-12-30T12:27:04"/>
    <x v="0"/>
  </r>
  <r>
    <x v="493"/>
    <d v="2017-07-10T00:00:00"/>
    <d v="1899-12-30T12:15:42"/>
    <d v="1899-12-30T12:16:56"/>
    <x v="0"/>
  </r>
  <r>
    <x v="494"/>
    <d v="2017-07-10T00:00:00"/>
    <d v="1899-12-30T12:16:05"/>
    <d v="1899-12-30T12:24:45"/>
    <x v="0"/>
  </r>
  <r>
    <x v="495"/>
    <d v="2017-07-10T00:00:00"/>
    <d v="1899-12-30T12:16:40"/>
    <d v="1899-12-30T12:23:57"/>
    <x v="0"/>
  </r>
  <r>
    <x v="496"/>
    <d v="2017-07-10T00:00:00"/>
    <d v="1899-12-30T12:19:08"/>
    <d v="1899-12-30T12:26:14"/>
    <x v="0"/>
  </r>
  <r>
    <x v="462"/>
    <d v="2017-07-10T00:00:00"/>
    <d v="1899-12-30T12:23:05"/>
    <d v="1899-12-30T12:38:52"/>
    <x v="0"/>
  </r>
  <r>
    <x v="158"/>
    <d v="2017-07-10T00:00:00"/>
    <d v="1899-12-30T12:30:35"/>
    <d v="1899-12-30T12:43:19"/>
    <x v="0"/>
  </r>
  <r>
    <x v="497"/>
    <d v="2017-07-10T00:00:00"/>
    <d v="1899-12-30T12:30:44"/>
    <d v="1899-12-30T12:46:28"/>
    <x v="0"/>
  </r>
  <r>
    <x v="498"/>
    <d v="2017-07-10T00:00:00"/>
    <d v="1899-12-30T12:32:28"/>
    <d v="1899-12-30T12:32:36"/>
    <x v="0"/>
  </r>
  <r>
    <x v="499"/>
    <d v="2017-07-10T00:00:00"/>
    <d v="1899-12-30T12:34:27"/>
    <d v="1899-12-30T12:48:39"/>
    <x v="0"/>
  </r>
  <r>
    <x v="500"/>
    <d v="2017-07-10T00:00:00"/>
    <d v="1899-12-30T12:40:52"/>
    <d v="1899-12-30T12:44:25"/>
    <x v="0"/>
  </r>
  <r>
    <x v="501"/>
    <d v="2017-07-10T00:00:00"/>
    <d v="1899-12-30T12:46:09"/>
    <d v="1899-12-30T12:53:49"/>
    <x v="0"/>
  </r>
  <r>
    <x v="502"/>
    <d v="2017-07-10T00:00:00"/>
    <d v="1899-12-30T12:47:24"/>
    <d v="1899-12-30T12:54:07"/>
    <x v="0"/>
  </r>
  <r>
    <x v="503"/>
    <d v="2017-07-10T00:00:00"/>
    <d v="1899-12-30T12:55:21"/>
    <d v="1899-12-30T13:01:41"/>
    <x v="0"/>
  </r>
  <r>
    <x v="504"/>
    <d v="2017-07-10T00:00:00"/>
    <d v="1899-12-30T13:00:27"/>
    <d v="1899-12-30T13:10:05"/>
    <x v="0"/>
  </r>
  <r>
    <x v="427"/>
    <d v="2017-07-10T00:00:00"/>
    <d v="1899-12-30T13:01:49"/>
    <d v="1899-12-30T13:04:00"/>
    <x v="0"/>
  </r>
  <r>
    <x v="505"/>
    <d v="2017-07-10T00:00:00"/>
    <d v="1899-12-30T13:03:50"/>
    <d v="1899-12-30T13:13:18"/>
    <x v="0"/>
  </r>
  <r>
    <x v="506"/>
    <d v="2017-07-10T00:00:00"/>
    <d v="1899-12-30T13:07:34"/>
    <d v="1899-12-30T13:12:00"/>
    <x v="0"/>
  </r>
  <r>
    <x v="507"/>
    <d v="2017-07-10T00:00:00"/>
    <d v="1899-12-30T13:12:40"/>
    <d v="1899-12-30T13:26:12"/>
    <x v="0"/>
  </r>
  <r>
    <x v="508"/>
    <d v="2017-07-10T00:00:00"/>
    <d v="1899-12-30T13:15:33"/>
    <d v="1899-12-30T13:31:13"/>
    <x v="0"/>
  </r>
  <r>
    <x v="509"/>
    <d v="2017-07-10T00:00:00"/>
    <d v="1899-12-30T13:21:22"/>
    <d v="1899-12-30T13:24:15"/>
    <x v="0"/>
  </r>
  <r>
    <x v="510"/>
    <d v="2017-07-10T00:00:00"/>
    <d v="1899-12-30T13:23:59"/>
    <d v="1899-12-30T13:30:13"/>
    <x v="0"/>
  </r>
  <r>
    <x v="511"/>
    <d v="2017-07-10T00:00:00"/>
    <d v="1899-12-30T13:24:27"/>
    <d v="1899-12-30T13:31:55"/>
    <x v="0"/>
  </r>
  <r>
    <x v="512"/>
    <d v="2017-07-10T00:00:00"/>
    <d v="1899-12-30T13:29:47"/>
    <d v="1899-12-30T13:46:15"/>
    <x v="0"/>
  </r>
  <r>
    <x v="513"/>
    <d v="2017-07-10T00:00:00"/>
    <d v="1899-12-30T13:36:19"/>
    <d v="1899-12-30T13:45:44"/>
    <x v="0"/>
  </r>
  <r>
    <x v="514"/>
    <d v="2017-07-10T00:00:00"/>
    <d v="1899-12-30T13:40:31"/>
    <d v="1899-12-30T13:49:07"/>
    <x v="0"/>
  </r>
  <r>
    <x v="515"/>
    <d v="2017-07-10T00:00:00"/>
    <d v="1899-12-30T13:48:48"/>
    <d v="1899-12-30T13:51:25"/>
    <x v="0"/>
  </r>
  <r>
    <x v="516"/>
    <d v="2017-07-10T00:00:00"/>
    <d v="1899-12-30T13:55:46"/>
    <d v="1899-12-30T13:57:57"/>
    <x v="0"/>
  </r>
  <r>
    <x v="517"/>
    <d v="2017-07-10T00:00:00"/>
    <d v="1899-12-30T13:57:56"/>
    <d v="1899-12-30T14:10:37"/>
    <x v="0"/>
  </r>
  <r>
    <x v="169"/>
    <d v="2017-07-10T00:00:00"/>
    <d v="1899-12-30T13:58:52"/>
    <d v="1899-12-30T14:03:52"/>
    <x v="0"/>
  </r>
  <r>
    <x v="518"/>
    <d v="2017-07-10T00:00:00"/>
    <d v="1899-12-30T14:00:16"/>
    <d v="1899-12-30T14:14:54"/>
    <x v="0"/>
  </r>
  <r>
    <x v="519"/>
    <d v="2017-07-10T00:00:00"/>
    <d v="1899-12-30T14:03:29"/>
    <d v="1899-12-30T14:14:41"/>
    <x v="0"/>
  </r>
  <r>
    <x v="520"/>
    <d v="2017-07-10T00:00:00"/>
    <d v="1899-12-30T14:04:57"/>
    <d v="1899-12-30T14:06:08"/>
    <x v="0"/>
  </r>
  <r>
    <x v="521"/>
    <d v="2017-07-10T00:00:00"/>
    <d v="1899-12-30T14:07:50"/>
    <d v="1899-12-30T14:10:00"/>
    <x v="0"/>
  </r>
  <r>
    <x v="522"/>
    <d v="2017-07-10T00:00:00"/>
    <d v="1899-12-30T14:08:19"/>
    <d v="1899-12-30T14:15:49"/>
    <x v="0"/>
  </r>
  <r>
    <x v="523"/>
    <d v="2017-07-10T00:00:00"/>
    <d v="1899-12-30T14:09:16"/>
    <d v="1899-12-30T14:25:04"/>
    <x v="0"/>
  </r>
  <r>
    <x v="524"/>
    <d v="2017-07-10T00:00:00"/>
    <d v="1899-12-30T14:13:36"/>
    <d v="1899-12-30T14:14:52"/>
    <x v="0"/>
  </r>
  <r>
    <x v="525"/>
    <d v="2017-07-10T00:00:00"/>
    <d v="1899-12-30T14:19:15"/>
    <d v="1899-12-30T14:19:42"/>
    <x v="0"/>
  </r>
  <r>
    <x v="526"/>
    <d v="2017-07-10T00:00:00"/>
    <d v="1899-12-30T14:24:36"/>
    <d v="1899-12-30T14:37:49"/>
    <x v="0"/>
  </r>
  <r>
    <x v="527"/>
    <d v="2017-07-10T00:00:00"/>
    <d v="1899-12-30T14:31:27"/>
    <d v="1899-12-30T14:39:19"/>
    <x v="0"/>
  </r>
  <r>
    <x v="528"/>
    <d v="2017-07-10T00:00:00"/>
    <d v="1899-12-30T14:32:20"/>
    <d v="1899-12-30T14:45:01"/>
    <x v="0"/>
  </r>
  <r>
    <x v="529"/>
    <d v="2017-07-10T00:00:00"/>
    <d v="1899-12-30T14:40:25"/>
    <d v="1899-12-30T14:52:07"/>
    <x v="0"/>
  </r>
  <r>
    <x v="246"/>
    <d v="2017-07-10T00:00:00"/>
    <d v="1899-12-30T14:48:28"/>
    <d v="1899-12-30T14:55:09"/>
    <x v="0"/>
  </r>
  <r>
    <x v="530"/>
    <d v="2017-07-10T00:00:00"/>
    <d v="1899-12-30T14:55:55"/>
    <d v="1899-12-30T14:57:00"/>
    <x v="0"/>
  </r>
  <r>
    <x v="531"/>
    <d v="2017-07-10T00:00:00"/>
    <d v="1899-12-30T15:03:16"/>
    <d v="1899-12-30T15:14:03"/>
    <x v="0"/>
  </r>
  <r>
    <x v="532"/>
    <d v="2017-07-11T00:00:00"/>
    <d v="1899-12-30T08:02:20"/>
    <d v="1899-12-30T08:06:42"/>
    <x v="0"/>
  </r>
  <r>
    <x v="533"/>
    <d v="2017-07-11T00:00:00"/>
    <d v="1899-12-30T08:05:22"/>
    <d v="1899-12-30T08:07:48"/>
    <x v="0"/>
  </r>
  <r>
    <x v="534"/>
    <d v="2017-07-11T00:00:00"/>
    <d v="1899-12-30T08:09:42"/>
    <d v="1899-12-30T08:13:34"/>
    <x v="0"/>
  </r>
  <r>
    <x v="535"/>
    <d v="2017-07-11T00:00:00"/>
    <d v="1899-12-30T08:13:59"/>
    <d v="1899-12-30T08:14:04"/>
    <x v="0"/>
  </r>
  <r>
    <x v="536"/>
    <d v="2017-07-11T00:00:00"/>
    <d v="1899-12-30T08:20:49"/>
    <d v="1899-12-30T08:30:50"/>
    <x v="0"/>
  </r>
  <r>
    <x v="537"/>
    <d v="2017-07-11T00:00:00"/>
    <d v="1899-12-30T08:25:56"/>
    <d v="1899-12-30T08:31:17"/>
    <x v="0"/>
  </r>
  <r>
    <x v="538"/>
    <d v="2017-07-11T00:00:00"/>
    <d v="1899-12-30T08:32:17"/>
    <d v="1899-12-30T08:36:16"/>
    <x v="0"/>
  </r>
  <r>
    <x v="539"/>
    <d v="2017-07-11T00:00:00"/>
    <d v="1899-12-30T08:37:56"/>
    <d v="1899-12-30T08:43:38"/>
    <x v="0"/>
  </r>
  <r>
    <x v="540"/>
    <d v="2017-07-11T00:00:00"/>
    <d v="1899-12-30T08:41:20"/>
    <d v="1899-12-30T08:55:02"/>
    <x v="0"/>
  </r>
  <r>
    <x v="541"/>
    <d v="2017-07-11T00:00:00"/>
    <d v="1899-12-30T08:44:05"/>
    <d v="1899-12-30T08:44:29"/>
    <x v="0"/>
  </r>
  <r>
    <x v="542"/>
    <d v="2017-07-11T00:00:00"/>
    <d v="1899-12-30T08:51:48"/>
    <d v="1899-12-30T08:53:33"/>
    <x v="0"/>
  </r>
  <r>
    <x v="543"/>
    <d v="2017-07-11T00:00:00"/>
    <d v="1899-12-30T08:58:43"/>
    <d v="1899-12-30T09:02:30"/>
    <x v="0"/>
  </r>
  <r>
    <x v="544"/>
    <d v="2017-07-11T00:00:00"/>
    <d v="1899-12-30T09:02:39"/>
    <d v="1899-12-30T09:08:15"/>
    <x v="0"/>
  </r>
  <r>
    <x v="545"/>
    <d v="2017-07-11T00:00:00"/>
    <d v="1899-12-30T09:02:49"/>
    <d v="1899-12-30T09:09:12"/>
    <x v="0"/>
  </r>
  <r>
    <x v="546"/>
    <d v="2017-07-11T00:00:00"/>
    <d v="1899-12-30T09:10:34"/>
    <d v="1899-12-30T09:22:06"/>
    <x v="0"/>
  </r>
  <r>
    <x v="547"/>
    <d v="2017-07-11T00:00:00"/>
    <d v="1899-12-30T09:14:32"/>
    <d v="1899-12-30T09:20:35"/>
    <x v="0"/>
  </r>
  <r>
    <x v="548"/>
    <d v="2017-07-11T00:00:00"/>
    <d v="1899-12-30T09:18:41"/>
    <d v="1899-12-30T09:28:12"/>
    <x v="0"/>
  </r>
  <r>
    <x v="549"/>
    <d v="2017-07-11T00:00:00"/>
    <d v="1899-12-30T09:24:28"/>
    <d v="1899-12-30T09:35:03"/>
    <x v="0"/>
  </r>
  <r>
    <x v="16"/>
    <d v="2017-07-11T00:00:00"/>
    <d v="1899-12-30T09:25:21"/>
    <d v="1899-12-30T09:40:39"/>
    <x v="0"/>
  </r>
  <r>
    <x v="550"/>
    <d v="2017-07-11T00:00:00"/>
    <d v="1899-12-30T09:31:06"/>
    <d v="1899-12-30T09:42:10"/>
    <x v="0"/>
  </r>
  <r>
    <x v="551"/>
    <d v="2017-07-11T00:00:00"/>
    <d v="1899-12-30T09:33:22"/>
    <d v="1899-12-30T09:42:29"/>
    <x v="0"/>
  </r>
  <r>
    <x v="552"/>
    <d v="2017-07-11T00:00:00"/>
    <d v="1899-12-30T09:41:28"/>
    <d v="1899-12-30T09:50:28"/>
    <x v="0"/>
  </r>
  <r>
    <x v="553"/>
    <d v="2017-07-11T00:00:00"/>
    <d v="1899-12-30T09:47:12"/>
    <d v="1899-12-30T10:02:09"/>
    <x v="0"/>
  </r>
  <r>
    <x v="554"/>
    <d v="2017-07-11T00:00:00"/>
    <d v="1899-12-30T09:53:51"/>
    <d v="1899-12-30T10:02:34"/>
    <x v="0"/>
  </r>
  <r>
    <x v="555"/>
    <d v="2017-07-11T00:00:00"/>
    <d v="1899-12-30T09:56:37"/>
    <d v="1899-12-30T10:04:36"/>
    <x v="0"/>
  </r>
  <r>
    <x v="556"/>
    <d v="2017-07-11T00:00:00"/>
    <d v="1899-12-30T10:00:00"/>
    <d v="1899-12-30T10:07:33"/>
    <x v="0"/>
  </r>
  <r>
    <x v="557"/>
    <d v="2017-07-11T00:00:00"/>
    <d v="1899-12-30T10:03:52"/>
    <d v="1899-12-30T10:19:14"/>
    <x v="0"/>
  </r>
  <r>
    <x v="558"/>
    <d v="2017-07-11T00:00:00"/>
    <d v="1899-12-30T10:10:20"/>
    <d v="1899-12-30T10:22:21"/>
    <x v="0"/>
  </r>
  <r>
    <x v="559"/>
    <d v="2017-07-11T00:00:00"/>
    <d v="1899-12-30T10:16:35"/>
    <d v="1899-12-30T10:23:08"/>
    <x v="0"/>
  </r>
  <r>
    <x v="560"/>
    <d v="2017-07-11T00:00:00"/>
    <d v="1899-12-30T10:19:08"/>
    <d v="1899-12-30T10:19:33"/>
    <x v="0"/>
  </r>
  <r>
    <x v="561"/>
    <d v="2017-07-11T00:00:00"/>
    <d v="1899-12-30T10:26:58"/>
    <d v="1899-12-30T10:30:12"/>
    <x v="0"/>
  </r>
  <r>
    <x v="562"/>
    <d v="2017-07-11T00:00:00"/>
    <d v="1899-12-30T10:33:48"/>
    <d v="1899-12-30T10:43:33"/>
    <x v="0"/>
  </r>
  <r>
    <x v="563"/>
    <d v="2017-07-11T00:00:00"/>
    <d v="1899-12-30T10:39:06"/>
    <d v="1899-12-30T10:50:52"/>
    <x v="0"/>
  </r>
  <r>
    <x v="564"/>
    <d v="2017-07-11T00:00:00"/>
    <d v="1899-12-30T10:43:04"/>
    <d v="1899-12-30T10:44:45"/>
    <x v="0"/>
  </r>
  <r>
    <x v="565"/>
    <d v="2017-07-11T00:00:00"/>
    <d v="1899-12-30T10:44:25"/>
    <d v="1899-12-30T10:52:06"/>
    <x v="0"/>
  </r>
  <r>
    <x v="566"/>
    <d v="2017-07-11T00:00:00"/>
    <d v="1899-12-30T10:49:19"/>
    <d v="1899-12-30T10:54:11"/>
    <x v="0"/>
  </r>
  <r>
    <x v="567"/>
    <d v="2017-07-11T00:00:00"/>
    <d v="1899-12-30T10:50:16"/>
    <d v="1899-12-30T10:58:38"/>
    <x v="0"/>
  </r>
  <r>
    <x v="568"/>
    <d v="2017-07-11T00:00:00"/>
    <d v="1899-12-30T10:54:51"/>
    <d v="1899-12-30T10:57:38"/>
    <x v="0"/>
  </r>
  <r>
    <x v="569"/>
    <d v="2017-07-11T00:00:00"/>
    <d v="1899-12-30T11:00:35"/>
    <d v="1899-12-30T11:16:36"/>
    <x v="0"/>
  </r>
  <r>
    <x v="570"/>
    <d v="2017-07-11T00:00:00"/>
    <d v="1899-12-30T11:08:21"/>
    <d v="1899-12-30T11:10:50"/>
    <x v="0"/>
  </r>
  <r>
    <x v="82"/>
    <d v="2017-07-11T00:00:00"/>
    <d v="1899-12-30T11:13:02"/>
    <d v="1899-12-30T11:13:56"/>
    <x v="0"/>
  </r>
  <r>
    <x v="571"/>
    <d v="2017-07-11T00:00:00"/>
    <d v="1899-12-30T11:15:58"/>
    <d v="1899-12-30T11:27:50"/>
    <x v="0"/>
  </r>
  <r>
    <x v="572"/>
    <d v="2017-07-11T00:00:00"/>
    <d v="1899-12-30T11:19:35"/>
    <d v="1899-12-30T11:27:48"/>
    <x v="0"/>
  </r>
  <r>
    <x v="573"/>
    <d v="2017-07-11T00:00:00"/>
    <d v="1899-12-30T11:27:27"/>
    <d v="1899-12-30T11:33:38"/>
    <x v="0"/>
  </r>
  <r>
    <x v="574"/>
    <d v="2017-07-11T00:00:00"/>
    <d v="1899-12-30T11:31:17"/>
    <d v="1899-12-30T11:45:11"/>
    <x v="0"/>
  </r>
  <r>
    <x v="575"/>
    <d v="2017-07-11T00:00:00"/>
    <d v="1899-12-30T11:38:34"/>
    <d v="1899-12-30T11:52:50"/>
    <x v="0"/>
  </r>
  <r>
    <x v="576"/>
    <d v="2017-07-11T00:00:00"/>
    <d v="1899-12-30T11:45:31"/>
    <d v="1899-12-30T11:47:40"/>
    <x v="0"/>
  </r>
  <r>
    <x v="458"/>
    <d v="2017-07-11T00:00:00"/>
    <d v="1899-12-30T11:46:07"/>
    <d v="1899-12-30T11:46:47"/>
    <x v="0"/>
  </r>
  <r>
    <x v="577"/>
    <d v="2017-07-11T00:00:00"/>
    <d v="1899-12-30T11:51:21"/>
    <d v="1899-12-30T11:54:06"/>
    <x v="0"/>
  </r>
  <r>
    <x v="578"/>
    <d v="2017-07-11T00:00:00"/>
    <d v="1899-12-30T11:59:16"/>
    <d v="1899-12-30T12:13:25"/>
    <x v="0"/>
  </r>
  <r>
    <x v="579"/>
    <d v="2017-07-11T00:00:00"/>
    <d v="1899-12-30T12:04:42"/>
    <d v="1899-12-30T12:05:52"/>
    <x v="0"/>
  </r>
  <r>
    <x v="580"/>
    <d v="2017-07-11T00:00:00"/>
    <d v="1899-12-30T12:05:25"/>
    <d v="1899-12-30T12:13:04"/>
    <x v="0"/>
  </r>
  <r>
    <x v="581"/>
    <d v="2017-07-11T00:00:00"/>
    <d v="1899-12-30T12:12:29"/>
    <d v="1899-12-30T12:19:04"/>
    <x v="0"/>
  </r>
  <r>
    <x v="16"/>
    <d v="2017-07-11T00:00:00"/>
    <d v="1899-12-30T12:18:28"/>
    <d v="1899-12-30T12:24:00"/>
    <x v="0"/>
  </r>
  <r>
    <x v="582"/>
    <d v="2017-07-11T00:00:00"/>
    <d v="1899-12-30T12:26:42"/>
    <d v="1899-12-30T12:40:28"/>
    <x v="0"/>
  </r>
  <r>
    <x v="583"/>
    <d v="2017-07-11T00:00:00"/>
    <d v="1899-12-30T12:34:33"/>
    <d v="1899-12-30T12:44:56"/>
    <x v="0"/>
  </r>
  <r>
    <x v="584"/>
    <d v="2017-07-11T00:00:00"/>
    <d v="1899-12-30T12:37:20"/>
    <d v="1899-12-30T12:50:37"/>
    <x v="0"/>
  </r>
  <r>
    <x v="585"/>
    <d v="2017-07-11T00:00:00"/>
    <d v="1899-12-30T12:45:34"/>
    <d v="1899-12-30T12:47:52"/>
    <x v="0"/>
  </r>
  <r>
    <x v="586"/>
    <d v="2017-07-11T00:00:00"/>
    <d v="1899-12-30T12:48:59"/>
    <d v="1899-12-30T13:04:16"/>
    <x v="0"/>
  </r>
  <r>
    <x v="587"/>
    <d v="2017-07-11T00:00:00"/>
    <d v="1899-12-30T12:56:27"/>
    <d v="1899-12-30T12:58:56"/>
    <x v="0"/>
  </r>
  <r>
    <x v="588"/>
    <d v="2017-07-11T00:00:00"/>
    <d v="1899-12-30T12:56:27"/>
    <d v="1899-12-30T13:12:40"/>
    <x v="0"/>
  </r>
  <r>
    <x v="491"/>
    <d v="2017-07-11T00:00:00"/>
    <d v="1899-12-30T12:56:53"/>
    <d v="1899-12-30T13:13:02"/>
    <x v="0"/>
  </r>
  <r>
    <x v="589"/>
    <d v="2017-07-11T00:00:00"/>
    <d v="1899-12-30T12:56:55"/>
    <d v="1899-12-30T12:57:58"/>
    <x v="0"/>
  </r>
  <r>
    <x v="40"/>
    <d v="2017-07-11T00:00:00"/>
    <d v="1899-12-30T12:59:35"/>
    <d v="1899-12-30T13:05:55"/>
    <x v="0"/>
  </r>
  <r>
    <x v="590"/>
    <d v="2017-07-11T00:00:00"/>
    <d v="1899-12-30T13:03:29"/>
    <d v="1899-12-30T13:17:07"/>
    <x v="0"/>
  </r>
  <r>
    <x v="591"/>
    <d v="2017-07-11T00:00:00"/>
    <d v="1899-12-30T13:03:49"/>
    <d v="1899-12-30T13:10:52"/>
    <x v="0"/>
  </r>
  <r>
    <x v="592"/>
    <d v="2017-07-11T00:00:00"/>
    <d v="1899-12-30T13:09:05"/>
    <d v="1899-12-30T13:19:56"/>
    <x v="0"/>
  </r>
  <r>
    <x v="593"/>
    <d v="2017-07-11T00:00:00"/>
    <d v="1899-12-30T13:13:01"/>
    <d v="1899-12-30T13:21:32"/>
    <x v="0"/>
  </r>
  <r>
    <x v="594"/>
    <d v="2017-07-11T00:00:00"/>
    <d v="1899-12-30T13:17:24"/>
    <d v="1899-12-30T13:30:54"/>
    <x v="0"/>
  </r>
  <r>
    <x v="595"/>
    <d v="2017-07-11T00:00:00"/>
    <d v="1899-12-30T13:18:05"/>
    <d v="1899-12-30T13:29:35"/>
    <x v="0"/>
  </r>
  <r>
    <x v="596"/>
    <d v="2017-07-11T00:00:00"/>
    <d v="1899-12-30T13:26:09"/>
    <d v="1899-12-30T13:37:57"/>
    <x v="0"/>
  </r>
  <r>
    <x v="218"/>
    <d v="2017-07-11T00:00:00"/>
    <d v="1899-12-30T13:34:28"/>
    <d v="1899-12-30T13:36:09"/>
    <x v="0"/>
  </r>
  <r>
    <x v="597"/>
    <d v="2017-07-11T00:00:00"/>
    <d v="1899-12-30T13:39:57"/>
    <d v="1899-12-30T13:42:57"/>
    <x v="0"/>
  </r>
  <r>
    <x v="598"/>
    <d v="2017-07-11T00:00:00"/>
    <d v="1899-12-30T13:43:28"/>
    <d v="1899-12-30T13:59:35"/>
    <x v="0"/>
  </r>
  <r>
    <x v="599"/>
    <d v="2017-07-11T00:00:00"/>
    <d v="1899-12-30T13:49:20"/>
    <d v="1899-12-30T13:59:33"/>
    <x v="0"/>
  </r>
  <r>
    <x v="600"/>
    <d v="2017-07-11T00:00:00"/>
    <d v="1899-12-30T13:49:21"/>
    <d v="1899-12-30T13:59:40"/>
    <x v="0"/>
  </r>
  <r>
    <x v="111"/>
    <d v="2017-07-11T00:00:00"/>
    <d v="1899-12-30T13:54:20"/>
    <d v="1899-12-30T13:54:35"/>
    <x v="0"/>
  </r>
  <r>
    <x v="601"/>
    <d v="2017-07-11T00:00:00"/>
    <d v="1899-12-30T13:58:38"/>
    <d v="1899-12-30T14:02:06"/>
    <x v="0"/>
  </r>
  <r>
    <x v="602"/>
    <d v="2017-07-11T00:00:00"/>
    <d v="1899-12-30T14:04:39"/>
    <d v="1899-12-30T14:09:43"/>
    <x v="0"/>
  </r>
  <r>
    <x v="603"/>
    <d v="2017-07-11T00:00:00"/>
    <d v="1899-12-30T14:05:27"/>
    <d v="1899-12-30T14:20:15"/>
    <x v="0"/>
  </r>
  <r>
    <x v="604"/>
    <d v="2017-07-11T00:00:00"/>
    <d v="1899-12-30T14:08:07"/>
    <d v="1899-12-30T14:15:30"/>
    <x v="0"/>
  </r>
  <r>
    <x v="509"/>
    <d v="2017-07-11T00:00:00"/>
    <d v="1899-12-30T14:09:39"/>
    <d v="1899-12-30T14:12:44"/>
    <x v="0"/>
  </r>
  <r>
    <x v="605"/>
    <d v="2017-07-11T00:00:00"/>
    <d v="1899-12-30T14:09:45"/>
    <d v="1899-12-30T14:22:03"/>
    <x v="0"/>
  </r>
  <r>
    <x v="606"/>
    <d v="2017-07-11T00:00:00"/>
    <d v="1899-12-30T14:14:56"/>
    <d v="1899-12-30T14:29:43"/>
    <x v="0"/>
  </r>
  <r>
    <x v="607"/>
    <d v="2017-07-11T00:00:00"/>
    <d v="1899-12-30T14:18:09"/>
    <d v="1899-12-30T14:24:43"/>
    <x v="0"/>
  </r>
  <r>
    <x v="344"/>
    <d v="2017-07-11T00:00:00"/>
    <d v="1899-12-30T14:24:32"/>
    <d v="1899-12-30T14:34:22"/>
    <x v="0"/>
  </r>
  <r>
    <x v="111"/>
    <d v="2017-07-11T00:00:00"/>
    <d v="1899-12-30T14:25:07"/>
    <d v="1899-12-30T14:36:17"/>
    <x v="0"/>
  </r>
  <r>
    <x v="414"/>
    <d v="2017-07-11T00:00:00"/>
    <d v="1899-12-30T14:28:37"/>
    <d v="1899-12-30T14:45:01"/>
    <x v="0"/>
  </r>
  <r>
    <x v="608"/>
    <d v="2017-07-11T00:00:00"/>
    <d v="1899-12-30T14:34:23"/>
    <d v="1899-12-30T14:45:28"/>
    <x v="0"/>
  </r>
  <r>
    <x v="609"/>
    <d v="2017-07-11T00:00:00"/>
    <d v="1899-12-30T14:40:59"/>
    <d v="1899-12-30T14:42:09"/>
    <x v="0"/>
  </r>
  <r>
    <x v="610"/>
    <d v="2017-07-11T00:00:00"/>
    <d v="1899-12-30T14:47:58"/>
    <d v="1899-12-30T14:50:44"/>
    <x v="0"/>
  </r>
  <r>
    <x v="611"/>
    <d v="2017-07-11T00:00:00"/>
    <d v="1899-12-30T14:53:46"/>
    <d v="1899-12-30T14:59:39"/>
    <x v="0"/>
  </r>
  <r>
    <x v="440"/>
    <d v="2017-07-11T00:00:00"/>
    <d v="1899-12-30T15:00:19"/>
    <d v="1899-12-30T15:10:28"/>
    <x v="0"/>
  </r>
  <r>
    <x v="612"/>
    <d v="2017-07-12T00:00:00"/>
    <d v="1899-12-30T08:03:23"/>
    <d v="1899-12-30T08:11:24"/>
    <x v="0"/>
  </r>
  <r>
    <x v="613"/>
    <d v="2017-07-12T00:00:00"/>
    <d v="1899-12-30T08:05:31"/>
    <d v="1899-12-30T08:06:25"/>
    <x v="0"/>
  </r>
  <r>
    <x v="614"/>
    <d v="2017-07-12T00:00:00"/>
    <d v="1899-12-30T08:12:16"/>
    <d v="1899-12-30T08:15:00"/>
    <x v="0"/>
  </r>
  <r>
    <x v="615"/>
    <d v="2017-07-12T00:00:00"/>
    <d v="1899-12-30T08:18:55"/>
    <d v="1899-12-30T08:31:16"/>
    <x v="0"/>
  </r>
  <r>
    <x v="616"/>
    <d v="2017-07-12T00:00:00"/>
    <d v="1899-12-30T08:20:00"/>
    <d v="1899-12-30T08:28:45"/>
    <x v="0"/>
  </r>
  <r>
    <x v="617"/>
    <d v="2017-07-12T00:00:00"/>
    <d v="1899-12-30T08:25:40"/>
    <d v="1899-12-30T08:30:27"/>
    <x v="0"/>
  </r>
  <r>
    <x v="106"/>
    <d v="2017-07-12T00:00:00"/>
    <d v="1899-12-30T08:33:10"/>
    <d v="1899-12-30T08:45:46"/>
    <x v="0"/>
  </r>
  <r>
    <x v="618"/>
    <d v="2017-07-12T00:00:00"/>
    <d v="1899-12-30T08:39:16"/>
    <d v="1899-12-30T08:42:54"/>
    <x v="0"/>
  </r>
  <r>
    <x v="619"/>
    <d v="2017-07-12T00:00:00"/>
    <d v="1899-12-30T08:45:53"/>
    <d v="1899-12-30T08:49:13"/>
    <x v="0"/>
  </r>
  <r>
    <x v="620"/>
    <d v="2017-07-12T00:00:00"/>
    <d v="1899-12-30T08:49:44"/>
    <d v="1899-12-30T08:50:43"/>
    <x v="0"/>
  </r>
  <r>
    <x v="621"/>
    <d v="2017-07-12T00:00:00"/>
    <d v="1899-12-30T08:53:03"/>
    <d v="1899-12-30T09:07:43"/>
    <x v="0"/>
  </r>
  <r>
    <x v="622"/>
    <d v="2017-07-12T00:00:00"/>
    <d v="1899-12-30T09:00:04"/>
    <d v="1899-12-30T09:03:20"/>
    <x v="0"/>
  </r>
  <r>
    <x v="623"/>
    <d v="2017-07-12T00:00:00"/>
    <d v="1899-12-30T09:01:40"/>
    <d v="1899-12-30T09:09:29"/>
    <x v="0"/>
  </r>
  <r>
    <x v="624"/>
    <d v="2017-07-12T00:00:00"/>
    <d v="1899-12-30T09:02:05"/>
    <d v="1899-12-30T09:09:58"/>
    <x v="0"/>
  </r>
  <r>
    <x v="625"/>
    <d v="2017-07-12T00:00:00"/>
    <d v="1899-12-30T09:06:15"/>
    <d v="1899-12-30T09:20:32"/>
    <x v="0"/>
  </r>
  <r>
    <x v="626"/>
    <d v="2017-07-12T00:00:00"/>
    <d v="1899-12-30T09:07:52"/>
    <d v="1899-12-30T09:17:51"/>
    <x v="0"/>
  </r>
  <r>
    <x v="155"/>
    <d v="2017-07-12T00:00:00"/>
    <d v="1899-12-30T09:11:25"/>
    <d v="1899-12-30T09:16:02"/>
    <x v="0"/>
  </r>
  <r>
    <x v="627"/>
    <d v="2017-07-12T00:00:00"/>
    <d v="1899-12-30T09:11:46"/>
    <d v="1899-12-30T09:23:52"/>
    <x v="0"/>
  </r>
  <r>
    <x v="628"/>
    <d v="2017-07-12T00:00:00"/>
    <d v="1899-12-30T09:18:15"/>
    <d v="1899-12-30T09:19:25"/>
    <x v="0"/>
  </r>
  <r>
    <x v="629"/>
    <d v="2017-07-12T00:00:00"/>
    <d v="1899-12-30T09:21:09"/>
    <d v="1899-12-30T09:23:48"/>
    <x v="0"/>
  </r>
  <r>
    <x v="630"/>
    <d v="2017-07-12T00:00:00"/>
    <d v="1899-12-30T09:24:34"/>
    <d v="1899-12-30T09:27:53"/>
    <x v="0"/>
  </r>
  <r>
    <x v="631"/>
    <d v="2017-07-12T00:00:00"/>
    <d v="1899-12-30T09:31:49"/>
    <d v="1899-12-30T09:45:23"/>
    <x v="0"/>
  </r>
  <r>
    <x v="632"/>
    <d v="2017-07-12T00:00:00"/>
    <d v="1899-12-30T09:39:34"/>
    <d v="1899-12-30T09:47:58"/>
    <x v="0"/>
  </r>
  <r>
    <x v="633"/>
    <d v="2017-07-12T00:00:00"/>
    <d v="1899-12-30T09:47:51"/>
    <d v="1899-12-30T09:58:51"/>
    <x v="0"/>
  </r>
  <r>
    <x v="574"/>
    <d v="2017-07-12T00:00:00"/>
    <d v="1899-12-30T09:48:42"/>
    <d v="1899-12-30T09:49:41"/>
    <x v="0"/>
  </r>
  <r>
    <x v="634"/>
    <d v="2017-07-12T00:00:00"/>
    <d v="1899-12-30T09:51:32"/>
    <d v="1899-12-30T09:51:32"/>
    <x v="0"/>
  </r>
  <r>
    <x v="635"/>
    <d v="2017-07-12T00:00:00"/>
    <d v="1899-12-30T09:53:33"/>
    <d v="1899-12-30T09:54:26"/>
    <x v="0"/>
  </r>
  <r>
    <x v="636"/>
    <d v="2017-07-12T00:00:00"/>
    <d v="1899-12-30T09:56:22"/>
    <d v="1899-12-30T10:05:01"/>
    <x v="0"/>
  </r>
  <r>
    <x v="637"/>
    <d v="2017-07-12T00:00:00"/>
    <d v="1899-12-30T10:02:41"/>
    <d v="1899-12-30T10:05:20"/>
    <x v="0"/>
  </r>
  <r>
    <x v="638"/>
    <d v="2017-07-12T00:00:00"/>
    <d v="1899-12-30T10:10:08"/>
    <d v="1899-12-30T10:25:08"/>
    <x v="0"/>
  </r>
  <r>
    <x v="639"/>
    <d v="2017-07-12T00:00:00"/>
    <d v="1899-12-30T10:14:10"/>
    <d v="1899-12-30T10:25:13"/>
    <x v="0"/>
  </r>
  <r>
    <x v="640"/>
    <d v="2017-07-12T00:00:00"/>
    <d v="1899-12-30T10:15:50"/>
    <d v="1899-12-30T10:26:53"/>
    <x v="0"/>
  </r>
  <r>
    <x v="641"/>
    <d v="2017-07-12T00:00:00"/>
    <d v="1899-12-30T10:19:48"/>
    <d v="1899-12-30T10:21:34"/>
    <x v="0"/>
  </r>
  <r>
    <x v="64"/>
    <d v="2017-07-12T00:00:00"/>
    <d v="1899-12-30T10:24:42"/>
    <d v="1899-12-30T10:41:01"/>
    <x v="0"/>
  </r>
  <r>
    <x v="642"/>
    <d v="2017-07-12T00:00:00"/>
    <d v="1899-12-30T10:29:32"/>
    <d v="1899-12-30T10:43:37"/>
    <x v="0"/>
  </r>
  <r>
    <x v="643"/>
    <d v="2017-07-12T00:00:00"/>
    <d v="1899-12-30T10:35:43"/>
    <d v="1899-12-30T10:39:32"/>
    <x v="0"/>
  </r>
  <r>
    <x v="644"/>
    <d v="2017-07-12T00:00:00"/>
    <d v="1899-12-30T10:43:09"/>
    <d v="1899-12-30T10:53:27"/>
    <x v="0"/>
  </r>
  <r>
    <x v="645"/>
    <d v="2017-07-12T00:00:00"/>
    <d v="1899-12-30T10:45:15"/>
    <d v="1899-12-30T10:51:42"/>
    <x v="0"/>
  </r>
  <r>
    <x v="506"/>
    <d v="2017-07-12T00:00:00"/>
    <d v="1899-12-30T10:45:22"/>
    <d v="1899-12-30T10:48:53"/>
    <x v="0"/>
  </r>
  <r>
    <x v="646"/>
    <d v="2017-07-12T00:00:00"/>
    <d v="1899-12-30T10:48:09"/>
    <d v="1899-12-30T11:04:37"/>
    <x v="0"/>
  </r>
  <r>
    <x v="647"/>
    <d v="2017-07-12T00:00:00"/>
    <d v="1899-12-30T10:55:16"/>
    <d v="1899-12-30T11:03:26"/>
    <x v="0"/>
  </r>
  <r>
    <x v="648"/>
    <d v="2017-07-12T00:00:00"/>
    <d v="1899-12-30T10:57:42"/>
    <d v="1899-12-30T11:00:28"/>
    <x v="0"/>
  </r>
  <r>
    <x v="649"/>
    <d v="2017-07-12T00:00:00"/>
    <d v="1899-12-30T11:05:32"/>
    <d v="1899-12-30T11:18:58"/>
    <x v="0"/>
  </r>
  <r>
    <x v="239"/>
    <d v="2017-07-12T00:00:00"/>
    <d v="1899-12-30T11:11:57"/>
    <d v="1899-12-30T11:24:28"/>
    <x v="0"/>
  </r>
  <r>
    <x v="650"/>
    <d v="2017-07-12T00:00:00"/>
    <d v="1899-12-30T11:14:56"/>
    <d v="1899-12-30T11:21:25"/>
    <x v="0"/>
  </r>
  <r>
    <x v="418"/>
    <d v="2017-07-12T00:00:00"/>
    <d v="1899-12-30T11:21:58"/>
    <d v="1899-12-30T11:29:27"/>
    <x v="0"/>
  </r>
  <r>
    <x v="651"/>
    <d v="2017-07-12T00:00:00"/>
    <d v="1899-12-30T11:28:36"/>
    <d v="1899-12-30T11:37:34"/>
    <x v="0"/>
  </r>
  <r>
    <x v="652"/>
    <d v="2017-07-12T00:00:00"/>
    <d v="1899-12-30T11:34:49"/>
    <d v="1899-12-30T11:41:45"/>
    <x v="0"/>
  </r>
  <r>
    <x v="653"/>
    <d v="2017-07-12T00:00:00"/>
    <d v="1899-12-30T11:43:07"/>
    <d v="1899-12-30T11:51:50"/>
    <x v="0"/>
  </r>
  <r>
    <x v="654"/>
    <d v="2017-07-12T00:00:00"/>
    <d v="1899-12-30T11:46:30"/>
    <d v="1899-12-30T11:53:19"/>
    <x v="0"/>
  </r>
  <r>
    <x v="655"/>
    <d v="2017-07-12T00:00:00"/>
    <d v="1899-12-30T11:53:33"/>
    <d v="1899-12-30T12:03:48"/>
    <x v="0"/>
  </r>
  <r>
    <x v="174"/>
    <d v="2017-07-12T00:00:00"/>
    <d v="1899-12-30T12:00:22"/>
    <d v="1899-12-30T12:04:58"/>
    <x v="0"/>
  </r>
  <r>
    <x v="656"/>
    <d v="2017-07-12T00:00:00"/>
    <d v="1899-12-30T12:01:02"/>
    <d v="1899-12-30T12:12:21"/>
    <x v="0"/>
  </r>
  <r>
    <x v="657"/>
    <d v="2017-07-12T00:00:00"/>
    <d v="1899-12-30T12:08:36"/>
    <d v="1899-12-30T12:23:31"/>
    <x v="0"/>
  </r>
  <r>
    <x v="658"/>
    <d v="2017-07-12T00:00:00"/>
    <d v="1899-12-30T12:12:40"/>
    <d v="1899-12-30T12:19:26"/>
    <x v="0"/>
  </r>
  <r>
    <x v="156"/>
    <d v="2017-07-12T00:00:00"/>
    <d v="1899-12-30T12:14:02"/>
    <d v="1899-12-30T12:15:27"/>
    <x v="0"/>
  </r>
  <r>
    <x v="435"/>
    <d v="2017-07-12T00:00:00"/>
    <d v="1899-12-30T12:22:19"/>
    <d v="1899-12-30T12:22:20"/>
    <x v="0"/>
  </r>
  <r>
    <x v="659"/>
    <d v="2017-07-12T00:00:00"/>
    <d v="1899-12-30T12:22:29"/>
    <d v="1899-12-30T12:31:16"/>
    <x v="0"/>
  </r>
  <r>
    <x v="660"/>
    <d v="2017-07-12T00:00:00"/>
    <d v="1899-12-30T12:28:56"/>
    <d v="1899-12-30T12:43:01"/>
    <x v="0"/>
  </r>
  <r>
    <x v="420"/>
    <d v="2017-07-12T00:00:00"/>
    <d v="1899-12-30T12:31:17"/>
    <d v="1899-12-30T12:37:32"/>
    <x v="0"/>
  </r>
  <r>
    <x v="661"/>
    <d v="2017-07-12T00:00:00"/>
    <d v="1899-12-30T12:33:06"/>
    <d v="1899-12-30T12:46:48"/>
    <x v="0"/>
  </r>
  <r>
    <x v="139"/>
    <d v="2017-07-12T00:00:00"/>
    <d v="1899-12-30T12:33:44"/>
    <d v="1899-12-30T12:33:51"/>
    <x v="0"/>
  </r>
  <r>
    <x v="662"/>
    <d v="2017-07-12T00:00:00"/>
    <d v="1899-12-30T12:38:09"/>
    <d v="1899-12-30T12:44:59"/>
    <x v="0"/>
  </r>
  <r>
    <x v="663"/>
    <d v="2017-07-12T00:00:00"/>
    <d v="1899-12-30T12:40:49"/>
    <d v="1899-12-30T12:47:03"/>
    <x v="0"/>
  </r>
  <r>
    <x v="618"/>
    <d v="2017-07-12T00:00:00"/>
    <d v="1899-12-30T12:45:01"/>
    <d v="1899-12-30T12:46:58"/>
    <x v="0"/>
  </r>
  <r>
    <x v="41"/>
    <d v="2017-07-12T00:00:00"/>
    <d v="1899-12-30T12:51:58"/>
    <d v="1899-12-30T12:52:18"/>
    <x v="0"/>
  </r>
  <r>
    <x v="664"/>
    <d v="2017-07-12T00:00:00"/>
    <d v="1899-12-30T12:54:42"/>
    <d v="1899-12-30T12:57:46"/>
    <x v="0"/>
  </r>
  <r>
    <x v="665"/>
    <d v="2017-07-12T00:00:00"/>
    <d v="1899-12-30T12:55:07"/>
    <d v="1899-12-30T13:02:03"/>
    <x v="0"/>
  </r>
  <r>
    <x v="666"/>
    <d v="2017-07-12T00:00:00"/>
    <d v="1899-12-30T12:55:47"/>
    <d v="1899-12-30T12:58:49"/>
    <x v="0"/>
  </r>
  <r>
    <x v="667"/>
    <d v="2017-07-12T00:00:00"/>
    <d v="1899-12-30T13:03:14"/>
    <d v="1899-12-30T13:05:21"/>
    <x v="0"/>
  </r>
  <r>
    <x v="616"/>
    <d v="2017-07-12T00:00:00"/>
    <d v="1899-12-30T13:07:32"/>
    <d v="1899-12-30T13:11:16"/>
    <x v="0"/>
  </r>
  <r>
    <x v="563"/>
    <d v="2017-07-12T00:00:00"/>
    <d v="1899-12-30T13:09:30"/>
    <d v="1899-12-30T13:10:51"/>
    <x v="0"/>
  </r>
  <r>
    <x v="442"/>
    <d v="2017-07-12T00:00:00"/>
    <d v="1899-12-30T13:13:42"/>
    <d v="1899-12-30T13:26:27"/>
    <x v="0"/>
  </r>
  <r>
    <x v="668"/>
    <d v="2017-07-12T00:00:00"/>
    <d v="1899-12-30T13:20:09"/>
    <d v="1899-12-30T13:21:43"/>
    <x v="0"/>
  </r>
  <r>
    <x v="669"/>
    <d v="2017-07-12T00:00:00"/>
    <d v="1899-12-30T13:22:20"/>
    <d v="1899-12-30T13:37:15"/>
    <x v="0"/>
  </r>
  <r>
    <x v="670"/>
    <d v="2017-07-12T00:00:00"/>
    <d v="1899-12-30T13:24:31"/>
    <d v="1899-12-30T13:25:17"/>
    <x v="0"/>
  </r>
  <r>
    <x v="671"/>
    <d v="2017-07-12T00:00:00"/>
    <d v="1899-12-30T13:25:04"/>
    <d v="1899-12-30T13:39:54"/>
    <x v="0"/>
  </r>
  <r>
    <x v="672"/>
    <d v="2017-07-12T00:00:00"/>
    <d v="1899-12-30T13:27:28"/>
    <d v="1899-12-30T13:30:29"/>
    <x v="0"/>
  </r>
  <r>
    <x v="673"/>
    <d v="2017-07-12T00:00:00"/>
    <d v="1899-12-30T13:32:08"/>
    <d v="1899-12-30T13:46:23"/>
    <x v="0"/>
  </r>
  <r>
    <x v="544"/>
    <d v="2017-07-12T00:00:00"/>
    <d v="1899-12-30T13:33:44"/>
    <d v="1899-12-30T13:34:23"/>
    <x v="0"/>
  </r>
  <r>
    <x v="674"/>
    <d v="2017-07-12T00:00:00"/>
    <d v="1899-12-30T13:34:00"/>
    <d v="1899-12-30T13:38:08"/>
    <x v="0"/>
  </r>
  <r>
    <x v="675"/>
    <d v="2017-07-12T00:00:00"/>
    <d v="1899-12-30T13:34:24"/>
    <d v="1899-12-30T13:40:23"/>
    <x v="0"/>
  </r>
  <r>
    <x v="676"/>
    <d v="2017-07-12T00:00:00"/>
    <d v="1899-12-30T13:39:38"/>
    <d v="1899-12-30T13:52:56"/>
    <x v="0"/>
  </r>
  <r>
    <x v="677"/>
    <d v="2017-07-12T00:00:00"/>
    <d v="1899-12-30T13:40:08"/>
    <d v="1899-12-30T13:46:35"/>
    <x v="0"/>
  </r>
  <r>
    <x v="678"/>
    <d v="2017-07-12T00:00:00"/>
    <d v="1899-12-30T13:44:08"/>
    <d v="1899-12-30T13:46:37"/>
    <x v="0"/>
  </r>
  <r>
    <x v="679"/>
    <d v="2017-07-12T00:00:00"/>
    <d v="1899-12-30T13:47:13"/>
    <d v="1899-12-30T13:50:56"/>
    <x v="0"/>
  </r>
  <r>
    <x v="680"/>
    <d v="2017-07-12T00:00:00"/>
    <d v="1899-12-30T13:47:13"/>
    <d v="1899-12-30T14:02:35"/>
    <x v="0"/>
  </r>
  <r>
    <x v="681"/>
    <d v="2017-07-12T00:00:00"/>
    <d v="1899-12-30T13:52:44"/>
    <d v="1899-12-30T14:07:13"/>
    <x v="0"/>
  </r>
  <r>
    <x v="682"/>
    <d v="2017-07-12T00:00:00"/>
    <d v="1899-12-30T13:55:59"/>
    <d v="1899-12-30T13:58:02"/>
    <x v="0"/>
  </r>
  <r>
    <x v="435"/>
    <d v="2017-07-12T00:00:00"/>
    <d v="1899-12-30T13:59:02"/>
    <d v="1899-12-30T14:14:37"/>
    <x v="0"/>
  </r>
  <r>
    <x v="683"/>
    <d v="2017-07-12T00:00:00"/>
    <d v="1899-12-30T14:03:44"/>
    <d v="1899-12-30T14:10:09"/>
    <x v="0"/>
  </r>
  <r>
    <x v="684"/>
    <d v="2017-07-12T00:00:00"/>
    <d v="1899-12-30T14:08:18"/>
    <d v="1899-12-30T14:23:04"/>
    <x v="0"/>
  </r>
  <r>
    <x v="685"/>
    <d v="2017-07-12T00:00:00"/>
    <d v="1899-12-30T14:14:42"/>
    <d v="1899-12-30T14:22:24"/>
    <x v="0"/>
  </r>
  <r>
    <x v="686"/>
    <d v="2017-07-12T00:00:00"/>
    <d v="1899-12-30T14:22:11"/>
    <d v="1899-12-30T14:25:50"/>
    <x v="0"/>
  </r>
  <r>
    <x v="687"/>
    <d v="2017-07-12T00:00:00"/>
    <d v="1899-12-30T14:22:58"/>
    <d v="1899-12-30T14:26:38"/>
    <x v="0"/>
  </r>
  <r>
    <x v="688"/>
    <d v="2017-07-12T00:00:00"/>
    <d v="1899-12-30T14:24:57"/>
    <d v="1899-12-30T14:37:00"/>
    <x v="0"/>
  </r>
  <r>
    <x v="71"/>
    <d v="2017-07-12T00:00:00"/>
    <d v="1899-12-30T14:31:37"/>
    <d v="1899-12-30T14:35:36"/>
    <x v="0"/>
  </r>
  <r>
    <x v="328"/>
    <d v="2017-07-12T00:00:00"/>
    <d v="1899-12-30T14:38:49"/>
    <d v="1899-12-30T14:48:13"/>
    <x v="0"/>
  </r>
  <r>
    <x v="689"/>
    <d v="2017-07-12T00:00:00"/>
    <d v="1899-12-30T14:46:06"/>
    <d v="1899-12-30T14:46:23"/>
    <x v="0"/>
  </r>
  <r>
    <x v="690"/>
    <d v="2017-07-12T00:00:00"/>
    <d v="1899-12-30T14:53:55"/>
    <d v="1899-12-30T15:03:00"/>
    <x v="0"/>
  </r>
  <r>
    <x v="123"/>
    <d v="2017-07-12T00:00:00"/>
    <d v="1899-12-30T14:58:10"/>
    <d v="1899-12-30T15:10:41"/>
    <x v="0"/>
  </r>
  <r>
    <x v="691"/>
    <d v="2017-07-12T00:00:00"/>
    <d v="1899-12-30T14:59:16"/>
    <d v="1899-12-30T15:02:13"/>
    <x v="0"/>
  </r>
  <r>
    <x v="692"/>
    <d v="2017-07-12T00:00:00"/>
    <d v="1899-12-30T15:01:40"/>
    <d v="1899-12-30T15:14:17"/>
    <x v="0"/>
  </r>
  <r>
    <x v="693"/>
    <d v="2017-07-13T00:00:00"/>
    <d v="1899-12-30T08:06:54"/>
    <d v="1899-12-30T08:16:11"/>
    <x v="0"/>
  </r>
  <r>
    <x v="694"/>
    <d v="2017-07-13T00:00:00"/>
    <d v="1899-12-30T08:13:19"/>
    <d v="1899-12-30T08:17:52"/>
    <x v="0"/>
  </r>
  <r>
    <x v="84"/>
    <d v="2017-07-13T00:00:00"/>
    <d v="1899-12-30T08:21:36"/>
    <d v="1899-12-30T08:26:58"/>
    <x v="0"/>
  </r>
  <r>
    <x v="695"/>
    <d v="2017-07-13T00:00:00"/>
    <d v="1899-12-30T08:28:29"/>
    <d v="1899-12-30T08:36:48"/>
    <x v="0"/>
  </r>
  <r>
    <x v="696"/>
    <d v="2017-07-13T00:00:00"/>
    <d v="1899-12-30T08:36:45"/>
    <d v="1899-12-30T08:51:33"/>
    <x v="0"/>
  </r>
  <r>
    <x v="697"/>
    <d v="2017-07-13T00:00:00"/>
    <d v="1899-12-30T08:41:21"/>
    <d v="1899-12-30T08:56:07"/>
    <x v="0"/>
  </r>
  <r>
    <x v="698"/>
    <d v="2017-07-13T00:00:00"/>
    <d v="1899-12-30T08:43:19"/>
    <d v="1899-12-30T08:45:42"/>
    <x v="0"/>
  </r>
  <r>
    <x v="699"/>
    <d v="2017-07-13T00:00:00"/>
    <d v="1899-12-30T08:45:41"/>
    <d v="1899-12-30T08:55:45"/>
    <x v="0"/>
  </r>
  <r>
    <x v="422"/>
    <d v="2017-07-13T00:00:00"/>
    <d v="1899-12-30T08:46:51"/>
    <d v="1899-12-30T08:49:41"/>
    <x v="0"/>
  </r>
  <r>
    <x v="189"/>
    <d v="2017-07-13T00:00:00"/>
    <d v="1899-12-30T08:48:33"/>
    <d v="1899-12-30T09:04:05"/>
    <x v="0"/>
  </r>
  <r>
    <x v="700"/>
    <d v="2017-07-13T00:00:00"/>
    <d v="1899-12-30T08:53:52"/>
    <d v="1899-12-30T09:01:28"/>
    <x v="0"/>
  </r>
  <r>
    <x v="701"/>
    <d v="2017-07-13T00:00:00"/>
    <d v="1899-12-30T08:57:37"/>
    <d v="1899-12-30T08:58:41"/>
    <x v="0"/>
  </r>
  <r>
    <x v="702"/>
    <d v="2017-07-13T00:00:00"/>
    <d v="1899-12-30T09:02:13"/>
    <d v="1899-12-30T09:03:01"/>
    <x v="0"/>
  </r>
  <r>
    <x v="703"/>
    <d v="2017-07-13T00:00:00"/>
    <d v="1899-12-30T09:03:35"/>
    <d v="1899-12-30T09:03:48"/>
    <x v="0"/>
  </r>
  <r>
    <x v="704"/>
    <d v="2017-07-13T00:00:00"/>
    <d v="1899-12-30T09:05:47"/>
    <d v="1899-12-30T09:08:59"/>
    <x v="0"/>
  </r>
  <r>
    <x v="462"/>
    <d v="2017-07-13T00:00:00"/>
    <d v="1899-12-30T09:07:28"/>
    <d v="1899-12-30T09:12:05"/>
    <x v="0"/>
  </r>
  <r>
    <x v="705"/>
    <d v="2017-07-13T00:00:00"/>
    <d v="1899-12-30T09:14:07"/>
    <d v="1899-12-30T09:22:26"/>
    <x v="0"/>
  </r>
  <r>
    <x v="706"/>
    <d v="2017-07-13T00:00:00"/>
    <d v="1899-12-30T09:21:07"/>
    <d v="1899-12-30T09:37:30"/>
    <x v="0"/>
  </r>
  <r>
    <x v="22"/>
    <d v="2017-07-13T00:00:00"/>
    <d v="1899-12-30T09:24:24"/>
    <d v="1899-12-30T09:29:19"/>
    <x v="0"/>
  </r>
  <r>
    <x v="707"/>
    <d v="2017-07-13T00:00:00"/>
    <d v="1899-12-30T09:32:00"/>
    <d v="1899-12-30T09:37:13"/>
    <x v="0"/>
  </r>
  <r>
    <x v="708"/>
    <d v="2017-07-13T00:00:00"/>
    <d v="1899-12-30T09:35:50"/>
    <d v="1899-12-30T09:50:28"/>
    <x v="0"/>
  </r>
  <r>
    <x v="709"/>
    <d v="2017-07-13T00:00:00"/>
    <d v="1899-12-30T09:43:46"/>
    <d v="1899-12-30T09:56:41"/>
    <x v="0"/>
  </r>
  <r>
    <x v="710"/>
    <d v="2017-07-13T00:00:00"/>
    <d v="1899-12-30T09:45:20"/>
    <d v="1899-12-30T09:59:29"/>
    <x v="0"/>
  </r>
  <r>
    <x v="711"/>
    <d v="2017-07-13T00:00:00"/>
    <d v="1899-12-30T09:52:33"/>
    <d v="1899-12-30T10:03:46"/>
    <x v="0"/>
  </r>
  <r>
    <x v="712"/>
    <d v="2017-07-13T00:00:00"/>
    <d v="1899-12-30T09:52:53"/>
    <d v="1899-12-30T10:06:55"/>
    <x v="0"/>
  </r>
  <r>
    <x v="713"/>
    <d v="2017-07-13T00:00:00"/>
    <d v="1899-12-30T10:00:54"/>
    <d v="1899-12-30T10:06:34"/>
    <x v="0"/>
  </r>
  <r>
    <x v="167"/>
    <d v="2017-07-13T00:00:00"/>
    <d v="1899-12-30T10:04:30"/>
    <d v="1899-12-30T10:13:15"/>
    <x v="0"/>
  </r>
  <r>
    <x v="714"/>
    <d v="2017-07-13T00:00:00"/>
    <d v="1899-12-30T10:06:07"/>
    <d v="1899-12-30T10:13:35"/>
    <x v="0"/>
  </r>
  <r>
    <x v="715"/>
    <d v="2017-07-13T00:00:00"/>
    <d v="1899-12-30T10:10:50"/>
    <d v="1899-12-30T10:13:25"/>
    <x v="0"/>
  </r>
  <r>
    <x v="145"/>
    <d v="2017-07-13T00:00:00"/>
    <d v="1899-12-30T10:17:59"/>
    <d v="1899-12-30T10:24:52"/>
    <x v="0"/>
  </r>
  <r>
    <x v="716"/>
    <d v="2017-07-13T00:00:00"/>
    <d v="1899-12-30T10:23:29"/>
    <d v="1899-12-30T10:25:19"/>
    <x v="0"/>
  </r>
  <r>
    <x v="717"/>
    <d v="2017-07-13T00:00:00"/>
    <d v="1899-12-30T10:30:28"/>
    <d v="1899-12-30T10:41:40"/>
    <x v="0"/>
  </r>
  <r>
    <x v="718"/>
    <d v="2017-07-13T00:00:00"/>
    <d v="1899-12-30T10:33:24"/>
    <d v="1899-12-30T10:37:54"/>
    <x v="0"/>
  </r>
  <r>
    <x v="719"/>
    <d v="2017-07-13T00:00:00"/>
    <d v="1899-12-30T10:37:37"/>
    <d v="1899-12-30T10:40:31"/>
    <x v="0"/>
  </r>
  <r>
    <x v="720"/>
    <d v="2017-07-13T00:00:00"/>
    <d v="1899-12-30T10:44:09"/>
    <d v="1899-12-30T10:54:43"/>
    <x v="0"/>
  </r>
  <r>
    <x v="721"/>
    <d v="2017-07-13T00:00:00"/>
    <d v="1899-12-30T10:49:54"/>
    <d v="1899-12-30T10:57:56"/>
    <x v="0"/>
  </r>
  <r>
    <x v="722"/>
    <d v="2017-07-13T00:00:00"/>
    <d v="1899-12-30T10:55:03"/>
    <d v="1899-12-30T11:08:54"/>
    <x v="0"/>
  </r>
  <r>
    <x v="723"/>
    <d v="2017-07-13T00:00:00"/>
    <d v="1899-12-30T10:57:50"/>
    <d v="1899-12-30T11:11:43"/>
    <x v="0"/>
  </r>
  <r>
    <x v="724"/>
    <d v="2017-07-13T00:00:00"/>
    <d v="1899-12-30T11:01:57"/>
    <d v="1899-12-30T11:09:54"/>
    <x v="0"/>
  </r>
  <r>
    <x v="725"/>
    <d v="2017-07-13T00:00:00"/>
    <d v="1899-12-30T11:08:48"/>
    <d v="1899-12-30T11:13:44"/>
    <x v="0"/>
  </r>
  <r>
    <x v="726"/>
    <d v="2017-07-13T00:00:00"/>
    <d v="1899-12-30T11:10:46"/>
    <d v="1899-12-30T11:10:53"/>
    <x v="0"/>
  </r>
  <r>
    <x v="727"/>
    <d v="2017-07-13T00:00:00"/>
    <d v="1899-12-30T11:18:14"/>
    <d v="1899-12-30T11:19:20"/>
    <x v="0"/>
  </r>
  <r>
    <x v="728"/>
    <d v="2017-07-13T00:00:00"/>
    <d v="1899-12-30T11:18:44"/>
    <d v="1899-12-30T11:26:18"/>
    <x v="0"/>
  </r>
  <r>
    <x v="729"/>
    <d v="2017-07-13T00:00:00"/>
    <d v="1899-12-30T11:21:26"/>
    <d v="1899-12-30T11:31:19"/>
    <x v="0"/>
  </r>
  <r>
    <x v="587"/>
    <d v="2017-07-13T00:00:00"/>
    <d v="1899-12-30T11:29:37"/>
    <d v="1899-12-30T11:31:49"/>
    <x v="0"/>
  </r>
  <r>
    <x v="730"/>
    <d v="2017-07-13T00:00:00"/>
    <d v="1899-12-30T11:35:42"/>
    <d v="1899-12-30T11:44:03"/>
    <x v="0"/>
  </r>
  <r>
    <x v="731"/>
    <d v="2017-07-13T00:00:00"/>
    <d v="1899-12-30T11:42:31"/>
    <d v="1899-12-30T11:54:23"/>
    <x v="0"/>
  </r>
  <r>
    <x v="732"/>
    <d v="2017-07-13T00:00:00"/>
    <d v="1899-12-30T11:47:13"/>
    <d v="1899-12-30T11:57:59"/>
    <x v="0"/>
  </r>
  <r>
    <x v="733"/>
    <d v="2017-07-13T00:00:00"/>
    <d v="1899-12-30T11:49:41"/>
    <d v="1899-12-30T12:05:43"/>
    <x v="0"/>
  </r>
  <r>
    <x v="76"/>
    <d v="2017-07-13T00:00:00"/>
    <d v="1899-12-30T11:52:42"/>
    <d v="1899-12-30T11:58:32"/>
    <x v="0"/>
  </r>
  <r>
    <x v="734"/>
    <d v="2017-07-13T00:00:00"/>
    <d v="1899-12-30T12:00:52"/>
    <d v="1899-12-30T12:05:36"/>
    <x v="0"/>
  </r>
  <r>
    <x v="735"/>
    <d v="2017-07-13T00:00:00"/>
    <d v="1899-12-30T12:02:30"/>
    <d v="1899-12-30T12:10:24"/>
    <x v="0"/>
  </r>
  <r>
    <x v="736"/>
    <d v="2017-07-13T00:00:00"/>
    <d v="1899-12-30T12:09:44"/>
    <d v="1899-12-30T12:19:54"/>
    <x v="0"/>
  </r>
  <r>
    <x v="737"/>
    <d v="2017-07-13T00:00:00"/>
    <d v="1899-12-30T12:10:33"/>
    <d v="1899-12-30T12:14:29"/>
    <x v="0"/>
  </r>
  <r>
    <x v="738"/>
    <d v="2017-07-13T00:00:00"/>
    <d v="1899-12-30T12:15:17"/>
    <d v="1899-12-30T12:17:02"/>
    <x v="0"/>
  </r>
  <r>
    <x v="739"/>
    <d v="2017-07-13T00:00:00"/>
    <d v="1899-12-30T12:17:38"/>
    <d v="1899-12-30T12:24:55"/>
    <x v="0"/>
  </r>
  <r>
    <x v="740"/>
    <d v="2017-07-13T00:00:00"/>
    <d v="1899-12-30T12:23:17"/>
    <d v="1899-12-30T12:35:27"/>
    <x v="0"/>
  </r>
  <r>
    <x v="741"/>
    <d v="2017-07-13T00:00:00"/>
    <d v="1899-12-30T12:24:37"/>
    <d v="1899-12-30T12:38:39"/>
    <x v="0"/>
  </r>
  <r>
    <x v="742"/>
    <d v="2017-07-13T00:00:00"/>
    <d v="1899-12-30T12:28:36"/>
    <d v="1899-12-30T12:42:07"/>
    <x v="0"/>
  </r>
  <r>
    <x v="508"/>
    <d v="2017-07-13T00:00:00"/>
    <d v="1899-12-30T12:33:26"/>
    <d v="1899-12-30T12:42:42"/>
    <x v="0"/>
  </r>
  <r>
    <x v="743"/>
    <d v="2017-07-13T00:00:00"/>
    <d v="1899-12-30T12:33:53"/>
    <d v="1899-12-30T12:44:36"/>
    <x v="0"/>
  </r>
  <r>
    <x v="744"/>
    <d v="2017-07-13T00:00:00"/>
    <d v="1899-12-30T12:38:26"/>
    <d v="1899-12-30T12:51:46"/>
    <x v="0"/>
  </r>
  <r>
    <x v="745"/>
    <d v="2017-07-13T00:00:00"/>
    <d v="1899-12-30T12:41:51"/>
    <d v="1899-12-30T12:42:24"/>
    <x v="0"/>
  </r>
  <r>
    <x v="746"/>
    <d v="2017-07-13T00:00:00"/>
    <d v="1899-12-30T12:43:53"/>
    <d v="1899-12-30T12:54:41"/>
    <x v="0"/>
  </r>
  <r>
    <x v="747"/>
    <d v="2017-07-13T00:00:00"/>
    <d v="1899-12-30T12:50:11"/>
    <d v="1899-12-30T12:55:35"/>
    <x v="0"/>
  </r>
  <r>
    <x v="169"/>
    <d v="2017-07-13T00:00:00"/>
    <d v="1899-12-30T12:58:10"/>
    <d v="1899-12-30T13:12:34"/>
    <x v="0"/>
  </r>
  <r>
    <x v="748"/>
    <d v="2017-07-13T00:00:00"/>
    <d v="1899-12-30T13:02:32"/>
    <d v="1899-12-30T13:11:35"/>
    <x v="0"/>
  </r>
  <r>
    <x v="749"/>
    <d v="2017-07-13T00:00:00"/>
    <d v="1899-12-30T13:07:56"/>
    <d v="1899-12-30T13:24:33"/>
    <x v="0"/>
  </r>
  <r>
    <x v="750"/>
    <d v="2017-07-13T00:00:00"/>
    <d v="1899-12-30T13:09:13"/>
    <d v="1899-12-30T13:09:30"/>
    <x v="0"/>
  </r>
  <r>
    <x v="751"/>
    <d v="2017-07-13T00:00:00"/>
    <d v="1899-12-30T13:16:33"/>
    <d v="1899-12-30T13:30:02"/>
    <x v="0"/>
  </r>
  <r>
    <x v="752"/>
    <d v="2017-07-13T00:00:00"/>
    <d v="1899-12-30T13:19:50"/>
    <d v="1899-12-30T13:31:18"/>
    <x v="0"/>
  </r>
  <r>
    <x v="753"/>
    <d v="2017-07-13T00:00:00"/>
    <d v="1899-12-30T13:20:01"/>
    <d v="1899-12-30T13:31:22"/>
    <x v="0"/>
  </r>
  <r>
    <x v="726"/>
    <d v="2017-07-13T00:00:00"/>
    <d v="1899-12-30T13:25:18"/>
    <d v="1899-12-30T13:35:47"/>
    <x v="0"/>
  </r>
  <r>
    <x v="754"/>
    <d v="2017-07-13T00:00:00"/>
    <d v="1899-12-30T13:31:45"/>
    <d v="1899-12-30T13:45:46"/>
    <x v="0"/>
  </r>
  <r>
    <x v="53"/>
    <d v="2017-07-13T00:00:00"/>
    <d v="1899-12-30T13:34:46"/>
    <d v="1899-12-30T13:50:48"/>
    <x v="0"/>
  </r>
  <r>
    <x v="755"/>
    <d v="2017-07-13T00:00:00"/>
    <d v="1899-12-30T13:41:35"/>
    <d v="1899-12-30T13:46:24"/>
    <x v="0"/>
  </r>
  <r>
    <x v="756"/>
    <d v="2017-07-13T00:00:00"/>
    <d v="1899-12-30T13:44:56"/>
    <d v="1899-12-30T13:50:21"/>
    <x v="0"/>
  </r>
  <r>
    <x v="757"/>
    <d v="2017-07-13T00:00:00"/>
    <d v="1899-12-30T13:45:34"/>
    <d v="1899-12-30T13:48:41"/>
    <x v="0"/>
  </r>
  <r>
    <x v="758"/>
    <d v="2017-07-13T00:00:00"/>
    <d v="1899-12-30T13:50:08"/>
    <d v="1899-12-30T13:54:00"/>
    <x v="0"/>
  </r>
  <r>
    <x v="759"/>
    <d v="2017-07-13T00:00:00"/>
    <d v="1899-12-30T13:56:10"/>
    <d v="1899-12-30T14:11:45"/>
    <x v="0"/>
  </r>
  <r>
    <x v="760"/>
    <d v="2017-07-13T00:00:00"/>
    <d v="1899-12-30T14:04:29"/>
    <d v="1899-12-30T14:20:54"/>
    <x v="0"/>
  </r>
  <r>
    <x v="761"/>
    <d v="2017-07-13T00:00:00"/>
    <d v="1899-12-30T14:12:11"/>
    <d v="1899-12-30T14:24:47"/>
    <x v="0"/>
  </r>
  <r>
    <x v="762"/>
    <d v="2017-07-13T00:00:00"/>
    <d v="1899-12-30T14:13:26"/>
    <d v="1899-12-30T14:19:17"/>
    <x v="0"/>
  </r>
  <r>
    <x v="763"/>
    <d v="2017-07-13T00:00:00"/>
    <d v="1899-12-30T14:15:54"/>
    <d v="1899-12-30T14:29:02"/>
    <x v="0"/>
  </r>
  <r>
    <x v="764"/>
    <d v="2017-07-13T00:00:00"/>
    <d v="1899-12-30T14:20:20"/>
    <d v="1899-12-30T14:34:07"/>
    <x v="0"/>
  </r>
  <r>
    <x v="765"/>
    <d v="2017-07-13T00:00:00"/>
    <d v="1899-12-30T14:24:07"/>
    <d v="1899-12-30T14:26:38"/>
    <x v="0"/>
  </r>
  <r>
    <x v="766"/>
    <d v="2017-07-13T00:00:00"/>
    <d v="1899-12-30T14:28:29"/>
    <d v="1899-12-30T14:39:06"/>
    <x v="0"/>
  </r>
  <r>
    <x v="767"/>
    <d v="2017-07-13T00:00:00"/>
    <d v="1899-12-30T14:35:08"/>
    <d v="1899-12-30T14:35:31"/>
    <x v="0"/>
  </r>
  <r>
    <x v="768"/>
    <d v="2017-07-13T00:00:00"/>
    <d v="1899-12-30T14:43:23"/>
    <d v="1899-12-30T14:59:33"/>
    <x v="0"/>
  </r>
  <r>
    <x v="769"/>
    <d v="2017-07-13T00:00:00"/>
    <d v="1899-12-30T14:47:15"/>
    <d v="1899-12-30T15:03:24"/>
    <x v="0"/>
  </r>
  <r>
    <x v="770"/>
    <d v="2017-07-13T00:00:00"/>
    <d v="1899-12-30T14:48:17"/>
    <d v="1899-12-30T14:49:21"/>
    <x v="0"/>
  </r>
  <r>
    <x v="771"/>
    <d v="2017-07-13T00:00:00"/>
    <d v="1899-12-30T14:53:28"/>
    <d v="1899-12-30T14:53:50"/>
    <x v="0"/>
  </r>
  <r>
    <x v="772"/>
    <d v="2017-07-13T00:00:00"/>
    <d v="1899-12-30T14:55:22"/>
    <d v="1899-12-30T15:00:35"/>
    <x v="0"/>
  </r>
  <r>
    <x v="773"/>
    <d v="2017-07-13T00:00:00"/>
    <d v="1899-12-30T15:03:36"/>
    <d v="1899-12-30T15:09:19"/>
    <x v="0"/>
  </r>
  <r>
    <x v="774"/>
    <d v="2017-07-14T00:00:00"/>
    <d v="1899-12-30T08:04:41"/>
    <d v="1899-12-30T08:15:08"/>
    <x v="0"/>
  </r>
  <r>
    <x v="775"/>
    <d v="2017-07-14T00:00:00"/>
    <d v="1899-12-30T08:05:10"/>
    <d v="1899-12-30T08:16:21"/>
    <x v="0"/>
  </r>
  <r>
    <x v="776"/>
    <d v="2017-07-14T00:00:00"/>
    <d v="1899-12-30T08:06:45"/>
    <d v="1899-12-30T08:12:58"/>
    <x v="0"/>
  </r>
  <r>
    <x v="777"/>
    <d v="2017-07-14T00:00:00"/>
    <d v="1899-12-30T08:10:30"/>
    <d v="1899-12-30T08:14:24"/>
    <x v="0"/>
  </r>
  <r>
    <x v="778"/>
    <d v="2017-07-14T00:00:00"/>
    <d v="1899-12-30T08:13:23"/>
    <d v="1899-12-30T08:21:28"/>
    <x v="0"/>
  </r>
  <r>
    <x v="779"/>
    <d v="2017-07-14T00:00:00"/>
    <d v="1899-12-30T08:15:49"/>
    <d v="1899-12-30T08:18:19"/>
    <x v="0"/>
  </r>
  <r>
    <x v="780"/>
    <d v="2017-07-14T00:00:00"/>
    <d v="1899-12-30T08:17:13"/>
    <d v="1899-12-30T08:29:58"/>
    <x v="0"/>
  </r>
  <r>
    <x v="781"/>
    <d v="2017-07-14T00:00:00"/>
    <d v="1899-12-30T08:21:49"/>
    <d v="1899-12-30T08:37:21"/>
    <x v="0"/>
  </r>
  <r>
    <x v="782"/>
    <d v="2017-07-14T00:00:00"/>
    <d v="1899-12-30T08:27:54"/>
    <d v="1899-12-30T08:42:04"/>
    <x v="0"/>
  </r>
  <r>
    <x v="783"/>
    <d v="2017-07-14T00:00:00"/>
    <d v="1899-12-30T08:31:10"/>
    <d v="1899-12-30T08:45:30"/>
    <x v="0"/>
  </r>
  <r>
    <x v="784"/>
    <d v="2017-07-14T00:00:00"/>
    <d v="1899-12-30T08:34:04"/>
    <d v="1899-12-30T08:46:23"/>
    <x v="0"/>
  </r>
  <r>
    <x v="785"/>
    <d v="2017-07-14T00:00:00"/>
    <d v="1899-12-30T08:39:13"/>
    <d v="1899-12-30T08:51:47"/>
    <x v="0"/>
  </r>
  <r>
    <x v="786"/>
    <d v="2017-07-14T00:00:00"/>
    <d v="1899-12-30T08:41:28"/>
    <d v="1899-12-30T08:43:20"/>
    <x v="0"/>
  </r>
  <r>
    <x v="787"/>
    <d v="2017-07-14T00:00:00"/>
    <d v="1899-12-30T08:45:50"/>
    <d v="1899-12-30T09:01:23"/>
    <x v="0"/>
  </r>
  <r>
    <x v="788"/>
    <d v="2017-07-14T00:00:00"/>
    <d v="1899-12-30T08:51:41"/>
    <d v="1899-12-30T08:52:43"/>
    <x v="0"/>
  </r>
  <r>
    <x v="789"/>
    <d v="2017-07-14T00:00:00"/>
    <d v="1899-12-30T08:54:32"/>
    <d v="1899-12-30T09:08:08"/>
    <x v="0"/>
  </r>
  <r>
    <x v="790"/>
    <d v="2017-07-14T00:00:00"/>
    <d v="1899-12-30T08:59:43"/>
    <d v="1899-12-30T09:10:06"/>
    <x v="0"/>
  </r>
  <r>
    <x v="791"/>
    <d v="2017-07-14T00:00:00"/>
    <d v="1899-12-30T09:00:06"/>
    <d v="1899-12-30T09:04:45"/>
    <x v="0"/>
  </r>
  <r>
    <x v="792"/>
    <d v="2017-07-14T00:00:00"/>
    <d v="1899-12-30T09:06:22"/>
    <d v="1899-12-30T09:12:48"/>
    <x v="0"/>
  </r>
  <r>
    <x v="793"/>
    <d v="2017-07-14T00:00:00"/>
    <d v="1899-12-30T09:13:39"/>
    <d v="1899-12-30T09:22:35"/>
    <x v="0"/>
  </r>
  <r>
    <x v="794"/>
    <d v="2017-07-14T00:00:00"/>
    <d v="1899-12-30T09:15:26"/>
    <d v="1899-12-30T09:30:41"/>
    <x v="0"/>
  </r>
  <r>
    <x v="795"/>
    <d v="2017-07-14T00:00:00"/>
    <d v="1899-12-30T09:20:46"/>
    <d v="1899-12-30T09:22:06"/>
    <x v="0"/>
  </r>
  <r>
    <x v="796"/>
    <d v="2017-07-14T00:00:00"/>
    <d v="1899-12-30T09:28:54"/>
    <d v="1899-12-30T09:39:46"/>
    <x v="0"/>
  </r>
  <r>
    <x v="507"/>
    <d v="2017-07-14T00:00:00"/>
    <d v="1899-12-30T09:36:15"/>
    <d v="1899-12-30T09:38:38"/>
    <x v="0"/>
  </r>
  <r>
    <x v="797"/>
    <d v="2017-07-14T00:00:00"/>
    <d v="1899-12-30T09:40:52"/>
    <d v="1899-12-30T09:52:23"/>
    <x v="0"/>
  </r>
  <r>
    <x v="798"/>
    <d v="2017-07-14T00:00:00"/>
    <d v="1899-12-30T09:45:09"/>
    <d v="1899-12-30T09:45:15"/>
    <x v="0"/>
  </r>
  <r>
    <x v="799"/>
    <d v="2017-07-14T00:00:00"/>
    <d v="1899-12-30T09:50:08"/>
    <d v="1899-12-30T09:59:25"/>
    <x v="0"/>
  </r>
  <r>
    <x v="800"/>
    <d v="2017-07-14T00:00:00"/>
    <d v="1899-12-30T09:51:23"/>
    <d v="1899-12-30T09:54:33"/>
    <x v="0"/>
  </r>
  <r>
    <x v="801"/>
    <d v="2017-07-14T00:00:00"/>
    <d v="1899-12-30T09:59:04"/>
    <d v="1899-12-30T10:01:49"/>
    <x v="0"/>
  </r>
  <r>
    <x v="802"/>
    <d v="2017-07-14T00:00:00"/>
    <d v="1899-12-30T09:59:17"/>
    <d v="1899-12-30T10:05:05"/>
    <x v="0"/>
  </r>
  <r>
    <x v="803"/>
    <d v="2017-07-14T00:00:00"/>
    <d v="1899-12-30T10:01:39"/>
    <d v="1899-12-30T10:17:34"/>
    <x v="0"/>
  </r>
  <r>
    <x v="724"/>
    <d v="2017-07-14T00:00:00"/>
    <d v="1899-12-30T10:08:14"/>
    <d v="1899-12-30T10:10:24"/>
    <x v="0"/>
  </r>
  <r>
    <x v="804"/>
    <d v="2017-07-14T00:00:00"/>
    <d v="1899-12-30T10:13:13"/>
    <d v="1899-12-30T10:26:35"/>
    <x v="0"/>
  </r>
  <r>
    <x v="805"/>
    <d v="2017-07-14T00:00:00"/>
    <d v="1899-12-30T10:20:52"/>
    <d v="1899-12-30T10:33:28"/>
    <x v="0"/>
  </r>
  <r>
    <x v="806"/>
    <d v="2017-07-14T00:00:00"/>
    <d v="1899-12-30T10:24:25"/>
    <d v="1899-12-30T10:40:03"/>
    <x v="0"/>
  </r>
  <r>
    <x v="756"/>
    <d v="2017-07-14T00:00:00"/>
    <d v="1899-12-30T10:26:39"/>
    <d v="1899-12-30T10:43:07"/>
    <x v="0"/>
  </r>
  <r>
    <x v="80"/>
    <d v="2017-07-14T00:00:00"/>
    <d v="1899-12-30T10:32:58"/>
    <d v="1899-12-30T10:37:15"/>
    <x v="0"/>
  </r>
  <r>
    <x v="807"/>
    <d v="2017-07-14T00:00:00"/>
    <d v="1899-12-30T10:34:28"/>
    <d v="1899-12-30T10:43:02"/>
    <x v="0"/>
  </r>
  <r>
    <x v="808"/>
    <d v="2017-07-14T00:00:00"/>
    <d v="1899-12-30T10:34:39"/>
    <d v="1899-12-30T10:47:29"/>
    <x v="0"/>
  </r>
  <r>
    <x v="809"/>
    <d v="2017-07-14T00:00:00"/>
    <d v="1899-12-30T10:37:51"/>
    <d v="1899-12-30T10:41:27"/>
    <x v="0"/>
  </r>
  <r>
    <x v="810"/>
    <d v="2017-07-14T00:00:00"/>
    <d v="1899-12-30T10:40:56"/>
    <d v="1899-12-30T10:46:24"/>
    <x v="0"/>
  </r>
  <r>
    <x v="811"/>
    <d v="2017-07-14T00:00:00"/>
    <d v="1899-12-30T10:41:21"/>
    <d v="1899-12-30T10:51:44"/>
    <x v="0"/>
  </r>
  <r>
    <x v="812"/>
    <d v="2017-07-14T00:00:00"/>
    <d v="1899-12-30T10:42:09"/>
    <d v="1899-12-30T10:47:23"/>
    <x v="0"/>
  </r>
  <r>
    <x v="743"/>
    <d v="2017-07-14T00:00:00"/>
    <d v="1899-12-30T10:44:58"/>
    <d v="1899-12-30T10:45:12"/>
    <x v="0"/>
  </r>
  <r>
    <x v="9"/>
    <d v="2017-07-14T00:00:00"/>
    <d v="1899-12-30T10:46:48"/>
    <d v="1899-12-30T11:02:44"/>
    <x v="0"/>
  </r>
  <r>
    <x v="813"/>
    <d v="2017-07-14T00:00:00"/>
    <d v="1899-12-30T10:51:22"/>
    <d v="1899-12-30T10:57:21"/>
    <x v="0"/>
  </r>
  <r>
    <x v="814"/>
    <d v="2017-07-14T00:00:00"/>
    <d v="1899-12-30T10:57:37"/>
    <d v="1899-12-30T10:57:47"/>
    <x v="0"/>
  </r>
  <r>
    <x v="815"/>
    <d v="2017-07-14T00:00:00"/>
    <d v="1899-12-30T11:01:24"/>
    <d v="1899-12-30T11:07:21"/>
    <x v="0"/>
  </r>
  <r>
    <x v="816"/>
    <d v="2017-07-14T00:00:00"/>
    <d v="1899-12-30T11:01:41"/>
    <d v="1899-12-30T11:04:57"/>
    <x v="0"/>
  </r>
  <r>
    <x v="817"/>
    <d v="2017-07-14T00:00:00"/>
    <d v="1899-12-30T11:07:12"/>
    <d v="1899-12-30T11:08:18"/>
    <x v="0"/>
  </r>
  <r>
    <x v="818"/>
    <d v="2017-07-14T00:00:00"/>
    <d v="1899-12-30T11:10:52"/>
    <d v="1899-12-30T11:13:17"/>
    <x v="0"/>
  </r>
  <r>
    <x v="41"/>
    <d v="2017-07-14T00:00:00"/>
    <d v="1899-12-30T11:16:38"/>
    <d v="1899-12-30T11:27:11"/>
    <x v="0"/>
  </r>
  <r>
    <x v="819"/>
    <d v="2017-07-14T00:00:00"/>
    <d v="1899-12-30T11:17:13"/>
    <d v="1899-12-30T11:17:33"/>
    <x v="0"/>
  </r>
  <r>
    <x v="820"/>
    <d v="2017-07-14T00:00:00"/>
    <d v="1899-12-30T11:22:58"/>
    <d v="1899-12-30T11:38:57"/>
    <x v="0"/>
  </r>
  <r>
    <x v="821"/>
    <d v="2017-07-14T00:00:00"/>
    <d v="1899-12-30T11:25:22"/>
    <d v="1899-12-30T11:26:02"/>
    <x v="0"/>
  </r>
  <r>
    <x v="822"/>
    <d v="2017-07-14T00:00:00"/>
    <d v="1899-12-30T11:28:19"/>
    <d v="1899-12-30T11:29:50"/>
    <x v="0"/>
  </r>
  <r>
    <x v="823"/>
    <d v="2017-07-14T00:00:00"/>
    <d v="1899-12-30T11:28:41"/>
    <d v="1899-12-30T11:38:26"/>
    <x v="0"/>
  </r>
  <r>
    <x v="824"/>
    <d v="2017-07-14T00:00:00"/>
    <d v="1899-12-30T11:33:12"/>
    <d v="1899-12-30T11:39:28"/>
    <x v="0"/>
  </r>
  <r>
    <x v="825"/>
    <d v="2017-07-14T00:00:00"/>
    <d v="1899-12-30T11:37:17"/>
    <d v="1899-12-30T11:39:18"/>
    <x v="0"/>
  </r>
  <r>
    <x v="826"/>
    <d v="2017-07-14T00:00:00"/>
    <d v="1899-12-30T11:39:33"/>
    <d v="1899-12-30T11:51:18"/>
    <x v="0"/>
  </r>
  <r>
    <x v="827"/>
    <d v="2017-07-14T00:00:00"/>
    <d v="1899-12-30T11:43:11"/>
    <d v="1899-12-30T11:45:41"/>
    <x v="0"/>
  </r>
  <r>
    <x v="828"/>
    <d v="2017-07-14T00:00:00"/>
    <d v="1899-12-30T11:49:57"/>
    <d v="1899-12-30T12:03:31"/>
    <x v="0"/>
  </r>
  <r>
    <x v="829"/>
    <d v="2017-07-14T00:00:00"/>
    <d v="1899-12-30T11:54:12"/>
    <d v="1899-12-30T12:06:30"/>
    <x v="0"/>
  </r>
  <r>
    <x v="543"/>
    <d v="2017-07-14T00:00:00"/>
    <d v="1899-12-30T12:01:49"/>
    <d v="1899-12-30T12:17:03"/>
    <x v="0"/>
  </r>
  <r>
    <x v="830"/>
    <d v="2017-07-14T00:00:00"/>
    <d v="1899-12-30T12:05:27"/>
    <d v="1899-12-30T12:15:02"/>
    <x v="0"/>
  </r>
  <r>
    <x v="831"/>
    <d v="2017-07-14T00:00:00"/>
    <d v="1899-12-30T12:11:42"/>
    <d v="1899-12-30T12:12:25"/>
    <x v="0"/>
  </r>
  <r>
    <x v="832"/>
    <d v="2017-07-14T00:00:00"/>
    <d v="1899-12-30T12:16:59"/>
    <d v="1899-12-30T12:17:44"/>
    <x v="0"/>
  </r>
  <r>
    <x v="833"/>
    <d v="2017-07-14T00:00:00"/>
    <d v="1899-12-30T12:23:42"/>
    <d v="1899-12-30T12:24:30"/>
    <x v="0"/>
  </r>
  <r>
    <x v="834"/>
    <d v="2017-07-14T00:00:00"/>
    <d v="1899-12-30T12:29:37"/>
    <d v="1899-12-30T12:40:35"/>
    <x v="0"/>
  </r>
  <r>
    <x v="835"/>
    <d v="2017-07-14T00:00:00"/>
    <d v="1899-12-30T12:34:57"/>
    <d v="1899-12-30T12:40:35"/>
    <x v="0"/>
  </r>
  <r>
    <x v="836"/>
    <d v="2017-07-14T00:00:00"/>
    <d v="1899-12-30T12:42:32"/>
    <d v="1899-12-30T12:58:44"/>
    <x v="0"/>
  </r>
  <r>
    <x v="837"/>
    <d v="2017-07-14T00:00:00"/>
    <d v="1899-12-30T12:46:37"/>
    <d v="1899-12-30T12:49:09"/>
    <x v="0"/>
  </r>
  <r>
    <x v="701"/>
    <d v="2017-07-14T00:00:00"/>
    <d v="1899-12-30T12:47:04"/>
    <d v="1899-12-30T12:59:33"/>
    <x v="0"/>
  </r>
  <r>
    <x v="838"/>
    <d v="2017-07-14T00:00:00"/>
    <d v="1899-12-30T12:53:52"/>
    <d v="1899-12-30T13:10:28"/>
    <x v="0"/>
  </r>
  <r>
    <x v="589"/>
    <d v="2017-07-14T00:00:00"/>
    <d v="1899-12-30T12:54:16"/>
    <d v="1899-12-30T12:54:18"/>
    <x v="0"/>
  </r>
  <r>
    <x v="839"/>
    <d v="2017-07-14T00:00:00"/>
    <d v="1899-12-30T12:56:18"/>
    <d v="1899-12-30T13:05:23"/>
    <x v="0"/>
  </r>
  <r>
    <x v="840"/>
    <d v="2017-07-14T00:00:00"/>
    <d v="1899-12-30T12:59:18"/>
    <d v="1899-12-30T13:10:29"/>
    <x v="0"/>
  </r>
  <r>
    <x v="841"/>
    <d v="2017-07-14T00:00:00"/>
    <d v="1899-12-30T13:03:35"/>
    <d v="1899-12-30T13:14:15"/>
    <x v="0"/>
  </r>
  <r>
    <x v="659"/>
    <d v="2017-07-14T00:00:00"/>
    <d v="1899-12-30T13:04:47"/>
    <d v="1899-12-30T13:10:16"/>
    <x v="0"/>
  </r>
  <r>
    <x v="842"/>
    <d v="2017-07-14T00:00:00"/>
    <d v="1899-12-30T13:06:29"/>
    <d v="1899-12-30T13:14:13"/>
    <x v="0"/>
  </r>
  <r>
    <x v="843"/>
    <d v="2017-07-14T00:00:00"/>
    <d v="1899-12-30T13:14:14"/>
    <d v="1899-12-30T13:22:13"/>
    <x v="0"/>
  </r>
  <r>
    <x v="56"/>
    <d v="2017-07-14T00:00:00"/>
    <d v="1899-12-30T13:18:49"/>
    <d v="1899-12-30T13:30:03"/>
    <x v="0"/>
  </r>
  <r>
    <x v="844"/>
    <d v="2017-07-14T00:00:00"/>
    <d v="1899-12-30T13:20:50"/>
    <d v="1899-12-30T13:31:41"/>
    <x v="0"/>
  </r>
  <r>
    <x v="845"/>
    <d v="2017-07-14T00:00:00"/>
    <d v="1899-12-30T13:28:26"/>
    <d v="1899-12-30T13:41:36"/>
    <x v="0"/>
  </r>
  <r>
    <x v="846"/>
    <d v="2017-07-14T00:00:00"/>
    <d v="1899-12-30T13:35:46"/>
    <d v="1899-12-30T13:48:29"/>
    <x v="0"/>
  </r>
  <r>
    <x v="847"/>
    <d v="2017-07-14T00:00:00"/>
    <d v="1899-12-30T13:43:39"/>
    <d v="1899-12-30T13:56:22"/>
    <x v="0"/>
  </r>
  <r>
    <x v="848"/>
    <d v="2017-07-14T00:00:00"/>
    <d v="1899-12-30T13:44:35"/>
    <d v="1899-12-30T13:55:05"/>
    <x v="0"/>
  </r>
  <r>
    <x v="438"/>
    <d v="2017-07-14T00:00:00"/>
    <d v="1899-12-30T13:47:18"/>
    <d v="1899-12-30T13:53:00"/>
    <x v="0"/>
  </r>
  <r>
    <x v="311"/>
    <d v="2017-07-14T00:00:00"/>
    <d v="1899-12-30T13:52:28"/>
    <d v="1899-12-30T14:06:52"/>
    <x v="0"/>
  </r>
  <r>
    <x v="122"/>
    <d v="2017-07-14T00:00:00"/>
    <d v="1899-12-30T13:58:34"/>
    <d v="1899-12-30T14:05:47"/>
    <x v="0"/>
  </r>
  <r>
    <x v="849"/>
    <d v="2017-07-14T00:00:00"/>
    <d v="1899-12-30T14:06:52"/>
    <d v="1899-12-30T14:11:32"/>
    <x v="0"/>
  </r>
  <r>
    <x v="850"/>
    <d v="2017-07-14T00:00:00"/>
    <d v="1899-12-30T14:09:01"/>
    <d v="1899-12-30T14:11:07"/>
    <x v="0"/>
  </r>
  <r>
    <x v="851"/>
    <d v="2017-07-14T00:00:00"/>
    <d v="1899-12-30T14:13:42"/>
    <d v="1899-12-30T14:19:08"/>
    <x v="0"/>
  </r>
  <r>
    <x v="852"/>
    <d v="2017-07-14T00:00:00"/>
    <d v="1899-12-30T14:16:20"/>
    <d v="1899-12-30T14:29:39"/>
    <x v="0"/>
  </r>
  <r>
    <x v="853"/>
    <d v="2017-07-14T00:00:00"/>
    <d v="1899-12-30T14:21:20"/>
    <d v="1899-12-30T14:31:24"/>
    <x v="0"/>
  </r>
  <r>
    <x v="854"/>
    <d v="2017-07-14T00:00:00"/>
    <d v="1899-12-30T14:24:17"/>
    <d v="1899-12-30T14:24:20"/>
    <x v="0"/>
  </r>
  <r>
    <x v="855"/>
    <d v="2017-07-14T00:00:00"/>
    <d v="1899-12-30T14:26:57"/>
    <d v="1899-12-30T14:28:36"/>
    <x v="0"/>
  </r>
  <r>
    <x v="856"/>
    <d v="2017-07-14T00:00:00"/>
    <d v="1899-12-30T14:35:10"/>
    <d v="1899-12-30T14:47:15"/>
    <x v="0"/>
  </r>
  <r>
    <x v="857"/>
    <d v="2017-07-14T00:00:00"/>
    <d v="1899-12-30T14:40:55"/>
    <d v="1899-12-30T14:48:27"/>
    <x v="0"/>
  </r>
  <r>
    <x v="858"/>
    <d v="2017-07-14T00:00:00"/>
    <d v="1899-12-30T14:46:16"/>
    <d v="1899-12-30T14:55:28"/>
    <x v="0"/>
  </r>
  <r>
    <x v="859"/>
    <d v="2017-07-14T00:00:00"/>
    <d v="1899-12-30T14:54:24"/>
    <d v="1899-12-30T15:04:32"/>
    <x v="0"/>
  </r>
  <r>
    <x v="860"/>
    <d v="2017-07-14T00:00:00"/>
    <d v="1899-12-30T15:00:15"/>
    <d v="1899-12-30T15:00:16"/>
    <x v="0"/>
  </r>
  <r>
    <x v="507"/>
    <d v="2017-07-17T00:00:00"/>
    <d v="1899-12-30T08:05:19"/>
    <d v="1899-12-30T08:16:19"/>
    <x v="0"/>
  </r>
  <r>
    <x v="861"/>
    <d v="2017-07-17T00:00:00"/>
    <d v="1899-12-30T08:10:40"/>
    <d v="1899-12-30T08:23:35"/>
    <x v="0"/>
  </r>
  <r>
    <x v="862"/>
    <d v="2017-07-17T00:00:00"/>
    <d v="1899-12-30T08:12:58"/>
    <d v="1899-12-30T08:17:48"/>
    <x v="0"/>
  </r>
  <r>
    <x v="863"/>
    <d v="2017-07-17T00:00:00"/>
    <d v="1899-12-30T08:19:31"/>
    <d v="1899-12-30T08:35:40"/>
    <x v="0"/>
  </r>
  <r>
    <x v="864"/>
    <d v="2017-07-17T00:00:00"/>
    <d v="1899-12-30T08:22:05"/>
    <d v="1899-12-30T08:35:13"/>
    <x v="0"/>
  </r>
  <r>
    <x v="865"/>
    <d v="2017-07-17T00:00:00"/>
    <d v="1899-12-30T08:27:41"/>
    <d v="1899-12-30T08:43:23"/>
    <x v="0"/>
  </r>
  <r>
    <x v="866"/>
    <d v="2017-07-17T00:00:00"/>
    <d v="1899-12-30T08:32:12"/>
    <d v="1899-12-30T08:35:28"/>
    <x v="0"/>
  </r>
  <r>
    <x v="867"/>
    <d v="2017-07-17T00:00:00"/>
    <d v="1899-12-30T08:37:15"/>
    <d v="1899-12-30T08:43:00"/>
    <x v="0"/>
  </r>
  <r>
    <x v="868"/>
    <d v="2017-07-17T00:00:00"/>
    <d v="1899-12-30T08:40:03"/>
    <d v="1899-12-30T08:47:28"/>
    <x v="0"/>
  </r>
  <r>
    <x v="869"/>
    <d v="2017-07-17T00:00:00"/>
    <d v="1899-12-30T08:41:24"/>
    <d v="1899-12-30T08:42:28"/>
    <x v="0"/>
  </r>
  <r>
    <x v="870"/>
    <d v="2017-07-17T00:00:00"/>
    <d v="1899-12-30T08:43:47"/>
    <d v="1899-12-30T08:51:18"/>
    <x v="0"/>
  </r>
  <r>
    <x v="871"/>
    <d v="2017-07-17T00:00:00"/>
    <d v="1899-12-30T08:51:46"/>
    <d v="1899-12-30T08:54:56"/>
    <x v="0"/>
  </r>
  <r>
    <x v="872"/>
    <d v="2017-07-17T00:00:00"/>
    <d v="1899-12-30T08:54:53"/>
    <d v="1899-12-30T08:56:42"/>
    <x v="0"/>
  </r>
  <r>
    <x v="664"/>
    <d v="2017-07-17T00:00:00"/>
    <d v="1899-12-30T09:01:50"/>
    <d v="1899-12-30T09:04:21"/>
    <x v="0"/>
  </r>
  <r>
    <x v="873"/>
    <d v="2017-07-17T00:00:00"/>
    <d v="1899-12-30T09:09:46"/>
    <d v="1899-12-30T09:16:32"/>
    <x v="0"/>
  </r>
  <r>
    <x v="874"/>
    <d v="2017-07-17T00:00:00"/>
    <d v="1899-12-30T09:16:10"/>
    <d v="1899-12-30T09:20:59"/>
    <x v="0"/>
  </r>
  <r>
    <x v="875"/>
    <d v="2017-07-17T00:00:00"/>
    <d v="1899-12-30T09:18:04"/>
    <d v="1899-12-30T09:25:21"/>
    <x v="0"/>
  </r>
  <r>
    <x v="876"/>
    <d v="2017-07-17T00:00:00"/>
    <d v="1899-12-30T09:21:29"/>
    <d v="1899-12-30T09:37:03"/>
    <x v="0"/>
  </r>
  <r>
    <x v="877"/>
    <d v="2017-07-17T00:00:00"/>
    <d v="1899-12-30T09:23:05"/>
    <d v="1899-12-30T09:24:47"/>
    <x v="0"/>
  </r>
  <r>
    <x v="878"/>
    <d v="2017-07-17T00:00:00"/>
    <d v="1899-12-30T09:28:37"/>
    <d v="1899-12-30T09:28:52"/>
    <x v="0"/>
  </r>
  <r>
    <x v="879"/>
    <d v="2017-07-17T00:00:00"/>
    <d v="1899-12-30T09:29:03"/>
    <d v="1899-12-30T09:31:39"/>
    <x v="0"/>
  </r>
  <r>
    <x v="880"/>
    <d v="2017-07-17T00:00:00"/>
    <d v="1899-12-30T09:35:28"/>
    <d v="1899-12-30T09:49:30"/>
    <x v="0"/>
  </r>
  <r>
    <x v="881"/>
    <d v="2017-07-17T00:00:00"/>
    <d v="1899-12-30T09:37:30"/>
    <d v="1899-12-30T09:48:04"/>
    <x v="0"/>
  </r>
  <r>
    <x v="882"/>
    <d v="2017-07-17T00:00:00"/>
    <d v="1899-12-30T09:44:17"/>
    <d v="1899-12-30T09:54:21"/>
    <x v="0"/>
  </r>
  <r>
    <x v="236"/>
    <d v="2017-07-17T00:00:00"/>
    <d v="1899-12-30T09:46:22"/>
    <d v="1899-12-30T09:58:44"/>
    <x v="0"/>
  </r>
  <r>
    <x v="883"/>
    <d v="2017-07-17T00:00:00"/>
    <d v="1899-12-30T09:51:16"/>
    <d v="1899-12-30T09:55:13"/>
    <x v="0"/>
  </r>
  <r>
    <x v="884"/>
    <d v="2017-07-17T00:00:00"/>
    <d v="1899-12-30T09:54:03"/>
    <d v="1899-12-30T10:01:15"/>
    <x v="0"/>
  </r>
  <r>
    <x v="885"/>
    <d v="2017-07-17T00:00:00"/>
    <d v="1899-12-30T09:54:58"/>
    <d v="1899-12-30T09:57:07"/>
    <x v="0"/>
  </r>
  <r>
    <x v="886"/>
    <d v="2017-07-17T00:00:00"/>
    <d v="1899-12-30T09:58:39"/>
    <d v="1899-12-30T10:02:17"/>
    <x v="0"/>
  </r>
  <r>
    <x v="887"/>
    <d v="2017-07-17T00:00:00"/>
    <d v="1899-12-30T10:00:43"/>
    <d v="1899-12-30T10:17:00"/>
    <x v="0"/>
  </r>
  <r>
    <x v="888"/>
    <d v="2017-07-17T00:00:00"/>
    <d v="1899-12-30T10:03:21"/>
    <d v="1899-12-30T10:04:21"/>
    <x v="0"/>
  </r>
  <r>
    <x v="889"/>
    <d v="2017-07-17T00:00:00"/>
    <d v="1899-12-30T10:10:22"/>
    <d v="1899-12-30T10:17:33"/>
    <x v="0"/>
  </r>
  <r>
    <x v="890"/>
    <d v="2017-07-17T00:00:00"/>
    <d v="1899-12-30T10:14:22"/>
    <d v="1899-12-30T10:14:51"/>
    <x v="0"/>
  </r>
  <r>
    <x v="891"/>
    <d v="2017-07-17T00:00:00"/>
    <d v="1899-12-30T10:18:58"/>
    <d v="1899-12-30T10:33:15"/>
    <x v="0"/>
  </r>
  <r>
    <x v="892"/>
    <d v="2017-07-17T00:00:00"/>
    <d v="1899-12-30T10:20:27"/>
    <d v="1899-12-30T10:24:48"/>
    <x v="0"/>
  </r>
  <r>
    <x v="893"/>
    <d v="2017-07-17T00:00:00"/>
    <d v="1899-12-30T10:24:36"/>
    <d v="1899-12-30T10:27:44"/>
    <x v="0"/>
  </r>
  <r>
    <x v="206"/>
    <d v="2017-07-17T00:00:00"/>
    <d v="1899-12-30T10:27:04"/>
    <d v="1899-12-30T10:28:44"/>
    <x v="0"/>
  </r>
  <r>
    <x v="894"/>
    <d v="2017-07-17T00:00:00"/>
    <d v="1899-12-30T10:27:24"/>
    <d v="1899-12-30T10:28:08"/>
    <x v="0"/>
  </r>
  <r>
    <x v="895"/>
    <d v="2017-07-17T00:00:00"/>
    <d v="1899-12-30T10:35:05"/>
    <d v="1899-12-30T10:45:14"/>
    <x v="0"/>
  </r>
  <r>
    <x v="896"/>
    <d v="2017-07-17T00:00:00"/>
    <d v="1899-12-30T10:39:40"/>
    <d v="1899-12-30T10:44:15"/>
    <x v="0"/>
  </r>
  <r>
    <x v="897"/>
    <d v="2017-07-17T00:00:00"/>
    <d v="1899-12-30T10:42:23"/>
    <d v="1899-12-30T10:47:42"/>
    <x v="0"/>
  </r>
  <r>
    <x v="898"/>
    <d v="2017-07-17T00:00:00"/>
    <d v="1899-12-30T10:49:46"/>
    <d v="1899-12-30T10:54:55"/>
    <x v="0"/>
  </r>
  <r>
    <x v="794"/>
    <d v="2017-07-17T00:00:00"/>
    <d v="1899-12-30T10:56:59"/>
    <d v="1899-12-30T11:03:18"/>
    <x v="0"/>
  </r>
  <r>
    <x v="899"/>
    <d v="2017-07-17T00:00:00"/>
    <d v="1899-12-30T11:04:04"/>
    <d v="1899-12-30T11:07:46"/>
    <x v="0"/>
  </r>
  <r>
    <x v="900"/>
    <d v="2017-07-17T00:00:00"/>
    <d v="1899-12-30T11:09:20"/>
    <d v="1899-12-30T11:22:56"/>
    <x v="0"/>
  </r>
  <r>
    <x v="589"/>
    <d v="2017-07-17T00:00:00"/>
    <d v="1899-12-30T11:11:50"/>
    <d v="1899-12-30T11:21:57"/>
    <x v="0"/>
  </r>
  <r>
    <x v="901"/>
    <d v="2017-07-17T00:00:00"/>
    <d v="1899-12-30T11:12:39"/>
    <d v="1899-12-30T11:29:08"/>
    <x v="0"/>
  </r>
  <r>
    <x v="902"/>
    <d v="2017-07-17T00:00:00"/>
    <d v="1899-12-30T11:15:56"/>
    <d v="1899-12-30T11:17:29"/>
    <x v="0"/>
  </r>
  <r>
    <x v="903"/>
    <d v="2017-07-17T00:00:00"/>
    <d v="1899-12-30T11:21:09"/>
    <d v="1899-12-30T11:30:20"/>
    <x v="0"/>
  </r>
  <r>
    <x v="904"/>
    <d v="2017-07-17T00:00:00"/>
    <d v="1899-12-30T11:25:30"/>
    <d v="1899-12-30T11:41:29"/>
    <x v="0"/>
  </r>
  <r>
    <x v="905"/>
    <d v="2017-07-17T00:00:00"/>
    <d v="1899-12-30T11:26:58"/>
    <d v="1899-12-30T11:29:30"/>
    <x v="0"/>
  </r>
  <r>
    <x v="290"/>
    <d v="2017-07-17T00:00:00"/>
    <d v="1899-12-30T11:27:05"/>
    <d v="1899-12-30T11:27:17"/>
    <x v="0"/>
  </r>
  <r>
    <x v="906"/>
    <d v="2017-07-17T00:00:00"/>
    <d v="1899-12-30T11:32:55"/>
    <d v="1899-12-30T11:46:09"/>
    <x v="0"/>
  </r>
  <r>
    <x v="907"/>
    <d v="2017-07-17T00:00:00"/>
    <d v="1899-12-30T11:36:44"/>
    <d v="1899-12-30T11:47:09"/>
    <x v="0"/>
  </r>
  <r>
    <x v="908"/>
    <d v="2017-07-17T00:00:00"/>
    <d v="1899-12-30T11:37:24"/>
    <d v="1899-12-30T11:50:58"/>
    <x v="0"/>
  </r>
  <r>
    <x v="909"/>
    <d v="2017-07-17T00:00:00"/>
    <d v="1899-12-30T11:38:53"/>
    <d v="1899-12-30T11:55:32"/>
    <x v="0"/>
  </r>
  <r>
    <x v="910"/>
    <d v="2017-07-17T00:00:00"/>
    <d v="1899-12-30T11:39:01"/>
    <d v="1899-12-30T11:47:11"/>
    <x v="0"/>
  </r>
  <r>
    <x v="911"/>
    <d v="2017-07-17T00:00:00"/>
    <d v="1899-12-30T11:43:12"/>
    <d v="1899-12-30T11:59:26"/>
    <x v="0"/>
  </r>
  <r>
    <x v="912"/>
    <d v="2017-07-17T00:00:00"/>
    <d v="1899-12-30T11:50:49"/>
    <d v="1899-12-30T11:57:59"/>
    <x v="0"/>
  </r>
  <r>
    <x v="913"/>
    <d v="2017-07-17T00:00:00"/>
    <d v="1899-12-30T11:55:05"/>
    <d v="1899-12-30T11:58:05"/>
    <x v="0"/>
  </r>
  <r>
    <x v="914"/>
    <d v="2017-07-17T00:00:00"/>
    <d v="1899-12-30T11:56:33"/>
    <d v="1899-12-30T12:03:36"/>
    <x v="0"/>
  </r>
  <r>
    <x v="915"/>
    <d v="2017-07-17T00:00:00"/>
    <d v="1899-12-30T12:04:06"/>
    <d v="1899-12-30T12:10:36"/>
    <x v="0"/>
  </r>
  <r>
    <x v="916"/>
    <d v="2017-07-17T00:00:00"/>
    <d v="1899-12-30T12:11:04"/>
    <d v="1899-12-30T12:26:10"/>
    <x v="0"/>
  </r>
  <r>
    <x v="917"/>
    <d v="2017-07-17T00:00:00"/>
    <d v="1899-12-30T12:18:19"/>
    <d v="1899-12-30T12:23:17"/>
    <x v="0"/>
  </r>
  <r>
    <x v="918"/>
    <d v="2017-07-17T00:00:00"/>
    <d v="1899-12-30T12:21:09"/>
    <d v="1899-12-30T12:29:23"/>
    <x v="0"/>
  </r>
  <r>
    <x v="919"/>
    <d v="2017-07-17T00:00:00"/>
    <d v="1899-12-30T12:27:17"/>
    <d v="1899-12-30T12:33:39"/>
    <x v="0"/>
  </r>
  <r>
    <x v="920"/>
    <d v="2017-07-17T00:00:00"/>
    <d v="1899-12-30T12:35:26"/>
    <d v="1899-12-30T12:47:25"/>
    <x v="0"/>
  </r>
  <r>
    <x v="921"/>
    <d v="2017-07-17T00:00:00"/>
    <d v="1899-12-30T12:36:00"/>
    <d v="1899-12-30T12:44:14"/>
    <x v="0"/>
  </r>
  <r>
    <x v="922"/>
    <d v="2017-07-17T00:00:00"/>
    <d v="1899-12-30T12:36:07"/>
    <d v="1899-12-30T12:46:38"/>
    <x v="0"/>
  </r>
  <r>
    <x v="923"/>
    <d v="2017-07-17T00:00:00"/>
    <d v="1899-12-30T12:37:37"/>
    <d v="1899-12-30T12:41:02"/>
    <x v="0"/>
  </r>
  <r>
    <x v="924"/>
    <d v="2017-07-17T00:00:00"/>
    <d v="1899-12-30T12:38:59"/>
    <d v="1899-12-30T12:49:50"/>
    <x v="0"/>
  </r>
  <r>
    <x v="925"/>
    <d v="2017-07-17T00:00:00"/>
    <d v="1899-12-30T12:40:09"/>
    <d v="1899-12-30T12:41:53"/>
    <x v="0"/>
  </r>
  <r>
    <x v="926"/>
    <d v="2017-07-17T00:00:00"/>
    <d v="1899-12-30T12:45:22"/>
    <d v="1899-12-30T13:00:36"/>
    <x v="0"/>
  </r>
  <r>
    <x v="40"/>
    <d v="2017-07-17T00:00:00"/>
    <d v="1899-12-30T12:45:43"/>
    <d v="1899-12-30T12:56:37"/>
    <x v="0"/>
  </r>
  <r>
    <x v="748"/>
    <d v="2017-07-17T00:00:00"/>
    <d v="1899-12-30T12:46:41"/>
    <d v="1899-12-30T12:57:46"/>
    <x v="0"/>
  </r>
  <r>
    <x v="927"/>
    <d v="2017-07-17T00:00:00"/>
    <d v="1899-12-30T12:51:58"/>
    <d v="1899-12-30T12:52:40"/>
    <x v="0"/>
  </r>
  <r>
    <x v="928"/>
    <d v="2017-07-17T00:00:00"/>
    <d v="1899-12-30T12:58:18"/>
    <d v="1899-12-30T13:11:21"/>
    <x v="0"/>
  </r>
  <r>
    <x v="36"/>
    <d v="2017-07-17T00:00:00"/>
    <d v="1899-12-30T13:04:44"/>
    <d v="1899-12-30T13:07:56"/>
    <x v="0"/>
  </r>
  <r>
    <x v="929"/>
    <d v="2017-07-17T00:00:00"/>
    <d v="1899-12-30T13:06:50"/>
    <d v="1899-12-30T13:09:33"/>
    <x v="0"/>
  </r>
  <r>
    <x v="930"/>
    <d v="2017-07-17T00:00:00"/>
    <d v="1899-12-30T13:10:40"/>
    <d v="1899-12-30T13:25:58"/>
    <x v="0"/>
  </r>
  <r>
    <x v="931"/>
    <d v="2017-07-17T00:00:00"/>
    <d v="1899-12-30T13:18:34"/>
    <d v="1899-12-30T13:32:31"/>
    <x v="0"/>
  </r>
  <r>
    <x v="932"/>
    <d v="2017-07-17T00:00:00"/>
    <d v="1899-12-30T13:19:29"/>
    <d v="1899-12-30T13:23:39"/>
    <x v="0"/>
  </r>
  <r>
    <x v="933"/>
    <d v="2017-07-17T00:00:00"/>
    <d v="1899-12-30T13:27:36"/>
    <d v="1899-12-30T13:32:23"/>
    <x v="0"/>
  </r>
  <r>
    <x v="934"/>
    <d v="2017-07-17T00:00:00"/>
    <d v="1899-12-30T13:33:04"/>
    <d v="1899-12-30T13:38:31"/>
    <x v="0"/>
  </r>
  <r>
    <x v="935"/>
    <d v="2017-07-17T00:00:00"/>
    <d v="1899-12-30T13:33:46"/>
    <d v="1899-12-30T13:47:59"/>
    <x v="0"/>
  </r>
  <r>
    <x v="936"/>
    <d v="2017-07-17T00:00:00"/>
    <d v="1899-12-30T13:39:16"/>
    <d v="1899-12-30T13:44:58"/>
    <x v="0"/>
  </r>
  <r>
    <x v="937"/>
    <d v="2017-07-17T00:00:00"/>
    <d v="1899-12-30T13:41:21"/>
    <d v="1899-12-30T13:45:43"/>
    <x v="0"/>
  </r>
  <r>
    <x v="938"/>
    <d v="2017-07-17T00:00:00"/>
    <d v="1899-12-30T13:43:15"/>
    <d v="1899-12-30T13:58:16"/>
    <x v="0"/>
  </r>
  <r>
    <x v="939"/>
    <d v="2017-07-17T00:00:00"/>
    <d v="1899-12-30T13:47:31"/>
    <d v="1899-12-30T14:02:57"/>
    <x v="0"/>
  </r>
  <r>
    <x v="940"/>
    <d v="2017-07-17T00:00:00"/>
    <d v="1899-12-30T13:55:21"/>
    <d v="1899-12-30T13:57:36"/>
    <x v="0"/>
  </r>
  <r>
    <x v="941"/>
    <d v="2017-07-17T00:00:00"/>
    <d v="1899-12-30T14:03:03"/>
    <d v="1899-12-30T14:12:41"/>
    <x v="0"/>
  </r>
  <r>
    <x v="942"/>
    <d v="2017-07-17T00:00:00"/>
    <d v="1899-12-30T14:09:40"/>
    <d v="1899-12-30T14:21:07"/>
    <x v="0"/>
  </r>
  <r>
    <x v="943"/>
    <d v="2017-07-17T00:00:00"/>
    <d v="1899-12-30T14:16:23"/>
    <d v="1899-12-30T14:33:00"/>
    <x v="0"/>
  </r>
  <r>
    <x v="553"/>
    <d v="2017-07-17T00:00:00"/>
    <d v="1899-12-30T14:17:56"/>
    <d v="1899-12-30T14:19:16"/>
    <x v="0"/>
  </r>
  <r>
    <x v="944"/>
    <d v="2017-07-17T00:00:00"/>
    <d v="1899-12-30T14:18:37"/>
    <d v="1899-12-30T14:20:50"/>
    <x v="0"/>
  </r>
  <r>
    <x v="945"/>
    <d v="2017-07-17T00:00:00"/>
    <d v="1899-12-30T14:18:58"/>
    <d v="1899-12-30T14:26:05"/>
    <x v="0"/>
  </r>
  <r>
    <x v="946"/>
    <d v="2017-07-17T00:00:00"/>
    <d v="1899-12-30T14:24:22"/>
    <d v="1899-12-30T14:34:04"/>
    <x v="0"/>
  </r>
  <r>
    <x v="947"/>
    <d v="2017-07-17T00:00:00"/>
    <d v="1899-12-30T14:25:12"/>
    <d v="1899-12-30T14:37:59"/>
    <x v="0"/>
  </r>
  <r>
    <x v="204"/>
    <d v="2017-07-17T00:00:00"/>
    <d v="1899-12-30T14:27:07"/>
    <d v="1899-12-30T14:33:10"/>
    <x v="0"/>
  </r>
  <r>
    <x v="948"/>
    <d v="2017-07-17T00:00:00"/>
    <d v="1899-12-30T14:31:08"/>
    <d v="1899-12-30T14:40:37"/>
    <x v="0"/>
  </r>
  <r>
    <x v="949"/>
    <d v="2017-07-17T00:00:00"/>
    <d v="1899-12-30T14:35:17"/>
    <d v="1899-12-30T14:36:11"/>
    <x v="0"/>
  </r>
  <r>
    <x v="950"/>
    <d v="2017-07-17T00:00:00"/>
    <d v="1899-12-30T14:42:10"/>
    <d v="1899-12-30T14:53:30"/>
    <x v="0"/>
  </r>
  <r>
    <x v="951"/>
    <d v="2017-07-17T00:00:00"/>
    <d v="1899-12-30T14:45:13"/>
    <d v="1899-12-30T14:47:55"/>
    <x v="0"/>
  </r>
  <r>
    <x v="952"/>
    <d v="2017-07-17T00:00:00"/>
    <d v="1899-12-30T14:51:59"/>
    <d v="1899-12-30T14:54:15"/>
    <x v="0"/>
  </r>
  <r>
    <x v="953"/>
    <d v="2017-07-17T00:00:00"/>
    <d v="1899-12-30T14:57:01"/>
    <d v="1899-12-30T15:12:22"/>
    <x v="0"/>
  </r>
  <r>
    <x v="839"/>
    <d v="2017-07-17T00:00:00"/>
    <d v="1899-12-30T15:02:16"/>
    <d v="1899-12-30T15:04:35"/>
    <x v="0"/>
  </r>
  <r>
    <x v="954"/>
    <d v="2017-07-18T00:00:00"/>
    <d v="1899-12-30T08:00:19"/>
    <d v="1899-12-30T08:07:35"/>
    <x v="0"/>
  </r>
  <r>
    <x v="955"/>
    <d v="2017-07-18T00:00:00"/>
    <d v="1899-12-30T08:03:35"/>
    <d v="1899-12-30T08:19:25"/>
    <x v="0"/>
  </r>
  <r>
    <x v="956"/>
    <d v="2017-07-18T00:00:00"/>
    <d v="1899-12-30T08:11:32"/>
    <d v="1899-12-30T08:23:01"/>
    <x v="0"/>
  </r>
  <r>
    <x v="957"/>
    <d v="2017-07-18T00:00:00"/>
    <d v="1899-12-30T08:18:03"/>
    <d v="1899-12-30T08:19:27"/>
    <x v="0"/>
  </r>
  <r>
    <x v="958"/>
    <d v="2017-07-18T00:00:00"/>
    <d v="1899-12-30T08:25:06"/>
    <d v="1899-12-30T08:36:26"/>
    <x v="0"/>
  </r>
  <r>
    <x v="959"/>
    <d v="2017-07-18T00:00:00"/>
    <d v="1899-12-30T08:30:12"/>
    <d v="1899-12-30T08:42:59"/>
    <x v="0"/>
  </r>
  <r>
    <x v="960"/>
    <d v="2017-07-18T00:00:00"/>
    <d v="1899-12-30T08:34:21"/>
    <d v="1899-12-30T08:48:15"/>
    <x v="0"/>
  </r>
  <r>
    <x v="961"/>
    <d v="2017-07-18T00:00:00"/>
    <d v="1899-12-30T08:40:35"/>
    <d v="1899-12-30T08:54:32"/>
    <x v="0"/>
  </r>
  <r>
    <x v="962"/>
    <d v="2017-07-18T00:00:00"/>
    <d v="1899-12-30T08:44:28"/>
    <d v="1899-12-30T08:47:37"/>
    <x v="0"/>
  </r>
  <r>
    <x v="963"/>
    <d v="2017-07-18T00:00:00"/>
    <d v="1899-12-30T08:51:54"/>
    <d v="1899-12-30T09:01:14"/>
    <x v="0"/>
  </r>
  <r>
    <x v="964"/>
    <d v="2017-07-18T00:00:00"/>
    <d v="1899-12-30T08:55:23"/>
    <d v="1899-12-30T09:11:15"/>
    <x v="0"/>
  </r>
  <r>
    <x v="965"/>
    <d v="2017-07-18T00:00:00"/>
    <d v="1899-12-30T09:03:17"/>
    <d v="1899-12-30T09:12:40"/>
    <x v="0"/>
  </r>
  <r>
    <x v="966"/>
    <d v="2017-07-18T00:00:00"/>
    <d v="1899-12-30T09:07:27"/>
    <d v="1899-12-30T09:11:24"/>
    <x v="0"/>
  </r>
  <r>
    <x v="446"/>
    <d v="2017-07-18T00:00:00"/>
    <d v="1899-12-30T09:13:43"/>
    <d v="1899-12-30T09:21:17"/>
    <x v="0"/>
  </r>
  <r>
    <x v="967"/>
    <d v="2017-07-18T00:00:00"/>
    <d v="1899-12-30T09:14:38"/>
    <d v="1899-12-30T09:16:37"/>
    <x v="0"/>
  </r>
  <r>
    <x v="968"/>
    <d v="2017-07-18T00:00:00"/>
    <d v="1899-12-30T09:22:57"/>
    <d v="1899-12-30T09:32:56"/>
    <x v="0"/>
  </r>
  <r>
    <x v="969"/>
    <d v="2017-07-18T00:00:00"/>
    <d v="1899-12-30T09:29:33"/>
    <d v="1899-12-30T09:37:02"/>
    <x v="0"/>
  </r>
  <r>
    <x v="970"/>
    <d v="2017-07-18T00:00:00"/>
    <d v="1899-12-30T09:35:29"/>
    <d v="1899-12-30T09:46:45"/>
    <x v="0"/>
  </r>
  <r>
    <x v="971"/>
    <d v="2017-07-18T00:00:00"/>
    <d v="1899-12-30T09:39:48"/>
    <d v="1899-12-30T09:48:11"/>
    <x v="0"/>
  </r>
  <r>
    <x v="41"/>
    <d v="2017-07-18T00:00:00"/>
    <d v="1899-12-30T09:40:44"/>
    <d v="1899-12-30T09:56:15"/>
    <x v="0"/>
  </r>
  <r>
    <x v="972"/>
    <d v="2017-07-18T00:00:00"/>
    <d v="1899-12-30T09:40:52"/>
    <d v="1899-12-30T09:56:38"/>
    <x v="0"/>
  </r>
  <r>
    <x v="973"/>
    <d v="2017-07-18T00:00:00"/>
    <d v="1899-12-30T09:40:58"/>
    <d v="1899-12-30T09:41:21"/>
    <x v="0"/>
  </r>
  <r>
    <x v="974"/>
    <d v="2017-07-18T00:00:00"/>
    <d v="1899-12-30T09:45:57"/>
    <d v="1899-12-30T09:50:54"/>
    <x v="0"/>
  </r>
  <r>
    <x v="975"/>
    <d v="2017-07-18T00:00:00"/>
    <d v="1899-12-30T09:46:04"/>
    <d v="1899-12-30T09:55:42"/>
    <x v="0"/>
  </r>
  <r>
    <x v="976"/>
    <d v="2017-07-18T00:00:00"/>
    <d v="1899-12-30T09:47:51"/>
    <d v="1899-12-30T09:51:42"/>
    <x v="0"/>
  </r>
  <r>
    <x v="122"/>
    <d v="2017-07-18T00:00:00"/>
    <d v="1899-12-30T09:50:02"/>
    <d v="1899-12-30T09:52:57"/>
    <x v="0"/>
  </r>
  <r>
    <x v="977"/>
    <d v="2017-07-18T00:00:00"/>
    <d v="1899-12-30T09:52:08"/>
    <d v="1899-12-30T10:01:29"/>
    <x v="0"/>
  </r>
  <r>
    <x v="637"/>
    <d v="2017-07-18T00:00:00"/>
    <d v="1899-12-30T09:54:09"/>
    <d v="1899-12-30T10:00:19"/>
    <x v="0"/>
  </r>
  <r>
    <x v="675"/>
    <d v="2017-07-18T00:00:00"/>
    <d v="1899-12-30T09:56:53"/>
    <d v="1899-12-30T09:58:40"/>
    <x v="0"/>
  </r>
  <r>
    <x v="978"/>
    <d v="2017-07-18T00:00:00"/>
    <d v="1899-12-30T09:59:48"/>
    <d v="1899-12-30T10:11:11"/>
    <x v="0"/>
  </r>
  <r>
    <x v="979"/>
    <d v="2017-07-18T00:00:00"/>
    <d v="1899-12-30T10:06:27"/>
    <d v="1899-12-30T10:09:15"/>
    <x v="0"/>
  </r>
  <r>
    <x v="980"/>
    <d v="2017-07-18T00:00:00"/>
    <d v="1899-12-30T10:12:29"/>
    <d v="1899-12-30T10:21:37"/>
    <x v="0"/>
  </r>
  <r>
    <x v="981"/>
    <d v="2017-07-18T00:00:00"/>
    <d v="1899-12-30T10:19:02"/>
    <d v="1899-12-30T10:25:19"/>
    <x v="0"/>
  </r>
  <r>
    <x v="982"/>
    <d v="2017-07-18T00:00:00"/>
    <d v="1899-12-30T10:19:10"/>
    <d v="1899-12-30T10:27:42"/>
    <x v="0"/>
  </r>
  <r>
    <x v="983"/>
    <d v="2017-07-18T00:00:00"/>
    <d v="1899-12-30T10:19:34"/>
    <d v="1899-12-30T10:28:57"/>
    <x v="0"/>
  </r>
  <r>
    <x v="451"/>
    <d v="2017-07-18T00:00:00"/>
    <d v="1899-12-30T10:25:15"/>
    <d v="1899-12-30T10:33:13"/>
    <x v="0"/>
  </r>
  <r>
    <x v="984"/>
    <d v="2017-07-18T00:00:00"/>
    <d v="1899-12-30T10:27:03"/>
    <d v="1899-12-30T10:29:56"/>
    <x v="0"/>
  </r>
  <r>
    <x v="985"/>
    <d v="2017-07-18T00:00:00"/>
    <d v="1899-12-30T10:31:02"/>
    <d v="1899-12-30T10:47:34"/>
    <x v="0"/>
  </r>
  <r>
    <x v="824"/>
    <d v="2017-07-18T00:00:00"/>
    <d v="1899-12-30T10:34:03"/>
    <d v="1899-12-30T10:46:42"/>
    <x v="0"/>
  </r>
  <r>
    <x v="986"/>
    <d v="2017-07-18T00:00:00"/>
    <d v="1899-12-30T10:39:09"/>
    <d v="1899-12-30T10:50:47"/>
    <x v="0"/>
  </r>
  <r>
    <x v="987"/>
    <d v="2017-07-18T00:00:00"/>
    <d v="1899-12-30T10:44:19"/>
    <d v="1899-12-30T10:58:49"/>
    <x v="0"/>
  </r>
  <r>
    <x v="988"/>
    <d v="2017-07-18T00:00:00"/>
    <d v="1899-12-30T10:51:26"/>
    <d v="1899-12-30T11:01:30"/>
    <x v="0"/>
  </r>
  <r>
    <x v="989"/>
    <d v="2017-07-18T00:00:00"/>
    <d v="1899-12-30T10:54:01"/>
    <d v="1899-12-30T11:08:43"/>
    <x v="0"/>
  </r>
  <r>
    <x v="990"/>
    <d v="2017-07-18T00:00:00"/>
    <d v="1899-12-30T10:54:18"/>
    <d v="1899-12-30T10:59:06"/>
    <x v="0"/>
  </r>
  <r>
    <x v="991"/>
    <d v="2017-07-18T00:00:00"/>
    <d v="1899-12-30T10:57:48"/>
    <d v="1899-12-30T11:07:41"/>
    <x v="0"/>
  </r>
  <r>
    <x v="992"/>
    <d v="2017-07-18T00:00:00"/>
    <d v="1899-12-30T11:01:39"/>
    <d v="1899-12-30T11:09:02"/>
    <x v="0"/>
  </r>
  <r>
    <x v="993"/>
    <d v="2017-07-18T00:00:00"/>
    <d v="1899-12-30T11:04:14"/>
    <d v="1899-12-30T11:12:52"/>
    <x v="0"/>
  </r>
  <r>
    <x v="994"/>
    <d v="2017-07-18T00:00:00"/>
    <d v="1899-12-30T11:04:17"/>
    <d v="1899-12-30T11:20:04"/>
    <x v="0"/>
  </r>
  <r>
    <x v="719"/>
    <d v="2017-07-18T00:00:00"/>
    <d v="1899-12-30T11:10:40"/>
    <d v="1899-12-30T11:23:56"/>
    <x v="0"/>
  </r>
  <r>
    <x v="995"/>
    <d v="2017-07-18T00:00:00"/>
    <d v="1899-12-30T11:14:58"/>
    <d v="1899-12-30T11:20:19"/>
    <x v="0"/>
  </r>
  <r>
    <x v="442"/>
    <d v="2017-07-18T00:00:00"/>
    <d v="1899-12-30T11:17:52"/>
    <d v="1899-12-30T11:22:42"/>
    <x v="0"/>
  </r>
  <r>
    <x v="996"/>
    <d v="2017-07-18T00:00:00"/>
    <d v="1899-12-30T11:19:48"/>
    <d v="1899-12-30T11:35:18"/>
    <x v="0"/>
  </r>
  <r>
    <x v="997"/>
    <d v="2017-07-18T00:00:00"/>
    <d v="1899-12-30T11:22:29"/>
    <d v="1899-12-30T11:33:39"/>
    <x v="0"/>
  </r>
  <r>
    <x v="998"/>
    <d v="2017-07-18T00:00:00"/>
    <d v="1899-12-30T11:24:04"/>
    <d v="1899-12-30T11:25:20"/>
    <x v="0"/>
  </r>
  <r>
    <x v="999"/>
    <d v="2017-07-18T00:00:00"/>
    <d v="1899-12-30T11:24:05"/>
    <d v="1899-12-30T11:35:47"/>
    <x v="0"/>
  </r>
  <r>
    <x v="1000"/>
    <d v="2017-07-18T00:00:00"/>
    <d v="1899-12-30T11:30:28"/>
    <d v="1899-12-30T11:36:02"/>
    <x v="0"/>
  </r>
  <r>
    <x v="1001"/>
    <d v="2017-07-18T00:00:00"/>
    <d v="1899-12-30T11:36:39"/>
    <d v="1899-12-30T11:41:01"/>
    <x v="0"/>
  </r>
  <r>
    <x v="1002"/>
    <d v="2017-07-18T00:00:00"/>
    <d v="1899-12-30T11:36:40"/>
    <d v="1899-12-30T11:45:52"/>
    <x v="0"/>
  </r>
  <r>
    <x v="1003"/>
    <d v="2017-07-18T00:00:00"/>
    <d v="1899-12-30T11:41:30"/>
    <d v="1899-12-30T11:54:03"/>
    <x v="0"/>
  </r>
  <r>
    <x v="1004"/>
    <d v="2017-07-18T00:00:00"/>
    <d v="1899-12-30T11:41:37"/>
    <d v="1899-12-30T11:47:40"/>
    <x v="0"/>
  </r>
  <r>
    <x v="1005"/>
    <d v="2017-07-18T00:00:00"/>
    <d v="1899-12-30T11:44:09"/>
    <d v="1899-12-30T11:52:10"/>
    <x v="0"/>
  </r>
  <r>
    <x v="1006"/>
    <d v="2017-07-18T00:00:00"/>
    <d v="1899-12-30T11:49:36"/>
    <d v="1899-12-30T11:54:15"/>
    <x v="0"/>
  </r>
  <r>
    <x v="1007"/>
    <d v="2017-07-18T00:00:00"/>
    <d v="1899-12-30T11:52:18"/>
    <d v="1899-12-30T11:58:33"/>
    <x v="0"/>
  </r>
  <r>
    <x v="1008"/>
    <d v="2017-07-18T00:00:00"/>
    <d v="1899-12-30T11:59:33"/>
    <d v="1899-12-30T12:09:58"/>
    <x v="0"/>
  </r>
  <r>
    <x v="1009"/>
    <d v="2017-07-18T00:00:00"/>
    <d v="1899-12-30T12:05:32"/>
    <d v="1899-12-30T12:12:30"/>
    <x v="0"/>
  </r>
  <r>
    <x v="1010"/>
    <d v="2017-07-18T00:00:00"/>
    <d v="1899-12-30T12:09:20"/>
    <d v="1899-12-30T12:15:01"/>
    <x v="0"/>
  </r>
  <r>
    <x v="1011"/>
    <d v="2017-07-18T00:00:00"/>
    <d v="1899-12-30T12:14:06"/>
    <d v="1899-12-30T12:21:22"/>
    <x v="0"/>
  </r>
  <r>
    <x v="1012"/>
    <d v="2017-07-18T00:00:00"/>
    <d v="1899-12-30T12:16:46"/>
    <d v="1899-12-30T12:28:27"/>
    <x v="0"/>
  </r>
  <r>
    <x v="1013"/>
    <d v="2017-07-18T00:00:00"/>
    <d v="1899-12-30T12:23:15"/>
    <d v="1899-12-30T12:31:59"/>
    <x v="0"/>
  </r>
  <r>
    <x v="1014"/>
    <d v="2017-07-18T00:00:00"/>
    <d v="1899-12-30T12:23:26"/>
    <d v="1899-12-30T12:26:34"/>
    <x v="0"/>
  </r>
  <r>
    <x v="1015"/>
    <d v="2017-07-18T00:00:00"/>
    <d v="1899-12-30T12:29:41"/>
    <d v="1899-12-30T12:36:53"/>
    <x v="0"/>
  </r>
  <r>
    <x v="1016"/>
    <d v="2017-07-18T00:00:00"/>
    <d v="1899-12-30T12:37:22"/>
    <d v="1899-12-30T12:49:32"/>
    <x v="0"/>
  </r>
  <r>
    <x v="392"/>
    <d v="2017-07-18T00:00:00"/>
    <d v="1899-12-30T12:43:34"/>
    <d v="1899-12-30T12:46:20"/>
    <x v="0"/>
  </r>
  <r>
    <x v="1017"/>
    <d v="2017-07-18T00:00:00"/>
    <d v="1899-12-30T12:49:08"/>
    <d v="1899-12-30T12:49:56"/>
    <x v="0"/>
  </r>
  <r>
    <x v="1018"/>
    <d v="2017-07-18T00:00:00"/>
    <d v="1899-12-30T12:54:09"/>
    <d v="1899-12-30T13:06:50"/>
    <x v="0"/>
  </r>
  <r>
    <x v="1019"/>
    <d v="2017-07-18T00:00:00"/>
    <d v="1899-12-30T13:02:26"/>
    <d v="1899-12-30T13:17:43"/>
    <x v="0"/>
  </r>
  <r>
    <x v="1020"/>
    <d v="2017-07-18T00:00:00"/>
    <d v="1899-12-30T13:07:29"/>
    <d v="1899-12-30T13:08:52"/>
    <x v="0"/>
  </r>
  <r>
    <x v="1021"/>
    <d v="2017-07-18T00:00:00"/>
    <d v="1899-12-30T13:12:07"/>
    <d v="1899-12-30T13:22:31"/>
    <x v="0"/>
  </r>
  <r>
    <x v="1022"/>
    <d v="2017-07-18T00:00:00"/>
    <d v="1899-12-30T13:12:34"/>
    <d v="1899-12-30T13:22:27"/>
    <x v="0"/>
  </r>
  <r>
    <x v="1023"/>
    <d v="2017-07-18T00:00:00"/>
    <d v="1899-12-30T13:18:27"/>
    <d v="1899-12-30T13:31:11"/>
    <x v="0"/>
  </r>
  <r>
    <x v="1024"/>
    <d v="2017-07-18T00:00:00"/>
    <d v="1899-12-30T13:21:18"/>
    <d v="1899-12-30T13:21:20"/>
    <x v="0"/>
  </r>
  <r>
    <x v="1025"/>
    <d v="2017-07-18T00:00:00"/>
    <d v="1899-12-30T13:29:34"/>
    <d v="1899-12-30T13:31:29"/>
    <x v="0"/>
  </r>
  <r>
    <x v="1026"/>
    <d v="2017-07-18T00:00:00"/>
    <d v="1899-12-30T13:36:41"/>
    <d v="1899-12-30T13:38:55"/>
    <x v="0"/>
  </r>
  <r>
    <x v="1027"/>
    <d v="2017-07-18T00:00:00"/>
    <d v="1899-12-30T13:44:47"/>
    <d v="1899-12-30T13:55:08"/>
    <x v="0"/>
  </r>
  <r>
    <x v="1028"/>
    <d v="2017-07-18T00:00:00"/>
    <d v="1899-12-30T13:52:55"/>
    <d v="1899-12-30T14:00:27"/>
    <x v="0"/>
  </r>
  <r>
    <x v="1029"/>
    <d v="2017-07-18T00:00:00"/>
    <d v="1899-12-30T13:55:02"/>
    <d v="1899-12-30T14:08:34"/>
    <x v="0"/>
  </r>
  <r>
    <x v="723"/>
    <d v="2017-07-18T00:00:00"/>
    <d v="1899-12-30T14:02:45"/>
    <d v="1899-12-30T14:11:37"/>
    <x v="0"/>
  </r>
  <r>
    <x v="1030"/>
    <d v="2017-07-18T00:00:00"/>
    <d v="1899-12-30T14:03:02"/>
    <d v="1899-12-30T14:08:35"/>
    <x v="0"/>
  </r>
  <r>
    <x v="1031"/>
    <d v="2017-07-18T00:00:00"/>
    <d v="1899-12-30T14:08:46"/>
    <d v="1899-12-30T14:20:11"/>
    <x v="0"/>
  </r>
  <r>
    <x v="1032"/>
    <d v="2017-07-18T00:00:00"/>
    <d v="1899-12-30T14:16:44"/>
    <d v="1899-12-30T14:19:03"/>
    <x v="0"/>
  </r>
  <r>
    <x v="1033"/>
    <d v="2017-07-18T00:00:00"/>
    <d v="1899-12-30T14:23:29"/>
    <d v="1899-12-30T14:30:24"/>
    <x v="0"/>
  </r>
  <r>
    <x v="736"/>
    <d v="2017-07-18T00:00:00"/>
    <d v="1899-12-30T14:27:52"/>
    <d v="1899-12-30T14:37:23"/>
    <x v="0"/>
  </r>
  <r>
    <x v="1034"/>
    <d v="2017-07-18T00:00:00"/>
    <d v="1899-12-30T14:30:06"/>
    <d v="1899-12-30T14:46:07"/>
    <x v="0"/>
  </r>
  <r>
    <x v="1035"/>
    <d v="2017-07-18T00:00:00"/>
    <d v="1899-12-30T14:37:26"/>
    <d v="1899-12-30T14:40:12"/>
    <x v="0"/>
  </r>
  <r>
    <x v="1036"/>
    <d v="2017-07-18T00:00:00"/>
    <d v="1899-12-30T14:43:40"/>
    <d v="1899-12-30T14:50:21"/>
    <x v="0"/>
  </r>
  <r>
    <x v="479"/>
    <d v="2017-07-18T00:00:00"/>
    <d v="1899-12-30T14:48:08"/>
    <d v="1899-12-30T14:49:47"/>
    <x v="0"/>
  </r>
  <r>
    <x v="1037"/>
    <d v="2017-07-18T00:00:00"/>
    <d v="1899-12-30T14:55:27"/>
    <d v="1899-12-30T15:10:53"/>
    <x v="0"/>
  </r>
  <r>
    <x v="1038"/>
    <d v="2017-07-18T00:00:00"/>
    <d v="1899-12-30T14:55:39"/>
    <d v="1899-12-30T14:56:14"/>
    <x v="0"/>
  </r>
  <r>
    <x v="1039"/>
    <d v="2017-07-18T00:00:00"/>
    <d v="1899-12-30T15:00:49"/>
    <d v="1899-12-30T15:14:17"/>
    <x v="0"/>
  </r>
  <r>
    <x v="1040"/>
    <d v="2017-07-19T00:00:00"/>
    <d v="1899-12-30T08:03:44"/>
    <d v="1899-12-30T08:19:24"/>
    <x v="0"/>
  </r>
  <r>
    <x v="1041"/>
    <d v="2017-07-19T00:00:00"/>
    <d v="1899-12-30T08:08:00"/>
    <d v="1899-12-30T08:24:24"/>
    <x v="0"/>
  </r>
  <r>
    <x v="1042"/>
    <d v="2017-07-19T00:00:00"/>
    <d v="1899-12-30T08:14:03"/>
    <d v="1899-12-30T08:21:06"/>
    <x v="0"/>
  </r>
  <r>
    <x v="1043"/>
    <d v="2017-07-19T00:00:00"/>
    <d v="1899-12-30T08:19:45"/>
    <d v="1899-12-30T08:29:34"/>
    <x v="0"/>
  </r>
  <r>
    <x v="1044"/>
    <d v="2017-07-19T00:00:00"/>
    <d v="1899-12-30T08:24:35"/>
    <d v="1899-12-30T08:32:39"/>
    <x v="0"/>
  </r>
  <r>
    <x v="1045"/>
    <d v="2017-07-19T00:00:00"/>
    <d v="1899-12-30T08:28:23"/>
    <d v="1899-12-30T08:35:26"/>
    <x v="0"/>
  </r>
  <r>
    <x v="835"/>
    <d v="2017-07-19T00:00:00"/>
    <d v="1899-12-30T08:34:16"/>
    <d v="1899-12-30T08:41:54"/>
    <x v="0"/>
  </r>
  <r>
    <x v="1046"/>
    <d v="2017-07-19T00:00:00"/>
    <d v="1899-12-30T08:36:02"/>
    <d v="1899-12-30T08:48:40"/>
    <x v="0"/>
  </r>
  <r>
    <x v="1047"/>
    <d v="2017-07-19T00:00:00"/>
    <d v="1899-12-30T08:42:52"/>
    <d v="1899-12-30T08:48:49"/>
    <x v="0"/>
  </r>
  <r>
    <x v="1048"/>
    <d v="2017-07-19T00:00:00"/>
    <d v="1899-12-30T08:51:10"/>
    <d v="1899-12-30T08:57:28"/>
    <x v="0"/>
  </r>
  <r>
    <x v="1049"/>
    <d v="2017-07-19T00:00:00"/>
    <d v="1899-12-30T08:54:10"/>
    <d v="1899-12-30T09:00:15"/>
    <x v="0"/>
  </r>
  <r>
    <x v="1050"/>
    <d v="2017-07-19T00:00:00"/>
    <d v="1899-12-30T08:59:47"/>
    <d v="1899-12-30T09:09:16"/>
    <x v="0"/>
  </r>
  <r>
    <x v="471"/>
    <d v="2017-07-19T00:00:00"/>
    <d v="1899-12-30T09:07:37"/>
    <d v="1899-12-30T09:10:39"/>
    <x v="0"/>
  </r>
  <r>
    <x v="1051"/>
    <d v="2017-07-19T00:00:00"/>
    <d v="1899-12-30T09:08:03"/>
    <d v="1899-12-30T09:11:14"/>
    <x v="0"/>
  </r>
  <r>
    <x v="1052"/>
    <d v="2017-07-19T00:00:00"/>
    <d v="1899-12-30T09:09:42"/>
    <d v="1899-12-30T09:20:23"/>
    <x v="0"/>
  </r>
  <r>
    <x v="1053"/>
    <d v="2017-07-19T00:00:00"/>
    <d v="1899-12-30T09:14:35"/>
    <d v="1899-12-30T09:28:24"/>
    <x v="0"/>
  </r>
  <r>
    <x v="1054"/>
    <d v="2017-07-19T00:00:00"/>
    <d v="1899-12-30T09:14:53"/>
    <d v="1899-12-30T09:29:07"/>
    <x v="0"/>
  </r>
  <r>
    <x v="1055"/>
    <d v="2017-07-19T00:00:00"/>
    <d v="1899-12-30T09:19:12"/>
    <d v="1899-12-30T09:22:36"/>
    <x v="0"/>
  </r>
  <r>
    <x v="1056"/>
    <d v="2017-07-19T00:00:00"/>
    <d v="1899-12-30T09:21:18"/>
    <d v="1899-12-30T09:24:04"/>
    <x v="0"/>
  </r>
  <r>
    <x v="1057"/>
    <d v="2017-07-19T00:00:00"/>
    <d v="1899-12-30T09:21:24"/>
    <d v="1899-12-30T09:22:34"/>
    <x v="0"/>
  </r>
  <r>
    <x v="1058"/>
    <d v="2017-07-19T00:00:00"/>
    <d v="1899-12-30T09:27:38"/>
    <d v="1899-12-30T09:43:38"/>
    <x v="0"/>
  </r>
  <r>
    <x v="1059"/>
    <d v="2017-07-19T00:00:00"/>
    <d v="1899-12-30T09:30:21"/>
    <d v="1899-12-30T09:42:22"/>
    <x v="0"/>
  </r>
  <r>
    <x v="1060"/>
    <d v="2017-07-19T00:00:00"/>
    <d v="1899-12-30T09:35:06"/>
    <d v="1899-12-30T09:40:47"/>
    <x v="0"/>
  </r>
  <r>
    <x v="1061"/>
    <d v="2017-07-19T00:00:00"/>
    <d v="1899-12-30T09:35:25"/>
    <d v="1899-12-30T09:51:50"/>
    <x v="0"/>
  </r>
  <r>
    <x v="1062"/>
    <d v="2017-07-19T00:00:00"/>
    <d v="1899-12-30T09:39:23"/>
    <d v="1899-12-30T09:42:46"/>
    <x v="0"/>
  </r>
  <r>
    <x v="1063"/>
    <d v="2017-07-19T00:00:00"/>
    <d v="1899-12-30T09:46:42"/>
    <d v="1899-12-30T09:54:05"/>
    <x v="0"/>
  </r>
  <r>
    <x v="408"/>
    <d v="2017-07-19T00:00:00"/>
    <d v="1899-12-30T09:52:09"/>
    <d v="1899-12-30T09:57:22"/>
    <x v="0"/>
  </r>
  <r>
    <x v="1064"/>
    <d v="2017-07-19T00:00:00"/>
    <d v="1899-12-30T09:54:23"/>
    <d v="1899-12-30T10:07:26"/>
    <x v="0"/>
  </r>
  <r>
    <x v="1065"/>
    <d v="2017-07-19T00:00:00"/>
    <d v="1899-12-30T09:59:17"/>
    <d v="1899-12-30T10:00:44"/>
    <x v="0"/>
  </r>
  <r>
    <x v="1066"/>
    <d v="2017-07-19T00:00:00"/>
    <d v="1899-12-30T10:04:45"/>
    <d v="1899-12-30T10:15:50"/>
    <x v="0"/>
  </r>
  <r>
    <x v="1067"/>
    <d v="2017-07-19T00:00:00"/>
    <d v="1899-12-30T10:07:12"/>
    <d v="1899-12-30T10:20:48"/>
    <x v="0"/>
  </r>
  <r>
    <x v="1068"/>
    <d v="2017-07-19T00:00:00"/>
    <d v="1899-12-30T10:10:53"/>
    <d v="1899-12-30T10:26:35"/>
    <x v="0"/>
  </r>
  <r>
    <x v="1069"/>
    <d v="2017-07-19T00:00:00"/>
    <d v="1899-12-30T10:14:39"/>
    <d v="1899-12-30T10:22:11"/>
    <x v="0"/>
  </r>
  <r>
    <x v="1070"/>
    <d v="2017-07-19T00:00:00"/>
    <d v="1899-12-30T10:17:56"/>
    <d v="1899-12-30T10:25:20"/>
    <x v="0"/>
  </r>
  <r>
    <x v="1071"/>
    <d v="2017-07-19T00:00:00"/>
    <d v="1899-12-30T10:21:48"/>
    <d v="1899-12-30T10:36:08"/>
    <x v="0"/>
  </r>
  <r>
    <x v="1072"/>
    <d v="2017-07-19T00:00:00"/>
    <d v="1899-12-30T10:21:52"/>
    <d v="1899-12-30T10:31:06"/>
    <x v="0"/>
  </r>
  <r>
    <x v="1073"/>
    <d v="2017-07-19T00:00:00"/>
    <d v="1899-12-30T10:24:28"/>
    <d v="1899-12-30T10:33:05"/>
    <x v="0"/>
  </r>
  <r>
    <x v="1074"/>
    <d v="2017-07-19T00:00:00"/>
    <d v="1899-12-30T10:26:32"/>
    <d v="1899-12-30T10:38:51"/>
    <x v="0"/>
  </r>
  <r>
    <x v="1075"/>
    <d v="2017-07-19T00:00:00"/>
    <d v="1899-12-30T10:29:47"/>
    <d v="1899-12-30T10:34:38"/>
    <x v="0"/>
  </r>
  <r>
    <x v="1076"/>
    <d v="2017-07-19T00:00:00"/>
    <d v="1899-12-30T10:31:07"/>
    <d v="1899-12-30T10:47:33"/>
    <x v="0"/>
  </r>
  <r>
    <x v="1077"/>
    <d v="2017-07-19T00:00:00"/>
    <d v="1899-12-30T10:38:00"/>
    <d v="1899-12-30T10:48:06"/>
    <x v="0"/>
  </r>
  <r>
    <x v="1078"/>
    <d v="2017-07-19T00:00:00"/>
    <d v="1899-12-30T10:43:10"/>
    <d v="1899-12-30T10:58:27"/>
    <x v="0"/>
  </r>
  <r>
    <x v="1079"/>
    <d v="2017-07-19T00:00:00"/>
    <d v="1899-12-30T10:51:03"/>
    <d v="1899-12-30T11:02:13"/>
    <x v="0"/>
  </r>
  <r>
    <x v="563"/>
    <d v="2017-07-19T00:00:00"/>
    <d v="1899-12-30T10:59:04"/>
    <d v="1899-12-30T11:00:04"/>
    <x v="0"/>
  </r>
  <r>
    <x v="1080"/>
    <d v="2017-07-19T00:00:00"/>
    <d v="1899-12-30T11:05:32"/>
    <d v="1899-12-30T11:06:12"/>
    <x v="0"/>
  </r>
  <r>
    <x v="1081"/>
    <d v="2017-07-19T00:00:00"/>
    <d v="1899-12-30T11:10:16"/>
    <d v="1899-12-30T11:22:38"/>
    <x v="0"/>
  </r>
  <r>
    <x v="1082"/>
    <d v="2017-07-19T00:00:00"/>
    <d v="1899-12-30T11:13:32"/>
    <d v="1899-12-30T11:17:35"/>
    <x v="0"/>
  </r>
  <r>
    <x v="257"/>
    <d v="2017-07-19T00:00:00"/>
    <d v="1899-12-30T11:21:06"/>
    <d v="1899-12-30T11:34:46"/>
    <x v="0"/>
  </r>
  <r>
    <x v="1083"/>
    <d v="2017-07-19T00:00:00"/>
    <d v="1899-12-30T11:28:57"/>
    <d v="1899-12-30T11:44:54"/>
    <x v="0"/>
  </r>
  <r>
    <x v="1084"/>
    <d v="2017-07-19T00:00:00"/>
    <d v="1899-12-30T11:28:57"/>
    <d v="1899-12-30T11:43:52"/>
    <x v="0"/>
  </r>
  <r>
    <x v="1085"/>
    <d v="2017-07-19T00:00:00"/>
    <d v="1899-12-30T11:36:42"/>
    <d v="1899-12-30T11:52:53"/>
    <x v="0"/>
  </r>
  <r>
    <x v="1086"/>
    <d v="2017-07-19T00:00:00"/>
    <d v="1899-12-30T11:43:03"/>
    <d v="1899-12-30T11:53:23"/>
    <x v="0"/>
  </r>
  <r>
    <x v="1087"/>
    <d v="2017-07-19T00:00:00"/>
    <d v="1899-12-30T11:45:02"/>
    <d v="1899-12-30T11:57:32"/>
    <x v="0"/>
  </r>
  <r>
    <x v="1088"/>
    <d v="2017-07-19T00:00:00"/>
    <d v="1899-12-30T11:49:30"/>
    <d v="1899-12-30T11:56:45"/>
    <x v="0"/>
  </r>
  <r>
    <x v="1089"/>
    <d v="2017-07-19T00:00:00"/>
    <d v="1899-12-30T11:54:36"/>
    <d v="1899-12-30T12:08:25"/>
    <x v="0"/>
  </r>
  <r>
    <x v="1090"/>
    <d v="2017-07-19T00:00:00"/>
    <d v="1899-12-30T12:02:30"/>
    <d v="1899-12-30T12:18:48"/>
    <x v="0"/>
  </r>
  <r>
    <x v="1091"/>
    <d v="2017-07-19T00:00:00"/>
    <d v="1899-12-30T12:03:10"/>
    <d v="1899-12-30T12:11:35"/>
    <x v="0"/>
  </r>
  <r>
    <x v="1092"/>
    <d v="2017-07-19T00:00:00"/>
    <d v="1899-12-30T12:10:48"/>
    <d v="1899-12-30T12:18:35"/>
    <x v="0"/>
  </r>
  <r>
    <x v="1093"/>
    <d v="2017-07-19T00:00:00"/>
    <d v="1899-12-30T12:10:54"/>
    <d v="1899-12-30T12:16:13"/>
    <x v="0"/>
  </r>
  <r>
    <x v="1094"/>
    <d v="2017-07-19T00:00:00"/>
    <d v="1899-12-30T12:19:05"/>
    <d v="1899-12-30T12:23:26"/>
    <x v="0"/>
  </r>
  <r>
    <x v="1095"/>
    <d v="2017-07-19T00:00:00"/>
    <d v="1899-12-30T12:25:01"/>
    <d v="1899-12-30T12:29:36"/>
    <x v="0"/>
  </r>
  <r>
    <x v="1096"/>
    <d v="2017-07-19T00:00:00"/>
    <d v="1899-12-30T12:32:57"/>
    <d v="1899-12-30T12:39:12"/>
    <x v="0"/>
  </r>
  <r>
    <x v="371"/>
    <d v="2017-07-19T00:00:00"/>
    <d v="1899-12-30T12:33:50"/>
    <d v="1899-12-30T12:48:25"/>
    <x v="0"/>
  </r>
  <r>
    <x v="1097"/>
    <d v="2017-07-19T00:00:00"/>
    <d v="1899-12-30T12:39:50"/>
    <d v="1899-12-30T12:56:25"/>
    <x v="0"/>
  </r>
  <r>
    <x v="299"/>
    <d v="2017-07-19T00:00:00"/>
    <d v="1899-12-30T12:46:13"/>
    <d v="1899-12-30T12:56:37"/>
    <x v="0"/>
  </r>
  <r>
    <x v="1098"/>
    <d v="2017-07-19T00:00:00"/>
    <d v="1899-12-30T12:50:59"/>
    <d v="1899-12-30T12:50:59"/>
    <x v="0"/>
  </r>
  <r>
    <x v="1099"/>
    <d v="2017-07-19T00:00:00"/>
    <d v="1899-12-30T12:51:46"/>
    <d v="1899-12-30T13:06:01"/>
    <x v="0"/>
  </r>
  <r>
    <x v="1100"/>
    <d v="2017-07-19T00:00:00"/>
    <d v="1899-12-30T12:58:21"/>
    <d v="1899-12-30T13:00:25"/>
    <x v="0"/>
  </r>
  <r>
    <x v="693"/>
    <d v="2017-07-19T00:00:00"/>
    <d v="1899-12-30T13:03:56"/>
    <d v="1899-12-30T13:09:08"/>
    <x v="0"/>
  </r>
  <r>
    <x v="1101"/>
    <d v="2017-07-19T00:00:00"/>
    <d v="1899-12-30T13:11:57"/>
    <d v="1899-12-30T13:15:17"/>
    <x v="0"/>
  </r>
  <r>
    <x v="1102"/>
    <d v="2017-07-19T00:00:00"/>
    <d v="1899-12-30T13:13:45"/>
    <d v="1899-12-30T13:19:46"/>
    <x v="0"/>
  </r>
  <r>
    <x v="1103"/>
    <d v="2017-07-19T00:00:00"/>
    <d v="1899-12-30T13:14:31"/>
    <d v="1899-12-30T13:22:48"/>
    <x v="0"/>
  </r>
  <r>
    <x v="1104"/>
    <d v="2017-07-19T00:00:00"/>
    <d v="1899-12-30T13:17:35"/>
    <d v="1899-12-30T13:32:57"/>
    <x v="0"/>
  </r>
  <r>
    <x v="1105"/>
    <d v="2017-07-19T00:00:00"/>
    <d v="1899-12-30T13:25:12"/>
    <d v="1899-12-30T13:27:28"/>
    <x v="0"/>
  </r>
  <r>
    <x v="1106"/>
    <d v="2017-07-19T00:00:00"/>
    <d v="1899-12-30T13:30:23"/>
    <d v="1899-12-30T13:37:49"/>
    <x v="0"/>
  </r>
  <r>
    <x v="1107"/>
    <d v="2017-07-19T00:00:00"/>
    <d v="1899-12-30T13:38:18"/>
    <d v="1899-12-30T13:54:50"/>
    <x v="0"/>
  </r>
  <r>
    <x v="1108"/>
    <d v="2017-07-19T00:00:00"/>
    <d v="1899-12-30T13:38:36"/>
    <d v="1899-12-30T13:52:08"/>
    <x v="0"/>
  </r>
  <r>
    <x v="1109"/>
    <d v="2017-07-19T00:00:00"/>
    <d v="1899-12-30T13:41:15"/>
    <d v="1899-12-30T13:50:56"/>
    <x v="0"/>
  </r>
  <r>
    <x v="1110"/>
    <d v="2017-07-19T00:00:00"/>
    <d v="1899-12-30T13:45:19"/>
    <d v="1899-12-30T13:48:51"/>
    <x v="0"/>
  </r>
  <r>
    <x v="1111"/>
    <d v="2017-07-19T00:00:00"/>
    <d v="1899-12-30T13:48:22"/>
    <d v="1899-12-30T13:56:28"/>
    <x v="0"/>
  </r>
  <r>
    <x v="589"/>
    <d v="2017-07-19T00:00:00"/>
    <d v="1899-12-30T13:54:50"/>
    <d v="1899-12-30T14:09:15"/>
    <x v="0"/>
  </r>
  <r>
    <x v="1093"/>
    <d v="2017-07-19T00:00:00"/>
    <d v="1899-12-30T13:56:14"/>
    <d v="1899-12-30T14:09:38"/>
    <x v="0"/>
  </r>
  <r>
    <x v="1112"/>
    <d v="2017-07-19T00:00:00"/>
    <d v="1899-12-30T14:04:10"/>
    <d v="1899-12-30T14:12:43"/>
    <x v="0"/>
  </r>
  <r>
    <x v="1113"/>
    <d v="2017-07-19T00:00:00"/>
    <d v="1899-12-30T14:06:42"/>
    <d v="1899-12-30T14:11:05"/>
    <x v="0"/>
  </r>
  <r>
    <x v="1114"/>
    <d v="2017-07-19T00:00:00"/>
    <d v="1899-12-30T14:06:52"/>
    <d v="1899-12-30T14:12:31"/>
    <x v="0"/>
  </r>
  <r>
    <x v="1115"/>
    <d v="2017-07-19T00:00:00"/>
    <d v="1899-12-30T14:10:54"/>
    <d v="1899-12-30T14:13:02"/>
    <x v="0"/>
  </r>
  <r>
    <x v="1116"/>
    <d v="2017-07-19T00:00:00"/>
    <d v="1899-12-30T14:19:06"/>
    <d v="1899-12-30T14:28:45"/>
    <x v="0"/>
  </r>
  <r>
    <x v="1117"/>
    <d v="2017-07-19T00:00:00"/>
    <d v="1899-12-30T14:19:55"/>
    <d v="1899-12-30T14:31:45"/>
    <x v="0"/>
  </r>
  <r>
    <x v="686"/>
    <d v="2017-07-19T00:00:00"/>
    <d v="1899-12-30T14:19:58"/>
    <d v="1899-12-30T14:31:02"/>
    <x v="0"/>
  </r>
  <r>
    <x v="1118"/>
    <d v="2017-07-19T00:00:00"/>
    <d v="1899-12-30T14:27:07"/>
    <d v="1899-12-30T14:43:10"/>
    <x v="0"/>
  </r>
  <r>
    <x v="1119"/>
    <d v="2017-07-19T00:00:00"/>
    <d v="1899-12-30T14:28:12"/>
    <d v="1899-12-30T14:39:39"/>
    <x v="0"/>
  </r>
  <r>
    <x v="1120"/>
    <d v="2017-07-19T00:00:00"/>
    <d v="1899-12-30T14:33:00"/>
    <d v="1899-12-30T14:36:05"/>
    <x v="0"/>
  </r>
  <r>
    <x v="1121"/>
    <d v="2017-07-19T00:00:00"/>
    <d v="1899-12-30T14:36:30"/>
    <d v="1899-12-30T14:38:41"/>
    <x v="0"/>
  </r>
  <r>
    <x v="1122"/>
    <d v="2017-07-19T00:00:00"/>
    <d v="1899-12-30T14:39:34"/>
    <d v="1899-12-30T14:54:30"/>
    <x v="0"/>
  </r>
  <r>
    <x v="1123"/>
    <d v="2017-07-19T00:00:00"/>
    <d v="1899-12-30T14:41:23"/>
    <d v="1899-12-30T14:47:14"/>
    <x v="0"/>
  </r>
  <r>
    <x v="1124"/>
    <d v="2017-07-19T00:00:00"/>
    <d v="1899-12-30T14:47:44"/>
    <d v="1899-12-30T15:01:17"/>
    <x v="0"/>
  </r>
  <r>
    <x v="1125"/>
    <d v="2017-07-19T00:00:00"/>
    <d v="1899-12-30T14:54:47"/>
    <d v="1899-12-30T15:10:21"/>
    <x v="0"/>
  </r>
  <r>
    <x v="1126"/>
    <d v="2017-07-19T00:00:00"/>
    <d v="1899-12-30T14:56:57"/>
    <d v="1899-12-30T15:11:53"/>
    <x v="0"/>
  </r>
  <r>
    <x v="1127"/>
    <d v="2017-07-19T00:00:00"/>
    <d v="1899-12-30T14:58:29"/>
    <d v="1899-12-30T14:59:27"/>
    <x v="0"/>
  </r>
  <r>
    <x v="264"/>
    <d v="2017-07-19T00:00:00"/>
    <d v="1899-12-30T15:06:44"/>
    <d v="1899-12-30T15:11:12"/>
    <x v="0"/>
  </r>
  <r>
    <x v="1128"/>
    <d v="2017-07-20T00:00:00"/>
    <d v="1899-12-30T08:01:39"/>
    <d v="1899-12-30T08:05:35"/>
    <x v="0"/>
  </r>
  <r>
    <x v="1129"/>
    <d v="2017-07-20T00:00:00"/>
    <d v="1899-12-30T08:09:47"/>
    <d v="1899-12-30T08:12:22"/>
    <x v="0"/>
  </r>
  <r>
    <x v="1130"/>
    <d v="2017-07-20T00:00:00"/>
    <d v="1899-12-30T08:11:15"/>
    <d v="1899-12-30T08:27:41"/>
    <x v="0"/>
  </r>
  <r>
    <x v="1131"/>
    <d v="2017-07-20T00:00:00"/>
    <d v="1899-12-30T08:14:57"/>
    <d v="1899-12-30T08:18:23"/>
    <x v="0"/>
  </r>
  <r>
    <x v="1132"/>
    <d v="2017-07-20T00:00:00"/>
    <d v="1899-12-30T08:21:57"/>
    <d v="1899-12-30T08:23:59"/>
    <x v="0"/>
  </r>
  <r>
    <x v="1133"/>
    <d v="2017-07-20T00:00:00"/>
    <d v="1899-12-30T08:28:46"/>
    <d v="1899-12-30T08:32:02"/>
    <x v="0"/>
  </r>
  <r>
    <x v="1134"/>
    <d v="2017-07-20T00:00:00"/>
    <d v="1899-12-30T08:32:29"/>
    <d v="1899-12-30T08:46:20"/>
    <x v="0"/>
  </r>
  <r>
    <x v="1135"/>
    <d v="2017-07-20T00:00:00"/>
    <d v="1899-12-30T08:36:53"/>
    <d v="1899-12-30T08:51:16"/>
    <x v="0"/>
  </r>
  <r>
    <x v="1136"/>
    <d v="2017-07-20T00:00:00"/>
    <d v="1899-12-30T08:41:36"/>
    <d v="1899-12-30T08:46:18"/>
    <x v="0"/>
  </r>
  <r>
    <x v="1137"/>
    <d v="2017-07-20T00:00:00"/>
    <d v="1899-12-30T08:45:13"/>
    <d v="1899-12-30T08:47:29"/>
    <x v="0"/>
  </r>
  <r>
    <x v="1138"/>
    <d v="2017-07-20T00:00:00"/>
    <d v="1899-12-30T08:52:58"/>
    <d v="1899-12-30T09:06:10"/>
    <x v="0"/>
  </r>
  <r>
    <x v="1139"/>
    <d v="2017-07-20T00:00:00"/>
    <d v="1899-12-30T09:00:06"/>
    <d v="1899-12-30T09:09:15"/>
    <x v="0"/>
  </r>
  <r>
    <x v="1140"/>
    <d v="2017-07-20T00:00:00"/>
    <d v="1899-12-30T09:02:17"/>
    <d v="1899-12-30T09:06:17"/>
    <x v="0"/>
  </r>
  <r>
    <x v="845"/>
    <d v="2017-07-20T00:00:00"/>
    <d v="1899-12-30T09:07:53"/>
    <d v="1899-12-30T09:23:39"/>
    <x v="0"/>
  </r>
  <r>
    <x v="1141"/>
    <d v="2017-07-20T00:00:00"/>
    <d v="1899-12-30T09:12:53"/>
    <d v="1899-12-30T09:29:29"/>
    <x v="0"/>
  </r>
  <r>
    <x v="1142"/>
    <d v="2017-07-20T00:00:00"/>
    <d v="1899-12-30T09:15:50"/>
    <d v="1899-12-30T09:27:55"/>
    <x v="0"/>
  </r>
  <r>
    <x v="1143"/>
    <d v="2017-07-20T00:00:00"/>
    <d v="1899-12-30T09:22:24"/>
    <d v="1899-12-30T09:23:04"/>
    <x v="0"/>
  </r>
  <r>
    <x v="839"/>
    <d v="2017-07-20T00:00:00"/>
    <d v="1899-12-30T09:26:59"/>
    <d v="1899-12-30T09:40:13"/>
    <x v="0"/>
  </r>
  <r>
    <x v="432"/>
    <d v="2017-07-20T00:00:00"/>
    <d v="1899-12-30T09:28:02"/>
    <d v="1899-12-30T09:33:43"/>
    <x v="0"/>
  </r>
  <r>
    <x v="1144"/>
    <d v="2017-07-20T00:00:00"/>
    <d v="1899-12-30T09:33:16"/>
    <d v="1899-12-30T09:34:13"/>
    <x v="0"/>
  </r>
  <r>
    <x v="1145"/>
    <d v="2017-07-20T00:00:00"/>
    <d v="1899-12-30T09:34:39"/>
    <d v="1899-12-30T09:43:01"/>
    <x v="0"/>
  </r>
  <r>
    <x v="1146"/>
    <d v="2017-07-20T00:00:00"/>
    <d v="1899-12-30T09:38:45"/>
    <d v="1899-12-30T09:46:18"/>
    <x v="0"/>
  </r>
  <r>
    <x v="1147"/>
    <d v="2017-07-20T00:00:00"/>
    <d v="1899-12-30T09:46:13"/>
    <d v="1899-12-30T09:47:27"/>
    <x v="0"/>
  </r>
  <r>
    <x v="1148"/>
    <d v="2017-07-20T00:00:00"/>
    <d v="1899-12-30T09:53:41"/>
    <d v="1899-12-30T10:07:53"/>
    <x v="0"/>
  </r>
  <r>
    <x v="1149"/>
    <d v="2017-07-20T00:00:00"/>
    <d v="1899-12-30T09:54:19"/>
    <d v="1899-12-30T09:57:25"/>
    <x v="0"/>
  </r>
  <r>
    <x v="1150"/>
    <d v="2017-07-20T00:00:00"/>
    <d v="1899-12-30T09:56:58"/>
    <d v="1899-12-30T09:57:32"/>
    <x v="0"/>
  </r>
  <r>
    <x v="1151"/>
    <d v="2017-07-20T00:00:00"/>
    <d v="1899-12-30T10:00:09"/>
    <d v="1899-12-30T10:07:34"/>
    <x v="0"/>
  </r>
  <r>
    <x v="1152"/>
    <d v="2017-07-20T00:00:00"/>
    <d v="1899-12-30T10:04:31"/>
    <d v="1899-12-30T10:18:35"/>
    <x v="0"/>
  </r>
  <r>
    <x v="1153"/>
    <d v="2017-07-20T00:00:00"/>
    <d v="1899-12-30T10:12:30"/>
    <d v="1899-12-30T10:28:20"/>
    <x v="0"/>
  </r>
  <r>
    <x v="1154"/>
    <d v="2017-07-20T00:00:00"/>
    <d v="1899-12-30T10:15:46"/>
    <d v="1899-12-30T10:21:15"/>
    <x v="0"/>
  </r>
  <r>
    <x v="1155"/>
    <d v="2017-07-20T00:00:00"/>
    <d v="1899-12-30T10:21:41"/>
    <d v="1899-12-30T10:35:49"/>
    <x v="0"/>
  </r>
  <r>
    <x v="1156"/>
    <d v="2017-07-20T00:00:00"/>
    <d v="1899-12-30T10:27:56"/>
    <d v="1899-12-30T10:42:23"/>
    <x v="0"/>
  </r>
  <r>
    <x v="1157"/>
    <d v="2017-07-20T00:00:00"/>
    <d v="1899-12-30T10:36:03"/>
    <d v="1899-12-30T10:46:37"/>
    <x v="0"/>
  </r>
  <r>
    <x v="1158"/>
    <d v="2017-07-20T00:00:00"/>
    <d v="1899-12-30T10:42:28"/>
    <d v="1899-12-30T10:48:17"/>
    <x v="0"/>
  </r>
  <r>
    <x v="124"/>
    <d v="2017-07-20T00:00:00"/>
    <d v="1899-12-30T10:48:34"/>
    <d v="1899-12-30T11:02:56"/>
    <x v="0"/>
  </r>
  <r>
    <x v="1159"/>
    <d v="2017-07-20T00:00:00"/>
    <d v="1899-12-30T10:55:15"/>
    <d v="1899-12-30T11:00:37"/>
    <x v="0"/>
  </r>
  <r>
    <x v="1160"/>
    <d v="2017-07-20T00:00:00"/>
    <d v="1899-12-30T10:59:27"/>
    <d v="1899-12-30T11:02:28"/>
    <x v="0"/>
  </r>
  <r>
    <x v="1161"/>
    <d v="2017-07-20T00:00:00"/>
    <d v="1899-12-30T11:04:46"/>
    <d v="1899-12-30T11:05:15"/>
    <x v="0"/>
  </r>
  <r>
    <x v="1162"/>
    <d v="2017-07-20T00:00:00"/>
    <d v="1899-12-30T11:05:39"/>
    <d v="1899-12-30T11:10:55"/>
    <x v="0"/>
  </r>
  <r>
    <x v="1163"/>
    <d v="2017-07-20T00:00:00"/>
    <d v="1899-12-30T11:11:08"/>
    <d v="1899-12-30T11:22:12"/>
    <x v="0"/>
  </r>
  <r>
    <x v="1164"/>
    <d v="2017-07-20T00:00:00"/>
    <d v="1899-12-30T11:18:19"/>
    <d v="1899-12-30T11:18:55"/>
    <x v="0"/>
  </r>
  <r>
    <x v="1165"/>
    <d v="2017-07-20T00:00:00"/>
    <d v="1899-12-30T11:20:19"/>
    <d v="1899-12-30T11:33:02"/>
    <x v="0"/>
  </r>
  <r>
    <x v="1166"/>
    <d v="2017-07-20T00:00:00"/>
    <d v="1899-12-30T11:24:27"/>
    <d v="1899-12-30T11:26:39"/>
    <x v="0"/>
  </r>
  <r>
    <x v="1167"/>
    <d v="2017-07-20T00:00:00"/>
    <d v="1899-12-30T11:31:40"/>
    <d v="1899-12-30T11:47:59"/>
    <x v="0"/>
  </r>
  <r>
    <x v="1168"/>
    <d v="2017-07-20T00:00:00"/>
    <d v="1899-12-30T11:35:14"/>
    <d v="1899-12-30T11:42:42"/>
    <x v="0"/>
  </r>
  <r>
    <x v="1169"/>
    <d v="2017-07-20T00:00:00"/>
    <d v="1899-12-30T11:42:55"/>
    <d v="1899-12-30T11:47:17"/>
    <x v="0"/>
  </r>
  <r>
    <x v="1170"/>
    <d v="2017-07-20T00:00:00"/>
    <d v="1899-12-30T11:45:49"/>
    <d v="1899-12-30T11:52:10"/>
    <x v="0"/>
  </r>
  <r>
    <x v="1171"/>
    <d v="2017-07-20T00:00:00"/>
    <d v="1899-12-30T11:47:05"/>
    <d v="1899-12-30T11:50:56"/>
    <x v="0"/>
  </r>
  <r>
    <x v="1172"/>
    <d v="2017-07-20T00:00:00"/>
    <d v="1899-12-30T11:53:05"/>
    <d v="1899-12-30T11:53:16"/>
    <x v="0"/>
  </r>
  <r>
    <x v="1173"/>
    <d v="2017-07-20T00:00:00"/>
    <d v="1899-12-30T11:57:36"/>
    <d v="1899-12-30T12:13:34"/>
    <x v="0"/>
  </r>
  <r>
    <x v="1174"/>
    <d v="2017-07-20T00:00:00"/>
    <d v="1899-12-30T12:04:18"/>
    <d v="1899-12-30T12:04:30"/>
    <x v="0"/>
  </r>
  <r>
    <x v="1175"/>
    <d v="2017-07-20T00:00:00"/>
    <d v="1899-12-30T12:08:22"/>
    <d v="1899-12-30T12:20:46"/>
    <x v="0"/>
  </r>
  <r>
    <x v="1176"/>
    <d v="2017-07-20T00:00:00"/>
    <d v="1899-12-30T12:11:55"/>
    <d v="1899-12-30T12:23:48"/>
    <x v="0"/>
  </r>
  <r>
    <x v="1177"/>
    <d v="2017-07-20T00:00:00"/>
    <d v="1899-12-30T12:12:41"/>
    <d v="1899-12-30T12:20:18"/>
    <x v="0"/>
  </r>
  <r>
    <x v="0"/>
    <d v="2017-07-20T00:00:00"/>
    <d v="1899-12-30T12:14:49"/>
    <d v="1899-12-30T12:30:05"/>
    <x v="0"/>
  </r>
  <r>
    <x v="1178"/>
    <d v="2017-07-20T00:00:00"/>
    <d v="1899-12-30T12:21:46"/>
    <d v="1899-12-30T12:25:44"/>
    <x v="0"/>
  </r>
  <r>
    <x v="1179"/>
    <d v="2017-07-20T00:00:00"/>
    <d v="1899-12-30T12:21:47"/>
    <d v="1899-12-30T12:22:25"/>
    <x v="0"/>
  </r>
  <r>
    <x v="1180"/>
    <d v="2017-07-20T00:00:00"/>
    <d v="1899-12-30T12:27:46"/>
    <d v="1899-12-30T12:43:38"/>
    <x v="0"/>
  </r>
  <r>
    <x v="1181"/>
    <d v="2017-07-20T00:00:00"/>
    <d v="1899-12-30T12:32:03"/>
    <d v="1899-12-30T12:34:04"/>
    <x v="0"/>
  </r>
  <r>
    <x v="1182"/>
    <d v="2017-07-20T00:00:00"/>
    <d v="1899-12-30T12:32:16"/>
    <d v="1899-12-30T12:44:16"/>
    <x v="0"/>
  </r>
  <r>
    <x v="1183"/>
    <d v="2017-07-20T00:00:00"/>
    <d v="1899-12-30T12:34:16"/>
    <d v="1899-12-30T12:41:31"/>
    <x v="0"/>
  </r>
  <r>
    <x v="1184"/>
    <d v="2017-07-20T00:00:00"/>
    <d v="1899-12-30T12:40:31"/>
    <d v="1899-12-30T12:55:50"/>
    <x v="0"/>
  </r>
  <r>
    <x v="1185"/>
    <d v="2017-07-20T00:00:00"/>
    <d v="1899-12-30T12:44:24"/>
    <d v="1899-12-30T12:50:34"/>
    <x v="0"/>
  </r>
  <r>
    <x v="1186"/>
    <d v="2017-07-20T00:00:00"/>
    <d v="1899-12-30T12:47:36"/>
    <d v="1899-12-30T12:58:19"/>
    <x v="0"/>
  </r>
  <r>
    <x v="1187"/>
    <d v="2017-07-20T00:00:00"/>
    <d v="1899-12-30T12:55:01"/>
    <d v="1899-12-30T13:02:55"/>
    <x v="0"/>
  </r>
  <r>
    <x v="1188"/>
    <d v="2017-07-20T00:00:00"/>
    <d v="1899-12-30T12:57:05"/>
    <d v="1899-12-30T13:03:42"/>
    <x v="0"/>
  </r>
  <r>
    <x v="1189"/>
    <d v="2017-07-20T00:00:00"/>
    <d v="1899-12-30T13:04:05"/>
    <d v="1899-12-30T13:17:51"/>
    <x v="0"/>
  </r>
  <r>
    <x v="141"/>
    <d v="2017-07-20T00:00:00"/>
    <d v="1899-12-30T13:05:37"/>
    <d v="1899-12-30T13:10:29"/>
    <x v="0"/>
  </r>
  <r>
    <x v="1190"/>
    <d v="2017-07-20T00:00:00"/>
    <d v="1899-12-30T13:11:14"/>
    <d v="1899-12-30T13:20:24"/>
    <x v="0"/>
  </r>
  <r>
    <x v="1191"/>
    <d v="2017-07-20T00:00:00"/>
    <d v="1899-12-30T13:16:25"/>
    <d v="1899-12-30T13:30:47"/>
    <x v="0"/>
  </r>
  <r>
    <x v="1192"/>
    <d v="2017-07-20T00:00:00"/>
    <d v="1899-12-30T13:18:52"/>
    <d v="1899-12-30T13:34:59"/>
    <x v="0"/>
  </r>
  <r>
    <x v="523"/>
    <d v="2017-07-20T00:00:00"/>
    <d v="1899-12-30T13:23:55"/>
    <d v="1899-12-30T13:24:27"/>
    <x v="0"/>
  </r>
  <r>
    <x v="1193"/>
    <d v="2017-07-20T00:00:00"/>
    <d v="1899-12-30T13:29:00"/>
    <d v="1899-12-30T13:32:10"/>
    <x v="0"/>
  </r>
  <r>
    <x v="1194"/>
    <d v="2017-07-20T00:00:00"/>
    <d v="1899-12-30T13:31:01"/>
    <d v="1899-12-30T13:41:06"/>
    <x v="0"/>
  </r>
  <r>
    <x v="1195"/>
    <d v="2017-07-20T00:00:00"/>
    <d v="1899-12-30T13:34:08"/>
    <d v="1899-12-30T13:49:36"/>
    <x v="0"/>
  </r>
  <r>
    <x v="1196"/>
    <d v="2017-07-20T00:00:00"/>
    <d v="1899-12-30T13:42:19"/>
    <d v="1899-12-30T13:47:30"/>
    <x v="0"/>
  </r>
  <r>
    <x v="1197"/>
    <d v="2017-07-20T00:00:00"/>
    <d v="1899-12-30T13:48:15"/>
    <d v="1899-12-30T13:52:06"/>
    <x v="0"/>
  </r>
  <r>
    <x v="1198"/>
    <d v="2017-07-20T00:00:00"/>
    <d v="1899-12-30T13:50:28"/>
    <d v="1899-12-30T14:02:58"/>
    <x v="0"/>
  </r>
  <r>
    <x v="1199"/>
    <d v="2017-07-20T00:00:00"/>
    <d v="1899-12-30T13:52:03"/>
    <d v="1899-12-30T13:54:32"/>
    <x v="0"/>
  </r>
  <r>
    <x v="1200"/>
    <d v="2017-07-20T00:00:00"/>
    <d v="1899-12-30T13:58:10"/>
    <d v="1899-12-30T14:10:08"/>
    <x v="0"/>
  </r>
  <r>
    <x v="1201"/>
    <d v="2017-07-20T00:00:00"/>
    <d v="1899-12-30T13:59:56"/>
    <d v="1899-12-30T14:12:29"/>
    <x v="0"/>
  </r>
  <r>
    <x v="1202"/>
    <d v="2017-07-20T00:00:00"/>
    <d v="1899-12-30T14:03:20"/>
    <d v="1899-12-30T14:09:05"/>
    <x v="0"/>
  </r>
  <r>
    <x v="1203"/>
    <d v="2017-07-20T00:00:00"/>
    <d v="1899-12-30T14:10:22"/>
    <d v="1899-12-30T14:14:11"/>
    <x v="0"/>
  </r>
  <r>
    <x v="1204"/>
    <d v="2017-07-20T00:00:00"/>
    <d v="1899-12-30T14:18:33"/>
    <d v="1899-12-30T14:22:39"/>
    <x v="0"/>
  </r>
  <r>
    <x v="1205"/>
    <d v="2017-07-20T00:00:00"/>
    <d v="1899-12-30T14:19:35"/>
    <d v="1899-12-30T14:20:18"/>
    <x v="0"/>
  </r>
  <r>
    <x v="1206"/>
    <d v="2017-07-20T00:00:00"/>
    <d v="1899-12-30T14:20:53"/>
    <d v="1899-12-30T14:34:18"/>
    <x v="0"/>
  </r>
  <r>
    <x v="1207"/>
    <d v="2017-07-20T00:00:00"/>
    <d v="1899-12-30T14:24:42"/>
    <d v="1899-12-30T14:29:21"/>
    <x v="0"/>
  </r>
  <r>
    <x v="1208"/>
    <d v="2017-07-20T00:00:00"/>
    <d v="1899-12-30T14:27:37"/>
    <d v="1899-12-30T14:32:46"/>
    <x v="0"/>
  </r>
  <r>
    <x v="1059"/>
    <d v="2017-07-20T00:00:00"/>
    <d v="1899-12-30T14:28:00"/>
    <d v="1899-12-30T14:41:36"/>
    <x v="0"/>
  </r>
  <r>
    <x v="1209"/>
    <d v="2017-07-20T00:00:00"/>
    <d v="1899-12-30T14:28:04"/>
    <d v="1899-12-30T14:39:00"/>
    <x v="0"/>
  </r>
  <r>
    <x v="1210"/>
    <d v="2017-07-20T00:00:00"/>
    <d v="1899-12-30T14:33:59"/>
    <d v="1899-12-30T14:38:25"/>
    <x v="0"/>
  </r>
  <r>
    <x v="1211"/>
    <d v="2017-07-20T00:00:00"/>
    <d v="1899-12-30T14:38:16"/>
    <d v="1899-12-30T14:43:55"/>
    <x v="0"/>
  </r>
  <r>
    <x v="1212"/>
    <d v="2017-07-20T00:00:00"/>
    <d v="1899-12-30T14:43:01"/>
    <d v="1899-12-30T14:54:28"/>
    <x v="0"/>
  </r>
  <r>
    <x v="1213"/>
    <d v="2017-07-20T00:00:00"/>
    <d v="1899-12-30T14:46:07"/>
    <d v="1899-12-30T15:00:03"/>
    <x v="0"/>
  </r>
  <r>
    <x v="1214"/>
    <d v="2017-07-20T00:00:00"/>
    <d v="1899-12-30T14:46:27"/>
    <d v="1899-12-30T15:00:28"/>
    <x v="0"/>
  </r>
  <r>
    <x v="1215"/>
    <d v="2017-07-20T00:00:00"/>
    <d v="1899-12-30T14:53:56"/>
    <d v="1899-12-30T15:05:14"/>
    <x v="0"/>
  </r>
  <r>
    <x v="1216"/>
    <d v="2017-07-20T00:00:00"/>
    <d v="1899-12-30T15:00:21"/>
    <d v="1899-12-30T15:04:59"/>
    <x v="0"/>
  </r>
  <r>
    <x v="923"/>
    <d v="2017-07-21T00:00:00"/>
    <d v="1899-12-30T08:01:16"/>
    <d v="1899-12-30T08:04:55"/>
    <x v="0"/>
  </r>
  <r>
    <x v="1217"/>
    <d v="2017-07-21T00:00:00"/>
    <d v="1899-12-30T08:02:36"/>
    <d v="1899-12-30T08:06:32"/>
    <x v="0"/>
  </r>
  <r>
    <x v="1218"/>
    <d v="2017-07-21T00:00:00"/>
    <d v="1899-12-30T08:04:27"/>
    <d v="1899-12-30T08:06:25"/>
    <x v="0"/>
  </r>
  <r>
    <x v="1219"/>
    <d v="2017-07-21T00:00:00"/>
    <d v="1899-12-30T08:11:52"/>
    <d v="1899-12-30T08:19:27"/>
    <x v="0"/>
  </r>
  <r>
    <x v="1220"/>
    <d v="2017-07-21T00:00:00"/>
    <d v="1899-12-30T08:12:27"/>
    <d v="1899-12-30T08:18:17"/>
    <x v="0"/>
  </r>
  <r>
    <x v="1221"/>
    <d v="2017-07-21T00:00:00"/>
    <d v="1899-12-30T08:17:46"/>
    <d v="1899-12-30T08:20:20"/>
    <x v="0"/>
  </r>
  <r>
    <x v="1222"/>
    <d v="2017-07-21T00:00:00"/>
    <d v="1899-12-30T08:19:33"/>
    <d v="1899-12-30T08:26:58"/>
    <x v="0"/>
  </r>
  <r>
    <x v="1223"/>
    <d v="2017-07-21T00:00:00"/>
    <d v="1899-12-30T08:20:20"/>
    <d v="1899-12-30T08:27:47"/>
    <x v="0"/>
  </r>
  <r>
    <x v="1224"/>
    <d v="2017-07-21T00:00:00"/>
    <d v="1899-12-30T08:23:27"/>
    <d v="1899-12-30T08:29:05"/>
    <x v="0"/>
  </r>
  <r>
    <x v="1225"/>
    <d v="2017-07-21T00:00:00"/>
    <d v="1899-12-30T08:24:03"/>
    <d v="1899-12-30T08:31:47"/>
    <x v="0"/>
  </r>
  <r>
    <x v="1226"/>
    <d v="2017-07-21T00:00:00"/>
    <d v="1899-12-30T08:26:15"/>
    <d v="1899-12-30T08:28:19"/>
    <x v="0"/>
  </r>
  <r>
    <x v="1141"/>
    <d v="2017-07-21T00:00:00"/>
    <d v="1899-12-30T08:29:47"/>
    <d v="1899-12-30T08:37:36"/>
    <x v="0"/>
  </r>
  <r>
    <x v="1227"/>
    <d v="2017-07-21T00:00:00"/>
    <d v="1899-12-30T08:37:08"/>
    <d v="1899-12-30T08:42:59"/>
    <x v="0"/>
  </r>
  <r>
    <x v="1228"/>
    <d v="2017-07-21T00:00:00"/>
    <d v="1899-12-30T08:40:38"/>
    <d v="1899-12-30T08:43:31"/>
    <x v="0"/>
  </r>
  <r>
    <x v="1229"/>
    <d v="2017-07-21T00:00:00"/>
    <d v="1899-12-30T08:47:30"/>
    <d v="1899-12-30T08:58:13"/>
    <x v="0"/>
  </r>
  <r>
    <x v="1230"/>
    <d v="2017-07-21T00:00:00"/>
    <d v="1899-12-30T08:54:43"/>
    <d v="1899-12-30T09:08:17"/>
    <x v="0"/>
  </r>
  <r>
    <x v="1231"/>
    <d v="2017-07-21T00:00:00"/>
    <d v="1899-12-30T09:01:00"/>
    <d v="1899-12-30T09:16:00"/>
    <x v="0"/>
  </r>
  <r>
    <x v="68"/>
    <d v="2017-07-21T00:00:00"/>
    <d v="1899-12-30T09:05:38"/>
    <d v="1899-12-30T09:13:35"/>
    <x v="0"/>
  </r>
  <r>
    <x v="1232"/>
    <d v="2017-07-21T00:00:00"/>
    <d v="1899-12-30T09:08:27"/>
    <d v="1899-12-30T09:20:26"/>
    <x v="0"/>
  </r>
  <r>
    <x v="1233"/>
    <d v="2017-07-21T00:00:00"/>
    <d v="1899-12-30T09:16:19"/>
    <d v="1899-12-30T09:20:30"/>
    <x v="0"/>
  </r>
  <r>
    <x v="1234"/>
    <d v="2017-07-21T00:00:00"/>
    <d v="1899-12-30T09:19:25"/>
    <d v="1899-12-30T09:34:12"/>
    <x v="0"/>
  </r>
  <r>
    <x v="1235"/>
    <d v="2017-07-21T00:00:00"/>
    <d v="1899-12-30T09:22:53"/>
    <d v="1899-12-30T09:30:32"/>
    <x v="0"/>
  </r>
  <r>
    <x v="1236"/>
    <d v="2017-07-21T00:00:00"/>
    <d v="1899-12-30T09:28:22"/>
    <d v="1899-12-30T09:38:02"/>
    <x v="0"/>
  </r>
  <r>
    <x v="1237"/>
    <d v="2017-07-21T00:00:00"/>
    <d v="1899-12-30T09:35:20"/>
    <d v="1899-12-30T09:36:33"/>
    <x v="0"/>
  </r>
  <r>
    <x v="1238"/>
    <d v="2017-07-21T00:00:00"/>
    <d v="1899-12-30T09:41:28"/>
    <d v="1899-12-30T09:47:51"/>
    <x v="0"/>
  </r>
  <r>
    <x v="1239"/>
    <d v="2017-07-21T00:00:00"/>
    <d v="1899-12-30T09:42:40"/>
    <d v="1899-12-30T09:48:36"/>
    <x v="0"/>
  </r>
  <r>
    <x v="1240"/>
    <d v="2017-07-21T00:00:00"/>
    <d v="1899-12-30T09:42:42"/>
    <d v="1899-12-30T09:48:47"/>
    <x v="0"/>
  </r>
  <r>
    <x v="1241"/>
    <d v="2017-07-21T00:00:00"/>
    <d v="1899-12-30T09:43:17"/>
    <d v="1899-12-30T09:44:05"/>
    <x v="0"/>
  </r>
  <r>
    <x v="1242"/>
    <d v="2017-07-21T00:00:00"/>
    <d v="1899-12-30T09:46:00"/>
    <d v="1899-12-30T09:50:17"/>
    <x v="0"/>
  </r>
  <r>
    <x v="1243"/>
    <d v="2017-07-21T00:00:00"/>
    <d v="1899-12-30T09:53:41"/>
    <d v="1899-12-30T09:59:44"/>
    <x v="0"/>
  </r>
  <r>
    <x v="1244"/>
    <d v="2017-07-21T00:00:00"/>
    <d v="1899-12-30T09:57:31"/>
    <d v="1899-12-30T09:59:38"/>
    <x v="0"/>
  </r>
  <r>
    <x v="1245"/>
    <d v="2017-07-21T00:00:00"/>
    <d v="1899-12-30T10:05:35"/>
    <d v="1899-12-30T10:15:11"/>
    <x v="0"/>
  </r>
  <r>
    <x v="1246"/>
    <d v="2017-07-21T00:00:00"/>
    <d v="1899-12-30T10:06:01"/>
    <d v="1899-12-30T10:21:37"/>
    <x v="0"/>
  </r>
  <r>
    <x v="1247"/>
    <d v="2017-07-21T00:00:00"/>
    <d v="1899-12-30T10:09:57"/>
    <d v="1899-12-30T10:22:28"/>
    <x v="0"/>
  </r>
  <r>
    <x v="1248"/>
    <d v="2017-07-21T00:00:00"/>
    <d v="1899-12-30T10:16:32"/>
    <d v="1899-12-30T10:30:30"/>
    <x v="0"/>
  </r>
  <r>
    <x v="1249"/>
    <d v="2017-07-21T00:00:00"/>
    <d v="1899-12-30T10:19:14"/>
    <d v="1899-12-30T10:19:38"/>
    <x v="0"/>
  </r>
  <r>
    <x v="1250"/>
    <d v="2017-07-21T00:00:00"/>
    <d v="1899-12-30T10:20:17"/>
    <d v="1899-12-30T10:35:27"/>
    <x v="0"/>
  </r>
  <r>
    <x v="882"/>
    <d v="2017-07-21T00:00:00"/>
    <d v="1899-12-30T10:24:58"/>
    <d v="1899-12-30T10:34:12"/>
    <x v="0"/>
  </r>
  <r>
    <x v="1251"/>
    <d v="2017-07-21T00:00:00"/>
    <d v="1899-12-30T10:27:35"/>
    <d v="1899-12-30T10:41:32"/>
    <x v="0"/>
  </r>
  <r>
    <x v="1252"/>
    <d v="2017-07-21T00:00:00"/>
    <d v="1899-12-30T10:29:43"/>
    <d v="1899-12-30T10:46:07"/>
    <x v="0"/>
  </r>
  <r>
    <x v="41"/>
    <d v="2017-07-21T00:00:00"/>
    <d v="1899-12-30T10:37:48"/>
    <d v="1899-12-30T10:51:42"/>
    <x v="0"/>
  </r>
  <r>
    <x v="1253"/>
    <d v="2017-07-21T00:00:00"/>
    <d v="1899-12-30T10:44:52"/>
    <d v="1899-12-30T10:55:54"/>
    <x v="0"/>
  </r>
  <r>
    <x v="839"/>
    <d v="2017-07-21T00:00:00"/>
    <d v="1899-12-30T10:50:42"/>
    <d v="1899-12-30T11:01:20"/>
    <x v="0"/>
  </r>
  <r>
    <x v="1254"/>
    <d v="2017-07-21T00:00:00"/>
    <d v="1899-12-30T10:54:36"/>
    <d v="1899-12-30T11:06:39"/>
    <x v="0"/>
  </r>
  <r>
    <x v="1245"/>
    <d v="2017-07-21T00:00:00"/>
    <d v="1899-12-30T10:57:56"/>
    <d v="1899-12-30T10:58:44"/>
    <x v="0"/>
  </r>
  <r>
    <x v="1255"/>
    <d v="2017-07-21T00:00:00"/>
    <d v="1899-12-30T11:04:11"/>
    <d v="1899-12-30T11:06:31"/>
    <x v="0"/>
  </r>
  <r>
    <x v="1256"/>
    <d v="2017-07-21T00:00:00"/>
    <d v="1899-12-30T11:10:22"/>
    <d v="1899-12-30T11:20:11"/>
    <x v="0"/>
  </r>
  <r>
    <x v="1257"/>
    <d v="2017-07-21T00:00:00"/>
    <d v="1899-12-30T11:17:53"/>
    <d v="1899-12-30T11:20:15"/>
    <x v="0"/>
  </r>
  <r>
    <x v="1258"/>
    <d v="2017-07-21T00:00:00"/>
    <d v="1899-12-30T11:18:19"/>
    <d v="1899-12-30T11:31:22"/>
    <x v="0"/>
  </r>
  <r>
    <x v="230"/>
    <d v="2017-07-21T00:00:00"/>
    <d v="1899-12-30T11:20:55"/>
    <d v="1899-12-30T11:28:59"/>
    <x v="0"/>
  </r>
  <r>
    <x v="1259"/>
    <d v="2017-07-21T00:00:00"/>
    <d v="1899-12-30T11:21:07"/>
    <d v="1899-12-30T11:34:42"/>
    <x v="0"/>
  </r>
  <r>
    <x v="1260"/>
    <d v="2017-07-21T00:00:00"/>
    <d v="1899-12-30T11:26:51"/>
    <d v="1899-12-30T11:40:58"/>
    <x v="0"/>
  </r>
  <r>
    <x v="1261"/>
    <d v="2017-07-21T00:00:00"/>
    <d v="1899-12-30T11:28:48"/>
    <d v="1899-12-30T11:45:27"/>
    <x v="0"/>
  </r>
  <r>
    <x v="1262"/>
    <d v="2017-07-21T00:00:00"/>
    <d v="1899-12-30T11:35:19"/>
    <d v="1899-12-30T11:35:27"/>
    <x v="0"/>
  </r>
  <r>
    <x v="1263"/>
    <d v="2017-07-21T00:00:00"/>
    <d v="1899-12-30T11:37:32"/>
    <d v="1899-12-30T11:42:31"/>
    <x v="0"/>
  </r>
  <r>
    <x v="1264"/>
    <d v="2017-07-21T00:00:00"/>
    <d v="1899-12-30T11:41:09"/>
    <d v="1899-12-30T11:55:11"/>
    <x v="0"/>
  </r>
  <r>
    <x v="523"/>
    <d v="2017-07-21T00:00:00"/>
    <d v="1899-12-30T11:49:05"/>
    <d v="1899-12-30T11:51:06"/>
    <x v="0"/>
  </r>
  <r>
    <x v="1265"/>
    <d v="2017-07-21T00:00:00"/>
    <d v="1899-12-30T11:50:19"/>
    <d v="1899-12-30T12:05:04"/>
    <x v="0"/>
  </r>
  <r>
    <x v="925"/>
    <d v="2017-07-21T00:00:00"/>
    <d v="1899-12-30T11:57:17"/>
    <d v="1899-12-30T12:09:24"/>
    <x v="0"/>
  </r>
  <r>
    <x v="1266"/>
    <d v="2017-07-21T00:00:00"/>
    <d v="1899-12-30T12:00:14"/>
    <d v="1899-12-30T12:07:18"/>
    <x v="0"/>
  </r>
  <r>
    <x v="1267"/>
    <d v="2017-07-21T00:00:00"/>
    <d v="1899-12-30T12:04:06"/>
    <d v="1899-12-30T12:20:38"/>
    <x v="0"/>
  </r>
  <r>
    <x v="1268"/>
    <d v="2017-07-21T00:00:00"/>
    <d v="1899-12-30T12:12:06"/>
    <d v="1899-12-30T12:13:57"/>
    <x v="0"/>
  </r>
  <r>
    <x v="1269"/>
    <d v="2017-07-21T00:00:00"/>
    <d v="1899-12-30T12:17:17"/>
    <d v="1899-12-30T12:32:27"/>
    <x v="0"/>
  </r>
  <r>
    <x v="1270"/>
    <d v="2017-07-21T00:00:00"/>
    <d v="1899-12-30T12:18:00"/>
    <d v="1899-12-30T12:20:14"/>
    <x v="0"/>
  </r>
  <r>
    <x v="1271"/>
    <d v="2017-07-21T00:00:00"/>
    <d v="1899-12-30T12:21:54"/>
    <d v="1899-12-30T12:27:38"/>
    <x v="0"/>
  </r>
  <r>
    <x v="1272"/>
    <d v="2017-07-21T00:00:00"/>
    <d v="1899-12-30T12:27:53"/>
    <d v="1899-12-30T12:36:51"/>
    <x v="0"/>
  </r>
  <r>
    <x v="1273"/>
    <d v="2017-07-21T00:00:00"/>
    <d v="1899-12-30T12:32:18"/>
    <d v="1899-12-30T12:38:37"/>
    <x v="0"/>
  </r>
  <r>
    <x v="1274"/>
    <d v="2017-07-21T00:00:00"/>
    <d v="1899-12-30T12:35:34"/>
    <d v="1899-12-30T12:46:21"/>
    <x v="0"/>
  </r>
  <r>
    <x v="1275"/>
    <d v="2017-07-21T00:00:00"/>
    <d v="1899-12-30T12:39:36"/>
    <d v="1899-12-30T12:43:42"/>
    <x v="0"/>
  </r>
  <r>
    <x v="1276"/>
    <d v="2017-07-21T00:00:00"/>
    <d v="1899-12-30T12:46:40"/>
    <d v="1899-12-30T12:54:31"/>
    <x v="0"/>
  </r>
  <r>
    <x v="1277"/>
    <d v="2017-07-21T00:00:00"/>
    <d v="1899-12-30T12:54:53"/>
    <d v="1899-12-30T13:02:52"/>
    <x v="0"/>
  </r>
  <r>
    <x v="1026"/>
    <d v="2017-07-21T00:00:00"/>
    <d v="1899-12-30T12:55:10"/>
    <d v="1899-12-30T12:57:35"/>
    <x v="0"/>
  </r>
  <r>
    <x v="1278"/>
    <d v="2017-07-21T00:00:00"/>
    <d v="1899-12-30T13:00:58"/>
    <d v="1899-12-30T13:14:08"/>
    <x v="0"/>
  </r>
  <r>
    <x v="1279"/>
    <d v="2017-07-21T00:00:00"/>
    <d v="1899-12-30T13:06:42"/>
    <d v="1899-12-30T13:21:24"/>
    <x v="0"/>
  </r>
  <r>
    <x v="1280"/>
    <d v="2017-07-21T00:00:00"/>
    <d v="1899-12-30T13:08:34"/>
    <d v="1899-12-30T13:18:23"/>
    <x v="0"/>
  </r>
  <r>
    <x v="1281"/>
    <d v="2017-07-21T00:00:00"/>
    <d v="1899-12-30T13:11:20"/>
    <d v="1899-12-30T13:23:17"/>
    <x v="0"/>
  </r>
  <r>
    <x v="1282"/>
    <d v="2017-07-21T00:00:00"/>
    <d v="1899-12-30T13:16:29"/>
    <d v="1899-12-30T13:18:46"/>
    <x v="0"/>
  </r>
  <r>
    <x v="443"/>
    <d v="2017-07-21T00:00:00"/>
    <d v="1899-12-30T13:21:24"/>
    <d v="1899-12-30T13:35:52"/>
    <x v="0"/>
  </r>
  <r>
    <x v="1283"/>
    <d v="2017-07-21T00:00:00"/>
    <d v="1899-12-30T13:22:48"/>
    <d v="1899-12-30T13:32:26"/>
    <x v="0"/>
  </r>
  <r>
    <x v="1284"/>
    <d v="2017-07-21T00:00:00"/>
    <d v="1899-12-30T13:30:41"/>
    <d v="1899-12-30T13:37:14"/>
    <x v="0"/>
  </r>
  <r>
    <x v="1285"/>
    <d v="2017-07-21T00:00:00"/>
    <d v="1899-12-30T13:34:44"/>
    <d v="1899-12-30T13:48:16"/>
    <x v="0"/>
  </r>
  <r>
    <x v="406"/>
    <d v="2017-07-21T00:00:00"/>
    <d v="1899-12-30T13:42:47"/>
    <d v="1899-12-30T13:56:45"/>
    <x v="0"/>
  </r>
  <r>
    <x v="1286"/>
    <d v="2017-07-21T00:00:00"/>
    <d v="1899-12-30T13:48:43"/>
    <d v="1899-12-30T13:54:08"/>
    <x v="0"/>
  </r>
  <r>
    <x v="1287"/>
    <d v="2017-07-21T00:00:00"/>
    <d v="1899-12-30T13:52:44"/>
    <d v="1899-12-30T14:08:45"/>
    <x v="0"/>
  </r>
  <r>
    <x v="1288"/>
    <d v="2017-07-21T00:00:00"/>
    <d v="1899-12-30T13:54:58"/>
    <d v="1899-12-30T14:06:06"/>
    <x v="0"/>
  </r>
  <r>
    <x v="11"/>
    <d v="2017-07-21T00:00:00"/>
    <d v="1899-12-30T14:02:42"/>
    <d v="1899-12-30T14:18:55"/>
    <x v="0"/>
  </r>
  <r>
    <x v="1120"/>
    <d v="2017-07-21T00:00:00"/>
    <d v="1899-12-30T14:09:59"/>
    <d v="1899-12-30T14:19:00"/>
    <x v="0"/>
  </r>
  <r>
    <x v="152"/>
    <d v="2017-07-21T00:00:00"/>
    <d v="1899-12-30T14:15:23"/>
    <d v="1899-12-30T14:24:11"/>
    <x v="0"/>
  </r>
  <r>
    <x v="1289"/>
    <d v="2017-07-21T00:00:00"/>
    <d v="1899-12-30T14:19:52"/>
    <d v="1899-12-30T14:27:47"/>
    <x v="0"/>
  </r>
  <r>
    <x v="1290"/>
    <d v="2017-07-21T00:00:00"/>
    <d v="1899-12-30T14:26:40"/>
    <d v="1899-12-30T14:38:43"/>
    <x v="0"/>
  </r>
  <r>
    <x v="1291"/>
    <d v="2017-07-21T00:00:00"/>
    <d v="1899-12-30T14:26:50"/>
    <d v="1899-12-30T14:29:08"/>
    <x v="0"/>
  </r>
  <r>
    <x v="1292"/>
    <d v="2017-07-21T00:00:00"/>
    <d v="1899-12-30T14:30:42"/>
    <d v="1899-12-30T14:36:46"/>
    <x v="0"/>
  </r>
  <r>
    <x v="1293"/>
    <d v="2017-07-21T00:00:00"/>
    <d v="1899-12-30T14:35:16"/>
    <d v="1899-12-30T14:43:10"/>
    <x v="0"/>
  </r>
  <r>
    <x v="1294"/>
    <d v="2017-07-21T00:00:00"/>
    <d v="1899-12-30T14:41:33"/>
    <d v="1899-12-30T14:50:10"/>
    <x v="0"/>
  </r>
  <r>
    <x v="1295"/>
    <d v="2017-07-21T00:00:00"/>
    <d v="1899-12-30T14:45:15"/>
    <d v="1899-12-30T14:58:51"/>
    <x v="0"/>
  </r>
  <r>
    <x v="1296"/>
    <d v="2017-07-21T00:00:00"/>
    <d v="1899-12-30T14:48:21"/>
    <d v="1899-12-30T14:56:59"/>
    <x v="0"/>
  </r>
  <r>
    <x v="1297"/>
    <d v="2017-07-21T00:00:00"/>
    <d v="1899-12-30T14:53:47"/>
    <d v="1899-12-30T14:57:00"/>
    <x v="0"/>
  </r>
  <r>
    <x v="1298"/>
    <d v="2017-07-21T00:00:00"/>
    <d v="1899-12-30T14:59:47"/>
    <d v="1899-12-30T15:05:01"/>
    <x v="0"/>
  </r>
  <r>
    <x v="1299"/>
    <d v="2017-07-21T00:00:00"/>
    <d v="1899-12-30T15:01:37"/>
    <d v="1899-12-30T15:04:50"/>
    <x v="0"/>
  </r>
  <r>
    <x v="265"/>
    <d v="2017-07-24T00:00:00"/>
    <d v="1899-12-30T08:04:12"/>
    <d v="1899-12-30T08:19:15"/>
    <x v="0"/>
  </r>
  <r>
    <x v="1300"/>
    <d v="2017-07-24T00:00:00"/>
    <d v="1899-12-30T08:05:41"/>
    <d v="1899-12-30T08:13:48"/>
    <x v="0"/>
  </r>
  <r>
    <x v="1301"/>
    <d v="2017-07-24T00:00:00"/>
    <d v="1899-12-30T08:09:59"/>
    <d v="1899-12-30T08:13:12"/>
    <x v="0"/>
  </r>
  <r>
    <x v="1302"/>
    <d v="2017-07-24T00:00:00"/>
    <d v="1899-12-30T08:16:44"/>
    <d v="1899-12-30T08:19:22"/>
    <x v="0"/>
  </r>
  <r>
    <x v="1303"/>
    <d v="2017-07-24T00:00:00"/>
    <d v="1899-12-30T08:21:14"/>
    <d v="1899-12-30T08:29:57"/>
    <x v="0"/>
  </r>
  <r>
    <x v="1304"/>
    <d v="2017-07-24T00:00:00"/>
    <d v="1899-12-30T08:22:16"/>
    <d v="1899-12-30T08:34:04"/>
    <x v="0"/>
  </r>
  <r>
    <x v="1305"/>
    <d v="2017-07-24T00:00:00"/>
    <d v="1899-12-30T08:24:36"/>
    <d v="1899-12-30T08:36:01"/>
    <x v="0"/>
  </r>
  <r>
    <x v="1306"/>
    <d v="2017-07-24T00:00:00"/>
    <d v="1899-12-30T08:25:52"/>
    <d v="1899-12-30T08:33:01"/>
    <x v="0"/>
  </r>
  <r>
    <x v="1307"/>
    <d v="2017-07-24T00:00:00"/>
    <d v="1899-12-30T08:33:25"/>
    <d v="1899-12-30T08:36:27"/>
    <x v="0"/>
  </r>
  <r>
    <x v="1308"/>
    <d v="2017-07-24T00:00:00"/>
    <d v="1899-12-30T08:38:17"/>
    <d v="1899-12-30T08:51:05"/>
    <x v="0"/>
  </r>
  <r>
    <x v="1309"/>
    <d v="2017-07-24T00:00:00"/>
    <d v="1899-12-30T08:39:17"/>
    <d v="1899-12-30T08:48:01"/>
    <x v="0"/>
  </r>
  <r>
    <x v="1310"/>
    <d v="2017-07-24T00:00:00"/>
    <d v="1899-12-30T08:41:54"/>
    <d v="1899-12-30T08:52:42"/>
    <x v="0"/>
  </r>
  <r>
    <x v="542"/>
    <d v="2017-07-24T00:00:00"/>
    <d v="1899-12-30T08:43:13"/>
    <d v="1899-12-30T08:52:21"/>
    <x v="0"/>
  </r>
  <r>
    <x v="1311"/>
    <d v="2017-07-24T00:00:00"/>
    <d v="1899-12-30T08:51:11"/>
    <d v="1899-12-30T08:59:11"/>
    <x v="0"/>
  </r>
  <r>
    <x v="1312"/>
    <d v="2017-07-24T00:00:00"/>
    <d v="1899-12-30T08:53:10"/>
    <d v="1899-12-30T09:05:08"/>
    <x v="0"/>
  </r>
  <r>
    <x v="1313"/>
    <d v="2017-07-24T00:00:00"/>
    <d v="1899-12-30T08:54:58"/>
    <d v="1899-12-30T08:56:21"/>
    <x v="0"/>
  </r>
  <r>
    <x v="1314"/>
    <d v="2017-07-24T00:00:00"/>
    <d v="1899-12-30T08:57:04"/>
    <d v="1899-12-30T09:13:09"/>
    <x v="0"/>
  </r>
  <r>
    <x v="1315"/>
    <d v="2017-07-24T00:00:00"/>
    <d v="1899-12-30T09:03:56"/>
    <d v="1899-12-30T09:17:00"/>
    <x v="0"/>
  </r>
  <r>
    <x v="1316"/>
    <d v="2017-07-24T00:00:00"/>
    <d v="1899-12-30T09:06:58"/>
    <d v="1899-12-30T09:20:35"/>
    <x v="0"/>
  </r>
  <r>
    <x v="1317"/>
    <d v="2017-07-24T00:00:00"/>
    <d v="1899-12-30T09:07:52"/>
    <d v="1899-12-30T09:19:15"/>
    <x v="0"/>
  </r>
  <r>
    <x v="1318"/>
    <d v="2017-07-24T00:00:00"/>
    <d v="1899-12-30T09:09:27"/>
    <d v="1899-12-30T09:20:39"/>
    <x v="0"/>
  </r>
  <r>
    <x v="1319"/>
    <d v="2017-07-24T00:00:00"/>
    <d v="1899-12-30T09:12:40"/>
    <d v="1899-12-30T09:27:09"/>
    <x v="0"/>
  </r>
  <r>
    <x v="1320"/>
    <d v="2017-07-24T00:00:00"/>
    <d v="1899-12-30T09:16:21"/>
    <d v="1899-12-30T09:27:03"/>
    <x v="0"/>
  </r>
  <r>
    <x v="1321"/>
    <d v="2017-07-24T00:00:00"/>
    <d v="1899-12-30T09:24:37"/>
    <d v="1899-12-30T09:31:17"/>
    <x v="0"/>
  </r>
  <r>
    <x v="1322"/>
    <d v="2017-07-24T00:00:00"/>
    <d v="1899-12-30T09:27:07"/>
    <d v="1899-12-30T09:30:41"/>
    <x v="0"/>
  </r>
  <r>
    <x v="1323"/>
    <d v="2017-07-24T00:00:00"/>
    <d v="1899-12-30T09:27:14"/>
    <d v="1899-12-30T09:28:29"/>
    <x v="0"/>
  </r>
  <r>
    <x v="1324"/>
    <d v="2017-07-24T00:00:00"/>
    <d v="1899-12-30T09:29:02"/>
    <d v="1899-12-30T09:44:21"/>
    <x v="0"/>
  </r>
  <r>
    <x v="978"/>
    <d v="2017-07-24T00:00:00"/>
    <d v="1899-12-30T09:30:27"/>
    <d v="1899-12-30T09:35:40"/>
    <x v="0"/>
  </r>
  <r>
    <x v="1325"/>
    <d v="2017-07-24T00:00:00"/>
    <d v="1899-12-30T09:34:03"/>
    <d v="1899-12-30T09:42:21"/>
    <x v="0"/>
  </r>
  <r>
    <x v="1326"/>
    <d v="2017-07-24T00:00:00"/>
    <d v="1899-12-30T09:35:22"/>
    <d v="1899-12-30T09:47:34"/>
    <x v="0"/>
  </r>
  <r>
    <x v="143"/>
    <d v="2017-07-24T00:00:00"/>
    <d v="1899-12-30T09:39:48"/>
    <d v="1899-12-30T09:47:53"/>
    <x v="0"/>
  </r>
  <r>
    <x v="1327"/>
    <d v="2017-07-24T00:00:00"/>
    <d v="1899-12-30T09:45:14"/>
    <d v="1899-12-30T09:53:06"/>
    <x v="0"/>
  </r>
  <r>
    <x v="1328"/>
    <d v="2017-07-24T00:00:00"/>
    <d v="1899-12-30T09:49:24"/>
    <d v="1899-12-30T10:04:21"/>
    <x v="0"/>
  </r>
  <r>
    <x v="1329"/>
    <d v="2017-07-24T00:00:00"/>
    <d v="1899-12-30T09:55:28"/>
    <d v="1899-12-30T10:01:47"/>
    <x v="0"/>
  </r>
  <r>
    <x v="1330"/>
    <d v="2017-07-24T00:00:00"/>
    <d v="1899-12-30T10:02:41"/>
    <d v="1899-12-30T10:08:26"/>
    <x v="0"/>
  </r>
  <r>
    <x v="1331"/>
    <d v="2017-07-24T00:00:00"/>
    <d v="1899-12-30T10:08:17"/>
    <d v="1899-12-30T10:17:14"/>
    <x v="0"/>
  </r>
  <r>
    <x v="1332"/>
    <d v="2017-07-24T00:00:00"/>
    <d v="1899-12-30T10:12:53"/>
    <d v="1899-12-30T10:16:19"/>
    <x v="0"/>
  </r>
  <r>
    <x v="1333"/>
    <d v="2017-07-24T00:00:00"/>
    <d v="1899-12-30T10:12:55"/>
    <d v="1899-12-30T10:14:27"/>
    <x v="0"/>
  </r>
  <r>
    <x v="1334"/>
    <d v="2017-07-24T00:00:00"/>
    <d v="1899-12-30T10:18:30"/>
    <d v="1899-12-30T10:34:27"/>
    <x v="0"/>
  </r>
  <r>
    <x v="1335"/>
    <d v="2017-07-24T00:00:00"/>
    <d v="1899-12-30T10:21:07"/>
    <d v="1899-12-30T10:30:11"/>
    <x v="0"/>
  </r>
  <r>
    <x v="23"/>
    <d v="2017-07-24T00:00:00"/>
    <d v="1899-12-30T10:28:23"/>
    <d v="1899-12-30T10:41:11"/>
    <x v="0"/>
  </r>
  <r>
    <x v="1336"/>
    <d v="2017-07-24T00:00:00"/>
    <d v="1899-12-30T10:34:46"/>
    <d v="1899-12-30T10:44:39"/>
    <x v="0"/>
  </r>
  <r>
    <x v="1337"/>
    <d v="2017-07-24T00:00:00"/>
    <d v="1899-12-30T10:36:16"/>
    <d v="1899-12-30T10:42:44"/>
    <x v="0"/>
  </r>
  <r>
    <x v="1338"/>
    <d v="2017-07-24T00:00:00"/>
    <d v="1899-12-30T10:42:40"/>
    <d v="1899-12-30T10:44:27"/>
    <x v="0"/>
  </r>
  <r>
    <x v="1339"/>
    <d v="2017-07-24T00:00:00"/>
    <d v="1899-12-30T10:43:24"/>
    <d v="1899-12-30T10:55:28"/>
    <x v="0"/>
  </r>
  <r>
    <x v="28"/>
    <d v="2017-07-24T00:00:00"/>
    <d v="1899-12-30T10:46:36"/>
    <d v="1899-12-30T11:02:11"/>
    <x v="0"/>
  </r>
  <r>
    <x v="1340"/>
    <d v="2017-07-24T00:00:00"/>
    <d v="1899-12-30T10:53:39"/>
    <d v="1899-12-30T10:59:49"/>
    <x v="0"/>
  </r>
  <r>
    <x v="1341"/>
    <d v="2017-07-24T00:00:00"/>
    <d v="1899-12-30T10:54:56"/>
    <d v="1899-12-30T11:00:26"/>
    <x v="0"/>
  </r>
  <r>
    <x v="1342"/>
    <d v="2017-07-24T00:00:00"/>
    <d v="1899-12-30T11:01:24"/>
    <d v="1899-12-30T11:15:09"/>
    <x v="0"/>
  </r>
  <r>
    <x v="1343"/>
    <d v="2017-07-24T00:00:00"/>
    <d v="1899-12-30T11:09:27"/>
    <d v="1899-12-30T11:24:26"/>
    <x v="0"/>
  </r>
  <r>
    <x v="1344"/>
    <d v="2017-07-24T00:00:00"/>
    <d v="1899-12-30T11:16:23"/>
    <d v="1899-12-30T11:18:29"/>
    <x v="0"/>
  </r>
  <r>
    <x v="1345"/>
    <d v="2017-07-24T00:00:00"/>
    <d v="1899-12-30T11:19:31"/>
    <d v="1899-12-30T11:20:33"/>
    <x v="0"/>
  </r>
  <r>
    <x v="1346"/>
    <d v="2017-07-24T00:00:00"/>
    <d v="1899-12-30T11:25:18"/>
    <d v="1899-12-30T11:25:45"/>
    <x v="0"/>
  </r>
  <r>
    <x v="1347"/>
    <d v="2017-07-24T00:00:00"/>
    <d v="1899-12-30T11:32:23"/>
    <d v="1899-12-30T11:47:33"/>
    <x v="0"/>
  </r>
  <r>
    <x v="442"/>
    <d v="2017-07-24T00:00:00"/>
    <d v="1899-12-30T11:36:22"/>
    <d v="1899-12-30T11:45:06"/>
    <x v="0"/>
  </r>
  <r>
    <x v="1348"/>
    <d v="2017-07-24T00:00:00"/>
    <d v="1899-12-30T11:40:47"/>
    <d v="1899-12-30T11:53:13"/>
    <x v="0"/>
  </r>
  <r>
    <x v="1349"/>
    <d v="2017-07-24T00:00:00"/>
    <d v="1899-12-30T11:42:18"/>
    <d v="1899-12-30T11:54:26"/>
    <x v="0"/>
  </r>
  <r>
    <x v="1350"/>
    <d v="2017-07-24T00:00:00"/>
    <d v="1899-12-30T11:43:15"/>
    <d v="1899-12-30T11:44:04"/>
    <x v="0"/>
  </r>
  <r>
    <x v="1351"/>
    <d v="2017-07-24T00:00:00"/>
    <d v="1899-12-30T11:46:30"/>
    <d v="1899-12-30T11:56:39"/>
    <x v="0"/>
  </r>
  <r>
    <x v="1352"/>
    <d v="2017-07-24T00:00:00"/>
    <d v="1899-12-30T11:48:54"/>
    <d v="1899-12-30T11:53:35"/>
    <x v="0"/>
  </r>
  <r>
    <x v="1353"/>
    <d v="2017-07-24T00:00:00"/>
    <d v="1899-12-30T11:49:33"/>
    <d v="1899-12-30T12:04:33"/>
    <x v="0"/>
  </r>
  <r>
    <x v="1354"/>
    <d v="2017-07-24T00:00:00"/>
    <d v="1899-12-30T11:51:36"/>
    <d v="1899-12-30T11:52:18"/>
    <x v="0"/>
  </r>
  <r>
    <x v="1355"/>
    <d v="2017-07-24T00:00:00"/>
    <d v="1899-12-30T11:54:43"/>
    <d v="1899-12-30T12:03:01"/>
    <x v="0"/>
  </r>
  <r>
    <x v="1356"/>
    <d v="2017-07-24T00:00:00"/>
    <d v="1899-12-30T11:57:57"/>
    <d v="1899-12-30T12:02:49"/>
    <x v="0"/>
  </r>
  <r>
    <x v="1357"/>
    <d v="2017-07-24T00:00:00"/>
    <d v="1899-12-30T12:04:25"/>
    <d v="1899-12-30T12:19:12"/>
    <x v="0"/>
  </r>
  <r>
    <x v="1358"/>
    <d v="2017-07-24T00:00:00"/>
    <d v="1899-12-30T12:08:24"/>
    <d v="1899-12-30T12:20:16"/>
    <x v="0"/>
  </r>
  <r>
    <x v="103"/>
    <d v="2017-07-24T00:00:00"/>
    <d v="1899-12-30T12:08:48"/>
    <d v="1899-12-30T12:19:30"/>
    <x v="0"/>
  </r>
  <r>
    <x v="1359"/>
    <d v="2017-07-24T00:00:00"/>
    <d v="1899-12-30T12:10:17"/>
    <d v="1899-12-30T12:17:45"/>
    <x v="0"/>
  </r>
  <r>
    <x v="1360"/>
    <d v="2017-07-24T00:00:00"/>
    <d v="1899-12-30T12:18:18"/>
    <d v="1899-12-30T12:34:40"/>
    <x v="0"/>
  </r>
  <r>
    <x v="1361"/>
    <d v="2017-07-24T00:00:00"/>
    <d v="1899-12-30T12:21:47"/>
    <d v="1899-12-30T12:28:09"/>
    <x v="0"/>
  </r>
  <r>
    <x v="1362"/>
    <d v="2017-07-24T00:00:00"/>
    <d v="1899-12-30T12:25:09"/>
    <d v="1899-12-30T12:38:41"/>
    <x v="0"/>
  </r>
  <r>
    <x v="1363"/>
    <d v="2017-07-24T00:00:00"/>
    <d v="1899-12-30T12:28:16"/>
    <d v="1899-12-30T12:43:38"/>
    <x v="0"/>
  </r>
  <r>
    <x v="842"/>
    <d v="2017-07-24T00:00:00"/>
    <d v="1899-12-30T12:36:18"/>
    <d v="1899-12-30T12:41:17"/>
    <x v="0"/>
  </r>
  <r>
    <x v="1364"/>
    <d v="2017-07-24T00:00:00"/>
    <d v="1899-12-30T12:41:04"/>
    <d v="1899-12-30T12:48:14"/>
    <x v="0"/>
  </r>
  <r>
    <x v="1365"/>
    <d v="2017-07-24T00:00:00"/>
    <d v="1899-12-30T12:49:01"/>
    <d v="1899-12-30T13:05:21"/>
    <x v="0"/>
  </r>
  <r>
    <x v="1366"/>
    <d v="2017-07-24T00:00:00"/>
    <d v="1899-12-30T12:56:52"/>
    <d v="1899-12-30T13:09:46"/>
    <x v="0"/>
  </r>
  <r>
    <x v="1367"/>
    <d v="2017-07-24T00:00:00"/>
    <d v="1899-12-30T12:58:28"/>
    <d v="1899-12-30T13:01:04"/>
    <x v="0"/>
  </r>
  <r>
    <x v="1368"/>
    <d v="2017-07-24T00:00:00"/>
    <d v="1899-12-30T13:03:31"/>
    <d v="1899-12-30T13:14:59"/>
    <x v="0"/>
  </r>
  <r>
    <x v="1369"/>
    <d v="2017-07-24T00:00:00"/>
    <d v="1899-12-30T13:04:29"/>
    <d v="1899-12-30T13:13:32"/>
    <x v="0"/>
  </r>
  <r>
    <x v="1370"/>
    <d v="2017-07-24T00:00:00"/>
    <d v="1899-12-30T13:08:17"/>
    <d v="1899-12-30T13:10:47"/>
    <x v="0"/>
  </r>
  <r>
    <x v="1371"/>
    <d v="2017-07-24T00:00:00"/>
    <d v="1899-12-30T13:08:44"/>
    <d v="1899-12-30T13:13:04"/>
    <x v="0"/>
  </r>
  <r>
    <x v="1372"/>
    <d v="2017-07-24T00:00:00"/>
    <d v="1899-12-30T13:14:13"/>
    <d v="1899-12-30T13:27:42"/>
    <x v="0"/>
  </r>
  <r>
    <x v="1373"/>
    <d v="2017-07-24T00:00:00"/>
    <d v="1899-12-30T13:19:05"/>
    <d v="1899-12-30T13:23:20"/>
    <x v="0"/>
  </r>
  <r>
    <x v="1374"/>
    <d v="2017-07-24T00:00:00"/>
    <d v="1899-12-30T13:26:49"/>
    <d v="1899-12-30T13:42:39"/>
    <x v="0"/>
  </r>
  <r>
    <x v="1375"/>
    <d v="2017-07-24T00:00:00"/>
    <d v="1899-12-30T13:29:14"/>
    <d v="1899-12-30T13:41:05"/>
    <x v="0"/>
  </r>
  <r>
    <x v="544"/>
    <d v="2017-07-24T00:00:00"/>
    <d v="1899-12-30T13:31:25"/>
    <d v="1899-12-30T13:37:24"/>
    <x v="0"/>
  </r>
  <r>
    <x v="1376"/>
    <d v="2017-07-24T00:00:00"/>
    <d v="1899-12-30T13:39:04"/>
    <d v="1899-12-30T13:39:51"/>
    <x v="0"/>
  </r>
  <r>
    <x v="1377"/>
    <d v="2017-07-24T00:00:00"/>
    <d v="1899-12-30T13:40:31"/>
    <d v="1899-12-30T13:52:42"/>
    <x v="0"/>
  </r>
  <r>
    <x v="1378"/>
    <d v="2017-07-24T00:00:00"/>
    <d v="1899-12-30T13:44:35"/>
    <d v="1899-12-30T13:52:59"/>
    <x v="0"/>
  </r>
  <r>
    <x v="1379"/>
    <d v="2017-07-24T00:00:00"/>
    <d v="1899-12-30T13:45:26"/>
    <d v="1899-12-30T13:47:27"/>
    <x v="0"/>
  </r>
  <r>
    <x v="741"/>
    <d v="2017-07-24T00:00:00"/>
    <d v="1899-12-30T13:45:27"/>
    <d v="1899-12-30T13:56:29"/>
    <x v="0"/>
  </r>
  <r>
    <x v="1380"/>
    <d v="2017-07-24T00:00:00"/>
    <d v="1899-12-30T13:49:11"/>
    <d v="1899-12-30T13:50:47"/>
    <x v="0"/>
  </r>
  <r>
    <x v="1381"/>
    <d v="2017-07-24T00:00:00"/>
    <d v="1899-12-30T13:50:19"/>
    <d v="1899-12-30T13:58:48"/>
    <x v="0"/>
  </r>
  <r>
    <x v="1382"/>
    <d v="2017-07-24T00:00:00"/>
    <d v="1899-12-30T13:53:03"/>
    <d v="1899-12-30T14:01:46"/>
    <x v="0"/>
  </r>
  <r>
    <x v="1383"/>
    <d v="2017-07-24T00:00:00"/>
    <d v="1899-12-30T13:59:35"/>
    <d v="1899-12-30T14:02:40"/>
    <x v="0"/>
  </r>
  <r>
    <x v="1384"/>
    <d v="2017-07-24T00:00:00"/>
    <d v="1899-12-30T14:04:36"/>
    <d v="1899-12-30T14:12:10"/>
    <x v="0"/>
  </r>
  <r>
    <x v="41"/>
    <d v="2017-07-24T00:00:00"/>
    <d v="1899-12-30T14:09:20"/>
    <d v="1899-12-30T14:10:08"/>
    <x v="0"/>
  </r>
  <r>
    <x v="1385"/>
    <d v="2017-07-24T00:00:00"/>
    <d v="1899-12-30T14:14:17"/>
    <d v="1899-12-30T14:22:05"/>
    <x v="0"/>
  </r>
  <r>
    <x v="1386"/>
    <d v="2017-07-24T00:00:00"/>
    <d v="1899-12-30T14:14:40"/>
    <d v="1899-12-30T14:26:21"/>
    <x v="0"/>
  </r>
  <r>
    <x v="1387"/>
    <d v="2017-07-24T00:00:00"/>
    <d v="1899-12-30T14:19:09"/>
    <d v="1899-12-30T14:29:11"/>
    <x v="0"/>
  </r>
  <r>
    <x v="1388"/>
    <d v="2017-07-24T00:00:00"/>
    <d v="1899-12-30T14:22:03"/>
    <d v="1899-12-30T14:32:09"/>
    <x v="0"/>
  </r>
  <r>
    <x v="1389"/>
    <d v="2017-07-24T00:00:00"/>
    <d v="1899-12-30T14:24:50"/>
    <d v="1899-12-30T14:39:28"/>
    <x v="0"/>
  </r>
  <r>
    <x v="1390"/>
    <d v="2017-07-24T00:00:00"/>
    <d v="1899-12-30T14:27:03"/>
    <d v="1899-12-30T14:28:04"/>
    <x v="0"/>
  </r>
  <r>
    <x v="1391"/>
    <d v="2017-07-24T00:00:00"/>
    <d v="1899-12-30T14:33:53"/>
    <d v="1899-12-30T14:40:36"/>
    <x v="0"/>
  </r>
  <r>
    <x v="1392"/>
    <d v="2017-07-24T00:00:00"/>
    <d v="1899-12-30T14:39:51"/>
    <d v="1899-12-30T14:53:50"/>
    <x v="0"/>
  </r>
  <r>
    <x v="1393"/>
    <d v="2017-07-24T00:00:00"/>
    <d v="1899-12-30T14:45:11"/>
    <d v="1899-12-30T14:56:09"/>
    <x v="0"/>
  </r>
  <r>
    <x v="1394"/>
    <d v="2017-07-24T00:00:00"/>
    <d v="1899-12-30T14:50:18"/>
    <d v="1899-12-30T14:54:07"/>
    <x v="0"/>
  </r>
  <r>
    <x v="1395"/>
    <d v="2017-07-24T00:00:00"/>
    <d v="1899-12-30T14:55:00"/>
    <d v="1899-12-30T15:01:03"/>
    <x v="0"/>
  </r>
  <r>
    <x v="1396"/>
    <d v="2017-07-24T00:00:00"/>
    <d v="1899-12-30T15:01:31"/>
    <d v="1899-12-30T15:16:38"/>
    <x v="0"/>
  </r>
  <r>
    <x v="1397"/>
    <d v="2017-07-25T00:00:00"/>
    <d v="1899-12-30T08:05:07"/>
    <d v="1899-12-30T08:16:07"/>
    <x v="0"/>
  </r>
  <r>
    <x v="1398"/>
    <d v="2017-07-25T00:00:00"/>
    <d v="1899-12-30T08:11:42"/>
    <d v="1899-12-30T08:18:54"/>
    <x v="0"/>
  </r>
  <r>
    <x v="1399"/>
    <d v="2017-07-25T00:00:00"/>
    <d v="1899-12-30T08:13:37"/>
    <d v="1899-12-30T08:14:56"/>
    <x v="0"/>
  </r>
  <r>
    <x v="1400"/>
    <d v="2017-07-25T00:00:00"/>
    <d v="1899-12-30T08:18:19"/>
    <d v="1899-12-30T08:34:43"/>
    <x v="0"/>
  </r>
  <r>
    <x v="575"/>
    <d v="2017-07-25T00:00:00"/>
    <d v="1899-12-30T08:23:51"/>
    <d v="1899-12-30T08:27:05"/>
    <x v="0"/>
  </r>
  <r>
    <x v="1401"/>
    <d v="2017-07-25T00:00:00"/>
    <d v="1899-12-30T08:27:51"/>
    <d v="1899-12-30T08:40:52"/>
    <x v="0"/>
  </r>
  <r>
    <x v="1402"/>
    <d v="2017-07-25T00:00:00"/>
    <d v="1899-12-30T08:28:50"/>
    <d v="1899-12-30T08:43:09"/>
    <x v="0"/>
  </r>
  <r>
    <x v="275"/>
    <d v="2017-07-25T00:00:00"/>
    <d v="1899-12-30T08:32:41"/>
    <d v="1899-12-30T08:37:22"/>
    <x v="0"/>
  </r>
  <r>
    <x v="1403"/>
    <d v="2017-07-25T00:00:00"/>
    <d v="1899-12-30T08:36:42"/>
    <d v="1899-12-30T08:43:52"/>
    <x v="0"/>
  </r>
  <r>
    <x v="1404"/>
    <d v="2017-07-25T00:00:00"/>
    <d v="1899-12-30T08:43:24"/>
    <d v="1899-12-30T08:59:59"/>
    <x v="0"/>
  </r>
  <r>
    <x v="1405"/>
    <d v="2017-07-25T00:00:00"/>
    <d v="1899-12-30T08:49:32"/>
    <d v="1899-12-30T08:54:30"/>
    <x v="0"/>
  </r>
  <r>
    <x v="1406"/>
    <d v="2017-07-25T00:00:00"/>
    <d v="1899-12-30T08:50:42"/>
    <d v="1899-12-30T08:53:51"/>
    <x v="0"/>
  </r>
  <r>
    <x v="1407"/>
    <d v="2017-07-25T00:00:00"/>
    <d v="1899-12-30T08:51:48"/>
    <d v="1899-12-30T09:01:40"/>
    <x v="0"/>
  </r>
  <r>
    <x v="1408"/>
    <d v="2017-07-25T00:00:00"/>
    <d v="1899-12-30T08:56:00"/>
    <d v="1899-12-30T09:05:31"/>
    <x v="0"/>
  </r>
  <r>
    <x v="1409"/>
    <d v="2017-07-25T00:00:00"/>
    <d v="1899-12-30T08:56:48"/>
    <d v="1899-12-30T09:04:12"/>
    <x v="0"/>
  </r>
  <r>
    <x v="1410"/>
    <d v="2017-07-25T00:00:00"/>
    <d v="1899-12-30T09:04:24"/>
    <d v="1899-12-30T09:18:18"/>
    <x v="0"/>
  </r>
  <r>
    <x v="1411"/>
    <d v="2017-07-25T00:00:00"/>
    <d v="1899-12-30T09:10:31"/>
    <d v="1899-12-30T09:25:50"/>
    <x v="0"/>
  </r>
  <r>
    <x v="1412"/>
    <d v="2017-07-25T00:00:00"/>
    <d v="1899-12-30T09:16:24"/>
    <d v="1899-12-30T09:21:22"/>
    <x v="0"/>
  </r>
  <r>
    <x v="1413"/>
    <d v="2017-07-25T00:00:00"/>
    <d v="1899-12-30T09:16:50"/>
    <d v="1899-12-30T09:23:35"/>
    <x v="0"/>
  </r>
  <r>
    <x v="1414"/>
    <d v="2017-07-25T00:00:00"/>
    <d v="1899-12-30T09:22:09"/>
    <d v="1899-12-30T09:33:05"/>
    <x v="0"/>
  </r>
  <r>
    <x v="1415"/>
    <d v="2017-07-25T00:00:00"/>
    <d v="1899-12-30T09:23:48"/>
    <d v="1899-12-30T09:29:39"/>
    <x v="0"/>
  </r>
  <r>
    <x v="1416"/>
    <d v="2017-07-25T00:00:00"/>
    <d v="1899-12-30T09:24:25"/>
    <d v="1899-12-30T09:27:23"/>
    <x v="0"/>
  </r>
  <r>
    <x v="1290"/>
    <d v="2017-07-25T00:00:00"/>
    <d v="1899-12-30T09:32:27"/>
    <d v="1899-12-30T09:42:07"/>
    <x v="0"/>
  </r>
  <r>
    <x v="1417"/>
    <d v="2017-07-25T00:00:00"/>
    <d v="1899-12-30T09:34:18"/>
    <d v="1899-12-30T09:39:31"/>
    <x v="0"/>
  </r>
  <r>
    <x v="1418"/>
    <d v="2017-07-25T00:00:00"/>
    <d v="1899-12-30T09:34:50"/>
    <d v="1899-12-30T09:49:27"/>
    <x v="0"/>
  </r>
  <r>
    <x v="1419"/>
    <d v="2017-07-25T00:00:00"/>
    <d v="1899-12-30T09:39:48"/>
    <d v="1899-12-30T09:45:10"/>
    <x v="0"/>
  </r>
  <r>
    <x v="1083"/>
    <d v="2017-07-25T00:00:00"/>
    <d v="1899-12-30T09:43:57"/>
    <d v="1899-12-30T09:51:54"/>
    <x v="0"/>
  </r>
  <r>
    <x v="1420"/>
    <d v="2017-07-25T00:00:00"/>
    <d v="1899-12-30T09:50:06"/>
    <d v="1899-12-30T09:54:02"/>
    <x v="0"/>
  </r>
  <r>
    <x v="1421"/>
    <d v="2017-07-25T00:00:00"/>
    <d v="1899-12-30T09:50:14"/>
    <d v="1899-12-30T09:52:40"/>
    <x v="0"/>
  </r>
  <r>
    <x v="1422"/>
    <d v="2017-07-25T00:00:00"/>
    <d v="1899-12-30T09:51:11"/>
    <d v="1899-12-30T09:59:20"/>
    <x v="0"/>
  </r>
  <r>
    <x v="429"/>
    <d v="2017-07-25T00:00:00"/>
    <d v="1899-12-30T09:56:52"/>
    <d v="1899-12-30T10:10:09"/>
    <x v="0"/>
  </r>
  <r>
    <x v="1423"/>
    <d v="2017-07-25T00:00:00"/>
    <d v="1899-12-30T10:04:55"/>
    <d v="1899-12-30T10:05:45"/>
    <x v="0"/>
  </r>
  <r>
    <x v="1424"/>
    <d v="2017-07-25T00:00:00"/>
    <d v="1899-12-30T10:07:31"/>
    <d v="1899-12-30T10:21:12"/>
    <x v="0"/>
  </r>
  <r>
    <x v="1425"/>
    <d v="2017-07-25T00:00:00"/>
    <d v="1899-12-30T10:15:03"/>
    <d v="1899-12-30T10:25:41"/>
    <x v="0"/>
  </r>
  <r>
    <x v="48"/>
    <d v="2017-07-25T00:00:00"/>
    <d v="1899-12-30T10:19:16"/>
    <d v="1899-12-30T10:31:31"/>
    <x v="0"/>
  </r>
  <r>
    <x v="797"/>
    <d v="2017-07-25T00:00:00"/>
    <d v="1899-12-30T10:25:38"/>
    <d v="1899-12-30T10:39:58"/>
    <x v="0"/>
  </r>
  <r>
    <x v="354"/>
    <d v="2017-07-25T00:00:00"/>
    <d v="1899-12-30T10:31:56"/>
    <d v="1899-12-30T10:40:17"/>
    <x v="0"/>
  </r>
  <r>
    <x v="1426"/>
    <d v="2017-07-25T00:00:00"/>
    <d v="1899-12-30T10:36:56"/>
    <d v="1899-12-30T10:50:40"/>
    <x v="0"/>
  </r>
  <r>
    <x v="1427"/>
    <d v="2017-07-25T00:00:00"/>
    <d v="1899-12-30T10:42:10"/>
    <d v="1899-12-30T10:49:26"/>
    <x v="0"/>
  </r>
  <r>
    <x v="1428"/>
    <d v="2017-07-25T00:00:00"/>
    <d v="1899-12-30T10:48:04"/>
    <d v="1899-12-30T10:56:11"/>
    <x v="0"/>
  </r>
  <r>
    <x v="1429"/>
    <d v="2017-07-25T00:00:00"/>
    <d v="1899-12-30T10:51:08"/>
    <d v="1899-12-30T10:57:51"/>
    <x v="0"/>
  </r>
  <r>
    <x v="1430"/>
    <d v="2017-07-25T00:00:00"/>
    <d v="1899-12-30T10:53:26"/>
    <d v="1899-12-30T10:53:54"/>
    <x v="0"/>
  </r>
  <r>
    <x v="1431"/>
    <d v="2017-07-25T00:00:00"/>
    <d v="1899-12-30T11:00:46"/>
    <d v="1899-12-30T11:11:29"/>
    <x v="0"/>
  </r>
  <r>
    <x v="1432"/>
    <d v="2017-07-25T00:00:00"/>
    <d v="1899-12-30T11:07:54"/>
    <d v="1899-12-30T11:24:18"/>
    <x v="0"/>
  </r>
  <r>
    <x v="1433"/>
    <d v="2017-07-25T00:00:00"/>
    <d v="1899-12-30T11:10:32"/>
    <d v="1899-12-30T11:17:13"/>
    <x v="0"/>
  </r>
  <r>
    <x v="1434"/>
    <d v="2017-07-25T00:00:00"/>
    <d v="1899-12-30T11:17:55"/>
    <d v="1899-12-30T11:24:33"/>
    <x v="0"/>
  </r>
  <r>
    <x v="1435"/>
    <d v="2017-07-25T00:00:00"/>
    <d v="1899-12-30T11:21:07"/>
    <d v="1899-12-30T11:24:46"/>
    <x v="0"/>
  </r>
  <r>
    <x v="1436"/>
    <d v="2017-07-25T00:00:00"/>
    <d v="1899-12-30T11:22:21"/>
    <d v="1899-12-30T11:24:05"/>
    <x v="0"/>
  </r>
  <r>
    <x v="1437"/>
    <d v="2017-07-25T00:00:00"/>
    <d v="1899-12-30T11:25:19"/>
    <d v="1899-12-30T11:27:23"/>
    <x v="0"/>
  </r>
  <r>
    <x v="1438"/>
    <d v="2017-07-25T00:00:00"/>
    <d v="1899-12-30T11:26:54"/>
    <d v="1899-12-30T11:41:04"/>
    <x v="0"/>
  </r>
  <r>
    <x v="1439"/>
    <d v="2017-07-25T00:00:00"/>
    <d v="1899-12-30T11:28:03"/>
    <d v="1899-12-30T11:37:20"/>
    <x v="0"/>
  </r>
  <r>
    <x v="1440"/>
    <d v="2017-07-25T00:00:00"/>
    <d v="1899-12-30T11:30:35"/>
    <d v="1899-12-30T11:34:52"/>
    <x v="0"/>
  </r>
  <r>
    <x v="1441"/>
    <d v="2017-07-25T00:00:00"/>
    <d v="1899-12-30T11:37:47"/>
    <d v="1899-12-30T11:43:28"/>
    <x v="0"/>
  </r>
  <r>
    <x v="1325"/>
    <d v="2017-07-25T00:00:00"/>
    <d v="1899-12-30T11:39:19"/>
    <d v="1899-12-30T11:55:30"/>
    <x v="0"/>
  </r>
  <r>
    <x v="949"/>
    <d v="2017-07-25T00:00:00"/>
    <d v="1899-12-30T11:40:04"/>
    <d v="1899-12-30T11:52:29"/>
    <x v="0"/>
  </r>
  <r>
    <x v="419"/>
    <d v="2017-07-25T00:00:00"/>
    <d v="1899-12-30T11:45:15"/>
    <d v="1899-12-30T11:53:14"/>
    <x v="0"/>
  </r>
  <r>
    <x v="1442"/>
    <d v="2017-07-25T00:00:00"/>
    <d v="1899-12-30T11:53:08"/>
    <d v="1899-12-30T11:59:28"/>
    <x v="0"/>
  </r>
  <r>
    <x v="1443"/>
    <d v="2017-07-25T00:00:00"/>
    <d v="1899-12-30T11:53:37"/>
    <d v="1899-12-30T11:58:57"/>
    <x v="0"/>
  </r>
  <r>
    <x v="1444"/>
    <d v="2017-07-25T00:00:00"/>
    <d v="1899-12-30T11:56:15"/>
    <d v="1899-12-30T11:56:56"/>
    <x v="0"/>
  </r>
  <r>
    <x v="1445"/>
    <d v="2017-07-25T00:00:00"/>
    <d v="1899-12-30T11:57:04"/>
    <d v="1899-12-30T12:07:38"/>
    <x v="0"/>
  </r>
  <r>
    <x v="1446"/>
    <d v="2017-07-25T00:00:00"/>
    <d v="1899-12-30T12:00:24"/>
    <d v="1899-12-30T12:14:10"/>
    <x v="0"/>
  </r>
  <r>
    <x v="1447"/>
    <d v="2017-07-25T00:00:00"/>
    <d v="1899-12-30T12:06:17"/>
    <d v="1899-12-30T12:19:17"/>
    <x v="0"/>
  </r>
  <r>
    <x v="1448"/>
    <d v="2017-07-25T00:00:00"/>
    <d v="1899-12-30T12:07:51"/>
    <d v="1899-12-30T12:10:58"/>
    <x v="0"/>
  </r>
  <r>
    <x v="1449"/>
    <d v="2017-07-25T00:00:00"/>
    <d v="1899-12-30T12:14:46"/>
    <d v="1899-12-30T12:30:44"/>
    <x v="0"/>
  </r>
  <r>
    <x v="1450"/>
    <d v="2017-07-25T00:00:00"/>
    <d v="1899-12-30T12:19:47"/>
    <d v="1899-12-30T12:33:11"/>
    <x v="0"/>
  </r>
  <r>
    <x v="1451"/>
    <d v="2017-07-25T00:00:00"/>
    <d v="1899-12-30T12:20:51"/>
    <d v="1899-12-30T12:25:56"/>
    <x v="0"/>
  </r>
  <r>
    <x v="58"/>
    <d v="2017-07-25T00:00:00"/>
    <d v="1899-12-30T12:26:36"/>
    <d v="1899-12-30T12:38:33"/>
    <x v="0"/>
  </r>
  <r>
    <x v="1452"/>
    <d v="2017-07-25T00:00:00"/>
    <d v="1899-12-30T12:31:02"/>
    <d v="1899-12-30T12:38:25"/>
    <x v="0"/>
  </r>
  <r>
    <x v="1453"/>
    <d v="2017-07-25T00:00:00"/>
    <d v="1899-12-30T12:32:09"/>
    <d v="1899-12-30T12:38:24"/>
    <x v="0"/>
  </r>
  <r>
    <x v="64"/>
    <d v="2017-07-25T00:00:00"/>
    <d v="1899-12-30T12:34:28"/>
    <d v="1899-12-30T12:50:06"/>
    <x v="0"/>
  </r>
  <r>
    <x v="1454"/>
    <d v="2017-07-25T00:00:00"/>
    <d v="1899-12-30T12:37:13"/>
    <d v="1899-12-30T12:52:43"/>
    <x v="0"/>
  </r>
  <r>
    <x v="1455"/>
    <d v="2017-07-25T00:00:00"/>
    <d v="1899-12-30T12:38:14"/>
    <d v="1899-12-30T12:38:56"/>
    <x v="0"/>
  </r>
  <r>
    <x v="1456"/>
    <d v="2017-07-25T00:00:00"/>
    <d v="1899-12-30T12:45:45"/>
    <d v="1899-12-30T12:53:38"/>
    <x v="0"/>
  </r>
  <r>
    <x v="644"/>
    <d v="2017-07-25T00:00:00"/>
    <d v="1899-12-30T12:49:46"/>
    <d v="1899-12-30T12:53:33"/>
    <x v="0"/>
  </r>
  <r>
    <x v="1457"/>
    <d v="2017-07-25T00:00:00"/>
    <d v="1899-12-30T12:50:55"/>
    <d v="1899-12-30T13:00:46"/>
    <x v="0"/>
  </r>
  <r>
    <x v="1458"/>
    <d v="2017-07-25T00:00:00"/>
    <d v="1899-12-30T12:57:05"/>
    <d v="1899-12-30T12:59:04"/>
    <x v="0"/>
  </r>
  <r>
    <x v="1440"/>
    <d v="2017-07-25T00:00:00"/>
    <d v="1899-12-30T13:02:16"/>
    <d v="1899-12-30T13:11:22"/>
    <x v="0"/>
  </r>
  <r>
    <x v="1459"/>
    <d v="2017-07-25T00:00:00"/>
    <d v="1899-12-30T13:02:39"/>
    <d v="1899-12-30T13:08:39"/>
    <x v="0"/>
  </r>
  <r>
    <x v="1460"/>
    <d v="2017-07-25T00:00:00"/>
    <d v="1899-12-30T13:09:58"/>
    <d v="1899-12-30T13:13:07"/>
    <x v="0"/>
  </r>
  <r>
    <x v="1440"/>
    <d v="2017-07-25T00:00:00"/>
    <d v="1899-12-30T13:14:49"/>
    <d v="1899-12-30T13:21:00"/>
    <x v="0"/>
  </r>
  <r>
    <x v="23"/>
    <d v="2017-07-25T00:00:00"/>
    <d v="1899-12-30T13:16:37"/>
    <d v="1899-12-30T13:20:12"/>
    <x v="0"/>
  </r>
  <r>
    <x v="1461"/>
    <d v="2017-07-25T00:00:00"/>
    <d v="1899-12-30T13:19:27"/>
    <d v="1899-12-30T13:26:36"/>
    <x v="0"/>
  </r>
  <r>
    <x v="1462"/>
    <d v="2017-07-25T00:00:00"/>
    <d v="1899-12-30T13:26:53"/>
    <d v="1899-12-30T13:34:37"/>
    <x v="0"/>
  </r>
  <r>
    <x v="1463"/>
    <d v="2017-07-25T00:00:00"/>
    <d v="1899-12-30T13:33:01"/>
    <d v="1899-12-30T13:35:36"/>
    <x v="0"/>
  </r>
  <r>
    <x v="504"/>
    <d v="2017-07-25T00:00:00"/>
    <d v="1899-12-30T13:35:20"/>
    <d v="1899-12-30T13:44:04"/>
    <x v="0"/>
  </r>
  <r>
    <x v="1464"/>
    <d v="2017-07-25T00:00:00"/>
    <d v="1899-12-30T13:35:40"/>
    <d v="1899-12-30T13:38:58"/>
    <x v="0"/>
  </r>
  <r>
    <x v="1465"/>
    <d v="2017-07-25T00:00:00"/>
    <d v="1899-12-30T13:40:13"/>
    <d v="1899-12-30T13:54:09"/>
    <x v="0"/>
  </r>
  <r>
    <x v="1466"/>
    <d v="2017-07-25T00:00:00"/>
    <d v="1899-12-30T13:40:26"/>
    <d v="1899-12-30T13:41:01"/>
    <x v="0"/>
  </r>
  <r>
    <x v="1467"/>
    <d v="2017-07-25T00:00:00"/>
    <d v="1899-12-30T13:44:54"/>
    <d v="1899-12-30T13:57:21"/>
    <x v="0"/>
  </r>
  <r>
    <x v="1468"/>
    <d v="2017-07-25T00:00:00"/>
    <d v="1899-12-30T13:45:38"/>
    <d v="1899-12-30T13:45:51"/>
    <x v="0"/>
  </r>
  <r>
    <x v="1469"/>
    <d v="2017-07-25T00:00:00"/>
    <d v="1899-12-30T13:53:14"/>
    <d v="1899-12-30T13:55:38"/>
    <x v="0"/>
  </r>
  <r>
    <x v="539"/>
    <d v="2017-07-25T00:00:00"/>
    <d v="1899-12-30T13:54:50"/>
    <d v="1899-12-30T14:10:48"/>
    <x v="0"/>
  </r>
  <r>
    <x v="1470"/>
    <d v="2017-07-25T00:00:00"/>
    <d v="1899-12-30T14:01:18"/>
    <d v="1899-12-30T14:15:15"/>
    <x v="0"/>
  </r>
  <r>
    <x v="1471"/>
    <d v="2017-07-25T00:00:00"/>
    <d v="1899-12-30T14:06:30"/>
    <d v="1899-12-30T14:22:29"/>
    <x v="0"/>
  </r>
  <r>
    <x v="1472"/>
    <d v="2017-07-25T00:00:00"/>
    <d v="1899-12-30T14:08:09"/>
    <d v="1899-12-30T14:11:17"/>
    <x v="0"/>
  </r>
  <r>
    <x v="1473"/>
    <d v="2017-07-25T00:00:00"/>
    <d v="1899-12-30T14:14:39"/>
    <d v="1899-12-30T14:21:17"/>
    <x v="0"/>
  </r>
  <r>
    <x v="1474"/>
    <d v="2017-07-25T00:00:00"/>
    <d v="1899-12-30T14:18:23"/>
    <d v="1899-12-30T14:25:00"/>
    <x v="0"/>
  </r>
  <r>
    <x v="1475"/>
    <d v="2017-07-25T00:00:00"/>
    <d v="1899-12-30T14:23:18"/>
    <d v="1899-12-30T14:28:39"/>
    <x v="0"/>
  </r>
  <r>
    <x v="1476"/>
    <d v="2017-07-25T00:00:00"/>
    <d v="1899-12-30T14:28:55"/>
    <d v="1899-12-30T14:30:06"/>
    <x v="0"/>
  </r>
  <r>
    <x v="649"/>
    <d v="2017-07-25T00:00:00"/>
    <d v="1899-12-30T14:30:22"/>
    <d v="1899-12-30T14:42:14"/>
    <x v="0"/>
  </r>
  <r>
    <x v="1477"/>
    <d v="2017-07-25T00:00:00"/>
    <d v="1899-12-30T14:32:40"/>
    <d v="1899-12-30T14:35:16"/>
    <x v="0"/>
  </r>
  <r>
    <x v="1478"/>
    <d v="2017-07-25T00:00:00"/>
    <d v="1899-12-30T14:36:40"/>
    <d v="1899-12-30T14:39:56"/>
    <x v="0"/>
  </r>
  <r>
    <x v="1479"/>
    <d v="2017-07-25T00:00:00"/>
    <d v="1899-12-30T14:41:19"/>
    <d v="1899-12-30T14:54:45"/>
    <x v="0"/>
  </r>
  <r>
    <x v="1480"/>
    <d v="2017-07-25T00:00:00"/>
    <d v="1899-12-30T14:45:02"/>
    <d v="1899-12-30T14:54:29"/>
    <x v="0"/>
  </r>
  <r>
    <x v="823"/>
    <d v="2017-07-25T00:00:00"/>
    <d v="1899-12-30T14:51:18"/>
    <d v="1899-12-30T14:52:23"/>
    <x v="0"/>
  </r>
  <r>
    <x v="561"/>
    <d v="2017-07-25T00:00:00"/>
    <d v="1899-12-30T14:52:23"/>
    <d v="1899-12-30T14:57:37"/>
    <x v="0"/>
  </r>
  <r>
    <x v="1481"/>
    <d v="2017-07-25T00:00:00"/>
    <d v="1899-12-30T14:52:55"/>
    <d v="1899-12-30T15:03:59"/>
    <x v="0"/>
  </r>
  <r>
    <x v="1482"/>
    <d v="2017-07-25T00:00:00"/>
    <d v="1899-12-30T14:54:57"/>
    <d v="1899-12-30T14:59:20"/>
    <x v="0"/>
  </r>
  <r>
    <x v="1301"/>
    <d v="2017-07-25T00:00:00"/>
    <d v="1899-12-30T14:59:36"/>
    <d v="1899-12-30T15:15:51"/>
    <x v="0"/>
  </r>
  <r>
    <x v="1483"/>
    <d v="2017-07-25T00:00:00"/>
    <d v="1899-12-30T15:06:08"/>
    <d v="1899-12-30T15:18:49"/>
    <x v="0"/>
  </r>
  <r>
    <x v="1484"/>
    <d v="2017-07-26T00:00:00"/>
    <d v="1899-12-30T08:03:37"/>
    <d v="1899-12-30T08:04:57"/>
    <x v="0"/>
  </r>
  <r>
    <x v="1485"/>
    <d v="2017-07-26T00:00:00"/>
    <d v="1899-12-30T08:05:26"/>
    <d v="1899-12-30T08:20:32"/>
    <x v="0"/>
  </r>
  <r>
    <x v="1486"/>
    <d v="2017-07-26T00:00:00"/>
    <d v="1899-12-30T08:13:12"/>
    <d v="1899-12-30T08:24:03"/>
    <x v="0"/>
  </r>
  <r>
    <x v="1487"/>
    <d v="2017-07-26T00:00:00"/>
    <d v="1899-12-30T08:17:53"/>
    <d v="1899-12-30T08:33:18"/>
    <x v="0"/>
  </r>
  <r>
    <x v="1488"/>
    <d v="2017-07-26T00:00:00"/>
    <d v="1899-12-30T08:20:32"/>
    <d v="1899-12-30T08:31:22"/>
    <x v="0"/>
  </r>
  <r>
    <x v="1489"/>
    <d v="2017-07-26T00:00:00"/>
    <d v="1899-12-30T08:23:55"/>
    <d v="1899-12-30T08:35:15"/>
    <x v="0"/>
  </r>
  <r>
    <x v="1490"/>
    <d v="2017-07-26T00:00:00"/>
    <d v="1899-12-30T08:30:33"/>
    <d v="1899-12-30T08:42:38"/>
    <x v="0"/>
  </r>
  <r>
    <x v="785"/>
    <d v="2017-07-26T00:00:00"/>
    <d v="1899-12-30T08:37:04"/>
    <d v="1899-12-30T08:47:03"/>
    <x v="0"/>
  </r>
  <r>
    <x v="1491"/>
    <d v="2017-07-26T00:00:00"/>
    <d v="1899-12-30T08:45:16"/>
    <d v="1899-12-30T09:00:05"/>
    <x v="0"/>
  </r>
  <r>
    <x v="1492"/>
    <d v="2017-07-26T00:00:00"/>
    <d v="1899-12-30T08:52:28"/>
    <d v="1899-12-30T09:02:15"/>
    <x v="0"/>
  </r>
  <r>
    <x v="1493"/>
    <d v="2017-07-26T00:00:00"/>
    <d v="1899-12-30T08:57:12"/>
    <d v="1899-12-30T09:08:30"/>
    <x v="0"/>
  </r>
  <r>
    <x v="1494"/>
    <d v="2017-07-26T00:00:00"/>
    <d v="1899-12-30T09:04:57"/>
    <d v="1899-12-30T09:19:52"/>
    <x v="0"/>
  </r>
  <r>
    <x v="1495"/>
    <d v="2017-07-26T00:00:00"/>
    <d v="1899-12-30T09:05:42"/>
    <d v="1899-12-30T09:11:00"/>
    <x v="0"/>
  </r>
  <r>
    <x v="1496"/>
    <d v="2017-07-26T00:00:00"/>
    <d v="1899-12-30T09:06:42"/>
    <d v="1899-12-30T09:22:35"/>
    <x v="0"/>
  </r>
  <r>
    <x v="1497"/>
    <d v="2017-07-26T00:00:00"/>
    <d v="1899-12-30T09:07:24"/>
    <d v="1899-12-30T09:15:18"/>
    <x v="0"/>
  </r>
  <r>
    <x v="1498"/>
    <d v="2017-07-26T00:00:00"/>
    <d v="1899-12-30T09:10:03"/>
    <d v="1899-12-30T09:11:21"/>
    <x v="0"/>
  </r>
  <r>
    <x v="1499"/>
    <d v="2017-07-26T00:00:00"/>
    <d v="1899-12-30T09:11:39"/>
    <d v="1899-12-30T09:13:20"/>
    <x v="0"/>
  </r>
  <r>
    <x v="1500"/>
    <d v="2017-07-26T00:00:00"/>
    <d v="1899-12-30T09:12:04"/>
    <d v="1899-12-30T09:17:59"/>
    <x v="0"/>
  </r>
  <r>
    <x v="1501"/>
    <d v="2017-07-26T00:00:00"/>
    <d v="1899-12-30T09:15:52"/>
    <d v="1899-12-30T09:25:41"/>
    <x v="0"/>
  </r>
  <r>
    <x v="1502"/>
    <d v="2017-07-26T00:00:00"/>
    <d v="1899-12-30T09:19:45"/>
    <d v="1899-12-30T09:21:21"/>
    <x v="0"/>
  </r>
  <r>
    <x v="1503"/>
    <d v="2017-07-26T00:00:00"/>
    <d v="1899-12-30T09:20:58"/>
    <d v="1899-12-30T09:29:30"/>
    <x v="0"/>
  </r>
  <r>
    <x v="1504"/>
    <d v="2017-07-26T00:00:00"/>
    <d v="1899-12-30T09:29:17"/>
    <d v="1899-12-30T09:30:14"/>
    <x v="0"/>
  </r>
  <r>
    <x v="1505"/>
    <d v="2017-07-26T00:00:00"/>
    <d v="1899-12-30T09:36:15"/>
    <d v="1899-12-30T09:41:51"/>
    <x v="0"/>
  </r>
  <r>
    <x v="1506"/>
    <d v="2017-07-26T00:00:00"/>
    <d v="1899-12-30T09:37:53"/>
    <d v="1899-12-30T09:45:29"/>
    <x v="0"/>
  </r>
  <r>
    <x v="1507"/>
    <d v="2017-07-26T00:00:00"/>
    <d v="1899-12-30T09:41:59"/>
    <d v="1899-12-30T09:42:23"/>
    <x v="0"/>
  </r>
  <r>
    <x v="1508"/>
    <d v="2017-07-26T00:00:00"/>
    <d v="1899-12-30T09:47:07"/>
    <d v="1899-12-30T09:54:35"/>
    <x v="0"/>
  </r>
  <r>
    <x v="1509"/>
    <d v="2017-07-26T00:00:00"/>
    <d v="1899-12-30T09:54:17"/>
    <d v="1899-12-30T10:05:28"/>
    <x v="0"/>
  </r>
  <r>
    <x v="1510"/>
    <d v="2017-07-26T00:00:00"/>
    <d v="1899-12-30T09:56:01"/>
    <d v="1899-12-30T10:05:02"/>
    <x v="0"/>
  </r>
  <r>
    <x v="588"/>
    <d v="2017-07-26T00:00:00"/>
    <d v="1899-12-30T09:56:21"/>
    <d v="1899-12-30T10:00:15"/>
    <x v="0"/>
  </r>
  <r>
    <x v="1511"/>
    <d v="2017-07-26T00:00:00"/>
    <d v="1899-12-30T10:03:52"/>
    <d v="1899-12-30T10:06:43"/>
    <x v="0"/>
  </r>
  <r>
    <x v="1512"/>
    <d v="2017-07-26T00:00:00"/>
    <d v="1899-12-30T10:08:06"/>
    <d v="1899-12-30T10:08:43"/>
    <x v="0"/>
  </r>
  <r>
    <x v="1513"/>
    <d v="2017-07-26T00:00:00"/>
    <d v="1899-12-30T10:10:05"/>
    <d v="1899-12-30T10:16:13"/>
    <x v="0"/>
  </r>
  <r>
    <x v="1514"/>
    <d v="2017-07-26T00:00:00"/>
    <d v="1899-12-30T10:17:56"/>
    <d v="1899-12-30T10:30:03"/>
    <x v="0"/>
  </r>
  <r>
    <x v="1515"/>
    <d v="2017-07-26T00:00:00"/>
    <d v="1899-12-30T10:23:35"/>
    <d v="1899-12-30T10:30:10"/>
    <x v="0"/>
  </r>
  <r>
    <x v="1516"/>
    <d v="2017-07-26T00:00:00"/>
    <d v="1899-12-30T10:30:57"/>
    <d v="1899-12-30T10:41:51"/>
    <x v="0"/>
  </r>
  <r>
    <x v="1517"/>
    <d v="2017-07-26T00:00:00"/>
    <d v="1899-12-30T10:32:07"/>
    <d v="1899-12-30T10:46:02"/>
    <x v="0"/>
  </r>
  <r>
    <x v="1518"/>
    <d v="2017-07-26T00:00:00"/>
    <d v="1899-12-30T10:37:25"/>
    <d v="1899-12-30T10:52:52"/>
    <x v="0"/>
  </r>
  <r>
    <x v="1519"/>
    <d v="2017-07-26T00:00:00"/>
    <d v="1899-12-30T10:37:46"/>
    <d v="1899-12-30T10:38:51"/>
    <x v="0"/>
  </r>
  <r>
    <x v="1520"/>
    <d v="2017-07-26T00:00:00"/>
    <d v="1899-12-30T10:37:54"/>
    <d v="1899-12-30T10:48:20"/>
    <x v="0"/>
  </r>
  <r>
    <x v="1521"/>
    <d v="2017-07-26T00:00:00"/>
    <d v="1899-12-30T10:37:56"/>
    <d v="1899-12-30T10:49:59"/>
    <x v="0"/>
  </r>
  <r>
    <x v="1522"/>
    <d v="2017-07-26T00:00:00"/>
    <d v="1899-12-30T10:43:50"/>
    <d v="1899-12-30T10:57:29"/>
    <x v="0"/>
  </r>
  <r>
    <x v="1523"/>
    <d v="2017-07-26T00:00:00"/>
    <d v="1899-12-30T10:45:21"/>
    <d v="1899-12-30T10:54:16"/>
    <x v="0"/>
  </r>
  <r>
    <x v="347"/>
    <d v="2017-07-26T00:00:00"/>
    <d v="1899-12-30T10:47:36"/>
    <d v="1899-12-30T10:56:03"/>
    <x v="0"/>
  </r>
  <r>
    <x v="1524"/>
    <d v="2017-07-26T00:00:00"/>
    <d v="1899-12-30T10:48:19"/>
    <d v="1899-12-30T11:03:33"/>
    <x v="0"/>
  </r>
  <r>
    <x v="1525"/>
    <d v="2017-07-26T00:00:00"/>
    <d v="1899-12-30T10:48:27"/>
    <d v="1899-12-30T11:02:39"/>
    <x v="0"/>
  </r>
  <r>
    <x v="1526"/>
    <d v="2017-07-26T00:00:00"/>
    <d v="1899-12-30T10:52:48"/>
    <d v="1899-12-30T10:54:23"/>
    <x v="0"/>
  </r>
  <r>
    <x v="1527"/>
    <d v="2017-07-26T00:00:00"/>
    <d v="1899-12-30T10:55:39"/>
    <d v="1899-12-30T10:58:20"/>
    <x v="0"/>
  </r>
  <r>
    <x v="1528"/>
    <d v="2017-07-26T00:00:00"/>
    <d v="1899-12-30T10:55:59"/>
    <d v="1899-12-30T11:01:09"/>
    <x v="0"/>
  </r>
  <r>
    <x v="1529"/>
    <d v="2017-07-26T00:00:00"/>
    <d v="1899-12-30T10:58:28"/>
    <d v="1899-12-30T11:13:13"/>
    <x v="0"/>
  </r>
  <r>
    <x v="839"/>
    <d v="2017-07-26T00:00:00"/>
    <d v="1899-12-30T11:06:41"/>
    <d v="1899-12-30T11:18:40"/>
    <x v="0"/>
  </r>
  <r>
    <x v="1530"/>
    <d v="2017-07-26T00:00:00"/>
    <d v="1899-12-30T11:08:37"/>
    <d v="1899-12-30T11:17:40"/>
    <x v="0"/>
  </r>
  <r>
    <x v="1531"/>
    <d v="2017-07-26T00:00:00"/>
    <d v="1899-12-30T11:12:32"/>
    <d v="1899-12-30T11:20:35"/>
    <x v="0"/>
  </r>
  <r>
    <x v="1532"/>
    <d v="2017-07-26T00:00:00"/>
    <d v="1899-12-30T11:12:32"/>
    <d v="1899-12-30T11:24:59"/>
    <x v="0"/>
  </r>
  <r>
    <x v="1533"/>
    <d v="2017-07-26T00:00:00"/>
    <d v="1899-12-30T11:20:38"/>
    <d v="1899-12-30T11:35:29"/>
    <x v="0"/>
  </r>
  <r>
    <x v="1534"/>
    <d v="2017-07-26T00:00:00"/>
    <d v="1899-12-30T11:24:13"/>
    <d v="1899-12-30T11:24:45"/>
    <x v="0"/>
  </r>
  <r>
    <x v="1535"/>
    <d v="2017-07-26T00:00:00"/>
    <d v="1899-12-30T11:32:23"/>
    <d v="1899-12-30T11:39:38"/>
    <x v="0"/>
  </r>
  <r>
    <x v="1536"/>
    <d v="2017-07-26T00:00:00"/>
    <d v="1899-12-30T11:38:54"/>
    <d v="1899-12-30T11:42:56"/>
    <x v="0"/>
  </r>
  <r>
    <x v="1537"/>
    <d v="2017-07-26T00:00:00"/>
    <d v="1899-12-30T11:41:17"/>
    <d v="1899-12-30T11:50:00"/>
    <x v="0"/>
  </r>
  <r>
    <x v="1538"/>
    <d v="2017-07-26T00:00:00"/>
    <d v="1899-12-30T11:43:26"/>
    <d v="1899-12-30T11:55:11"/>
    <x v="0"/>
  </r>
  <r>
    <x v="1539"/>
    <d v="2017-07-26T00:00:00"/>
    <d v="1899-12-30T11:45:54"/>
    <d v="1899-12-30T11:59:02"/>
    <x v="0"/>
  </r>
  <r>
    <x v="1540"/>
    <d v="2017-07-26T00:00:00"/>
    <d v="1899-12-30T11:47:33"/>
    <d v="1899-12-30T11:52:24"/>
    <x v="0"/>
  </r>
  <r>
    <x v="1541"/>
    <d v="2017-07-26T00:00:00"/>
    <d v="1899-12-30T11:51:37"/>
    <d v="1899-12-30T12:04:30"/>
    <x v="0"/>
  </r>
  <r>
    <x v="1542"/>
    <d v="2017-07-26T00:00:00"/>
    <d v="1899-12-30T11:53:24"/>
    <d v="1899-12-30T11:59:15"/>
    <x v="0"/>
  </r>
  <r>
    <x v="1543"/>
    <d v="2017-07-26T00:00:00"/>
    <d v="1899-12-30T11:59:19"/>
    <d v="1899-12-30T12:02:59"/>
    <x v="0"/>
  </r>
  <r>
    <x v="1544"/>
    <d v="2017-07-26T00:00:00"/>
    <d v="1899-12-30T12:06:39"/>
    <d v="1899-12-30T12:07:05"/>
    <x v="0"/>
  </r>
  <r>
    <x v="1545"/>
    <d v="2017-07-26T00:00:00"/>
    <d v="1899-12-30T12:09:40"/>
    <d v="1899-12-30T12:17:46"/>
    <x v="0"/>
  </r>
  <r>
    <x v="1546"/>
    <d v="2017-07-26T00:00:00"/>
    <d v="1899-12-30T12:12:37"/>
    <d v="1899-12-30T12:21:12"/>
    <x v="0"/>
  </r>
  <r>
    <x v="1547"/>
    <d v="2017-07-26T00:00:00"/>
    <d v="1899-12-30T12:16:25"/>
    <d v="1899-12-30T12:26:52"/>
    <x v="0"/>
  </r>
  <r>
    <x v="1548"/>
    <d v="2017-07-26T00:00:00"/>
    <d v="1899-12-30T12:22:16"/>
    <d v="1899-12-30T12:35:44"/>
    <x v="0"/>
  </r>
  <r>
    <x v="1549"/>
    <d v="2017-07-26T00:00:00"/>
    <d v="1899-12-30T12:24:40"/>
    <d v="1899-12-30T12:31:21"/>
    <x v="0"/>
  </r>
  <r>
    <x v="1550"/>
    <d v="2017-07-26T00:00:00"/>
    <d v="1899-12-30T12:31:18"/>
    <d v="1899-12-30T12:43:11"/>
    <x v="0"/>
  </r>
  <r>
    <x v="1551"/>
    <d v="2017-07-26T00:00:00"/>
    <d v="1899-12-30T12:32:37"/>
    <d v="1899-12-30T12:44:31"/>
    <x v="0"/>
  </r>
  <r>
    <x v="1552"/>
    <d v="2017-07-26T00:00:00"/>
    <d v="1899-12-30T12:40:11"/>
    <d v="1899-12-30T12:51:34"/>
    <x v="0"/>
  </r>
  <r>
    <x v="1553"/>
    <d v="2017-07-26T00:00:00"/>
    <d v="1899-12-30T12:42:18"/>
    <d v="1899-12-30T12:51:59"/>
    <x v="0"/>
  </r>
  <r>
    <x v="1314"/>
    <d v="2017-07-26T00:00:00"/>
    <d v="1899-12-30T12:47:16"/>
    <d v="1899-12-30T12:50:25"/>
    <x v="0"/>
  </r>
  <r>
    <x v="954"/>
    <d v="2017-07-26T00:00:00"/>
    <d v="1899-12-30T12:48:10"/>
    <d v="1899-12-30T13:03:10"/>
    <x v="0"/>
  </r>
  <r>
    <x v="1554"/>
    <d v="2017-07-26T00:00:00"/>
    <d v="1899-12-30T12:49:32"/>
    <d v="1899-12-30T12:54:55"/>
    <x v="0"/>
  </r>
  <r>
    <x v="1555"/>
    <d v="2017-07-26T00:00:00"/>
    <d v="1899-12-30T12:51:52"/>
    <d v="1899-12-30T13:03:17"/>
    <x v="0"/>
  </r>
  <r>
    <x v="870"/>
    <d v="2017-07-26T00:00:00"/>
    <d v="1899-12-30T12:52:48"/>
    <d v="1899-12-30T12:53:25"/>
    <x v="0"/>
  </r>
  <r>
    <x v="1556"/>
    <d v="2017-07-26T00:00:00"/>
    <d v="1899-12-30T12:57:51"/>
    <d v="1899-12-30T13:10:47"/>
    <x v="0"/>
  </r>
  <r>
    <x v="1557"/>
    <d v="2017-07-26T00:00:00"/>
    <d v="1899-12-30T12:58:36"/>
    <d v="1899-12-30T13:13:29"/>
    <x v="0"/>
  </r>
  <r>
    <x v="1558"/>
    <d v="2017-07-26T00:00:00"/>
    <d v="1899-12-30T13:06:09"/>
    <d v="1899-12-30T13:20:58"/>
    <x v="0"/>
  </r>
  <r>
    <x v="1559"/>
    <d v="2017-07-26T00:00:00"/>
    <d v="1899-12-30T13:12:46"/>
    <d v="1899-12-30T13:21:41"/>
    <x v="0"/>
  </r>
  <r>
    <x v="1560"/>
    <d v="2017-07-26T00:00:00"/>
    <d v="1899-12-30T13:18:40"/>
    <d v="1899-12-30T13:27:52"/>
    <x v="0"/>
  </r>
  <r>
    <x v="1561"/>
    <d v="2017-07-26T00:00:00"/>
    <d v="1899-12-30T13:20:42"/>
    <d v="1899-12-30T13:31:54"/>
    <x v="0"/>
  </r>
  <r>
    <x v="16"/>
    <d v="2017-07-26T00:00:00"/>
    <d v="1899-12-30T13:27:49"/>
    <d v="1899-12-30T13:37:15"/>
    <x v="0"/>
  </r>
  <r>
    <x v="1562"/>
    <d v="2017-07-26T00:00:00"/>
    <d v="1899-12-30T13:29:45"/>
    <d v="1899-12-30T13:34:58"/>
    <x v="0"/>
  </r>
  <r>
    <x v="1563"/>
    <d v="2017-07-26T00:00:00"/>
    <d v="1899-12-30T13:30:29"/>
    <d v="1899-12-30T13:32:33"/>
    <x v="0"/>
  </r>
  <r>
    <x v="1564"/>
    <d v="2017-07-26T00:00:00"/>
    <d v="1899-12-30T13:33:20"/>
    <d v="1899-12-30T13:48:57"/>
    <x v="0"/>
  </r>
  <r>
    <x v="1565"/>
    <d v="2017-07-26T00:00:00"/>
    <d v="1899-12-30T13:38:00"/>
    <d v="1899-12-30T13:39:54"/>
    <x v="0"/>
  </r>
  <r>
    <x v="1566"/>
    <d v="2017-07-26T00:00:00"/>
    <d v="1899-12-30T13:40:01"/>
    <d v="1899-12-30T13:51:45"/>
    <x v="0"/>
  </r>
  <r>
    <x v="1567"/>
    <d v="2017-07-26T00:00:00"/>
    <d v="1899-12-30T13:44:36"/>
    <d v="1899-12-30T13:45:15"/>
    <x v="0"/>
  </r>
  <r>
    <x v="1568"/>
    <d v="2017-07-26T00:00:00"/>
    <d v="1899-12-30T13:50:20"/>
    <d v="1899-12-30T13:58:09"/>
    <x v="0"/>
  </r>
  <r>
    <x v="1569"/>
    <d v="2017-07-26T00:00:00"/>
    <d v="1899-12-30T13:55:31"/>
    <d v="1899-12-30T14:05:40"/>
    <x v="0"/>
  </r>
  <r>
    <x v="1570"/>
    <d v="2017-07-26T00:00:00"/>
    <d v="1899-12-30T13:56:40"/>
    <d v="1899-12-30T13:57:34"/>
    <x v="0"/>
  </r>
  <r>
    <x v="1571"/>
    <d v="2017-07-26T00:00:00"/>
    <d v="1899-12-30T14:01:05"/>
    <d v="1899-12-30T14:04:57"/>
    <x v="0"/>
  </r>
  <r>
    <x v="1572"/>
    <d v="2017-07-26T00:00:00"/>
    <d v="1899-12-30T14:06:18"/>
    <d v="1899-12-30T14:18:07"/>
    <x v="0"/>
  </r>
  <r>
    <x v="894"/>
    <d v="2017-07-26T00:00:00"/>
    <d v="1899-12-30T14:13:22"/>
    <d v="1899-12-30T14:28:57"/>
    <x v="0"/>
  </r>
  <r>
    <x v="1573"/>
    <d v="2017-07-26T00:00:00"/>
    <d v="1899-12-30T14:14:15"/>
    <d v="1899-12-30T14:23:11"/>
    <x v="0"/>
  </r>
  <r>
    <x v="121"/>
    <d v="2017-07-26T00:00:00"/>
    <d v="1899-12-30T14:22:13"/>
    <d v="1899-12-30T14:37:42"/>
    <x v="0"/>
  </r>
  <r>
    <x v="1574"/>
    <d v="2017-07-26T00:00:00"/>
    <d v="1899-12-30T14:29:32"/>
    <d v="1899-12-30T14:30:31"/>
    <x v="0"/>
  </r>
  <r>
    <x v="1575"/>
    <d v="2017-07-26T00:00:00"/>
    <d v="1899-12-30T14:32:59"/>
    <d v="1899-12-30T14:39:12"/>
    <x v="0"/>
  </r>
  <r>
    <x v="1576"/>
    <d v="2017-07-26T00:00:00"/>
    <d v="1899-12-30T14:37:41"/>
    <d v="1899-12-30T14:51:57"/>
    <x v="0"/>
  </r>
  <r>
    <x v="1577"/>
    <d v="2017-07-26T00:00:00"/>
    <d v="1899-12-30T14:43:45"/>
    <d v="1899-12-30T14:57:55"/>
    <x v="0"/>
  </r>
  <r>
    <x v="1578"/>
    <d v="2017-07-26T00:00:00"/>
    <d v="1899-12-30T14:48:50"/>
    <d v="1899-12-30T15:05:17"/>
    <x v="0"/>
  </r>
  <r>
    <x v="693"/>
    <d v="2017-07-26T00:00:00"/>
    <d v="1899-12-30T14:54:05"/>
    <d v="1899-12-30T14:55:06"/>
    <x v="0"/>
  </r>
  <r>
    <x v="915"/>
    <d v="2017-07-26T00:00:00"/>
    <d v="1899-12-30T14:59:32"/>
    <d v="1899-12-30T15:02:45"/>
    <x v="0"/>
  </r>
  <r>
    <x v="1579"/>
    <d v="2017-07-26T00:00:00"/>
    <d v="1899-12-30T15:03:56"/>
    <d v="1899-12-30T15:13:18"/>
    <x v="0"/>
  </r>
  <r>
    <x v="1580"/>
    <d v="2017-07-27T00:00:00"/>
    <d v="1899-12-30T08:06:01"/>
    <d v="1899-12-30T08:06:04"/>
    <x v="0"/>
  </r>
  <r>
    <x v="1581"/>
    <d v="2017-07-27T00:00:00"/>
    <d v="1899-12-30T08:08:47"/>
    <d v="1899-12-30T08:13:49"/>
    <x v="0"/>
  </r>
  <r>
    <x v="1582"/>
    <d v="2017-07-27T00:00:00"/>
    <d v="1899-12-30T08:12:46"/>
    <d v="1899-12-30T08:26:27"/>
    <x v="0"/>
  </r>
  <r>
    <x v="1583"/>
    <d v="2017-07-27T00:00:00"/>
    <d v="1899-12-30T08:19:05"/>
    <d v="1899-12-30T08:19:12"/>
    <x v="0"/>
  </r>
  <r>
    <x v="1584"/>
    <d v="2017-07-27T00:00:00"/>
    <d v="1899-12-30T08:22:38"/>
    <d v="1899-12-30T08:30:56"/>
    <x v="0"/>
  </r>
  <r>
    <x v="1585"/>
    <d v="2017-07-27T00:00:00"/>
    <d v="1899-12-30T08:23:39"/>
    <d v="1899-12-30T08:37:59"/>
    <x v="0"/>
  </r>
  <r>
    <x v="1586"/>
    <d v="2017-07-27T00:00:00"/>
    <d v="1899-12-30T08:25:41"/>
    <d v="1899-12-30T08:29:53"/>
    <x v="0"/>
  </r>
  <r>
    <x v="73"/>
    <d v="2017-07-27T00:00:00"/>
    <d v="1899-12-30T08:25:58"/>
    <d v="1899-12-30T08:29:37"/>
    <x v="0"/>
  </r>
  <r>
    <x v="1587"/>
    <d v="2017-07-27T00:00:00"/>
    <d v="1899-12-30T08:31:01"/>
    <d v="1899-12-30T08:42:01"/>
    <x v="0"/>
  </r>
  <r>
    <x v="1588"/>
    <d v="2017-07-27T00:00:00"/>
    <d v="1899-12-30T08:32:32"/>
    <d v="1899-12-30T08:43:41"/>
    <x v="0"/>
  </r>
  <r>
    <x v="1589"/>
    <d v="2017-07-27T00:00:00"/>
    <d v="1899-12-30T08:37:33"/>
    <d v="1899-12-30T08:44:20"/>
    <x v="0"/>
  </r>
  <r>
    <x v="1590"/>
    <d v="2017-07-27T00:00:00"/>
    <d v="1899-12-30T08:38:47"/>
    <d v="1899-12-30T08:43:00"/>
    <x v="0"/>
  </r>
  <r>
    <x v="1575"/>
    <d v="2017-07-27T00:00:00"/>
    <d v="1899-12-30T08:40:32"/>
    <d v="1899-12-30T08:55:58"/>
    <x v="0"/>
  </r>
  <r>
    <x v="1591"/>
    <d v="2017-07-27T00:00:00"/>
    <d v="1899-12-30T08:47:01"/>
    <d v="1899-12-30T08:59:38"/>
    <x v="0"/>
  </r>
  <r>
    <x v="1592"/>
    <d v="2017-07-27T00:00:00"/>
    <d v="1899-12-30T08:54:43"/>
    <d v="1899-12-30T09:06:06"/>
    <x v="0"/>
  </r>
  <r>
    <x v="1593"/>
    <d v="2017-07-27T00:00:00"/>
    <d v="1899-12-30T08:55:18"/>
    <d v="1899-12-30T08:56:27"/>
    <x v="0"/>
  </r>
  <r>
    <x v="1594"/>
    <d v="2017-07-27T00:00:00"/>
    <d v="1899-12-30T08:58:09"/>
    <d v="1899-12-30T09:06:44"/>
    <x v="0"/>
  </r>
  <r>
    <x v="1595"/>
    <d v="2017-07-27T00:00:00"/>
    <d v="1899-12-30T09:02:22"/>
    <d v="1899-12-30T09:13:34"/>
    <x v="0"/>
  </r>
  <r>
    <x v="1596"/>
    <d v="2017-07-27T00:00:00"/>
    <d v="1899-12-30T09:06:49"/>
    <d v="1899-12-30T09:12:54"/>
    <x v="0"/>
  </r>
  <r>
    <x v="519"/>
    <d v="2017-07-27T00:00:00"/>
    <d v="1899-12-30T09:13:51"/>
    <d v="1899-12-30T09:26:29"/>
    <x v="0"/>
  </r>
  <r>
    <x v="1597"/>
    <d v="2017-07-27T00:00:00"/>
    <d v="1899-12-30T09:15:26"/>
    <d v="1899-12-30T09:29:37"/>
    <x v="0"/>
  </r>
  <r>
    <x v="1332"/>
    <d v="2017-07-27T00:00:00"/>
    <d v="1899-12-30T09:21:34"/>
    <d v="1899-12-30T09:32:18"/>
    <x v="0"/>
  </r>
  <r>
    <x v="1598"/>
    <d v="2017-07-27T00:00:00"/>
    <d v="1899-12-30T09:28:06"/>
    <d v="1899-12-30T09:30:23"/>
    <x v="0"/>
  </r>
  <r>
    <x v="292"/>
    <d v="2017-07-27T00:00:00"/>
    <d v="1899-12-30T09:31:15"/>
    <d v="1899-12-30T09:38:38"/>
    <x v="0"/>
  </r>
  <r>
    <x v="332"/>
    <d v="2017-07-27T00:00:00"/>
    <d v="1899-12-30T09:33:18"/>
    <d v="1899-12-30T09:34:30"/>
    <x v="0"/>
  </r>
  <r>
    <x v="1599"/>
    <d v="2017-07-27T00:00:00"/>
    <d v="1899-12-30T09:39:50"/>
    <d v="1899-12-30T09:46:32"/>
    <x v="0"/>
  </r>
  <r>
    <x v="1600"/>
    <d v="2017-07-27T00:00:00"/>
    <d v="1899-12-30T09:46:14"/>
    <d v="1899-12-30T09:46:40"/>
    <x v="0"/>
  </r>
  <r>
    <x v="1601"/>
    <d v="2017-07-27T00:00:00"/>
    <d v="1899-12-30T09:46:49"/>
    <d v="1899-12-30T10:00:51"/>
    <x v="0"/>
  </r>
  <r>
    <x v="594"/>
    <d v="2017-07-27T00:00:00"/>
    <d v="1899-12-30T09:53:55"/>
    <d v="1899-12-30T09:59:19"/>
    <x v="0"/>
  </r>
  <r>
    <x v="1602"/>
    <d v="2017-07-27T00:00:00"/>
    <d v="1899-12-30T09:55:38"/>
    <d v="1899-12-30T10:03:24"/>
    <x v="0"/>
  </r>
  <r>
    <x v="28"/>
    <d v="2017-07-27T00:00:00"/>
    <d v="1899-12-30T10:01:41"/>
    <d v="1899-12-30T10:10:19"/>
    <x v="0"/>
  </r>
  <r>
    <x v="1603"/>
    <d v="2017-07-27T00:00:00"/>
    <d v="1899-12-30T10:09:57"/>
    <d v="1899-12-30T10:19:12"/>
    <x v="0"/>
  </r>
  <r>
    <x v="1604"/>
    <d v="2017-07-27T00:00:00"/>
    <d v="1899-12-30T10:11:06"/>
    <d v="1899-12-30T10:12:05"/>
    <x v="0"/>
  </r>
  <r>
    <x v="1001"/>
    <d v="2017-07-27T00:00:00"/>
    <d v="1899-12-30T10:17:02"/>
    <d v="1899-12-30T10:29:41"/>
    <x v="0"/>
  </r>
  <r>
    <x v="1605"/>
    <d v="2017-07-27T00:00:00"/>
    <d v="1899-12-30T10:18:08"/>
    <d v="1899-12-30T10:22:39"/>
    <x v="0"/>
  </r>
  <r>
    <x v="1606"/>
    <d v="2017-07-27T00:00:00"/>
    <d v="1899-12-30T10:22:59"/>
    <d v="1899-12-30T10:32:35"/>
    <x v="0"/>
  </r>
  <r>
    <x v="1607"/>
    <d v="2017-07-27T00:00:00"/>
    <d v="1899-12-30T10:24:47"/>
    <d v="1899-12-30T10:37:14"/>
    <x v="0"/>
  </r>
  <r>
    <x v="1608"/>
    <d v="2017-07-27T00:00:00"/>
    <d v="1899-12-30T10:31:26"/>
    <d v="1899-12-30T10:36:37"/>
    <x v="0"/>
  </r>
  <r>
    <x v="235"/>
    <d v="2017-07-27T00:00:00"/>
    <d v="1899-12-30T10:33:39"/>
    <d v="1899-12-30T10:36:46"/>
    <x v="0"/>
  </r>
  <r>
    <x v="1609"/>
    <d v="2017-07-27T00:00:00"/>
    <d v="1899-12-30T10:33:42"/>
    <d v="1899-12-30T10:36:36"/>
    <x v="0"/>
  </r>
  <r>
    <x v="1610"/>
    <d v="2017-07-27T00:00:00"/>
    <d v="1899-12-30T10:40:40"/>
    <d v="1899-12-30T10:49:02"/>
    <x v="0"/>
  </r>
  <r>
    <x v="950"/>
    <d v="2017-07-27T00:00:00"/>
    <d v="1899-12-30T10:47:57"/>
    <d v="1899-12-30T11:01:43"/>
    <x v="0"/>
  </r>
  <r>
    <x v="1611"/>
    <d v="2017-07-27T00:00:00"/>
    <d v="1899-12-30T10:50:16"/>
    <d v="1899-12-30T10:56:06"/>
    <x v="0"/>
  </r>
  <r>
    <x v="1612"/>
    <d v="2017-07-27T00:00:00"/>
    <d v="1899-12-30T10:58:30"/>
    <d v="1899-12-30T11:03:00"/>
    <x v="0"/>
  </r>
  <r>
    <x v="1613"/>
    <d v="2017-07-27T00:00:00"/>
    <d v="1899-12-30T11:04:35"/>
    <d v="1899-12-30T11:11:06"/>
    <x v="0"/>
  </r>
  <r>
    <x v="1614"/>
    <d v="2017-07-27T00:00:00"/>
    <d v="1899-12-30T11:04:56"/>
    <d v="1899-12-30T11:06:12"/>
    <x v="0"/>
  </r>
  <r>
    <x v="1615"/>
    <d v="2017-07-27T00:00:00"/>
    <d v="1899-12-30T11:09:14"/>
    <d v="1899-12-30T11:23:48"/>
    <x v="0"/>
  </r>
  <r>
    <x v="1616"/>
    <d v="2017-07-27T00:00:00"/>
    <d v="1899-12-30T11:12:18"/>
    <d v="1899-12-30T11:24:09"/>
    <x v="0"/>
  </r>
  <r>
    <x v="1617"/>
    <d v="2017-07-27T00:00:00"/>
    <d v="1899-12-30T11:17:50"/>
    <d v="1899-12-30T11:24:41"/>
    <x v="0"/>
  </r>
  <r>
    <x v="1618"/>
    <d v="2017-07-27T00:00:00"/>
    <d v="1899-12-30T11:22:29"/>
    <d v="1899-12-30T11:30:05"/>
    <x v="0"/>
  </r>
  <r>
    <x v="1518"/>
    <d v="2017-07-27T00:00:00"/>
    <d v="1899-12-30T11:24:44"/>
    <d v="1899-12-30T11:30:12"/>
    <x v="0"/>
  </r>
  <r>
    <x v="1619"/>
    <d v="2017-07-27T00:00:00"/>
    <d v="1899-12-30T11:32:26"/>
    <d v="1899-12-30T11:44:04"/>
    <x v="0"/>
  </r>
  <r>
    <x v="1620"/>
    <d v="2017-07-27T00:00:00"/>
    <d v="1899-12-30T11:38:49"/>
    <d v="1899-12-30T11:41:12"/>
    <x v="0"/>
  </r>
  <r>
    <x v="1621"/>
    <d v="2017-07-27T00:00:00"/>
    <d v="1899-12-30T11:39:15"/>
    <d v="1899-12-30T11:55:50"/>
    <x v="0"/>
  </r>
  <r>
    <x v="1622"/>
    <d v="2017-07-27T00:00:00"/>
    <d v="1899-12-30T11:46:41"/>
    <d v="1899-12-30T11:57:39"/>
    <x v="0"/>
  </r>
  <r>
    <x v="1623"/>
    <d v="2017-07-27T00:00:00"/>
    <d v="1899-12-30T11:53:41"/>
    <d v="1899-12-30T11:55:55"/>
    <x v="0"/>
  </r>
  <r>
    <x v="1624"/>
    <d v="2017-07-27T00:00:00"/>
    <d v="1899-12-30T11:55:55"/>
    <d v="1899-12-30T12:03:54"/>
    <x v="0"/>
  </r>
  <r>
    <x v="759"/>
    <d v="2017-07-27T00:00:00"/>
    <d v="1899-12-30T12:01:47"/>
    <d v="1899-12-30T12:12:07"/>
    <x v="0"/>
  </r>
  <r>
    <x v="1625"/>
    <d v="2017-07-27T00:00:00"/>
    <d v="1899-12-30T12:05:12"/>
    <d v="1899-12-30T12:18:31"/>
    <x v="0"/>
  </r>
  <r>
    <x v="1626"/>
    <d v="2017-07-27T00:00:00"/>
    <d v="1899-12-30T12:10:24"/>
    <d v="1899-12-30T12:10:59"/>
    <x v="0"/>
  </r>
  <r>
    <x v="1627"/>
    <d v="2017-07-27T00:00:00"/>
    <d v="1899-12-30T12:15:39"/>
    <d v="1899-12-30T12:23:10"/>
    <x v="0"/>
  </r>
  <r>
    <x v="1628"/>
    <d v="2017-07-27T00:00:00"/>
    <d v="1899-12-30T12:22:31"/>
    <d v="1899-12-30T12:34:31"/>
    <x v="0"/>
  </r>
  <r>
    <x v="1629"/>
    <d v="2017-07-27T00:00:00"/>
    <d v="1899-12-30T12:28:51"/>
    <d v="1899-12-30T12:42:09"/>
    <x v="0"/>
  </r>
  <r>
    <x v="1630"/>
    <d v="2017-07-27T00:00:00"/>
    <d v="1899-12-30T12:29:18"/>
    <d v="1899-12-30T12:30:47"/>
    <x v="0"/>
  </r>
  <r>
    <x v="1631"/>
    <d v="2017-07-27T00:00:00"/>
    <d v="1899-12-30T12:34:06"/>
    <d v="1899-12-30T12:37:50"/>
    <x v="0"/>
  </r>
  <r>
    <x v="1632"/>
    <d v="2017-07-27T00:00:00"/>
    <d v="1899-12-30T12:35:26"/>
    <d v="1899-12-30T12:42:47"/>
    <x v="0"/>
  </r>
  <r>
    <x v="1633"/>
    <d v="2017-07-27T00:00:00"/>
    <d v="1899-12-30T12:43:06"/>
    <d v="1899-12-30T12:53:51"/>
    <x v="0"/>
  </r>
  <r>
    <x v="1634"/>
    <d v="2017-07-27T00:00:00"/>
    <d v="1899-12-30T12:47:45"/>
    <d v="1899-12-30T12:49:45"/>
    <x v="0"/>
  </r>
  <r>
    <x v="1635"/>
    <d v="2017-07-27T00:00:00"/>
    <d v="1899-12-30T12:52:48"/>
    <d v="1899-12-30T12:59:03"/>
    <x v="0"/>
  </r>
  <r>
    <x v="1636"/>
    <d v="2017-07-27T00:00:00"/>
    <d v="1899-12-30T12:59:41"/>
    <d v="1899-12-30T13:02:07"/>
    <x v="0"/>
  </r>
  <r>
    <x v="1637"/>
    <d v="2017-07-27T00:00:00"/>
    <d v="1899-12-30T13:00:24"/>
    <d v="1899-12-30T13:13:57"/>
    <x v="0"/>
  </r>
  <r>
    <x v="1638"/>
    <d v="2017-07-27T00:00:00"/>
    <d v="1899-12-30T13:06:15"/>
    <d v="1899-12-30T13:10:05"/>
    <x v="0"/>
  </r>
  <r>
    <x v="1639"/>
    <d v="2017-07-27T00:00:00"/>
    <d v="1899-12-30T13:07:33"/>
    <d v="1899-12-30T13:07:47"/>
    <x v="0"/>
  </r>
  <r>
    <x v="1640"/>
    <d v="2017-07-27T00:00:00"/>
    <d v="1899-12-30T13:13:20"/>
    <d v="1899-12-30T13:26:50"/>
    <x v="0"/>
  </r>
  <r>
    <x v="1641"/>
    <d v="2017-07-27T00:00:00"/>
    <d v="1899-12-30T13:13:41"/>
    <d v="1899-12-30T13:27:05"/>
    <x v="0"/>
  </r>
  <r>
    <x v="1642"/>
    <d v="2017-07-27T00:00:00"/>
    <d v="1899-12-30T13:14:31"/>
    <d v="1899-12-30T13:25:15"/>
    <x v="0"/>
  </r>
  <r>
    <x v="1643"/>
    <d v="2017-07-27T00:00:00"/>
    <d v="1899-12-30T13:22:21"/>
    <d v="1899-12-30T13:22:51"/>
    <x v="0"/>
  </r>
  <r>
    <x v="1644"/>
    <d v="2017-07-27T00:00:00"/>
    <d v="1899-12-30T13:26:20"/>
    <d v="1899-12-30T13:32:14"/>
    <x v="0"/>
  </r>
  <r>
    <x v="1645"/>
    <d v="2017-07-27T00:00:00"/>
    <d v="1899-12-30T13:30:16"/>
    <d v="1899-12-30T13:33:51"/>
    <x v="0"/>
  </r>
  <r>
    <x v="1646"/>
    <d v="2017-07-27T00:00:00"/>
    <d v="1899-12-30T13:36:12"/>
    <d v="1899-12-30T13:39:02"/>
    <x v="0"/>
  </r>
  <r>
    <x v="1647"/>
    <d v="2017-07-27T00:00:00"/>
    <d v="1899-12-30T13:44:10"/>
    <d v="1899-12-30T13:49:44"/>
    <x v="0"/>
  </r>
  <r>
    <x v="1648"/>
    <d v="2017-07-27T00:00:00"/>
    <d v="1899-12-30T13:48:55"/>
    <d v="1899-12-30T13:54:52"/>
    <x v="0"/>
  </r>
  <r>
    <x v="1649"/>
    <d v="2017-07-27T00:00:00"/>
    <d v="1899-12-30T13:55:42"/>
    <d v="1899-12-30T14:06:46"/>
    <x v="0"/>
  </r>
  <r>
    <x v="1650"/>
    <d v="2017-07-27T00:00:00"/>
    <d v="1899-12-30T14:03:41"/>
    <d v="1899-12-30T14:19:46"/>
    <x v="0"/>
  </r>
  <r>
    <x v="1651"/>
    <d v="2017-07-27T00:00:00"/>
    <d v="1899-12-30T14:03:52"/>
    <d v="1899-12-30T14:09:11"/>
    <x v="0"/>
  </r>
  <r>
    <x v="1652"/>
    <d v="2017-07-27T00:00:00"/>
    <d v="1899-12-30T14:04:38"/>
    <d v="1899-12-30T14:20:34"/>
    <x v="0"/>
  </r>
  <r>
    <x v="1653"/>
    <d v="2017-07-27T00:00:00"/>
    <d v="1899-12-30T14:05:46"/>
    <d v="1899-12-30T14:16:27"/>
    <x v="0"/>
  </r>
  <r>
    <x v="1654"/>
    <d v="2017-07-27T00:00:00"/>
    <d v="1899-12-30T14:12:53"/>
    <d v="1899-12-30T14:24:30"/>
    <x v="0"/>
  </r>
  <r>
    <x v="1655"/>
    <d v="2017-07-27T00:00:00"/>
    <d v="1899-12-30T14:18:36"/>
    <d v="1899-12-30T14:21:16"/>
    <x v="0"/>
  </r>
  <r>
    <x v="1656"/>
    <d v="2017-07-27T00:00:00"/>
    <d v="1899-12-30T14:26:19"/>
    <d v="1899-12-30T14:41:47"/>
    <x v="0"/>
  </r>
  <r>
    <x v="1657"/>
    <d v="2017-07-27T00:00:00"/>
    <d v="1899-12-30T14:28:53"/>
    <d v="1899-12-30T14:44:19"/>
    <x v="0"/>
  </r>
  <r>
    <x v="1658"/>
    <d v="2017-07-27T00:00:00"/>
    <d v="1899-12-30T14:35:54"/>
    <d v="1899-12-30T14:39:26"/>
    <x v="0"/>
  </r>
  <r>
    <x v="1659"/>
    <d v="2017-07-27T00:00:00"/>
    <d v="1899-12-30T14:39:10"/>
    <d v="1899-12-30T14:44:15"/>
    <x v="0"/>
  </r>
  <r>
    <x v="1660"/>
    <d v="2017-07-27T00:00:00"/>
    <d v="1899-12-30T14:44:04"/>
    <d v="1899-12-30T14:50:22"/>
    <x v="0"/>
  </r>
  <r>
    <x v="1661"/>
    <d v="2017-07-27T00:00:00"/>
    <d v="1899-12-30T14:52:12"/>
    <d v="1899-12-30T14:56:46"/>
    <x v="0"/>
  </r>
  <r>
    <x v="1662"/>
    <d v="2017-07-27T00:00:00"/>
    <d v="1899-12-30T14:55:46"/>
    <d v="1899-12-30T15:00:47"/>
    <x v="0"/>
  </r>
  <r>
    <x v="1663"/>
    <d v="2017-07-27T00:00:00"/>
    <d v="1899-12-30T15:00:45"/>
    <d v="1899-12-30T15:07:35"/>
    <x v="0"/>
  </r>
  <r>
    <x v="1664"/>
    <d v="2017-07-28T00:00:00"/>
    <d v="1899-12-30T08:05:11"/>
    <d v="1899-12-30T08:15:22"/>
    <x v="0"/>
  </r>
  <r>
    <x v="1665"/>
    <d v="2017-07-28T00:00:00"/>
    <d v="1899-12-30T08:05:14"/>
    <d v="1899-12-30T08:06:51"/>
    <x v="0"/>
  </r>
  <r>
    <x v="1142"/>
    <d v="2017-07-28T00:00:00"/>
    <d v="1899-12-30T08:07:10"/>
    <d v="1899-12-30T08:20:31"/>
    <x v="0"/>
  </r>
  <r>
    <x v="1666"/>
    <d v="2017-07-28T00:00:00"/>
    <d v="1899-12-30T08:08:33"/>
    <d v="1899-12-30T08:22:00"/>
    <x v="0"/>
  </r>
  <r>
    <x v="1667"/>
    <d v="2017-07-28T00:00:00"/>
    <d v="1899-12-30T08:16:46"/>
    <d v="1899-12-30T08:31:01"/>
    <x v="0"/>
  </r>
  <r>
    <x v="1121"/>
    <d v="2017-07-28T00:00:00"/>
    <d v="1899-12-30T08:21:30"/>
    <d v="1899-12-30T08:22:09"/>
    <x v="0"/>
  </r>
  <r>
    <x v="1668"/>
    <d v="2017-07-28T00:00:00"/>
    <d v="1899-12-30T08:23:02"/>
    <d v="1899-12-30T08:29:16"/>
    <x v="0"/>
  </r>
  <r>
    <x v="1669"/>
    <d v="2017-07-28T00:00:00"/>
    <d v="1899-12-30T08:23:46"/>
    <d v="1899-12-30T08:31:17"/>
    <x v="0"/>
  </r>
  <r>
    <x v="1670"/>
    <d v="2017-07-28T00:00:00"/>
    <d v="1899-12-30T08:31:29"/>
    <d v="1899-12-30T08:39:27"/>
    <x v="0"/>
  </r>
  <r>
    <x v="1671"/>
    <d v="2017-07-28T00:00:00"/>
    <d v="1899-12-30T08:34:48"/>
    <d v="1899-12-30T08:49:48"/>
    <x v="0"/>
  </r>
  <r>
    <x v="1672"/>
    <d v="2017-07-28T00:00:00"/>
    <d v="1899-12-30T08:35:37"/>
    <d v="1899-12-30T08:50:26"/>
    <x v="0"/>
  </r>
  <r>
    <x v="713"/>
    <d v="2017-07-28T00:00:00"/>
    <d v="1899-12-30T08:37:47"/>
    <d v="1899-12-30T08:40:46"/>
    <x v="0"/>
  </r>
  <r>
    <x v="1673"/>
    <d v="2017-07-28T00:00:00"/>
    <d v="1899-12-30T08:43:02"/>
    <d v="1899-12-30T08:48:20"/>
    <x v="0"/>
  </r>
  <r>
    <x v="1674"/>
    <d v="2017-07-28T00:00:00"/>
    <d v="1899-12-30T08:49:28"/>
    <d v="1899-12-30T08:58:55"/>
    <x v="0"/>
  </r>
  <r>
    <x v="1675"/>
    <d v="2017-07-28T00:00:00"/>
    <d v="1899-12-30T08:55:08"/>
    <d v="1899-12-30T08:56:46"/>
    <x v="0"/>
  </r>
  <r>
    <x v="1676"/>
    <d v="2017-07-28T00:00:00"/>
    <d v="1899-12-30T08:57:31"/>
    <d v="1899-12-30T09:06:40"/>
    <x v="0"/>
  </r>
  <r>
    <x v="1677"/>
    <d v="2017-07-28T00:00:00"/>
    <d v="1899-12-30T09:00:12"/>
    <d v="1899-12-30T09:03:36"/>
    <x v="0"/>
  </r>
  <r>
    <x v="1181"/>
    <d v="2017-07-28T00:00:00"/>
    <d v="1899-12-30T09:04:14"/>
    <d v="1899-12-30T09:17:48"/>
    <x v="0"/>
  </r>
  <r>
    <x v="1678"/>
    <d v="2017-07-28T00:00:00"/>
    <d v="1899-12-30T09:11:36"/>
    <d v="1899-12-30T09:17:33"/>
    <x v="0"/>
  </r>
  <r>
    <x v="1679"/>
    <d v="2017-07-28T00:00:00"/>
    <d v="1899-12-30T09:19:26"/>
    <d v="1899-12-30T09:31:48"/>
    <x v="0"/>
  </r>
  <r>
    <x v="1680"/>
    <d v="2017-07-28T00:00:00"/>
    <d v="1899-12-30T09:21:41"/>
    <d v="1899-12-30T09:29:41"/>
    <x v="0"/>
  </r>
  <r>
    <x v="1681"/>
    <d v="2017-07-28T00:00:00"/>
    <d v="1899-12-30T09:25:29"/>
    <d v="1899-12-30T09:37:49"/>
    <x v="0"/>
  </r>
  <r>
    <x v="1682"/>
    <d v="2017-07-28T00:00:00"/>
    <d v="1899-12-30T09:25:58"/>
    <d v="1899-12-30T09:31:04"/>
    <x v="0"/>
  </r>
  <r>
    <x v="1683"/>
    <d v="2017-07-28T00:00:00"/>
    <d v="1899-12-30T09:33:29"/>
    <d v="1899-12-30T09:33:55"/>
    <x v="0"/>
  </r>
  <r>
    <x v="246"/>
    <d v="2017-07-28T00:00:00"/>
    <d v="1899-12-30T09:34:53"/>
    <d v="1899-12-30T09:42:57"/>
    <x v="0"/>
  </r>
  <r>
    <x v="666"/>
    <d v="2017-07-28T00:00:00"/>
    <d v="1899-12-30T09:40:00"/>
    <d v="1899-12-30T09:44:38"/>
    <x v="0"/>
  </r>
  <r>
    <x v="1022"/>
    <d v="2017-07-28T00:00:00"/>
    <d v="1899-12-30T09:48:08"/>
    <d v="1899-12-30T10:02:53"/>
    <x v="0"/>
  </r>
  <r>
    <x v="1684"/>
    <d v="2017-07-28T00:00:00"/>
    <d v="1899-12-30T09:49:46"/>
    <d v="1899-12-30T09:54:25"/>
    <x v="0"/>
  </r>
  <r>
    <x v="1387"/>
    <d v="2017-07-28T00:00:00"/>
    <d v="1899-12-30T09:53:41"/>
    <d v="1899-12-30T10:00:45"/>
    <x v="0"/>
  </r>
  <r>
    <x v="1685"/>
    <d v="2017-07-28T00:00:00"/>
    <d v="1899-12-30T09:57:55"/>
    <d v="1899-12-30T10:03:16"/>
    <x v="0"/>
  </r>
  <r>
    <x v="1686"/>
    <d v="2017-07-28T00:00:00"/>
    <d v="1899-12-30T10:06:09"/>
    <d v="1899-12-30T10:16:41"/>
    <x v="0"/>
  </r>
  <r>
    <x v="1687"/>
    <d v="2017-07-28T00:00:00"/>
    <d v="1899-12-30T10:09:03"/>
    <d v="1899-12-30T10:10:54"/>
    <x v="0"/>
  </r>
  <r>
    <x v="1688"/>
    <d v="2017-07-28T00:00:00"/>
    <d v="1899-12-30T10:11:41"/>
    <d v="1899-12-30T10:20:54"/>
    <x v="0"/>
  </r>
  <r>
    <x v="1689"/>
    <d v="2017-07-28T00:00:00"/>
    <d v="1899-12-30T10:16:03"/>
    <d v="1899-12-30T10:30:12"/>
    <x v="0"/>
  </r>
  <r>
    <x v="1690"/>
    <d v="2017-07-28T00:00:00"/>
    <d v="1899-12-30T10:21:06"/>
    <d v="1899-12-30T10:31:45"/>
    <x v="0"/>
  </r>
  <r>
    <x v="1691"/>
    <d v="2017-07-28T00:00:00"/>
    <d v="1899-12-30T10:24:16"/>
    <d v="1899-12-30T10:35:21"/>
    <x v="0"/>
  </r>
  <r>
    <x v="1554"/>
    <d v="2017-07-28T00:00:00"/>
    <d v="1899-12-30T10:27:09"/>
    <d v="1899-12-30T10:42:04"/>
    <x v="0"/>
  </r>
  <r>
    <x v="1692"/>
    <d v="2017-07-28T00:00:00"/>
    <d v="1899-12-30T10:33:15"/>
    <d v="1899-12-30T10:44:05"/>
    <x v="0"/>
  </r>
  <r>
    <x v="1693"/>
    <d v="2017-07-28T00:00:00"/>
    <d v="1899-12-30T10:40:40"/>
    <d v="1899-12-30T10:41:56"/>
    <x v="0"/>
  </r>
  <r>
    <x v="1694"/>
    <d v="2017-07-28T00:00:00"/>
    <d v="1899-12-30T10:42:19"/>
    <d v="1899-12-30T10:51:39"/>
    <x v="0"/>
  </r>
  <r>
    <x v="1695"/>
    <d v="2017-07-28T00:00:00"/>
    <d v="1899-12-30T10:48:53"/>
    <d v="1899-12-30T10:57:43"/>
    <x v="0"/>
  </r>
  <r>
    <x v="1696"/>
    <d v="2017-07-28T00:00:00"/>
    <d v="1899-12-30T10:55:52"/>
    <d v="1899-12-30T11:06:08"/>
    <x v="0"/>
  </r>
  <r>
    <x v="1697"/>
    <d v="2017-07-28T00:00:00"/>
    <d v="1899-12-30T10:58:54"/>
    <d v="1899-12-30T11:04:26"/>
    <x v="0"/>
  </r>
  <r>
    <x v="777"/>
    <d v="2017-07-28T00:00:00"/>
    <d v="1899-12-30T11:06:17"/>
    <d v="1899-12-30T11:11:20"/>
    <x v="0"/>
  </r>
  <r>
    <x v="1698"/>
    <d v="2017-07-28T00:00:00"/>
    <d v="1899-12-30T11:08:10"/>
    <d v="1899-12-30T11:10:15"/>
    <x v="0"/>
  </r>
  <r>
    <x v="1699"/>
    <d v="2017-07-28T00:00:00"/>
    <d v="1899-12-30T11:13:24"/>
    <d v="1899-12-30T11:21:59"/>
    <x v="0"/>
  </r>
  <r>
    <x v="1700"/>
    <d v="2017-07-28T00:00:00"/>
    <d v="1899-12-30T11:18:24"/>
    <d v="1899-12-30T11:31:27"/>
    <x v="0"/>
  </r>
  <r>
    <x v="1701"/>
    <d v="2017-07-28T00:00:00"/>
    <d v="1899-12-30T11:23:21"/>
    <d v="1899-12-30T11:24:54"/>
    <x v="0"/>
  </r>
  <r>
    <x v="1702"/>
    <d v="2017-07-28T00:00:00"/>
    <d v="1899-12-30T11:27:22"/>
    <d v="1899-12-30T11:31:15"/>
    <x v="0"/>
  </r>
  <r>
    <x v="1703"/>
    <d v="2017-07-28T00:00:00"/>
    <d v="1899-12-30T11:28:46"/>
    <d v="1899-12-30T11:42:18"/>
    <x v="0"/>
  </r>
  <r>
    <x v="54"/>
    <d v="2017-07-28T00:00:00"/>
    <d v="1899-12-30T11:30:10"/>
    <d v="1899-12-30T11:33:54"/>
    <x v="0"/>
  </r>
  <r>
    <x v="899"/>
    <d v="2017-07-28T00:00:00"/>
    <d v="1899-12-30T11:31:49"/>
    <d v="1899-12-30T11:37:17"/>
    <x v="0"/>
  </r>
  <r>
    <x v="1704"/>
    <d v="2017-07-28T00:00:00"/>
    <d v="1899-12-30T11:33:28"/>
    <d v="1899-12-30T11:42:45"/>
    <x v="0"/>
  </r>
  <r>
    <x v="1705"/>
    <d v="2017-07-28T00:00:00"/>
    <d v="1899-12-30T11:36:24"/>
    <d v="1899-12-30T11:45:33"/>
    <x v="0"/>
  </r>
  <r>
    <x v="1706"/>
    <d v="2017-07-28T00:00:00"/>
    <d v="1899-12-30T11:39:59"/>
    <d v="1899-12-30T11:43:27"/>
    <x v="0"/>
  </r>
  <r>
    <x v="1707"/>
    <d v="2017-07-28T00:00:00"/>
    <d v="1899-12-30T11:46:18"/>
    <d v="1899-12-30T11:55:28"/>
    <x v="0"/>
  </r>
  <r>
    <x v="1708"/>
    <d v="2017-07-28T00:00:00"/>
    <d v="1899-12-30T11:50:00"/>
    <d v="1899-12-30T12:06:16"/>
    <x v="0"/>
  </r>
  <r>
    <x v="1709"/>
    <d v="2017-07-28T00:00:00"/>
    <d v="1899-12-30T11:51:23"/>
    <d v="1899-12-30T11:55:26"/>
    <x v="0"/>
  </r>
  <r>
    <x v="1710"/>
    <d v="2017-07-28T00:00:00"/>
    <d v="1899-12-30T11:53:35"/>
    <d v="1899-12-30T11:55:13"/>
    <x v="0"/>
  </r>
  <r>
    <x v="1711"/>
    <d v="2017-07-28T00:00:00"/>
    <d v="1899-12-30T11:57:58"/>
    <d v="1899-12-30T12:12:50"/>
    <x v="0"/>
  </r>
  <r>
    <x v="1712"/>
    <d v="2017-07-28T00:00:00"/>
    <d v="1899-12-30T12:03:00"/>
    <d v="1899-12-30T12:15:51"/>
    <x v="0"/>
  </r>
  <r>
    <x v="1713"/>
    <d v="2017-07-28T00:00:00"/>
    <d v="1899-12-30T12:05:37"/>
    <d v="1899-12-30T12:08:55"/>
    <x v="0"/>
  </r>
  <r>
    <x v="1714"/>
    <d v="2017-07-28T00:00:00"/>
    <d v="1899-12-30T12:11:53"/>
    <d v="1899-12-30T12:24:16"/>
    <x v="0"/>
  </r>
  <r>
    <x v="1715"/>
    <d v="2017-07-28T00:00:00"/>
    <d v="1899-12-30T12:14:09"/>
    <d v="1899-12-30T12:22:08"/>
    <x v="0"/>
  </r>
  <r>
    <x v="1716"/>
    <d v="2017-07-28T00:00:00"/>
    <d v="1899-12-30T12:19:59"/>
    <d v="1899-12-30T12:30:11"/>
    <x v="0"/>
  </r>
  <r>
    <x v="1717"/>
    <d v="2017-07-28T00:00:00"/>
    <d v="1899-12-30T12:21:31"/>
    <d v="1899-12-30T12:35:43"/>
    <x v="0"/>
  </r>
  <r>
    <x v="1718"/>
    <d v="2017-07-28T00:00:00"/>
    <d v="1899-12-30T12:24:55"/>
    <d v="1899-12-30T12:26:37"/>
    <x v="0"/>
  </r>
  <r>
    <x v="1719"/>
    <d v="2017-07-28T00:00:00"/>
    <d v="1899-12-30T12:27:29"/>
    <d v="1899-12-30T12:27:47"/>
    <x v="0"/>
  </r>
  <r>
    <x v="395"/>
    <d v="2017-07-28T00:00:00"/>
    <d v="1899-12-30T12:35:32"/>
    <d v="1899-12-30T12:45:46"/>
    <x v="0"/>
  </r>
  <r>
    <x v="1720"/>
    <d v="2017-07-28T00:00:00"/>
    <d v="1899-12-30T12:37:29"/>
    <d v="1899-12-30T12:47:35"/>
    <x v="0"/>
  </r>
  <r>
    <x v="1721"/>
    <d v="2017-07-28T00:00:00"/>
    <d v="1899-12-30T12:40:31"/>
    <d v="1899-12-30T12:43:46"/>
    <x v="0"/>
  </r>
  <r>
    <x v="1722"/>
    <d v="2017-07-28T00:00:00"/>
    <d v="1899-12-30T12:47:40"/>
    <d v="1899-12-30T12:55:45"/>
    <x v="0"/>
  </r>
  <r>
    <x v="1723"/>
    <d v="2017-07-28T00:00:00"/>
    <d v="1899-12-30T12:51:00"/>
    <d v="1899-12-30T12:52:48"/>
    <x v="0"/>
  </r>
  <r>
    <x v="1724"/>
    <d v="2017-07-28T00:00:00"/>
    <d v="1899-12-30T12:54:20"/>
    <d v="1899-12-30T13:06:39"/>
    <x v="0"/>
  </r>
  <r>
    <x v="1725"/>
    <d v="2017-07-28T00:00:00"/>
    <d v="1899-12-30T13:00:47"/>
    <d v="1899-12-30T13:11:15"/>
    <x v="0"/>
  </r>
  <r>
    <x v="1726"/>
    <d v="2017-07-28T00:00:00"/>
    <d v="1899-12-30T13:06:14"/>
    <d v="1899-12-30T13:08:32"/>
    <x v="0"/>
  </r>
  <r>
    <x v="1727"/>
    <d v="2017-07-28T00:00:00"/>
    <d v="1899-12-30T13:10:38"/>
    <d v="1899-12-30T13:16:57"/>
    <x v="0"/>
  </r>
  <r>
    <x v="1728"/>
    <d v="2017-07-28T00:00:00"/>
    <d v="1899-12-30T13:16:49"/>
    <d v="1899-12-30T13:31:17"/>
    <x v="0"/>
  </r>
  <r>
    <x v="1729"/>
    <d v="2017-07-28T00:00:00"/>
    <d v="1899-12-30T13:23:37"/>
    <d v="1899-12-30T13:25:18"/>
    <x v="0"/>
  </r>
  <r>
    <x v="1730"/>
    <d v="2017-07-28T00:00:00"/>
    <d v="1899-12-30T13:28:44"/>
    <d v="1899-12-30T13:39:01"/>
    <x v="0"/>
  </r>
  <r>
    <x v="1731"/>
    <d v="2017-07-28T00:00:00"/>
    <d v="1899-12-30T13:36:06"/>
    <d v="1899-12-30T13:51:15"/>
    <x v="0"/>
  </r>
  <r>
    <x v="1732"/>
    <d v="2017-07-28T00:00:00"/>
    <d v="1899-12-30T13:38:14"/>
    <d v="1899-12-30T13:51:24"/>
    <x v="0"/>
  </r>
  <r>
    <x v="752"/>
    <d v="2017-07-28T00:00:00"/>
    <d v="1899-12-30T13:41:32"/>
    <d v="1899-12-30T13:55:55"/>
    <x v="0"/>
  </r>
  <r>
    <x v="1733"/>
    <d v="2017-07-28T00:00:00"/>
    <d v="1899-12-30T13:42:55"/>
    <d v="1899-12-30T13:50:03"/>
    <x v="0"/>
  </r>
  <r>
    <x v="1734"/>
    <d v="2017-07-28T00:00:00"/>
    <d v="1899-12-30T13:43:29"/>
    <d v="1899-12-30T13:46:16"/>
    <x v="0"/>
  </r>
  <r>
    <x v="1735"/>
    <d v="2017-07-28T00:00:00"/>
    <d v="1899-12-30T13:49:52"/>
    <d v="1899-12-30T14:04:15"/>
    <x v="0"/>
  </r>
  <r>
    <x v="1736"/>
    <d v="2017-07-28T00:00:00"/>
    <d v="1899-12-30T13:52:50"/>
    <d v="1899-12-30T14:04:29"/>
    <x v="0"/>
  </r>
  <r>
    <x v="1737"/>
    <d v="2017-07-28T00:00:00"/>
    <d v="1899-12-30T13:59:58"/>
    <d v="1899-12-30T14:02:58"/>
    <x v="0"/>
  </r>
  <r>
    <x v="1738"/>
    <d v="2017-07-28T00:00:00"/>
    <d v="1899-12-30T14:00:17"/>
    <d v="1899-12-30T14:08:53"/>
    <x v="0"/>
  </r>
  <r>
    <x v="1739"/>
    <d v="2017-07-28T00:00:00"/>
    <d v="1899-12-30T14:08:03"/>
    <d v="1899-12-30T14:15:06"/>
    <x v="0"/>
  </r>
  <r>
    <x v="215"/>
    <d v="2017-07-28T00:00:00"/>
    <d v="1899-12-30T14:10:07"/>
    <d v="1899-12-30T14:22:59"/>
    <x v="0"/>
  </r>
  <r>
    <x v="184"/>
    <d v="2017-07-28T00:00:00"/>
    <d v="1899-12-30T14:15:56"/>
    <d v="1899-12-30T14:24:42"/>
    <x v="0"/>
  </r>
  <r>
    <x v="1740"/>
    <d v="2017-07-28T00:00:00"/>
    <d v="1899-12-30T14:20:57"/>
    <d v="1899-12-30T14:32:18"/>
    <x v="0"/>
  </r>
  <r>
    <x v="714"/>
    <d v="2017-07-28T00:00:00"/>
    <d v="1899-12-30T14:28:39"/>
    <d v="1899-12-30T14:33:03"/>
    <x v="0"/>
  </r>
  <r>
    <x v="1741"/>
    <d v="2017-07-28T00:00:00"/>
    <d v="1899-12-30T14:34:44"/>
    <d v="1899-12-30T14:38:39"/>
    <x v="0"/>
  </r>
  <r>
    <x v="1742"/>
    <d v="2017-07-28T00:00:00"/>
    <d v="1899-12-30T14:43:03"/>
    <d v="1899-12-30T14:55:01"/>
    <x v="0"/>
  </r>
  <r>
    <x v="1743"/>
    <d v="2017-07-28T00:00:00"/>
    <d v="1899-12-30T14:46:37"/>
    <d v="1899-12-30T14:58:59"/>
    <x v="0"/>
  </r>
  <r>
    <x v="1744"/>
    <d v="2017-07-28T00:00:00"/>
    <d v="1899-12-30T14:52:16"/>
    <d v="1899-12-30T14:58:33"/>
    <x v="0"/>
  </r>
  <r>
    <x v="1745"/>
    <d v="2017-07-28T00:00:00"/>
    <d v="1899-12-30T14:55:45"/>
    <d v="1899-12-30T14:59:09"/>
    <x v="0"/>
  </r>
  <r>
    <x v="1746"/>
    <d v="2017-07-28T00:00:00"/>
    <d v="1899-12-30T15:00:02"/>
    <d v="1899-12-30T15:15:28"/>
    <x v="0"/>
  </r>
  <r>
    <x v="1747"/>
    <d v="2017-07-31T00:00:00"/>
    <d v="1899-12-30T08:01:15"/>
    <d v="1899-12-30T08:11:54"/>
    <x v="0"/>
  </r>
  <r>
    <x v="1748"/>
    <d v="2017-07-31T00:00:00"/>
    <d v="1899-12-30T08:08:35"/>
    <d v="1899-12-30T08:14:38"/>
    <x v="0"/>
  </r>
  <r>
    <x v="1749"/>
    <d v="2017-07-31T00:00:00"/>
    <d v="1899-12-30T08:15:03"/>
    <d v="1899-12-30T08:19:21"/>
    <x v="0"/>
  </r>
  <r>
    <x v="1750"/>
    <d v="2017-07-31T00:00:00"/>
    <d v="1899-12-30T08:18:23"/>
    <d v="1899-12-30T08:25:42"/>
    <x v="0"/>
  </r>
  <r>
    <x v="1751"/>
    <d v="2017-07-31T00:00:00"/>
    <d v="1899-12-30T08:26:25"/>
    <d v="1899-12-30T08:31:45"/>
    <x v="0"/>
  </r>
  <r>
    <x v="1359"/>
    <d v="2017-07-31T00:00:00"/>
    <d v="1899-12-30T08:28:48"/>
    <d v="1899-12-30T08:36:10"/>
    <x v="0"/>
  </r>
  <r>
    <x v="1752"/>
    <d v="2017-07-31T00:00:00"/>
    <d v="1899-12-30T08:35:26"/>
    <d v="1899-12-30T08:46:38"/>
    <x v="0"/>
  </r>
  <r>
    <x v="1290"/>
    <d v="2017-07-31T00:00:00"/>
    <d v="1899-12-30T08:38:04"/>
    <d v="1899-12-30T08:51:07"/>
    <x v="0"/>
  </r>
  <r>
    <x v="1753"/>
    <d v="2017-07-31T00:00:00"/>
    <d v="1899-12-30T08:44:05"/>
    <d v="1899-12-30T08:58:11"/>
    <x v="0"/>
  </r>
  <r>
    <x v="1754"/>
    <d v="2017-07-31T00:00:00"/>
    <d v="1899-12-30T08:46:21"/>
    <d v="1899-12-30T08:52:22"/>
    <x v="0"/>
  </r>
  <r>
    <x v="1755"/>
    <d v="2017-07-31T00:00:00"/>
    <d v="1899-12-30T08:49:35"/>
    <d v="1899-12-30T09:01:13"/>
    <x v="0"/>
  </r>
  <r>
    <x v="1756"/>
    <d v="2017-07-31T00:00:00"/>
    <d v="1899-12-30T08:55:15"/>
    <d v="1899-12-30T09:11:36"/>
    <x v="0"/>
  </r>
  <r>
    <x v="1757"/>
    <d v="2017-07-31T00:00:00"/>
    <d v="1899-12-30T08:56:15"/>
    <d v="1899-12-30T09:02:36"/>
    <x v="0"/>
  </r>
  <r>
    <x v="1758"/>
    <d v="2017-07-31T00:00:00"/>
    <d v="1899-12-30T09:03:05"/>
    <d v="1899-12-30T09:08:55"/>
    <x v="0"/>
  </r>
  <r>
    <x v="1759"/>
    <d v="2017-07-31T00:00:00"/>
    <d v="1899-12-30T09:09:05"/>
    <d v="1899-12-30T09:11:14"/>
    <x v="0"/>
  </r>
  <r>
    <x v="1760"/>
    <d v="2017-07-31T00:00:00"/>
    <d v="1899-12-30T09:09:09"/>
    <d v="1899-12-30T09:10:14"/>
    <x v="0"/>
  </r>
  <r>
    <x v="1761"/>
    <d v="2017-07-31T00:00:00"/>
    <d v="1899-12-30T09:16:26"/>
    <d v="1899-12-30T09:29:31"/>
    <x v="0"/>
  </r>
  <r>
    <x v="1762"/>
    <d v="2017-07-31T00:00:00"/>
    <d v="1899-12-30T09:20:33"/>
    <d v="1899-12-30T09:31:59"/>
    <x v="0"/>
  </r>
  <r>
    <x v="1359"/>
    <d v="2017-07-31T00:00:00"/>
    <d v="1899-12-30T09:21:56"/>
    <d v="1899-12-30T09:32:23"/>
    <x v="0"/>
  </r>
  <r>
    <x v="748"/>
    <d v="2017-07-31T00:00:00"/>
    <d v="1899-12-30T09:26:32"/>
    <d v="1899-12-30T09:38:37"/>
    <x v="0"/>
  </r>
  <r>
    <x v="1763"/>
    <d v="2017-07-31T00:00:00"/>
    <d v="1899-12-30T09:32:38"/>
    <d v="1899-12-30T09:35:23"/>
    <x v="0"/>
  </r>
  <r>
    <x v="1764"/>
    <d v="2017-07-31T00:00:00"/>
    <d v="1899-12-30T09:34:15"/>
    <d v="1899-12-30T09:36:36"/>
    <x v="0"/>
  </r>
  <r>
    <x v="1765"/>
    <d v="2017-07-31T00:00:00"/>
    <d v="1899-12-30T09:40:31"/>
    <d v="1899-12-30T09:47:08"/>
    <x v="0"/>
  </r>
  <r>
    <x v="1766"/>
    <d v="2017-07-31T00:00:00"/>
    <d v="1899-12-30T09:40:44"/>
    <d v="1899-12-30T09:56:14"/>
    <x v="0"/>
  </r>
  <r>
    <x v="577"/>
    <d v="2017-07-31T00:00:00"/>
    <d v="1899-12-30T09:43:10"/>
    <d v="1899-12-30T09:52:49"/>
    <x v="0"/>
  </r>
  <r>
    <x v="1767"/>
    <d v="2017-07-31T00:00:00"/>
    <d v="1899-12-30T09:46:27"/>
    <d v="1899-12-30T10:02:12"/>
    <x v="0"/>
  </r>
  <r>
    <x v="363"/>
    <d v="2017-07-31T00:00:00"/>
    <d v="1899-12-30T09:47:20"/>
    <d v="1899-12-30T09:48:11"/>
    <x v="0"/>
  </r>
  <r>
    <x v="1768"/>
    <d v="2017-07-31T00:00:00"/>
    <d v="1899-12-30T09:55:13"/>
    <d v="1899-12-30T10:10:27"/>
    <x v="0"/>
  </r>
  <r>
    <x v="1769"/>
    <d v="2017-07-31T00:00:00"/>
    <d v="1899-12-30T09:55:16"/>
    <d v="1899-12-30T10:01:06"/>
    <x v="0"/>
  </r>
  <r>
    <x v="1770"/>
    <d v="2017-07-31T00:00:00"/>
    <d v="1899-12-30T09:57:56"/>
    <d v="1899-12-30T10:09:27"/>
    <x v="0"/>
  </r>
  <r>
    <x v="1771"/>
    <d v="2017-07-31T00:00:00"/>
    <d v="1899-12-30T10:02:31"/>
    <d v="1899-12-30T10:14:33"/>
    <x v="0"/>
  </r>
  <r>
    <x v="1772"/>
    <d v="2017-07-31T00:00:00"/>
    <d v="1899-12-30T10:02:59"/>
    <d v="1899-12-30T10:12:02"/>
    <x v="0"/>
  </r>
  <r>
    <x v="1773"/>
    <d v="2017-07-31T00:00:00"/>
    <d v="1899-12-30T10:04:07"/>
    <d v="1899-12-30T10:06:19"/>
    <x v="0"/>
  </r>
  <r>
    <x v="125"/>
    <d v="2017-07-31T00:00:00"/>
    <d v="1899-12-30T10:06:24"/>
    <d v="1899-12-30T10:11:10"/>
    <x v="0"/>
  </r>
  <r>
    <x v="1774"/>
    <d v="2017-07-31T00:00:00"/>
    <d v="1899-12-30T10:08:22"/>
    <d v="1899-12-30T10:14:43"/>
    <x v="0"/>
  </r>
  <r>
    <x v="1775"/>
    <d v="2017-07-31T00:00:00"/>
    <d v="1899-12-30T10:13:15"/>
    <d v="1899-12-30T10:15:03"/>
    <x v="0"/>
  </r>
  <r>
    <x v="1776"/>
    <d v="2017-07-31T00:00:00"/>
    <d v="1899-12-30T10:21:32"/>
    <d v="1899-12-30T10:35:49"/>
    <x v="0"/>
  </r>
  <r>
    <x v="1777"/>
    <d v="2017-07-31T00:00:00"/>
    <d v="1899-12-30T10:28:45"/>
    <d v="1899-12-30T10:33:30"/>
    <x v="0"/>
  </r>
  <r>
    <x v="1778"/>
    <d v="2017-07-31T00:00:00"/>
    <d v="1899-12-30T10:29:05"/>
    <d v="1899-12-30T10:39:16"/>
    <x v="0"/>
  </r>
  <r>
    <x v="1779"/>
    <d v="2017-07-31T00:00:00"/>
    <d v="1899-12-30T10:37:06"/>
    <d v="1899-12-30T10:53:02"/>
    <x v="0"/>
  </r>
  <r>
    <x v="1780"/>
    <d v="2017-07-31T00:00:00"/>
    <d v="1899-12-30T10:45:09"/>
    <d v="1899-12-30T11:00:51"/>
    <x v="0"/>
  </r>
  <r>
    <x v="1781"/>
    <d v="2017-07-31T00:00:00"/>
    <d v="1899-12-30T10:51:30"/>
    <d v="1899-12-30T10:51:58"/>
    <x v="0"/>
  </r>
  <r>
    <x v="1782"/>
    <d v="2017-07-31T00:00:00"/>
    <d v="1899-12-30T10:53:45"/>
    <d v="1899-12-30T11:08:03"/>
    <x v="0"/>
  </r>
  <r>
    <x v="1005"/>
    <d v="2017-07-31T00:00:00"/>
    <d v="1899-12-30T10:58:24"/>
    <d v="1899-12-30T11:01:07"/>
    <x v="0"/>
  </r>
  <r>
    <x v="1783"/>
    <d v="2017-07-31T00:00:00"/>
    <d v="1899-12-30T11:00:11"/>
    <d v="1899-12-30T11:15:22"/>
    <x v="0"/>
  </r>
  <r>
    <x v="387"/>
    <d v="2017-07-31T00:00:00"/>
    <d v="1899-12-30T11:01:37"/>
    <d v="1899-12-30T11:09:58"/>
    <x v="0"/>
  </r>
  <r>
    <x v="863"/>
    <d v="2017-07-31T00:00:00"/>
    <d v="1899-12-30T11:04:07"/>
    <d v="1899-12-30T11:20:27"/>
    <x v="0"/>
  </r>
  <r>
    <x v="1784"/>
    <d v="2017-07-31T00:00:00"/>
    <d v="1899-12-30T11:06:53"/>
    <d v="1899-12-30T11:08:05"/>
    <x v="0"/>
  </r>
  <r>
    <x v="1785"/>
    <d v="2017-07-31T00:00:00"/>
    <d v="1899-12-30T11:13:58"/>
    <d v="1899-12-30T11:22:54"/>
    <x v="0"/>
  </r>
  <r>
    <x v="1786"/>
    <d v="2017-07-31T00:00:00"/>
    <d v="1899-12-30T11:16:37"/>
    <d v="1899-12-30T11:26:22"/>
    <x v="0"/>
  </r>
  <r>
    <x v="1213"/>
    <d v="2017-07-31T00:00:00"/>
    <d v="1899-12-30T11:19:05"/>
    <d v="1899-12-30T11:23:35"/>
    <x v="0"/>
  </r>
  <r>
    <x v="1787"/>
    <d v="2017-07-31T00:00:00"/>
    <d v="1899-12-30T11:21:20"/>
    <d v="1899-12-30T11:26:04"/>
    <x v="0"/>
  </r>
  <r>
    <x v="1788"/>
    <d v="2017-07-31T00:00:00"/>
    <d v="1899-12-30T11:21:21"/>
    <d v="1899-12-30T11:26:42"/>
    <x v="0"/>
  </r>
  <r>
    <x v="1789"/>
    <d v="2017-07-31T00:00:00"/>
    <d v="1899-12-30T11:21:50"/>
    <d v="1899-12-30T11:29:30"/>
    <x v="0"/>
  </r>
  <r>
    <x v="792"/>
    <d v="2017-07-31T00:00:00"/>
    <d v="1899-12-30T11:21:57"/>
    <d v="1899-12-30T11:24:56"/>
    <x v="0"/>
  </r>
  <r>
    <x v="863"/>
    <d v="2017-07-31T00:00:00"/>
    <d v="1899-12-30T11:22:05"/>
    <d v="1899-12-30T11:31:30"/>
    <x v="0"/>
  </r>
  <r>
    <x v="1474"/>
    <d v="2017-07-31T00:00:00"/>
    <d v="1899-12-30T11:29:04"/>
    <d v="1899-12-30T11:38:39"/>
    <x v="0"/>
  </r>
  <r>
    <x v="1790"/>
    <d v="2017-07-31T00:00:00"/>
    <d v="1899-12-30T11:31:58"/>
    <d v="1899-12-30T11:43:08"/>
    <x v="0"/>
  </r>
  <r>
    <x v="1791"/>
    <d v="2017-07-31T00:00:00"/>
    <d v="1899-12-30T11:33:14"/>
    <d v="1899-12-30T11:46:31"/>
    <x v="0"/>
  </r>
  <r>
    <x v="1792"/>
    <d v="2017-07-31T00:00:00"/>
    <d v="1899-12-30T11:33:43"/>
    <d v="1899-12-30T11:41:02"/>
    <x v="0"/>
  </r>
  <r>
    <x v="1705"/>
    <d v="2017-07-31T00:00:00"/>
    <d v="1899-12-30T11:37:19"/>
    <d v="1899-12-30T11:43:47"/>
    <x v="0"/>
  </r>
  <r>
    <x v="1793"/>
    <d v="2017-07-31T00:00:00"/>
    <d v="1899-12-30T11:40:21"/>
    <d v="1899-12-30T11:45:58"/>
    <x v="0"/>
  </r>
  <r>
    <x v="1794"/>
    <d v="2017-07-31T00:00:00"/>
    <d v="1899-12-30T11:44:04"/>
    <d v="1899-12-30T11:56:56"/>
    <x v="0"/>
  </r>
  <r>
    <x v="1795"/>
    <d v="2017-07-31T00:00:00"/>
    <d v="1899-12-30T11:51:30"/>
    <d v="1899-12-30T12:07:31"/>
    <x v="0"/>
  </r>
  <r>
    <x v="1796"/>
    <d v="2017-07-31T00:00:00"/>
    <d v="1899-12-30T11:57:50"/>
    <d v="1899-12-30T12:13:20"/>
    <x v="0"/>
  </r>
  <r>
    <x v="1797"/>
    <d v="2017-07-31T00:00:00"/>
    <d v="1899-12-30T11:58:37"/>
    <d v="1899-12-30T12:15:15"/>
    <x v="0"/>
  </r>
  <r>
    <x v="1026"/>
    <d v="2017-07-31T00:00:00"/>
    <d v="1899-12-30T12:00:57"/>
    <d v="1899-12-30T12:12:56"/>
    <x v="0"/>
  </r>
  <r>
    <x v="1798"/>
    <d v="2017-07-31T00:00:00"/>
    <d v="1899-12-30T12:05:54"/>
    <d v="1899-12-30T12:13:59"/>
    <x v="0"/>
  </r>
  <r>
    <x v="813"/>
    <d v="2017-07-31T00:00:00"/>
    <d v="1899-12-30T12:05:55"/>
    <d v="1899-12-30T12:07:46"/>
    <x v="0"/>
  </r>
  <r>
    <x v="1799"/>
    <d v="2017-07-31T00:00:00"/>
    <d v="1899-12-30T12:14:07"/>
    <d v="1899-12-30T12:16:11"/>
    <x v="0"/>
  </r>
  <r>
    <x v="1800"/>
    <d v="2017-07-31T00:00:00"/>
    <d v="1899-12-30T12:19:10"/>
    <d v="1899-12-30T12:21:28"/>
    <x v="0"/>
  </r>
  <r>
    <x v="1801"/>
    <d v="2017-07-31T00:00:00"/>
    <d v="1899-12-30T12:26:05"/>
    <d v="1899-12-30T12:28:18"/>
    <x v="0"/>
  </r>
  <r>
    <x v="1802"/>
    <d v="2017-07-31T00:00:00"/>
    <d v="1899-12-30T12:31:44"/>
    <d v="1899-12-30T12:45:32"/>
    <x v="0"/>
  </r>
  <r>
    <x v="1803"/>
    <d v="2017-07-31T00:00:00"/>
    <d v="1899-12-30T12:32:14"/>
    <d v="1899-12-30T12:39:36"/>
    <x v="0"/>
  </r>
  <r>
    <x v="1804"/>
    <d v="2017-07-31T00:00:00"/>
    <d v="1899-12-30T12:34:11"/>
    <d v="1899-12-30T12:35:01"/>
    <x v="0"/>
  </r>
  <r>
    <x v="1805"/>
    <d v="2017-07-31T00:00:00"/>
    <d v="1899-12-30T12:36:14"/>
    <d v="1899-12-30T12:40:41"/>
    <x v="0"/>
  </r>
  <r>
    <x v="1806"/>
    <d v="2017-07-31T00:00:00"/>
    <d v="1899-12-30T12:43:22"/>
    <d v="1899-12-30T12:49:22"/>
    <x v="0"/>
  </r>
  <r>
    <x v="1807"/>
    <d v="2017-07-31T00:00:00"/>
    <d v="1899-12-30T12:46:10"/>
    <d v="1899-12-30T12:48:55"/>
    <x v="0"/>
  </r>
  <r>
    <x v="1808"/>
    <d v="2017-07-31T00:00:00"/>
    <d v="1899-12-30T12:49:42"/>
    <d v="1899-12-30T12:58:52"/>
    <x v="0"/>
  </r>
  <r>
    <x v="1809"/>
    <d v="2017-07-31T00:00:00"/>
    <d v="1899-12-30T12:52:10"/>
    <d v="1899-12-30T13:03:21"/>
    <x v="0"/>
  </r>
  <r>
    <x v="1810"/>
    <d v="2017-07-31T00:00:00"/>
    <d v="1899-12-30T12:54:17"/>
    <d v="1899-12-30T12:59:14"/>
    <x v="0"/>
  </r>
  <r>
    <x v="28"/>
    <d v="2017-07-31T00:00:00"/>
    <d v="1899-12-30T12:57:03"/>
    <d v="1899-12-30T13:10:08"/>
    <x v="0"/>
  </r>
  <r>
    <x v="1369"/>
    <d v="2017-07-31T00:00:00"/>
    <d v="1899-12-30T12:59:52"/>
    <d v="1899-12-30T13:00:55"/>
    <x v="0"/>
  </r>
  <r>
    <x v="1811"/>
    <d v="2017-07-31T00:00:00"/>
    <d v="1899-12-30T13:07:15"/>
    <d v="1899-12-30T13:18:21"/>
    <x v="0"/>
  </r>
  <r>
    <x v="1812"/>
    <d v="2017-07-31T00:00:00"/>
    <d v="1899-12-30T13:12:55"/>
    <d v="1899-12-30T13:18:30"/>
    <x v="0"/>
  </r>
  <r>
    <x v="1813"/>
    <d v="2017-07-31T00:00:00"/>
    <d v="1899-12-30T13:14:38"/>
    <d v="1899-12-30T13:23:10"/>
    <x v="0"/>
  </r>
  <r>
    <x v="1814"/>
    <d v="2017-07-31T00:00:00"/>
    <d v="1899-12-30T13:22:20"/>
    <d v="1899-12-30T13:26:24"/>
    <x v="0"/>
  </r>
  <r>
    <x v="561"/>
    <d v="2017-07-31T00:00:00"/>
    <d v="1899-12-30T13:28:07"/>
    <d v="1899-12-30T13:29:35"/>
    <x v="0"/>
  </r>
  <r>
    <x v="1815"/>
    <d v="2017-07-31T00:00:00"/>
    <d v="1899-12-30T13:32:55"/>
    <d v="1899-12-30T13:44:26"/>
    <x v="0"/>
  </r>
  <r>
    <x v="1816"/>
    <d v="2017-07-31T00:00:00"/>
    <d v="1899-12-30T13:34:47"/>
    <d v="1899-12-30T13:45:20"/>
    <x v="0"/>
  </r>
  <r>
    <x v="1817"/>
    <d v="2017-07-31T00:00:00"/>
    <d v="1899-12-30T13:39:36"/>
    <d v="1899-12-30T13:53:04"/>
    <x v="0"/>
  </r>
  <r>
    <x v="1818"/>
    <d v="2017-07-31T00:00:00"/>
    <d v="1899-12-30T13:44:40"/>
    <d v="1899-12-30T13:57:39"/>
    <x v="0"/>
  </r>
  <r>
    <x v="1256"/>
    <d v="2017-07-31T00:00:00"/>
    <d v="1899-12-30T13:51:28"/>
    <d v="1899-12-30T14:08:06"/>
    <x v="0"/>
  </r>
  <r>
    <x v="1819"/>
    <d v="2017-07-31T00:00:00"/>
    <d v="1899-12-30T13:52:39"/>
    <d v="1899-12-30T13:55:07"/>
    <x v="0"/>
  </r>
  <r>
    <x v="1820"/>
    <d v="2017-07-31T00:00:00"/>
    <d v="1899-12-30T13:53:24"/>
    <d v="1899-12-30T13:59:38"/>
    <x v="0"/>
  </r>
  <r>
    <x v="1821"/>
    <d v="2017-07-31T00:00:00"/>
    <d v="1899-12-30T13:54:31"/>
    <d v="1899-12-30T13:56:30"/>
    <x v="0"/>
  </r>
  <r>
    <x v="1450"/>
    <d v="2017-07-31T00:00:00"/>
    <d v="1899-12-30T13:57:33"/>
    <d v="1899-12-30T14:05:36"/>
    <x v="0"/>
  </r>
  <r>
    <x v="1822"/>
    <d v="2017-07-31T00:00:00"/>
    <d v="1899-12-30T13:59:20"/>
    <d v="1899-12-30T14:00:12"/>
    <x v="0"/>
  </r>
  <r>
    <x v="161"/>
    <d v="2017-07-31T00:00:00"/>
    <d v="1899-12-30T14:06:30"/>
    <d v="1899-12-30T14:08:45"/>
    <x v="0"/>
  </r>
  <r>
    <x v="1823"/>
    <d v="2017-07-31T00:00:00"/>
    <d v="1899-12-30T14:10:21"/>
    <d v="1899-12-30T14:19:43"/>
    <x v="0"/>
  </r>
  <r>
    <x v="1824"/>
    <d v="2017-07-31T00:00:00"/>
    <d v="1899-12-30T14:13:47"/>
    <d v="1899-12-30T14:28:39"/>
    <x v="0"/>
  </r>
  <r>
    <x v="1825"/>
    <d v="2017-07-31T00:00:00"/>
    <d v="1899-12-30T14:17:48"/>
    <d v="1899-12-30T14:29:22"/>
    <x v="0"/>
  </r>
  <r>
    <x v="1826"/>
    <d v="2017-07-31T00:00:00"/>
    <d v="1899-12-30T14:20:12"/>
    <d v="1899-12-30T14:24:40"/>
    <x v="0"/>
  </r>
  <r>
    <x v="1827"/>
    <d v="2017-07-31T00:00:00"/>
    <d v="1899-12-30T14:26:51"/>
    <d v="1899-12-30T14:36:20"/>
    <x v="0"/>
  </r>
  <r>
    <x v="1455"/>
    <d v="2017-07-31T00:00:00"/>
    <d v="1899-12-30T14:29:01"/>
    <d v="1899-12-30T14:43:40"/>
    <x v="0"/>
  </r>
  <r>
    <x v="1828"/>
    <d v="2017-07-31T00:00:00"/>
    <d v="1899-12-30T14:31:29"/>
    <d v="1899-12-30T14:41:35"/>
    <x v="0"/>
  </r>
  <r>
    <x v="1829"/>
    <d v="2017-07-31T00:00:00"/>
    <d v="1899-12-30T14:35:53"/>
    <d v="1899-12-30T14:39:06"/>
    <x v="0"/>
  </r>
  <r>
    <x v="1830"/>
    <d v="2017-07-31T00:00:00"/>
    <d v="1899-12-30T14:40:42"/>
    <d v="1899-12-30T14:44:39"/>
    <x v="0"/>
  </r>
  <r>
    <x v="1831"/>
    <d v="2017-07-31T00:00:00"/>
    <d v="1899-12-30T14:43:08"/>
    <d v="1899-12-30T14:50:20"/>
    <x v="0"/>
  </r>
  <r>
    <x v="1832"/>
    <d v="2017-07-31T00:00:00"/>
    <d v="1899-12-30T14:45:57"/>
    <d v="1899-12-30T14:59:02"/>
    <x v="0"/>
  </r>
  <r>
    <x v="1833"/>
    <d v="2017-07-31T00:00:00"/>
    <d v="1899-12-30T14:50:14"/>
    <d v="1899-12-30T15:02:58"/>
    <x v="0"/>
  </r>
  <r>
    <x v="1741"/>
    <d v="2017-07-31T00:00:00"/>
    <d v="1899-12-30T14:57:07"/>
    <d v="1899-12-30T14:57:17"/>
    <x v="0"/>
  </r>
  <r>
    <x v="1547"/>
    <d v="2017-07-31T00:00:00"/>
    <d v="1899-12-30T15:02:47"/>
    <d v="1899-12-30T15:04:5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8">
  <r>
    <n v="3539762"/>
    <x v="0"/>
    <d v="1899-12-30T08:04:54"/>
    <d v="1899-12-30T08:21:26"/>
    <n v="1"/>
    <n v="0"/>
  </r>
  <r>
    <n v="4546455"/>
    <x v="0"/>
    <d v="1899-12-30T08:10:08"/>
    <d v="1899-12-30T08:23:46"/>
    <n v="1"/>
    <n v="0"/>
  </r>
  <r>
    <n v="4546455"/>
    <x v="0"/>
    <d v="1899-12-30T08:10:13"/>
    <d v="1899-12-30T08:24:40"/>
    <n v="1"/>
    <n v="0"/>
  </r>
  <r>
    <n v="6900303"/>
    <x v="0"/>
    <d v="1899-12-30T08:14:49"/>
    <d v="1899-12-30T08:21:33"/>
    <n v="1"/>
    <n v="0"/>
  </r>
  <r>
    <n v="4250194"/>
    <x v="0"/>
    <d v="1899-12-30T08:15:21"/>
    <d v="1899-12-30T08:22:10"/>
    <n v="1"/>
    <n v="0"/>
  </r>
  <r>
    <n v="54586484"/>
    <x v="0"/>
    <d v="1899-12-30T08:18:16"/>
    <d v="1899-12-30T08:23:34"/>
    <n v="0"/>
    <n v="1"/>
  </r>
  <r>
    <n v="26204415"/>
    <x v="0"/>
    <d v="1899-12-30T08:22:17"/>
    <d v="1899-12-30T08:24:20"/>
    <n v="0"/>
    <n v="1"/>
  </r>
  <r>
    <n v="8596929"/>
    <x v="0"/>
    <d v="1899-12-30T08:28:39"/>
    <d v="1899-12-30T08:37:57"/>
    <n v="1"/>
    <n v="0"/>
  </r>
  <r>
    <n v="4546455"/>
    <x v="0"/>
    <d v="1899-12-30T08:34:25"/>
    <d v="1899-12-30T08:48:28"/>
    <n v="1"/>
    <n v="0"/>
  </r>
  <r>
    <n v="44937926"/>
    <x v="0"/>
    <d v="1899-12-30T08:40:58"/>
    <d v="1899-12-30T08:56:33"/>
    <n v="0"/>
    <n v="1"/>
  </r>
  <r>
    <n v="5816822"/>
    <x v="0"/>
    <d v="1899-12-30T08:48:31"/>
    <d v="1899-12-30T09:00:59"/>
    <n v="1"/>
    <n v="0"/>
  </r>
  <r>
    <n v="96191858"/>
    <x v="0"/>
    <d v="1899-12-30T08:50:48"/>
    <d v="1899-12-30T09:00:47"/>
    <n v="0"/>
    <n v="1"/>
  </r>
  <r>
    <n v="47261256"/>
    <x v="0"/>
    <d v="1899-12-30T08:53:03"/>
    <d v="1899-12-30T08:57:32"/>
    <n v="0"/>
    <n v="1"/>
  </r>
  <r>
    <n v="26204415"/>
    <x v="0"/>
    <d v="1899-12-30T09:00:14"/>
    <d v="1899-12-30T09:13:19"/>
    <n v="0"/>
    <n v="1"/>
  </r>
  <r>
    <n v="22747425"/>
    <x v="0"/>
    <d v="1899-12-30T09:03:10"/>
    <d v="1899-12-30T09:14:36"/>
    <n v="0"/>
    <n v="1"/>
  </r>
  <r>
    <n v="96191858"/>
    <x v="0"/>
    <d v="1899-12-30T09:07:01"/>
    <d v="1899-12-30T09:18:45"/>
    <n v="0"/>
    <n v="1"/>
  </r>
  <r>
    <n v="5816822"/>
    <x v="0"/>
    <d v="1899-12-30T09:08:59"/>
    <d v="1899-12-30T09:12:49"/>
    <n v="1"/>
    <n v="0"/>
  </r>
  <r>
    <n v="3352943"/>
    <x v="0"/>
    <d v="1899-12-30T09:17:18"/>
    <d v="1899-12-30T09:27:51"/>
    <n v="1"/>
    <n v="0"/>
  </r>
  <r>
    <n v="35634368"/>
    <x v="0"/>
    <d v="1899-12-30T09:24:13"/>
    <d v="1899-12-30T09:40:49"/>
    <n v="0"/>
    <n v="1"/>
  </r>
  <r>
    <n v="8313390"/>
    <x v="0"/>
    <d v="1899-12-30T09:29:50"/>
    <d v="1899-12-30T09:33:46"/>
    <n v="1"/>
    <n v="0"/>
  </r>
  <r>
    <n v="3954712"/>
    <x v="0"/>
    <d v="1899-12-30T09:34:13"/>
    <d v="1899-12-30T09:38:59"/>
    <n v="1"/>
    <n v="0"/>
  </r>
  <r>
    <n v="2109147679"/>
    <x v="0"/>
    <d v="1899-12-30T09:36:31"/>
    <d v="1899-12-30T09:52:48"/>
    <n v="0"/>
    <n v="0"/>
  </r>
  <r>
    <n v="1787732"/>
    <x v="0"/>
    <d v="1899-12-30T09:43:34"/>
    <d v="1899-12-30T09:51:06"/>
    <n v="1"/>
    <n v="0"/>
  </r>
  <r>
    <n v="7834807"/>
    <x v="0"/>
    <d v="1899-12-30T09:50:07"/>
    <d v="1899-12-30T09:50:55"/>
    <n v="1"/>
    <n v="0"/>
  </r>
  <r>
    <n v="33320202"/>
    <x v="0"/>
    <d v="1899-12-30T09:57:42"/>
    <d v="1899-12-30T10:13:45"/>
    <n v="0"/>
    <n v="1"/>
  </r>
  <r>
    <n v="1488369"/>
    <x v="0"/>
    <d v="1899-12-30T09:59:13"/>
    <d v="1899-12-30T10:01:18"/>
    <n v="1"/>
    <n v="0"/>
  </r>
  <r>
    <n v="2631285"/>
    <x v="0"/>
    <d v="1899-12-30T10:01:23"/>
    <d v="1899-12-30T10:10:12"/>
    <n v="1"/>
    <n v="0"/>
  </r>
  <r>
    <n v="7415603"/>
    <x v="0"/>
    <d v="1899-12-30T10:05:56"/>
    <d v="1899-12-30T10:22:19"/>
    <n v="1"/>
    <n v="0"/>
  </r>
  <r>
    <n v="96375379"/>
    <x v="0"/>
    <d v="1899-12-30T10:11:15"/>
    <d v="1899-12-30T10:14:19"/>
    <n v="0"/>
    <n v="1"/>
  </r>
  <r>
    <n v="6976431"/>
    <x v="0"/>
    <d v="1899-12-30T10:16:34"/>
    <d v="1899-12-30T10:29:10"/>
    <n v="1"/>
    <n v="0"/>
  </r>
  <r>
    <n v="4093292"/>
    <x v="0"/>
    <d v="1899-12-30T10:19:45"/>
    <d v="1899-12-30T10:26:19"/>
    <n v="1"/>
    <n v="0"/>
  </r>
  <r>
    <n v="6312575"/>
    <x v="0"/>
    <d v="1899-12-30T10:20:37"/>
    <d v="1899-12-30T10:29:59"/>
    <n v="1"/>
    <n v="0"/>
  </r>
  <r>
    <n v="38535407"/>
    <x v="0"/>
    <d v="1899-12-30T10:27:45"/>
    <d v="1899-12-30T10:39:37"/>
    <n v="0"/>
    <n v="1"/>
  </r>
  <r>
    <n v="38535407"/>
    <x v="0"/>
    <d v="1899-12-30T10:31:04"/>
    <d v="1899-12-30T10:32:21"/>
    <n v="0"/>
    <n v="1"/>
  </r>
  <r>
    <n v="9413315"/>
    <x v="0"/>
    <d v="1899-12-30T10:38:07"/>
    <d v="1899-12-30T10:52:20"/>
    <n v="1"/>
    <n v="0"/>
  </r>
  <r>
    <n v="8514016"/>
    <x v="0"/>
    <d v="1899-12-30T10:44:49"/>
    <d v="1899-12-30T10:47:59"/>
    <n v="1"/>
    <n v="0"/>
  </r>
  <r>
    <n v="40965486"/>
    <x v="0"/>
    <d v="1899-12-30T10:47:13"/>
    <d v="1899-12-30T11:02:34"/>
    <n v="0"/>
    <n v="1"/>
  </r>
  <r>
    <n v="4546455"/>
    <x v="0"/>
    <d v="1899-12-30T10:51:54"/>
    <d v="1899-12-30T10:56:56"/>
    <n v="1"/>
    <n v="0"/>
  </r>
  <r>
    <n v="1435049"/>
    <x v="0"/>
    <d v="1899-12-30T10:55:07"/>
    <d v="1899-12-30T10:56:10"/>
    <n v="1"/>
    <n v="0"/>
  </r>
  <r>
    <n v="85598139"/>
    <x v="0"/>
    <d v="1899-12-30T10:56:46"/>
    <d v="1899-12-30T11:06:56"/>
    <n v="0"/>
    <n v="1"/>
  </r>
  <r>
    <n v="1787732"/>
    <x v="0"/>
    <d v="1899-12-30T11:04:35"/>
    <d v="1899-12-30T11:10:16"/>
    <n v="1"/>
    <n v="0"/>
  </r>
  <r>
    <n v="1926053"/>
    <x v="0"/>
    <d v="1899-12-30T11:04:38"/>
    <d v="1899-12-30T11:13:26"/>
    <n v="1"/>
    <n v="0"/>
  </r>
  <r>
    <n v="82949156"/>
    <x v="0"/>
    <d v="1899-12-30T11:05:38"/>
    <d v="1899-12-30T11:08:01"/>
    <n v="0"/>
    <n v="1"/>
  </r>
  <r>
    <n v="73690742"/>
    <x v="0"/>
    <d v="1899-12-30T11:13:26"/>
    <d v="1899-12-30T11:26:35"/>
    <n v="0"/>
    <n v="1"/>
  </r>
  <r>
    <n v="5107477025"/>
    <x v="0"/>
    <d v="1899-12-30T11:18:36"/>
    <d v="1899-12-30T11:29:21"/>
    <n v="0"/>
    <n v="0"/>
  </r>
  <r>
    <n v="4787793"/>
    <x v="0"/>
    <d v="1899-12-30T11:25:13"/>
    <d v="1899-12-30T11:38:40"/>
    <n v="1"/>
    <n v="0"/>
  </r>
  <r>
    <n v="79381100"/>
    <x v="0"/>
    <d v="1899-12-30T11:32:20"/>
    <d v="1899-12-30T11:39:08"/>
    <n v="0"/>
    <n v="1"/>
  </r>
  <r>
    <n v="4146159"/>
    <x v="0"/>
    <d v="1899-12-30T11:32:59"/>
    <d v="1899-12-30T11:49:22"/>
    <n v="1"/>
    <n v="0"/>
  </r>
  <r>
    <n v="13484133"/>
    <x v="0"/>
    <d v="1899-12-30T11:34:52"/>
    <d v="1899-12-30T11:41:51"/>
    <n v="0"/>
    <n v="1"/>
  </r>
  <r>
    <n v="4657345"/>
    <x v="0"/>
    <d v="1899-12-30T11:38:15"/>
    <d v="1899-12-30T11:41:47"/>
    <n v="1"/>
    <n v="0"/>
  </r>
  <r>
    <n v="3697935"/>
    <x v="0"/>
    <d v="1899-12-30T11:46:23"/>
    <d v="1899-12-30T11:49:13"/>
    <n v="1"/>
    <n v="0"/>
  </r>
  <r>
    <n v="2668991"/>
    <x v="0"/>
    <d v="1899-12-30T11:49:42"/>
    <d v="1899-12-30T12:05:06"/>
    <n v="1"/>
    <n v="0"/>
  </r>
  <r>
    <n v="3520189"/>
    <x v="0"/>
    <d v="1899-12-30T11:58:01"/>
    <d v="1899-12-30T12:04:08"/>
    <n v="1"/>
    <n v="0"/>
  </r>
  <r>
    <n v="4546455"/>
    <x v="0"/>
    <d v="1899-12-30T12:01:17"/>
    <d v="1899-12-30T12:12:37"/>
    <n v="1"/>
    <n v="0"/>
  </r>
  <r>
    <n v="3897347"/>
    <x v="0"/>
    <d v="1899-12-30T12:07:55"/>
    <d v="1899-12-30T12:14:26"/>
    <n v="1"/>
    <n v="0"/>
  </r>
  <r>
    <n v="1867016"/>
    <x v="0"/>
    <d v="1899-12-30T12:13:07"/>
    <d v="1899-12-30T12:13:24"/>
    <n v="1"/>
    <n v="0"/>
  </r>
  <r>
    <n v="96949751"/>
    <x v="0"/>
    <d v="1899-12-30T12:18:11"/>
    <d v="1899-12-30T12:20:32"/>
    <n v="0"/>
    <n v="1"/>
  </r>
  <r>
    <n v="81613163"/>
    <x v="0"/>
    <d v="1899-12-30T12:25:20"/>
    <d v="1899-12-30T12:29:07"/>
    <n v="0"/>
    <n v="1"/>
  </r>
  <r>
    <n v="4250194"/>
    <x v="0"/>
    <d v="1899-12-30T12:31:56"/>
    <d v="1899-12-30T12:42:02"/>
    <n v="1"/>
    <n v="0"/>
  </r>
  <r>
    <n v="6050344"/>
    <x v="0"/>
    <d v="1899-12-30T12:35:12"/>
    <d v="1899-12-30T12:38:37"/>
    <n v="1"/>
    <n v="0"/>
  </r>
  <r>
    <n v="4546455"/>
    <x v="0"/>
    <d v="1899-12-30T12:37:15"/>
    <d v="1899-12-30T12:50:51"/>
    <n v="1"/>
    <n v="0"/>
  </r>
  <r>
    <n v="7727942"/>
    <x v="0"/>
    <d v="1899-12-30T12:43:24"/>
    <d v="1899-12-30T12:53:23"/>
    <n v="1"/>
    <n v="0"/>
  </r>
  <r>
    <n v="8249721"/>
    <x v="0"/>
    <d v="1899-12-30T12:50:12"/>
    <d v="1899-12-30T12:54:06"/>
    <n v="1"/>
    <n v="0"/>
  </r>
  <r>
    <n v="6894270"/>
    <x v="0"/>
    <d v="1899-12-30T12:50:14"/>
    <d v="1899-12-30T12:50:44"/>
    <n v="1"/>
    <n v="0"/>
  </r>
  <r>
    <n v="3095218"/>
    <x v="0"/>
    <d v="1899-12-30T12:51:39"/>
    <d v="1899-12-30T13:02:21"/>
    <n v="1"/>
    <n v="0"/>
  </r>
  <r>
    <n v="45081794"/>
    <x v="0"/>
    <d v="1899-12-30T12:57:50"/>
    <d v="1899-12-30T13:01:53"/>
    <n v="0"/>
    <n v="1"/>
  </r>
  <r>
    <n v="3533271"/>
    <x v="0"/>
    <d v="1899-12-30T13:01:38"/>
    <d v="1899-12-30T13:04:29"/>
    <n v="1"/>
    <n v="0"/>
  </r>
  <r>
    <n v="7415603"/>
    <x v="0"/>
    <d v="1899-12-30T13:09:49"/>
    <d v="1899-12-30T13:23:21"/>
    <n v="1"/>
    <n v="0"/>
  </r>
  <r>
    <n v="9088452"/>
    <x v="0"/>
    <d v="1899-12-30T13:16:05"/>
    <d v="1899-12-30T13:22:54"/>
    <n v="1"/>
    <n v="0"/>
  </r>
  <r>
    <n v="3379401"/>
    <x v="0"/>
    <d v="1899-12-30T13:20:18"/>
    <d v="1899-12-30T13:31:20"/>
    <n v="1"/>
    <n v="0"/>
  </r>
  <r>
    <n v="73350537"/>
    <x v="0"/>
    <d v="1899-12-30T13:22:24"/>
    <d v="1899-12-30T13:23:20"/>
    <n v="0"/>
    <n v="1"/>
  </r>
  <r>
    <n v="83707586"/>
    <x v="0"/>
    <d v="1899-12-30T13:23:34"/>
    <d v="1899-12-30T13:28:55"/>
    <n v="0"/>
    <n v="1"/>
  </r>
  <r>
    <n v="5107477025"/>
    <x v="0"/>
    <d v="1899-12-30T13:24:48"/>
    <d v="1899-12-30T13:37:08"/>
    <n v="0"/>
    <n v="0"/>
  </r>
  <r>
    <n v="1480206"/>
    <x v="0"/>
    <d v="1899-12-30T13:32:57"/>
    <d v="1899-12-30T13:33:00"/>
    <n v="1"/>
    <n v="0"/>
  </r>
  <r>
    <n v="3095218"/>
    <x v="0"/>
    <d v="1899-12-30T13:34:24"/>
    <d v="1899-12-30T13:34:26"/>
    <n v="1"/>
    <n v="0"/>
  </r>
  <r>
    <n v="2028923"/>
    <x v="0"/>
    <d v="1899-12-30T13:37:56"/>
    <d v="1899-12-30T13:42:09"/>
    <n v="1"/>
    <n v="0"/>
  </r>
  <r>
    <n v="81880891"/>
    <x v="0"/>
    <d v="1899-12-30T13:42:50"/>
    <d v="1899-12-30T13:48:41"/>
    <n v="0"/>
    <n v="1"/>
  </r>
  <r>
    <n v="4274149"/>
    <x v="0"/>
    <d v="1899-12-30T13:43:20"/>
    <d v="1899-12-30T13:56:09"/>
    <n v="1"/>
    <n v="0"/>
  </r>
  <r>
    <n v="3505978"/>
    <x v="0"/>
    <d v="1899-12-30T13:50:03"/>
    <d v="1899-12-30T13:55:06"/>
    <n v="1"/>
    <n v="0"/>
  </r>
  <r>
    <n v="8504601"/>
    <x v="0"/>
    <d v="1899-12-30T13:54:36"/>
    <d v="1899-12-30T13:56:01"/>
    <n v="1"/>
    <n v="0"/>
  </r>
  <r>
    <n v="8214927"/>
    <x v="0"/>
    <d v="1899-12-30T13:57:58"/>
    <d v="1899-12-30T14:11:08"/>
    <n v="1"/>
    <n v="0"/>
  </r>
  <r>
    <n v="5913547"/>
    <x v="0"/>
    <d v="1899-12-30T14:01:10"/>
    <d v="1899-12-30T14:04:04"/>
    <n v="1"/>
    <n v="0"/>
  </r>
  <r>
    <n v="3505978"/>
    <x v="0"/>
    <d v="1899-12-30T14:05:16"/>
    <d v="1899-12-30T14:10:28"/>
    <n v="1"/>
    <n v="0"/>
  </r>
  <r>
    <n v="14783929"/>
    <x v="0"/>
    <d v="1899-12-30T14:09:58"/>
    <d v="1899-12-30T14:17:02"/>
    <n v="0"/>
    <n v="1"/>
  </r>
  <r>
    <n v="2915745"/>
    <x v="0"/>
    <d v="1899-12-30T14:14:16"/>
    <d v="1899-12-30T14:28:13"/>
    <n v="1"/>
    <n v="0"/>
  </r>
  <r>
    <n v="1100142"/>
    <x v="0"/>
    <d v="1899-12-30T14:19:50"/>
    <d v="1899-12-30T14:24:29"/>
    <n v="1"/>
    <n v="0"/>
  </r>
  <r>
    <n v="7795911"/>
    <x v="0"/>
    <d v="1899-12-30T14:26:50"/>
    <d v="1899-12-30T14:42:08"/>
    <n v="1"/>
    <n v="0"/>
  </r>
  <r>
    <n v="1709455"/>
    <x v="0"/>
    <d v="1899-12-30T14:28:31"/>
    <d v="1899-12-30T14:35:01"/>
    <n v="1"/>
    <n v="0"/>
  </r>
  <r>
    <n v="54586484"/>
    <x v="0"/>
    <d v="1899-12-30T14:34:51"/>
    <d v="1899-12-30T14:40:08"/>
    <n v="0"/>
    <n v="1"/>
  </r>
  <r>
    <n v="6674505"/>
    <x v="0"/>
    <d v="1899-12-30T14:41:54"/>
    <d v="1899-12-30T14:56:39"/>
    <n v="1"/>
    <n v="0"/>
  </r>
  <r>
    <n v="6920814"/>
    <x v="0"/>
    <d v="1899-12-30T14:44:23"/>
    <d v="1899-12-30T14:44:45"/>
    <n v="1"/>
    <n v="0"/>
  </r>
  <r>
    <n v="6161675"/>
    <x v="0"/>
    <d v="1899-12-30T14:44:52"/>
    <d v="1899-12-30T14:58:47"/>
    <n v="1"/>
    <n v="0"/>
  </r>
  <r>
    <n v="8498076"/>
    <x v="0"/>
    <d v="1899-12-30T14:45:56"/>
    <d v="1899-12-30T14:56:01"/>
    <n v="1"/>
    <n v="0"/>
  </r>
  <r>
    <n v="4174785"/>
    <x v="0"/>
    <d v="1899-12-30T14:47:24"/>
    <d v="1899-12-30T15:02:55"/>
    <n v="1"/>
    <n v="0"/>
  </r>
  <r>
    <n v="3776937"/>
    <x v="0"/>
    <d v="1899-12-30T14:49:27"/>
    <d v="1899-12-30T14:57:43"/>
    <n v="1"/>
    <n v="0"/>
  </r>
  <r>
    <n v="2636055"/>
    <x v="0"/>
    <d v="1899-12-30T14:55:19"/>
    <d v="1899-12-30T14:55:46"/>
    <n v="1"/>
    <n v="0"/>
  </r>
  <r>
    <n v="4555937"/>
    <x v="0"/>
    <d v="1899-12-30T15:02:06"/>
    <d v="1899-12-30T15:18:37"/>
    <n v="1"/>
    <n v="0"/>
  </r>
  <r>
    <n v="80306197"/>
    <x v="1"/>
    <d v="1899-12-30T08:04:29"/>
    <d v="1899-12-30T08:07:56"/>
    <n v="0"/>
    <n v="1"/>
  </r>
  <r>
    <n v="99162491"/>
    <x v="1"/>
    <d v="1899-12-30T08:08:48"/>
    <d v="1899-12-30T08:25:14"/>
    <n v="0"/>
    <n v="1"/>
  </r>
  <r>
    <n v="2109147679"/>
    <x v="1"/>
    <d v="1899-12-30T08:16:53"/>
    <d v="1899-12-30T08:29:42"/>
    <n v="0"/>
    <n v="0"/>
  </r>
  <r>
    <n v="9422310"/>
    <x v="1"/>
    <d v="1899-12-30T08:25:02"/>
    <d v="1899-12-30T08:41:22"/>
    <n v="1"/>
    <n v="0"/>
  </r>
  <r>
    <n v="20679187"/>
    <x v="1"/>
    <d v="1899-12-30T08:29:22"/>
    <d v="1899-12-30T08:37:49"/>
    <n v="0"/>
    <n v="1"/>
  </r>
  <r>
    <n v="6087997"/>
    <x v="1"/>
    <d v="1899-12-30T08:33:25"/>
    <d v="1899-12-30T08:39:18"/>
    <n v="1"/>
    <n v="0"/>
  </r>
  <r>
    <n v="20679187"/>
    <x v="1"/>
    <d v="1899-12-30T08:36:15"/>
    <d v="1899-12-30T08:43:45"/>
    <n v="0"/>
    <n v="1"/>
  </r>
  <r>
    <n v="5253133"/>
    <x v="1"/>
    <d v="1899-12-30T08:38:12"/>
    <d v="1899-12-30T08:52:15"/>
    <n v="1"/>
    <n v="0"/>
  </r>
  <r>
    <n v="96949751"/>
    <x v="1"/>
    <d v="1899-12-30T08:45:06"/>
    <d v="1899-12-30T08:45:58"/>
    <n v="0"/>
    <n v="1"/>
  </r>
  <r>
    <n v="1508356"/>
    <x v="1"/>
    <d v="1899-12-30T08:53:00"/>
    <d v="1899-12-30T09:07:41"/>
    <n v="1"/>
    <n v="0"/>
  </r>
  <r>
    <n v="9171025"/>
    <x v="1"/>
    <d v="1899-12-30T08:57:01"/>
    <d v="1899-12-30T09:12:49"/>
    <n v="1"/>
    <n v="0"/>
  </r>
  <r>
    <n v="7191598"/>
    <x v="1"/>
    <d v="1899-12-30T09:00:51"/>
    <d v="1899-12-30T09:07:00"/>
    <n v="1"/>
    <n v="0"/>
  </r>
  <r>
    <n v="3505978"/>
    <x v="1"/>
    <d v="1899-12-30T09:03:53"/>
    <d v="1899-12-30T09:10:15"/>
    <n v="1"/>
    <n v="0"/>
  </r>
  <r>
    <n v="90533733"/>
    <x v="1"/>
    <d v="1899-12-30T09:08:32"/>
    <d v="1899-12-30T09:19:41"/>
    <n v="0"/>
    <n v="1"/>
  </r>
  <r>
    <n v="6859181"/>
    <x v="1"/>
    <d v="1899-12-30T09:09:55"/>
    <d v="1899-12-30T09:15:03"/>
    <n v="1"/>
    <n v="0"/>
  </r>
  <r>
    <n v="7207066"/>
    <x v="1"/>
    <d v="1899-12-30T09:16:16"/>
    <d v="1899-12-30T09:19:13"/>
    <n v="1"/>
    <n v="0"/>
  </r>
  <r>
    <n v="4230507"/>
    <x v="1"/>
    <d v="1899-12-30T09:18:12"/>
    <d v="1899-12-30T09:26:10"/>
    <n v="1"/>
    <n v="0"/>
  </r>
  <r>
    <n v="2915745"/>
    <x v="1"/>
    <d v="1899-12-30T09:24:38"/>
    <d v="1899-12-30T09:25:36"/>
    <n v="1"/>
    <n v="0"/>
  </r>
  <r>
    <n v="2235911"/>
    <x v="1"/>
    <d v="1899-12-30T09:31:03"/>
    <d v="1899-12-30T09:39:24"/>
    <n v="1"/>
    <n v="0"/>
  </r>
  <r>
    <n v="1611389"/>
    <x v="1"/>
    <d v="1899-12-30T09:34:16"/>
    <d v="1899-12-30T09:50:53"/>
    <n v="1"/>
    <n v="0"/>
  </r>
  <r>
    <n v="9052652"/>
    <x v="1"/>
    <d v="1899-12-30T09:35:37"/>
    <d v="1899-12-30T09:42:42"/>
    <n v="1"/>
    <n v="0"/>
  </r>
  <r>
    <n v="93611539"/>
    <x v="1"/>
    <d v="1899-12-30T09:37:55"/>
    <d v="1899-12-30T09:49:53"/>
    <n v="0"/>
    <n v="1"/>
  </r>
  <r>
    <n v="68966479"/>
    <x v="1"/>
    <d v="1899-12-30T09:43:06"/>
    <d v="1899-12-30T09:44:54"/>
    <n v="0"/>
    <n v="1"/>
  </r>
  <r>
    <n v="79381100"/>
    <x v="1"/>
    <d v="1899-12-30T09:44:51"/>
    <d v="1899-12-30T10:01:22"/>
    <n v="0"/>
    <n v="1"/>
  </r>
  <r>
    <n v="4697138"/>
    <x v="1"/>
    <d v="1899-12-30T09:46:37"/>
    <d v="1899-12-30T09:50:48"/>
    <n v="1"/>
    <n v="0"/>
  </r>
  <r>
    <n v="5786740"/>
    <x v="1"/>
    <d v="1899-12-30T09:47:28"/>
    <d v="1899-12-30T09:57:32"/>
    <n v="1"/>
    <n v="0"/>
  </r>
  <r>
    <n v="7727942"/>
    <x v="1"/>
    <d v="1899-12-30T09:51:48"/>
    <d v="1899-12-30T09:59:14"/>
    <n v="1"/>
    <n v="0"/>
  </r>
  <r>
    <n v="8384647"/>
    <x v="1"/>
    <d v="1899-12-30T09:51:53"/>
    <d v="1899-12-30T10:07:08"/>
    <n v="1"/>
    <n v="0"/>
  </r>
  <r>
    <n v="1858872516"/>
    <x v="1"/>
    <d v="1899-12-30T09:57:45"/>
    <d v="1899-12-30T10:00:02"/>
    <n v="0"/>
    <n v="0"/>
  </r>
  <r>
    <n v="4546455"/>
    <x v="1"/>
    <d v="1899-12-30T10:03:32"/>
    <d v="1899-12-30T10:05:15"/>
    <n v="1"/>
    <n v="0"/>
  </r>
  <r>
    <n v="2668991"/>
    <x v="1"/>
    <d v="1899-12-30T10:08:24"/>
    <d v="1899-12-30T10:16:49"/>
    <n v="1"/>
    <n v="0"/>
  </r>
  <r>
    <n v="5528648"/>
    <x v="1"/>
    <d v="1899-12-30T10:13:19"/>
    <d v="1899-12-30T10:26:12"/>
    <n v="1"/>
    <n v="0"/>
  </r>
  <r>
    <n v="2157195"/>
    <x v="1"/>
    <d v="1899-12-30T10:18:22"/>
    <d v="1899-12-30T10:26:17"/>
    <n v="1"/>
    <n v="0"/>
  </r>
  <r>
    <n v="7747085"/>
    <x v="1"/>
    <d v="1899-12-30T10:22:46"/>
    <d v="1899-12-30T10:28:02"/>
    <n v="1"/>
    <n v="0"/>
  </r>
  <r>
    <n v="6865106"/>
    <x v="1"/>
    <d v="1899-12-30T10:29:53"/>
    <d v="1899-12-30T10:45:49"/>
    <n v="1"/>
    <n v="0"/>
  </r>
  <r>
    <n v="8819206"/>
    <x v="1"/>
    <d v="1899-12-30T10:34:35"/>
    <d v="1899-12-30T10:46:44"/>
    <n v="1"/>
    <n v="0"/>
  </r>
  <r>
    <n v="3990337"/>
    <x v="1"/>
    <d v="1899-12-30T10:35:53"/>
    <d v="1899-12-30T10:43:46"/>
    <n v="1"/>
    <n v="0"/>
  </r>
  <r>
    <n v="4238684"/>
    <x v="1"/>
    <d v="1899-12-30T10:40:19"/>
    <d v="1899-12-30T10:53:09"/>
    <n v="1"/>
    <n v="0"/>
  </r>
  <r>
    <n v="86774913"/>
    <x v="1"/>
    <d v="1899-12-30T10:41:30"/>
    <d v="1899-12-30T10:54:02"/>
    <n v="0"/>
    <n v="1"/>
  </r>
  <r>
    <n v="93696449"/>
    <x v="1"/>
    <d v="1899-12-30T10:48:55"/>
    <d v="1899-12-30T10:56:22"/>
    <n v="0"/>
    <n v="1"/>
  </r>
  <r>
    <n v="1269611"/>
    <x v="1"/>
    <d v="1899-12-30T10:56:35"/>
    <d v="1899-12-30T11:02:33"/>
    <n v="1"/>
    <n v="0"/>
  </r>
  <r>
    <n v="4623731"/>
    <x v="1"/>
    <d v="1899-12-30T11:03:10"/>
    <d v="1899-12-30T11:18:42"/>
    <n v="1"/>
    <n v="0"/>
  </r>
  <r>
    <n v="4623731"/>
    <x v="1"/>
    <d v="1899-12-30T11:08:30"/>
    <d v="1899-12-30T11:14:32"/>
    <n v="1"/>
    <n v="0"/>
  </r>
  <r>
    <n v="3127402"/>
    <x v="1"/>
    <d v="1899-12-30T11:14:48"/>
    <d v="1899-12-30T11:27:34"/>
    <n v="1"/>
    <n v="0"/>
  </r>
  <r>
    <n v="1714791"/>
    <x v="1"/>
    <d v="1899-12-30T11:20:07"/>
    <d v="1899-12-30T11:20:57"/>
    <n v="1"/>
    <n v="0"/>
  </r>
  <r>
    <n v="7768277"/>
    <x v="1"/>
    <d v="1899-12-30T11:23:20"/>
    <d v="1899-12-30T11:31:16"/>
    <n v="1"/>
    <n v="0"/>
  </r>
  <r>
    <n v="4371394"/>
    <x v="1"/>
    <d v="1899-12-30T11:30:44"/>
    <d v="1899-12-30T11:34:36"/>
    <n v="1"/>
    <n v="0"/>
  </r>
  <r>
    <n v="9803545"/>
    <x v="1"/>
    <d v="1899-12-30T11:30:53"/>
    <d v="1899-12-30T11:47:24"/>
    <n v="1"/>
    <n v="0"/>
  </r>
  <r>
    <n v="4176704"/>
    <x v="1"/>
    <d v="1899-12-30T11:30:58"/>
    <d v="1899-12-30T11:44:52"/>
    <n v="1"/>
    <n v="0"/>
  </r>
  <r>
    <n v="90271112"/>
    <x v="1"/>
    <d v="1899-12-30T11:32:02"/>
    <d v="1899-12-30T11:41:14"/>
    <n v="0"/>
    <n v="1"/>
  </r>
  <r>
    <n v="8136309"/>
    <x v="1"/>
    <d v="1899-12-30T11:33:56"/>
    <d v="1899-12-30T11:47:16"/>
    <n v="1"/>
    <n v="0"/>
  </r>
  <r>
    <n v="3178616"/>
    <x v="1"/>
    <d v="1899-12-30T11:35:42"/>
    <d v="1899-12-30T11:47:36"/>
    <n v="1"/>
    <n v="0"/>
  </r>
  <r>
    <n v="27791497"/>
    <x v="1"/>
    <d v="1899-12-30T11:42:46"/>
    <d v="1899-12-30T11:55:26"/>
    <n v="0"/>
    <n v="1"/>
  </r>
  <r>
    <n v="4738129"/>
    <x v="1"/>
    <d v="1899-12-30T11:45:18"/>
    <d v="1899-12-30T12:00:40"/>
    <n v="1"/>
    <n v="0"/>
  </r>
  <r>
    <n v="54840810"/>
    <x v="1"/>
    <d v="1899-12-30T11:51:48"/>
    <d v="1899-12-30T12:03:20"/>
    <n v="0"/>
    <n v="1"/>
  </r>
  <r>
    <n v="8885606"/>
    <x v="1"/>
    <d v="1899-12-30T11:59:47"/>
    <d v="1899-12-30T12:13:50"/>
    <n v="1"/>
    <n v="0"/>
  </r>
  <r>
    <n v="6730442"/>
    <x v="1"/>
    <d v="1899-12-30T12:00:55"/>
    <d v="1899-12-30T12:12:37"/>
    <n v="1"/>
    <n v="0"/>
  </r>
  <r>
    <n v="3326913"/>
    <x v="1"/>
    <d v="1899-12-30T12:08:34"/>
    <d v="1899-12-30T12:22:11"/>
    <n v="1"/>
    <n v="0"/>
  </r>
  <r>
    <n v="9865716"/>
    <x v="1"/>
    <d v="1899-12-30T12:15:30"/>
    <d v="1899-12-30T12:27:13"/>
    <n v="1"/>
    <n v="0"/>
  </r>
  <r>
    <n v="73284745"/>
    <x v="1"/>
    <d v="1899-12-30T12:20:54"/>
    <d v="1899-12-30T12:26:45"/>
    <n v="0"/>
    <n v="1"/>
  </r>
  <r>
    <n v="1761255"/>
    <x v="1"/>
    <d v="1899-12-30T12:28:12"/>
    <d v="1899-12-30T12:32:38"/>
    <n v="1"/>
    <n v="0"/>
  </r>
  <r>
    <n v="48625903"/>
    <x v="1"/>
    <d v="1899-12-30T12:33:10"/>
    <d v="1899-12-30T12:34:25"/>
    <n v="0"/>
    <n v="1"/>
  </r>
  <r>
    <n v="2235911"/>
    <x v="1"/>
    <d v="1899-12-30T12:35:21"/>
    <d v="1899-12-30T12:51:04"/>
    <n v="1"/>
    <n v="0"/>
  </r>
  <r>
    <n v="18036364"/>
    <x v="1"/>
    <d v="1899-12-30T12:43:25"/>
    <d v="1899-12-30T12:47:10"/>
    <n v="0"/>
    <n v="1"/>
  </r>
  <r>
    <n v="38063903"/>
    <x v="1"/>
    <d v="1899-12-30T12:49:54"/>
    <d v="1899-12-30T12:56:32"/>
    <n v="0"/>
    <n v="1"/>
  </r>
  <r>
    <n v="4555937"/>
    <x v="1"/>
    <d v="1899-12-30T12:53:59"/>
    <d v="1899-12-30T13:08:46"/>
    <n v="1"/>
    <n v="0"/>
  </r>
  <r>
    <n v="9422310"/>
    <x v="1"/>
    <d v="1899-12-30T12:59:35"/>
    <d v="1899-12-30T13:12:58"/>
    <n v="1"/>
    <n v="0"/>
  </r>
  <r>
    <n v="16999529"/>
    <x v="1"/>
    <d v="1899-12-30T13:03:18"/>
    <d v="1899-12-30T13:04:06"/>
    <n v="0"/>
    <n v="1"/>
  </r>
  <r>
    <n v="8385222"/>
    <x v="1"/>
    <d v="1899-12-30T13:05:32"/>
    <d v="1899-12-30T13:08:23"/>
    <n v="1"/>
    <n v="0"/>
  </r>
  <r>
    <n v="8086847"/>
    <x v="1"/>
    <d v="1899-12-30T13:10:42"/>
    <d v="1899-12-30T13:15:34"/>
    <n v="1"/>
    <n v="0"/>
  </r>
  <r>
    <n v="5215912"/>
    <x v="1"/>
    <d v="1899-12-30T13:13:50"/>
    <d v="1899-12-30T13:18:16"/>
    <n v="1"/>
    <n v="0"/>
  </r>
  <r>
    <n v="1973826522"/>
    <x v="1"/>
    <d v="1899-12-30T13:19:44"/>
    <d v="1899-12-30T13:24:00"/>
    <n v="0"/>
    <n v="0"/>
  </r>
  <r>
    <n v="2255197"/>
    <x v="1"/>
    <d v="1899-12-30T13:25:02"/>
    <d v="1899-12-30T13:31:20"/>
    <n v="1"/>
    <n v="0"/>
  </r>
  <r>
    <n v="6719542"/>
    <x v="1"/>
    <d v="1899-12-30T13:31:58"/>
    <d v="1899-12-30T13:32:32"/>
    <n v="1"/>
    <n v="0"/>
  </r>
  <r>
    <n v="1837797"/>
    <x v="1"/>
    <d v="1899-12-30T13:39:10"/>
    <d v="1899-12-30T13:48:21"/>
    <n v="1"/>
    <n v="0"/>
  </r>
  <r>
    <n v="6772052"/>
    <x v="1"/>
    <d v="1899-12-30T13:43:45"/>
    <d v="1899-12-30T13:46:09"/>
    <n v="1"/>
    <n v="0"/>
  </r>
  <r>
    <n v="6495517"/>
    <x v="1"/>
    <d v="1899-12-30T13:45:48"/>
    <d v="1899-12-30T14:01:15"/>
    <n v="1"/>
    <n v="0"/>
  </r>
  <r>
    <n v="6275284312"/>
    <x v="1"/>
    <d v="1899-12-30T13:53:12"/>
    <d v="1899-12-30T13:59:28"/>
    <n v="0"/>
    <n v="0"/>
  </r>
  <r>
    <n v="5997385"/>
    <x v="1"/>
    <d v="1899-12-30T13:57:10"/>
    <d v="1899-12-30T13:57:27"/>
    <n v="1"/>
    <n v="0"/>
  </r>
  <r>
    <n v="54586484"/>
    <x v="1"/>
    <d v="1899-12-30T14:00:02"/>
    <d v="1899-12-30T14:01:09"/>
    <n v="0"/>
    <n v="1"/>
  </r>
  <r>
    <n v="8449157"/>
    <x v="1"/>
    <d v="1899-12-30T14:00:38"/>
    <d v="1899-12-30T14:12:17"/>
    <n v="1"/>
    <n v="0"/>
  </r>
  <r>
    <n v="1301099"/>
    <x v="1"/>
    <d v="1899-12-30T14:01:43"/>
    <d v="1899-12-30T14:07:37"/>
    <n v="1"/>
    <n v="0"/>
  </r>
  <r>
    <n v="1774304298"/>
    <x v="1"/>
    <d v="1899-12-30T14:01:43"/>
    <d v="1899-12-30T14:10:52"/>
    <n v="0"/>
    <n v="0"/>
  </r>
  <r>
    <n v="52165701"/>
    <x v="1"/>
    <d v="1899-12-30T14:09:52"/>
    <d v="1899-12-30T14:24:41"/>
    <n v="0"/>
    <n v="1"/>
  </r>
  <r>
    <n v="49158974"/>
    <x v="1"/>
    <d v="1899-12-30T14:15:44"/>
    <d v="1899-12-30T14:22:22"/>
    <n v="0"/>
    <n v="1"/>
  </r>
  <r>
    <n v="6231537"/>
    <x v="1"/>
    <d v="1899-12-30T14:20:39"/>
    <d v="1899-12-30T14:27:47"/>
    <n v="1"/>
    <n v="0"/>
  </r>
  <r>
    <n v="6965661375"/>
    <x v="1"/>
    <d v="1899-12-30T14:23:56"/>
    <d v="1899-12-30T14:30:22"/>
    <n v="0"/>
    <n v="0"/>
  </r>
  <r>
    <n v="4555937"/>
    <x v="1"/>
    <d v="1899-12-30T14:31:20"/>
    <d v="1899-12-30T14:31:20"/>
    <n v="1"/>
    <n v="0"/>
  </r>
  <r>
    <n v="8831940"/>
    <x v="1"/>
    <d v="1899-12-30T14:33:34"/>
    <d v="1899-12-30T14:40:19"/>
    <n v="1"/>
    <n v="0"/>
  </r>
  <r>
    <n v="7421868"/>
    <x v="1"/>
    <d v="1899-12-30T14:40:22"/>
    <d v="1899-12-30T14:47:34"/>
    <n v="1"/>
    <n v="0"/>
  </r>
  <r>
    <n v="5131341"/>
    <x v="1"/>
    <d v="1899-12-30T14:41:05"/>
    <d v="1899-12-30T14:51:19"/>
    <n v="1"/>
    <n v="0"/>
  </r>
  <r>
    <n v="3121850"/>
    <x v="1"/>
    <d v="1899-12-30T14:44:19"/>
    <d v="1899-12-30T14:55:12"/>
    <n v="1"/>
    <n v="0"/>
  </r>
  <r>
    <n v="6905863"/>
    <x v="1"/>
    <d v="1899-12-30T14:50:50"/>
    <d v="1899-12-30T14:57:04"/>
    <n v="1"/>
    <n v="0"/>
  </r>
  <r>
    <n v="2514802"/>
    <x v="1"/>
    <d v="1899-12-30T14:50:50"/>
    <d v="1899-12-30T15:02:17"/>
    <n v="1"/>
    <n v="0"/>
  </r>
  <r>
    <n v="93696449"/>
    <x v="1"/>
    <d v="1899-12-30T14:56:44"/>
    <d v="1899-12-30T15:08:01"/>
    <n v="0"/>
    <n v="1"/>
  </r>
  <r>
    <n v="3931464"/>
    <x v="1"/>
    <d v="1899-12-30T14:58:18"/>
    <d v="1899-12-30T15:10:23"/>
    <n v="1"/>
    <n v="0"/>
  </r>
  <r>
    <n v="1583683"/>
    <x v="1"/>
    <d v="1899-12-30T15:03:42"/>
    <d v="1899-12-30T15:10:18"/>
    <n v="1"/>
    <n v="0"/>
  </r>
  <r>
    <n v="52165701"/>
    <x v="2"/>
    <d v="1899-12-30T08:03:03"/>
    <d v="1899-12-30T08:14:41"/>
    <n v="0"/>
    <n v="1"/>
  </r>
  <r>
    <n v="1521041994"/>
    <x v="2"/>
    <d v="1899-12-30T08:11:02"/>
    <d v="1899-12-30T08:20:24"/>
    <n v="0"/>
    <n v="0"/>
  </r>
  <r>
    <n v="9187410"/>
    <x v="2"/>
    <d v="1899-12-30T08:19:08"/>
    <d v="1899-12-30T08:22:41"/>
    <n v="1"/>
    <n v="0"/>
  </r>
  <r>
    <n v="8228350"/>
    <x v="2"/>
    <d v="1899-12-30T08:19:13"/>
    <d v="1899-12-30T08:20:08"/>
    <n v="1"/>
    <n v="0"/>
  </r>
  <r>
    <n v="8313390"/>
    <x v="2"/>
    <d v="1899-12-30T08:22:37"/>
    <d v="1899-12-30T08:29:30"/>
    <n v="1"/>
    <n v="0"/>
  </r>
  <r>
    <n v="5508903"/>
    <x v="2"/>
    <d v="1899-12-30T08:22:47"/>
    <d v="1899-12-30T08:39:15"/>
    <n v="1"/>
    <n v="0"/>
  </r>
  <r>
    <n v="3102910"/>
    <x v="2"/>
    <d v="1899-12-30T08:26:10"/>
    <d v="1899-12-30T08:33:41"/>
    <n v="1"/>
    <n v="0"/>
  </r>
  <r>
    <n v="45948073"/>
    <x v="2"/>
    <d v="1899-12-30T08:32:16"/>
    <d v="1899-12-30T08:40:44"/>
    <n v="0"/>
    <n v="1"/>
  </r>
  <r>
    <n v="73690742"/>
    <x v="2"/>
    <d v="1899-12-30T08:35:57"/>
    <d v="1899-12-30T08:50:18"/>
    <n v="0"/>
    <n v="1"/>
  </r>
  <r>
    <n v="58037769"/>
    <x v="2"/>
    <d v="1899-12-30T08:42:10"/>
    <d v="1899-12-30T08:48:55"/>
    <n v="0"/>
    <n v="1"/>
  </r>
  <r>
    <n v="3434934"/>
    <x v="2"/>
    <d v="1899-12-30T08:49:21"/>
    <d v="1899-12-30T09:05:06"/>
    <n v="1"/>
    <n v="0"/>
  </r>
  <r>
    <n v="4963499"/>
    <x v="2"/>
    <d v="1899-12-30T08:52:55"/>
    <d v="1899-12-30T08:55:20"/>
    <n v="1"/>
    <n v="0"/>
  </r>
  <r>
    <n v="7904403"/>
    <x v="2"/>
    <d v="1899-12-30T08:58:00"/>
    <d v="1899-12-30T09:03:17"/>
    <n v="1"/>
    <n v="0"/>
  </r>
  <r>
    <n v="4389240"/>
    <x v="2"/>
    <d v="1899-12-30T09:03:03"/>
    <d v="1899-12-30T09:05:34"/>
    <n v="1"/>
    <n v="0"/>
  </r>
  <r>
    <n v="68647339"/>
    <x v="2"/>
    <d v="1899-12-30T09:09:48"/>
    <d v="1899-12-30T09:25:51"/>
    <n v="0"/>
    <n v="1"/>
  </r>
  <r>
    <n v="8461631"/>
    <x v="2"/>
    <d v="1899-12-30T09:12:02"/>
    <d v="1899-12-30T09:13:42"/>
    <n v="1"/>
    <n v="0"/>
  </r>
  <r>
    <n v="3087246"/>
    <x v="2"/>
    <d v="1899-12-30T09:16:19"/>
    <d v="1899-12-30T09:27:14"/>
    <n v="1"/>
    <n v="0"/>
  </r>
  <r>
    <n v="9321082"/>
    <x v="2"/>
    <d v="1899-12-30T09:21:16"/>
    <d v="1899-12-30T09:37:18"/>
    <n v="1"/>
    <n v="0"/>
  </r>
  <r>
    <n v="4941247888"/>
    <x v="2"/>
    <d v="1899-12-30T09:23:15"/>
    <d v="1899-12-30T09:34:08"/>
    <n v="0"/>
    <n v="0"/>
  </r>
  <r>
    <n v="13484133"/>
    <x v="2"/>
    <d v="1899-12-30T09:30:09"/>
    <d v="1899-12-30T09:33:25"/>
    <n v="0"/>
    <n v="1"/>
  </r>
  <r>
    <n v="9610703"/>
    <x v="2"/>
    <d v="1899-12-30T09:37:04"/>
    <d v="1899-12-30T09:47:02"/>
    <n v="1"/>
    <n v="0"/>
  </r>
  <r>
    <n v="7236035"/>
    <x v="2"/>
    <d v="1899-12-30T09:43:27"/>
    <d v="1899-12-30T09:53:08"/>
    <n v="1"/>
    <n v="0"/>
  </r>
  <r>
    <n v="7236035"/>
    <x v="2"/>
    <d v="1899-12-30T09:48:56"/>
    <d v="1899-12-30T10:03:45"/>
    <n v="1"/>
    <n v="0"/>
  </r>
  <r>
    <n v="2675422"/>
    <x v="2"/>
    <d v="1899-12-30T09:56:04"/>
    <d v="1899-12-30T10:05:53"/>
    <n v="1"/>
    <n v="0"/>
  </r>
  <r>
    <n v="99056276"/>
    <x v="2"/>
    <d v="1899-12-30T10:01:12"/>
    <d v="1899-12-30T10:17:38"/>
    <n v="0"/>
    <n v="1"/>
  </r>
  <r>
    <n v="1715377"/>
    <x v="2"/>
    <d v="1899-12-30T10:02:36"/>
    <d v="1899-12-30T10:16:48"/>
    <n v="1"/>
    <n v="0"/>
  </r>
  <r>
    <n v="6700458395"/>
    <x v="2"/>
    <d v="1899-12-30T10:06:57"/>
    <d v="1899-12-30T10:14:34"/>
    <n v="0"/>
    <n v="0"/>
  </r>
  <r>
    <n v="2211277198"/>
    <x v="2"/>
    <d v="1899-12-30T10:07:14"/>
    <d v="1899-12-30T10:09:30"/>
    <n v="0"/>
    <n v="0"/>
  </r>
  <r>
    <n v="9866373"/>
    <x v="2"/>
    <d v="1899-12-30T10:07:43"/>
    <d v="1899-12-30T10:17:50"/>
    <n v="1"/>
    <n v="0"/>
  </r>
  <r>
    <n v="4526057"/>
    <x v="2"/>
    <d v="1899-12-30T10:09:19"/>
    <d v="1899-12-30T10:12:07"/>
    <n v="1"/>
    <n v="0"/>
  </r>
  <r>
    <n v="70786056"/>
    <x v="2"/>
    <d v="1899-12-30T10:09:57"/>
    <d v="1899-12-30T10:12:31"/>
    <n v="0"/>
    <n v="1"/>
  </r>
  <r>
    <n v="9874705"/>
    <x v="2"/>
    <d v="1899-12-30T10:15:28"/>
    <d v="1899-12-30T10:25:05"/>
    <n v="1"/>
    <n v="0"/>
  </r>
  <r>
    <n v="2506618"/>
    <x v="2"/>
    <d v="1899-12-30T10:20:25"/>
    <d v="1899-12-30T10:29:50"/>
    <n v="1"/>
    <n v="0"/>
  </r>
  <r>
    <n v="6312575"/>
    <x v="2"/>
    <d v="1899-12-30T10:22:35"/>
    <d v="1899-12-30T10:36:58"/>
    <n v="1"/>
    <n v="0"/>
  </r>
  <r>
    <n v="9620895"/>
    <x v="2"/>
    <d v="1899-12-30T10:28:15"/>
    <d v="1899-12-30T10:43:53"/>
    <n v="1"/>
    <n v="0"/>
  </r>
  <r>
    <n v="8187780"/>
    <x v="2"/>
    <d v="1899-12-30T10:32:08"/>
    <d v="1899-12-30T10:45:08"/>
    <n v="1"/>
    <n v="0"/>
  </r>
  <r>
    <n v="4176999"/>
    <x v="2"/>
    <d v="1899-12-30T10:35:44"/>
    <d v="1899-12-30T10:51:12"/>
    <n v="1"/>
    <n v="0"/>
  </r>
  <r>
    <n v="9937257"/>
    <x v="2"/>
    <d v="1899-12-30T10:39:07"/>
    <d v="1899-12-30T10:43:39"/>
    <n v="1"/>
    <n v="0"/>
  </r>
  <r>
    <n v="4363716"/>
    <x v="2"/>
    <d v="1899-12-30T10:39:53"/>
    <d v="1899-12-30T10:49:32"/>
    <n v="1"/>
    <n v="0"/>
  </r>
  <r>
    <n v="96323047"/>
    <x v="2"/>
    <d v="1899-12-30T10:47:28"/>
    <d v="1899-12-30T10:52:55"/>
    <n v="0"/>
    <n v="1"/>
  </r>
  <r>
    <n v="2750193"/>
    <x v="2"/>
    <d v="1899-12-30T10:54:25"/>
    <d v="1899-12-30T10:56:06"/>
    <n v="1"/>
    <n v="0"/>
  </r>
  <r>
    <n v="7973319"/>
    <x v="2"/>
    <d v="1899-12-30T10:56:09"/>
    <d v="1899-12-30T11:03:42"/>
    <n v="1"/>
    <n v="0"/>
  </r>
  <r>
    <n v="1908394"/>
    <x v="2"/>
    <d v="1899-12-30T10:59:53"/>
    <d v="1899-12-30T11:14:11"/>
    <n v="1"/>
    <n v="0"/>
  </r>
  <r>
    <n v="19116274"/>
    <x v="2"/>
    <d v="1899-12-30T11:02:52"/>
    <d v="1899-12-30T11:13:53"/>
    <n v="0"/>
    <n v="1"/>
  </r>
  <r>
    <n v="1235622"/>
    <x v="2"/>
    <d v="1899-12-30T11:09:02"/>
    <d v="1899-12-30T11:18:04"/>
    <n v="1"/>
    <n v="0"/>
  </r>
  <r>
    <n v="1926053"/>
    <x v="2"/>
    <d v="1899-12-30T11:13:13"/>
    <d v="1899-12-30T11:15:04"/>
    <n v="1"/>
    <n v="0"/>
  </r>
  <r>
    <n v="1458287"/>
    <x v="2"/>
    <d v="1899-12-30T11:17:40"/>
    <d v="1899-12-30T11:25:13"/>
    <n v="1"/>
    <n v="0"/>
  </r>
  <r>
    <n v="3758539398"/>
    <x v="2"/>
    <d v="1899-12-30T11:21:04"/>
    <d v="1899-12-30T11:24:06"/>
    <n v="0"/>
    <n v="0"/>
  </r>
  <r>
    <n v="8471021"/>
    <x v="2"/>
    <d v="1899-12-30T11:23:01"/>
    <d v="1899-12-30T11:27:33"/>
    <n v="1"/>
    <n v="0"/>
  </r>
  <r>
    <n v="4039284"/>
    <x v="2"/>
    <d v="1899-12-30T11:26:39"/>
    <d v="1899-12-30T11:34:40"/>
    <n v="1"/>
    <n v="0"/>
  </r>
  <r>
    <n v="3177370"/>
    <x v="2"/>
    <d v="1899-12-30T11:30:48"/>
    <d v="1899-12-30T11:40:43"/>
    <n v="1"/>
    <n v="0"/>
  </r>
  <r>
    <n v="7236035"/>
    <x v="2"/>
    <d v="1899-12-30T11:33:21"/>
    <d v="1899-12-30T11:39:35"/>
    <n v="1"/>
    <n v="0"/>
  </r>
  <r>
    <n v="6689117"/>
    <x v="2"/>
    <d v="1899-12-30T11:39:11"/>
    <d v="1899-12-30T11:53:34"/>
    <n v="1"/>
    <n v="0"/>
  </r>
  <r>
    <n v="4824267"/>
    <x v="2"/>
    <d v="1899-12-30T11:41:33"/>
    <d v="1899-12-30T11:52:56"/>
    <n v="1"/>
    <n v="0"/>
  </r>
  <r>
    <n v="6978234"/>
    <x v="2"/>
    <d v="1899-12-30T11:43:47"/>
    <d v="1899-12-30T11:47:30"/>
    <n v="1"/>
    <n v="0"/>
  </r>
  <r>
    <n v="2158377"/>
    <x v="2"/>
    <d v="1899-12-30T11:47:45"/>
    <d v="1899-12-30T11:49:41"/>
    <n v="1"/>
    <n v="0"/>
  </r>
  <r>
    <n v="73970924"/>
    <x v="2"/>
    <d v="1899-12-30T11:50:27"/>
    <d v="1899-12-30T11:51:25"/>
    <n v="0"/>
    <n v="1"/>
  </r>
  <r>
    <n v="6927270"/>
    <x v="2"/>
    <d v="1899-12-30T11:53:50"/>
    <d v="1899-12-30T12:07:26"/>
    <n v="1"/>
    <n v="0"/>
  </r>
  <r>
    <n v="7318247385"/>
    <x v="2"/>
    <d v="1899-12-30T11:54:11"/>
    <d v="1899-12-30T11:58:22"/>
    <n v="0"/>
    <n v="0"/>
  </r>
  <r>
    <n v="1579531"/>
    <x v="2"/>
    <d v="1899-12-30T12:01:56"/>
    <d v="1899-12-30T12:12:35"/>
    <n v="1"/>
    <n v="0"/>
  </r>
  <r>
    <n v="9593481"/>
    <x v="2"/>
    <d v="1899-12-30T12:02:35"/>
    <d v="1899-12-30T12:03:35"/>
    <n v="1"/>
    <n v="0"/>
  </r>
  <r>
    <n v="6657074"/>
    <x v="2"/>
    <d v="1899-12-30T12:04:09"/>
    <d v="1899-12-30T12:17:59"/>
    <n v="1"/>
    <n v="0"/>
  </r>
  <r>
    <n v="1488369"/>
    <x v="2"/>
    <d v="1899-12-30T12:06:35"/>
    <d v="1899-12-30T12:22:05"/>
    <n v="1"/>
    <n v="0"/>
  </r>
  <r>
    <n v="1797960"/>
    <x v="2"/>
    <d v="1899-12-30T12:14:47"/>
    <d v="1899-12-30T12:22:26"/>
    <n v="1"/>
    <n v="0"/>
  </r>
  <r>
    <n v="65923776"/>
    <x v="2"/>
    <d v="1899-12-30T12:20:00"/>
    <d v="1899-12-30T12:24:06"/>
    <n v="0"/>
    <n v="1"/>
  </r>
  <r>
    <n v="3407358"/>
    <x v="2"/>
    <d v="1899-12-30T12:26:19"/>
    <d v="1899-12-30T12:28:36"/>
    <n v="1"/>
    <n v="0"/>
  </r>
  <r>
    <n v="1887758"/>
    <x v="2"/>
    <d v="1899-12-30T12:27:08"/>
    <d v="1899-12-30T12:37:59"/>
    <n v="1"/>
    <n v="0"/>
  </r>
  <r>
    <n v="9983997"/>
    <x v="2"/>
    <d v="1899-12-30T12:34:51"/>
    <d v="1899-12-30T12:49:43"/>
    <n v="1"/>
    <n v="0"/>
  </r>
  <r>
    <n v="3539762"/>
    <x v="2"/>
    <d v="1899-12-30T12:36:02"/>
    <d v="1899-12-30T12:38:07"/>
    <n v="1"/>
    <n v="0"/>
  </r>
  <r>
    <n v="58067439"/>
    <x v="2"/>
    <d v="1899-12-30T12:37:33"/>
    <d v="1899-12-30T12:38:20"/>
    <n v="0"/>
    <n v="1"/>
  </r>
  <r>
    <n v="6760428735"/>
    <x v="2"/>
    <d v="1899-12-30T12:40:29"/>
    <d v="1899-12-30T12:46:01"/>
    <n v="0"/>
    <n v="0"/>
  </r>
  <r>
    <n v="9803006"/>
    <x v="2"/>
    <d v="1899-12-30T12:46:34"/>
    <d v="1899-12-30T12:59:17"/>
    <n v="1"/>
    <n v="0"/>
  </r>
  <r>
    <n v="5312081"/>
    <x v="2"/>
    <d v="1899-12-30T12:48:34"/>
    <d v="1899-12-30T12:57:29"/>
    <n v="1"/>
    <n v="0"/>
  </r>
  <r>
    <n v="7114306"/>
    <x v="2"/>
    <d v="1899-12-30T12:51:57"/>
    <d v="1899-12-30T12:59:06"/>
    <n v="1"/>
    <n v="0"/>
  </r>
  <r>
    <n v="7594764"/>
    <x v="2"/>
    <d v="1899-12-30T12:55:27"/>
    <d v="1899-12-30T12:56:48"/>
    <n v="1"/>
    <n v="0"/>
  </r>
  <r>
    <n v="3004571"/>
    <x v="2"/>
    <d v="1899-12-30T13:00:24"/>
    <d v="1899-12-30T13:07:12"/>
    <n v="1"/>
    <n v="0"/>
  </r>
  <r>
    <n v="6689117"/>
    <x v="2"/>
    <d v="1899-12-30T13:06:23"/>
    <d v="1899-12-30T13:18:16"/>
    <n v="1"/>
    <n v="0"/>
  </r>
  <r>
    <n v="1081610"/>
    <x v="2"/>
    <d v="1899-12-30T13:09:15"/>
    <d v="1899-12-30T13:20:11"/>
    <n v="1"/>
    <n v="0"/>
  </r>
  <r>
    <n v="20220216"/>
    <x v="2"/>
    <d v="1899-12-30T13:09:57"/>
    <d v="1899-12-30T13:24:40"/>
    <n v="0"/>
    <n v="1"/>
  </r>
  <r>
    <n v="79890857"/>
    <x v="2"/>
    <d v="1899-12-30T13:09:59"/>
    <d v="1899-12-30T13:26:16"/>
    <n v="0"/>
    <n v="1"/>
  </r>
  <r>
    <n v="4600571814"/>
    <x v="2"/>
    <d v="1899-12-30T13:14:24"/>
    <d v="1899-12-30T13:24:28"/>
    <n v="0"/>
    <n v="0"/>
  </r>
  <r>
    <n v="1579531"/>
    <x v="2"/>
    <d v="1899-12-30T13:15:50"/>
    <d v="1899-12-30T13:32:14"/>
    <n v="1"/>
    <n v="0"/>
  </r>
  <r>
    <n v="7110850"/>
    <x v="2"/>
    <d v="1899-12-30T13:15:53"/>
    <d v="1899-12-30T13:31:31"/>
    <n v="1"/>
    <n v="0"/>
  </r>
  <r>
    <n v="18036364"/>
    <x v="2"/>
    <d v="1899-12-30T13:24:12"/>
    <d v="1899-12-30T13:28:48"/>
    <n v="0"/>
    <n v="1"/>
  </r>
  <r>
    <n v="6712006"/>
    <x v="2"/>
    <d v="1899-12-30T13:27:56"/>
    <d v="1899-12-30T13:36:43"/>
    <n v="1"/>
    <n v="0"/>
  </r>
  <r>
    <n v="5646830"/>
    <x v="2"/>
    <d v="1899-12-30T13:31:36"/>
    <d v="1899-12-30T13:47:34"/>
    <n v="1"/>
    <n v="0"/>
  </r>
  <r>
    <n v="38535407"/>
    <x v="2"/>
    <d v="1899-12-30T13:34:35"/>
    <d v="1899-12-30T13:40:32"/>
    <n v="0"/>
    <n v="1"/>
  </r>
  <r>
    <n v="66871690"/>
    <x v="2"/>
    <d v="1899-12-30T13:36:32"/>
    <d v="1899-12-30T13:50:22"/>
    <n v="0"/>
    <n v="1"/>
  </r>
  <r>
    <n v="7085993"/>
    <x v="2"/>
    <d v="1899-12-30T13:43:34"/>
    <d v="1899-12-30T13:48:06"/>
    <n v="1"/>
    <n v="0"/>
  </r>
  <r>
    <n v="2890720"/>
    <x v="2"/>
    <d v="1899-12-30T13:49:17"/>
    <d v="1899-12-30T13:50:08"/>
    <n v="1"/>
    <n v="0"/>
  </r>
  <r>
    <n v="8375968"/>
    <x v="2"/>
    <d v="1899-12-30T13:53:15"/>
    <d v="1899-12-30T13:54:33"/>
    <n v="1"/>
    <n v="0"/>
  </r>
  <r>
    <n v="1119740"/>
    <x v="2"/>
    <d v="1899-12-30T13:53:25"/>
    <d v="1899-12-30T13:56:52"/>
    <n v="1"/>
    <n v="0"/>
  </r>
  <r>
    <n v="3796958"/>
    <x v="2"/>
    <d v="1899-12-30T13:53:47"/>
    <d v="1899-12-30T14:08:45"/>
    <n v="1"/>
    <n v="0"/>
  </r>
  <r>
    <n v="8010775"/>
    <x v="2"/>
    <d v="1899-12-30T13:59:10"/>
    <d v="1899-12-30T14:02:46"/>
    <n v="1"/>
    <n v="0"/>
  </r>
  <r>
    <n v="46023878"/>
    <x v="2"/>
    <d v="1899-12-30T14:07:09"/>
    <d v="1899-12-30T14:18:50"/>
    <n v="0"/>
    <n v="1"/>
  </r>
  <r>
    <n v="3379007610"/>
    <x v="2"/>
    <d v="1899-12-30T14:13:39"/>
    <d v="1899-12-30T14:22:09"/>
    <n v="0"/>
    <n v="0"/>
  </r>
  <r>
    <n v="2890519255"/>
    <x v="2"/>
    <d v="1899-12-30T14:17:38"/>
    <d v="1899-12-30T14:23:00"/>
    <n v="0"/>
    <n v="0"/>
  </r>
  <r>
    <n v="27858818"/>
    <x v="2"/>
    <d v="1899-12-30T14:19:57"/>
    <d v="1899-12-30T14:34:15"/>
    <n v="0"/>
    <n v="1"/>
  </r>
  <r>
    <n v="5076649"/>
    <x v="2"/>
    <d v="1899-12-30T14:21:10"/>
    <d v="1899-12-30T14:27:13"/>
    <n v="1"/>
    <n v="0"/>
  </r>
  <r>
    <n v="70367818"/>
    <x v="2"/>
    <d v="1899-12-30T14:21:27"/>
    <d v="1899-12-30T14:25:07"/>
    <n v="0"/>
    <n v="1"/>
  </r>
  <r>
    <n v="9788998"/>
    <x v="2"/>
    <d v="1899-12-30T14:25:01"/>
    <d v="1899-12-30T14:34:54"/>
    <n v="1"/>
    <n v="0"/>
  </r>
  <r>
    <n v="1951101"/>
    <x v="2"/>
    <d v="1899-12-30T14:29:28"/>
    <d v="1899-12-30T14:44:09"/>
    <n v="1"/>
    <n v="0"/>
  </r>
  <r>
    <n v="4546455"/>
    <x v="2"/>
    <d v="1899-12-30T14:29:52"/>
    <d v="1899-12-30T14:41:01"/>
    <n v="1"/>
    <n v="0"/>
  </r>
  <r>
    <n v="12687991"/>
    <x v="2"/>
    <d v="1899-12-30T14:33:31"/>
    <d v="1899-12-30T14:36:31"/>
    <n v="0"/>
    <n v="1"/>
  </r>
  <r>
    <n v="4328583"/>
    <x v="2"/>
    <d v="1899-12-30T14:37:21"/>
    <d v="1899-12-30T14:40:14"/>
    <n v="1"/>
    <n v="0"/>
  </r>
  <r>
    <n v="2184116"/>
    <x v="2"/>
    <d v="1899-12-30T14:42:01"/>
    <d v="1899-12-30T14:52:47"/>
    <n v="1"/>
    <n v="0"/>
  </r>
  <r>
    <n v="24724570"/>
    <x v="2"/>
    <d v="1899-12-30T14:44:36"/>
    <d v="1899-12-30T14:50:33"/>
    <n v="0"/>
    <n v="1"/>
  </r>
  <r>
    <n v="4843076"/>
    <x v="2"/>
    <d v="1899-12-30T14:52:11"/>
    <d v="1899-12-30T14:56:17"/>
    <n v="1"/>
    <n v="0"/>
  </r>
  <r>
    <n v="7795911"/>
    <x v="2"/>
    <d v="1899-12-30T14:53:29"/>
    <d v="1899-12-30T15:03:06"/>
    <n v="1"/>
    <n v="0"/>
  </r>
  <r>
    <n v="42722517"/>
    <x v="2"/>
    <d v="1899-12-30T14:54:10"/>
    <d v="1899-12-30T15:02:42"/>
    <n v="0"/>
    <n v="1"/>
  </r>
  <r>
    <n v="9697189"/>
    <x v="2"/>
    <d v="1899-12-30T14:56:25"/>
    <d v="1899-12-30T14:57:43"/>
    <n v="1"/>
    <n v="0"/>
  </r>
  <r>
    <n v="4471203"/>
    <x v="2"/>
    <d v="1899-12-30T14:58:37"/>
    <d v="1899-12-30T15:06:17"/>
    <n v="1"/>
    <n v="0"/>
  </r>
  <r>
    <n v="1439114"/>
    <x v="2"/>
    <d v="1899-12-30T15:01:17"/>
    <d v="1899-12-30T15:03:57"/>
    <n v="1"/>
    <n v="0"/>
  </r>
  <r>
    <n v="5822881"/>
    <x v="3"/>
    <d v="1899-12-30T08:03:12"/>
    <d v="1899-12-30T08:11:35"/>
    <n v="1"/>
    <n v="0"/>
  </r>
  <r>
    <n v="6027120"/>
    <x v="3"/>
    <d v="1899-12-30T08:06:56"/>
    <d v="1899-12-30T08:12:57"/>
    <n v="1"/>
    <n v="0"/>
  </r>
  <r>
    <n v="2790475"/>
    <x v="3"/>
    <d v="1899-12-30T08:14:38"/>
    <d v="1899-12-30T08:23:30"/>
    <n v="1"/>
    <n v="0"/>
  </r>
  <r>
    <n v="30893038"/>
    <x v="3"/>
    <d v="1899-12-30T08:19:48"/>
    <d v="1899-12-30T08:22:44"/>
    <n v="0"/>
    <n v="1"/>
  </r>
  <r>
    <n v="5076649"/>
    <x v="3"/>
    <d v="1899-12-30T08:26:21"/>
    <d v="1899-12-30T08:33:39"/>
    <n v="1"/>
    <n v="0"/>
  </r>
  <r>
    <n v="5013602"/>
    <x v="3"/>
    <d v="1899-12-30T08:31:39"/>
    <d v="1899-12-30T08:42:51"/>
    <n v="1"/>
    <n v="0"/>
  </r>
  <r>
    <n v="5696056"/>
    <x v="3"/>
    <d v="1899-12-30T08:39:48"/>
    <d v="1899-12-30T08:46:06"/>
    <n v="1"/>
    <n v="0"/>
  </r>
  <r>
    <n v="11274735"/>
    <x v="3"/>
    <d v="1899-12-30T08:47:18"/>
    <d v="1899-12-30T08:53:21"/>
    <n v="0"/>
    <n v="1"/>
  </r>
  <r>
    <n v="1158631"/>
    <x v="3"/>
    <d v="1899-12-30T08:47:40"/>
    <d v="1899-12-30T09:02:07"/>
    <n v="1"/>
    <n v="0"/>
  </r>
  <r>
    <n v="6009110"/>
    <x v="3"/>
    <d v="1899-12-30T08:54:08"/>
    <d v="1899-12-30T08:55:35"/>
    <n v="1"/>
    <n v="0"/>
  </r>
  <r>
    <n v="6644360383"/>
    <x v="3"/>
    <d v="1899-12-30T08:57:36"/>
    <d v="1899-12-30T09:06:45"/>
    <n v="0"/>
    <n v="0"/>
  </r>
  <r>
    <n v="6045882"/>
    <x v="3"/>
    <d v="1899-12-30T09:04:19"/>
    <d v="1899-12-30T09:12:38"/>
    <n v="1"/>
    <n v="0"/>
  </r>
  <r>
    <n v="4113351"/>
    <x v="3"/>
    <d v="1899-12-30T09:05:57"/>
    <d v="1899-12-30T09:07:13"/>
    <n v="1"/>
    <n v="0"/>
  </r>
  <r>
    <n v="9777118"/>
    <x v="3"/>
    <d v="1899-12-30T09:09:27"/>
    <d v="1899-12-30T09:18:28"/>
    <n v="1"/>
    <n v="0"/>
  </r>
  <r>
    <n v="1659814"/>
    <x v="3"/>
    <d v="1899-12-30T09:13:12"/>
    <d v="1899-12-30T09:29:35"/>
    <n v="1"/>
    <n v="0"/>
  </r>
  <r>
    <n v="26204415"/>
    <x v="3"/>
    <d v="1899-12-30T09:18:49"/>
    <d v="1899-12-30T09:23:41"/>
    <n v="0"/>
    <n v="1"/>
  </r>
  <r>
    <n v="8471544"/>
    <x v="3"/>
    <d v="1899-12-30T09:21:02"/>
    <d v="1899-12-30T09:28:47"/>
    <n v="1"/>
    <n v="0"/>
  </r>
  <r>
    <n v="3379401"/>
    <x v="3"/>
    <d v="1899-12-30T09:28:19"/>
    <d v="1899-12-30T09:43:13"/>
    <n v="1"/>
    <n v="0"/>
  </r>
  <r>
    <n v="5912377607"/>
    <x v="3"/>
    <d v="1899-12-30T09:30:26"/>
    <d v="1899-12-30T09:34:06"/>
    <n v="0"/>
    <n v="0"/>
  </r>
  <r>
    <n v="77705897"/>
    <x v="3"/>
    <d v="1899-12-30T09:35:22"/>
    <d v="1899-12-30T09:36:22"/>
    <n v="0"/>
    <n v="1"/>
  </r>
  <r>
    <n v="5894865"/>
    <x v="3"/>
    <d v="1899-12-30T09:39:41"/>
    <d v="1899-12-30T09:43:59"/>
    <n v="1"/>
    <n v="0"/>
  </r>
  <r>
    <n v="7449832"/>
    <x v="3"/>
    <d v="1899-12-30T09:44:03"/>
    <d v="1899-12-30T09:56:32"/>
    <n v="1"/>
    <n v="0"/>
  </r>
  <r>
    <n v="49390412"/>
    <x v="3"/>
    <d v="1899-12-30T09:45:18"/>
    <d v="1899-12-30T09:59:01"/>
    <n v="0"/>
    <n v="1"/>
  </r>
  <r>
    <n v="6156594"/>
    <x v="3"/>
    <d v="1899-12-30T09:52:27"/>
    <d v="1899-12-30T10:07:14"/>
    <n v="1"/>
    <n v="0"/>
  </r>
  <r>
    <n v="5006675"/>
    <x v="3"/>
    <d v="1899-12-30T09:54:43"/>
    <d v="1899-12-30T10:04:08"/>
    <n v="1"/>
    <n v="0"/>
  </r>
  <r>
    <n v="2096180"/>
    <x v="3"/>
    <d v="1899-12-30T09:55:28"/>
    <d v="1899-12-30T10:00:03"/>
    <n v="1"/>
    <n v="0"/>
  </r>
  <r>
    <n v="8214927"/>
    <x v="3"/>
    <d v="1899-12-30T09:59:36"/>
    <d v="1899-12-30T10:06:29"/>
    <n v="1"/>
    <n v="0"/>
  </r>
  <r>
    <n v="5816822"/>
    <x v="3"/>
    <d v="1899-12-30T10:00:15"/>
    <d v="1899-12-30T10:09:15"/>
    <n v="1"/>
    <n v="0"/>
  </r>
  <r>
    <n v="9683894"/>
    <x v="3"/>
    <d v="1899-12-30T10:05:28"/>
    <d v="1899-12-30T10:06:03"/>
    <n v="1"/>
    <n v="0"/>
  </r>
  <r>
    <n v="2808052"/>
    <x v="3"/>
    <d v="1899-12-30T10:06:53"/>
    <d v="1899-12-30T10:20:21"/>
    <n v="1"/>
    <n v="0"/>
  </r>
  <r>
    <n v="18084593"/>
    <x v="3"/>
    <d v="1899-12-30T10:11:45"/>
    <d v="1899-12-30T10:23:25"/>
    <n v="0"/>
    <n v="1"/>
  </r>
  <r>
    <n v="1390402"/>
    <x v="3"/>
    <d v="1899-12-30T10:17:29"/>
    <d v="1899-12-30T10:34:06"/>
    <n v="1"/>
    <n v="0"/>
  </r>
  <r>
    <n v="44200961"/>
    <x v="3"/>
    <d v="1899-12-30T10:18:03"/>
    <d v="1899-12-30T10:26:52"/>
    <n v="0"/>
    <n v="1"/>
  </r>
  <r>
    <n v="5859235"/>
    <x v="3"/>
    <d v="1899-12-30T10:19:44"/>
    <d v="1899-12-30T10:25:38"/>
    <n v="1"/>
    <n v="0"/>
  </r>
  <r>
    <n v="51855396"/>
    <x v="3"/>
    <d v="1899-12-30T10:23:02"/>
    <d v="1899-12-30T10:38:51"/>
    <n v="0"/>
    <n v="1"/>
  </r>
  <r>
    <n v="8768896"/>
    <x v="3"/>
    <d v="1899-12-30T10:27:42"/>
    <d v="1899-12-30T10:35:26"/>
    <n v="1"/>
    <n v="0"/>
  </r>
  <r>
    <n v="9088045"/>
    <x v="3"/>
    <d v="1899-12-30T10:34:31"/>
    <d v="1899-12-30T10:37:43"/>
    <n v="1"/>
    <n v="0"/>
  </r>
  <r>
    <n v="9872216"/>
    <x v="3"/>
    <d v="1899-12-30T10:36:29"/>
    <d v="1899-12-30T10:46:22"/>
    <n v="1"/>
    <n v="0"/>
  </r>
  <r>
    <n v="8369815"/>
    <x v="3"/>
    <d v="1899-12-30T10:38:39"/>
    <d v="1899-12-30T10:41:13"/>
    <n v="1"/>
    <n v="0"/>
  </r>
  <r>
    <n v="3370151"/>
    <x v="3"/>
    <d v="1899-12-30T10:40:07"/>
    <d v="1899-12-30T10:46:54"/>
    <n v="1"/>
    <n v="0"/>
  </r>
  <r>
    <n v="1488369"/>
    <x v="3"/>
    <d v="1899-12-30T10:46:09"/>
    <d v="1899-12-30T10:57:02"/>
    <n v="1"/>
    <n v="0"/>
  </r>
  <r>
    <n v="4132754"/>
    <x v="3"/>
    <d v="1899-12-30T10:52:03"/>
    <d v="1899-12-30T10:53:24"/>
    <n v="1"/>
    <n v="0"/>
  </r>
  <r>
    <n v="66638685"/>
    <x v="3"/>
    <d v="1899-12-30T10:53:47"/>
    <d v="1899-12-30T11:08:15"/>
    <n v="0"/>
    <n v="1"/>
  </r>
  <r>
    <n v="6818507"/>
    <x v="3"/>
    <d v="1899-12-30T11:00:08"/>
    <d v="1899-12-30T11:07:53"/>
    <n v="1"/>
    <n v="0"/>
  </r>
  <r>
    <n v="93611539"/>
    <x v="3"/>
    <d v="1899-12-30T11:00:17"/>
    <d v="1899-12-30T11:12:07"/>
    <n v="0"/>
    <n v="1"/>
  </r>
  <r>
    <n v="2890519255"/>
    <x v="3"/>
    <d v="1899-12-30T11:04:24"/>
    <d v="1899-12-30T11:14:27"/>
    <n v="0"/>
    <n v="0"/>
  </r>
  <r>
    <n v="66336445"/>
    <x v="3"/>
    <d v="1899-12-30T11:07:03"/>
    <d v="1899-12-30T11:08:27"/>
    <n v="0"/>
    <n v="1"/>
  </r>
  <r>
    <n v="9356324"/>
    <x v="3"/>
    <d v="1899-12-30T11:07:17"/>
    <d v="1899-12-30T11:22:56"/>
    <n v="1"/>
    <n v="0"/>
  </r>
  <r>
    <n v="5111892302"/>
    <x v="3"/>
    <d v="1899-12-30T11:14:57"/>
    <d v="1899-12-30T11:21:24"/>
    <n v="0"/>
    <n v="0"/>
  </r>
  <r>
    <n v="2435007"/>
    <x v="3"/>
    <d v="1899-12-30T11:22:30"/>
    <d v="1899-12-30T11:22:54"/>
    <n v="1"/>
    <n v="0"/>
  </r>
  <r>
    <n v="6694568"/>
    <x v="3"/>
    <d v="1899-12-30T11:29:16"/>
    <d v="1899-12-30T11:44:30"/>
    <n v="1"/>
    <n v="0"/>
  </r>
  <r>
    <n v="6420583"/>
    <x v="3"/>
    <d v="1899-12-30T11:31:12"/>
    <d v="1899-12-30T11:38:58"/>
    <n v="1"/>
    <n v="0"/>
  </r>
  <r>
    <n v="19835498"/>
    <x v="3"/>
    <d v="1899-12-30T11:38:05"/>
    <d v="1899-12-30T11:48:58"/>
    <n v="0"/>
    <n v="1"/>
  </r>
  <r>
    <n v="6663334"/>
    <x v="3"/>
    <d v="1899-12-30T11:39:55"/>
    <d v="1899-12-30T11:51:06"/>
    <n v="1"/>
    <n v="0"/>
  </r>
  <r>
    <n v="44765837"/>
    <x v="3"/>
    <d v="1899-12-30T11:43:44"/>
    <d v="1899-12-30T11:50:33"/>
    <n v="0"/>
    <n v="1"/>
  </r>
  <r>
    <n v="2469778"/>
    <x v="3"/>
    <d v="1899-12-30T11:49:00"/>
    <d v="1899-12-30T11:56:50"/>
    <n v="1"/>
    <n v="0"/>
  </r>
  <r>
    <n v="1959826"/>
    <x v="3"/>
    <d v="1899-12-30T11:50:58"/>
    <d v="1899-12-30T12:06:17"/>
    <n v="1"/>
    <n v="0"/>
  </r>
  <r>
    <n v="37032078"/>
    <x v="3"/>
    <d v="1899-12-30T11:51:11"/>
    <d v="1899-12-30T12:06:03"/>
    <n v="0"/>
    <n v="1"/>
  </r>
  <r>
    <n v="6516512"/>
    <x v="3"/>
    <d v="1899-12-30T11:51:55"/>
    <d v="1899-12-30T11:58:42"/>
    <n v="1"/>
    <n v="0"/>
  </r>
  <r>
    <n v="4726561"/>
    <x v="3"/>
    <d v="1899-12-30T11:58:43"/>
    <d v="1899-12-30T12:01:25"/>
    <n v="1"/>
    <n v="0"/>
  </r>
  <r>
    <n v="9685747"/>
    <x v="3"/>
    <d v="1899-12-30T12:04:56"/>
    <d v="1899-12-30T12:20:03"/>
    <n v="1"/>
    <n v="0"/>
  </r>
  <r>
    <n v="7507354"/>
    <x v="3"/>
    <d v="1899-12-30T12:10:05"/>
    <d v="1899-12-30T12:17:05"/>
    <n v="1"/>
    <n v="0"/>
  </r>
  <r>
    <n v="8605742"/>
    <x v="3"/>
    <d v="1899-12-30T12:17:09"/>
    <d v="1899-12-30T12:32:57"/>
    <n v="1"/>
    <n v="0"/>
  </r>
  <r>
    <n v="4681236"/>
    <x v="3"/>
    <d v="1899-12-30T12:20:55"/>
    <d v="1899-12-30T12:22:37"/>
    <n v="1"/>
    <n v="0"/>
  </r>
  <r>
    <n v="3590468"/>
    <x v="3"/>
    <d v="1899-12-30T12:22:25"/>
    <d v="1899-12-30T12:37:03"/>
    <n v="1"/>
    <n v="0"/>
  </r>
  <r>
    <n v="9878283"/>
    <x v="3"/>
    <d v="1899-12-30T12:26:46"/>
    <d v="1899-12-30T12:39:59"/>
    <n v="1"/>
    <n v="0"/>
  </r>
  <r>
    <n v="5991516"/>
    <x v="3"/>
    <d v="1899-12-30T12:31:56"/>
    <d v="1899-12-30T12:45:42"/>
    <n v="1"/>
    <n v="0"/>
  </r>
  <r>
    <n v="1240369"/>
    <x v="3"/>
    <d v="1899-12-30T12:39:51"/>
    <d v="1899-12-30T12:41:03"/>
    <n v="1"/>
    <n v="0"/>
  </r>
  <r>
    <n v="25133293"/>
    <x v="3"/>
    <d v="1899-12-30T12:41:37"/>
    <d v="1899-12-30T12:53:52"/>
    <n v="0"/>
    <n v="1"/>
  </r>
  <r>
    <n v="5036422"/>
    <x v="3"/>
    <d v="1899-12-30T12:43:00"/>
    <d v="1899-12-30T12:43:53"/>
    <n v="1"/>
    <n v="0"/>
  </r>
  <r>
    <n v="4283724"/>
    <x v="3"/>
    <d v="1899-12-30T12:45:08"/>
    <d v="1899-12-30T12:53:50"/>
    <n v="1"/>
    <n v="0"/>
  </r>
  <r>
    <n v="5856822"/>
    <x v="3"/>
    <d v="1899-12-30T12:48:23"/>
    <d v="1899-12-30T12:49:58"/>
    <n v="1"/>
    <n v="0"/>
  </r>
  <r>
    <n v="7880396"/>
    <x v="3"/>
    <d v="1899-12-30T12:54:40"/>
    <d v="1899-12-30T13:04:30"/>
    <n v="1"/>
    <n v="0"/>
  </r>
  <r>
    <n v="2201085"/>
    <x v="3"/>
    <d v="1899-12-30T12:58:39"/>
    <d v="1899-12-30T13:04:07"/>
    <n v="1"/>
    <n v="0"/>
  </r>
  <r>
    <n v="30893038"/>
    <x v="3"/>
    <d v="1899-12-30T12:58:47"/>
    <d v="1899-12-30T13:11:56"/>
    <n v="0"/>
    <n v="1"/>
  </r>
  <r>
    <n v="9319894"/>
    <x v="3"/>
    <d v="1899-12-30T13:00:35"/>
    <d v="1899-12-30T13:11:20"/>
    <n v="1"/>
    <n v="0"/>
  </r>
  <r>
    <n v="3211876"/>
    <x v="3"/>
    <d v="1899-12-30T13:07:35"/>
    <d v="1899-12-30T13:08:51"/>
    <n v="1"/>
    <n v="0"/>
  </r>
  <r>
    <n v="4736016"/>
    <x v="3"/>
    <d v="1899-12-30T13:13:40"/>
    <d v="1899-12-30T13:15:35"/>
    <n v="1"/>
    <n v="0"/>
  </r>
  <r>
    <n v="8063487"/>
    <x v="3"/>
    <d v="1899-12-30T13:15:53"/>
    <d v="1899-12-30T13:26:39"/>
    <n v="1"/>
    <n v="0"/>
  </r>
  <r>
    <n v="1319121"/>
    <x v="3"/>
    <d v="1899-12-30T13:21:24"/>
    <d v="1899-12-30T13:21:50"/>
    <n v="1"/>
    <n v="0"/>
  </r>
  <r>
    <n v="5026277"/>
    <x v="3"/>
    <d v="1899-12-30T13:25:58"/>
    <d v="1899-12-30T13:34:22"/>
    <n v="1"/>
    <n v="0"/>
  </r>
  <r>
    <n v="8768896"/>
    <x v="3"/>
    <d v="1899-12-30T13:26:09"/>
    <d v="1899-12-30T13:41:22"/>
    <n v="1"/>
    <n v="0"/>
  </r>
  <r>
    <n v="48661666"/>
    <x v="3"/>
    <d v="1899-12-30T13:28:11"/>
    <d v="1899-12-30T13:31:49"/>
    <n v="0"/>
    <n v="1"/>
  </r>
  <r>
    <n v="9304830"/>
    <x v="3"/>
    <d v="1899-12-30T13:36:04"/>
    <d v="1899-12-30T13:38:23"/>
    <n v="1"/>
    <n v="0"/>
  </r>
  <r>
    <n v="3040267"/>
    <x v="3"/>
    <d v="1899-12-30T13:37:02"/>
    <d v="1899-12-30T13:53:10"/>
    <n v="1"/>
    <n v="0"/>
  </r>
  <r>
    <n v="8405954"/>
    <x v="3"/>
    <d v="1899-12-30T13:43:10"/>
    <d v="1899-12-30T13:48:25"/>
    <n v="1"/>
    <n v="0"/>
  </r>
  <r>
    <n v="75873682"/>
    <x v="3"/>
    <d v="1899-12-30T13:46:33"/>
    <d v="1899-12-30T14:01:01"/>
    <n v="0"/>
    <n v="1"/>
  </r>
  <r>
    <n v="5984039"/>
    <x v="3"/>
    <d v="1899-12-30T13:49:15"/>
    <d v="1899-12-30T13:54:56"/>
    <n v="1"/>
    <n v="0"/>
  </r>
  <r>
    <n v="9807682"/>
    <x v="3"/>
    <d v="1899-12-30T13:49:20"/>
    <d v="1899-12-30T13:54:07"/>
    <n v="1"/>
    <n v="0"/>
  </r>
  <r>
    <n v="3029994"/>
    <x v="3"/>
    <d v="1899-12-30T13:51:25"/>
    <d v="1899-12-30T14:00:50"/>
    <n v="1"/>
    <n v="0"/>
  </r>
  <r>
    <n v="9415767851"/>
    <x v="3"/>
    <d v="1899-12-30T13:59:09"/>
    <d v="1899-12-30T13:59:39"/>
    <n v="0"/>
    <n v="0"/>
  </r>
  <r>
    <n v="2388040"/>
    <x v="3"/>
    <d v="1899-12-30T14:02:21"/>
    <d v="1899-12-30T14:14:25"/>
    <n v="1"/>
    <n v="0"/>
  </r>
  <r>
    <n v="41974998"/>
    <x v="3"/>
    <d v="1899-12-30T14:08:01"/>
    <d v="1899-12-30T14:18:27"/>
    <n v="0"/>
    <n v="1"/>
  </r>
  <r>
    <n v="8400710"/>
    <x v="3"/>
    <d v="1899-12-30T14:12:14"/>
    <d v="1899-12-30T14:15:01"/>
    <n v="1"/>
    <n v="0"/>
  </r>
  <r>
    <n v="1088377750"/>
    <x v="3"/>
    <d v="1899-12-30T14:19:12"/>
    <d v="1899-12-30T14:20:28"/>
    <n v="0"/>
    <n v="0"/>
  </r>
  <r>
    <n v="62016185"/>
    <x v="3"/>
    <d v="1899-12-30T14:26:07"/>
    <d v="1899-12-30T14:37:26"/>
    <n v="0"/>
    <n v="1"/>
  </r>
  <r>
    <n v="4002406"/>
    <x v="3"/>
    <d v="1899-12-30T14:27:34"/>
    <d v="1899-12-30T14:35:16"/>
    <n v="1"/>
    <n v="0"/>
  </r>
  <r>
    <n v="2394144"/>
    <x v="3"/>
    <d v="1899-12-30T14:35:09"/>
    <d v="1899-12-30T14:42:41"/>
    <n v="1"/>
    <n v="0"/>
  </r>
  <r>
    <n v="9763924"/>
    <x v="3"/>
    <d v="1899-12-30T14:40:53"/>
    <d v="1899-12-30T14:55:56"/>
    <n v="1"/>
    <n v="0"/>
  </r>
  <r>
    <n v="7977726"/>
    <x v="3"/>
    <d v="1899-12-30T14:44:09"/>
    <d v="1899-12-30T14:58:03"/>
    <n v="1"/>
    <n v="0"/>
  </r>
  <r>
    <n v="7219884"/>
    <x v="3"/>
    <d v="1899-12-30T14:50:57"/>
    <d v="1899-12-30T14:59:24"/>
    <n v="1"/>
    <n v="0"/>
  </r>
  <r>
    <n v="8211396842"/>
    <x v="3"/>
    <d v="1899-12-30T14:58:14"/>
    <d v="1899-12-30T15:11:31"/>
    <n v="0"/>
    <n v="0"/>
  </r>
  <r>
    <n v="4860618"/>
    <x v="3"/>
    <d v="1899-12-30T14:58:31"/>
    <d v="1899-12-30T15:02:47"/>
    <n v="1"/>
    <n v="0"/>
  </r>
  <r>
    <n v="6772052"/>
    <x v="3"/>
    <d v="1899-12-30T14:59:53"/>
    <d v="1899-12-30T15:11:01"/>
    <n v="1"/>
    <n v="0"/>
  </r>
  <r>
    <n v="6290575"/>
    <x v="3"/>
    <d v="1899-12-30T15:01:39"/>
    <d v="1899-12-30T15:09:50"/>
    <n v="1"/>
    <n v="0"/>
  </r>
  <r>
    <n v="13972929"/>
    <x v="4"/>
    <d v="1899-12-30T08:04:57"/>
    <d v="1899-12-30T08:19:41"/>
    <n v="0"/>
    <n v="1"/>
  </r>
  <r>
    <n v="7663988"/>
    <x v="4"/>
    <d v="1899-12-30T08:10:56"/>
    <d v="1899-12-30T08:16:32"/>
    <n v="1"/>
    <n v="0"/>
  </r>
  <r>
    <n v="90532439"/>
    <x v="4"/>
    <d v="1899-12-30T08:13:45"/>
    <d v="1899-12-30T08:16:54"/>
    <n v="0"/>
    <n v="1"/>
  </r>
  <r>
    <n v="5505912"/>
    <x v="4"/>
    <d v="1899-12-30T08:16:18"/>
    <d v="1899-12-30T08:21:24"/>
    <n v="1"/>
    <n v="0"/>
  </r>
  <r>
    <n v="5505912"/>
    <x v="4"/>
    <d v="1899-12-30T08:21:49"/>
    <d v="1899-12-30T08:24:13"/>
    <n v="1"/>
    <n v="0"/>
  </r>
  <r>
    <n v="70678482"/>
    <x v="4"/>
    <d v="1899-12-30T08:25:53"/>
    <d v="1899-12-30T08:36:57"/>
    <n v="0"/>
    <n v="1"/>
  </r>
  <r>
    <n v="6578914"/>
    <x v="4"/>
    <d v="1899-12-30T08:34:04"/>
    <d v="1899-12-30T08:46:16"/>
    <n v="1"/>
    <n v="0"/>
  </r>
  <r>
    <n v="3444629"/>
    <x v="4"/>
    <d v="1899-12-30T08:38:37"/>
    <d v="1899-12-30T08:47:51"/>
    <n v="1"/>
    <n v="0"/>
  </r>
  <r>
    <n v="95211263"/>
    <x v="4"/>
    <d v="1899-12-30T08:39:24"/>
    <d v="1899-12-30T08:46:39"/>
    <n v="0"/>
    <n v="1"/>
  </r>
  <r>
    <n v="9468070"/>
    <x v="4"/>
    <d v="1899-12-30T08:41:39"/>
    <d v="1899-12-30T08:43:39"/>
    <n v="1"/>
    <n v="0"/>
  </r>
  <r>
    <n v="31516318"/>
    <x v="4"/>
    <d v="1899-12-30T08:42:15"/>
    <d v="1899-12-30T08:47:22"/>
    <n v="0"/>
    <n v="1"/>
  </r>
  <r>
    <n v="9865716"/>
    <x v="4"/>
    <d v="1899-12-30T08:46:49"/>
    <d v="1899-12-30T09:03:01"/>
    <n v="1"/>
    <n v="0"/>
  </r>
  <r>
    <n v="8163790"/>
    <x v="4"/>
    <d v="1899-12-30T08:51:09"/>
    <d v="1899-12-30T08:51:50"/>
    <n v="1"/>
    <n v="0"/>
  </r>
  <r>
    <n v="18070008"/>
    <x v="4"/>
    <d v="1899-12-30T08:52:45"/>
    <d v="1899-12-30T08:54:57"/>
    <n v="0"/>
    <n v="1"/>
  </r>
  <r>
    <n v="1119740"/>
    <x v="4"/>
    <d v="1899-12-30T08:54:25"/>
    <d v="1899-12-30T09:00:30"/>
    <n v="1"/>
    <n v="0"/>
  </r>
  <r>
    <n v="94634526"/>
    <x v="4"/>
    <d v="1899-12-30T08:55:58"/>
    <d v="1899-12-30T09:06:34"/>
    <n v="0"/>
    <n v="1"/>
  </r>
  <r>
    <n v="67964973"/>
    <x v="4"/>
    <d v="1899-12-30T08:59:13"/>
    <d v="1899-12-30T09:09:18"/>
    <n v="0"/>
    <n v="1"/>
  </r>
  <r>
    <n v="3505978"/>
    <x v="4"/>
    <d v="1899-12-30T09:02:31"/>
    <d v="1899-12-30T09:09:58"/>
    <n v="1"/>
    <n v="0"/>
  </r>
  <r>
    <n v="8685299481"/>
    <x v="4"/>
    <d v="1899-12-30T09:04:02"/>
    <d v="1899-12-30T09:06:09"/>
    <n v="0"/>
    <n v="0"/>
  </r>
  <r>
    <n v="8863988"/>
    <x v="4"/>
    <d v="1899-12-30T09:07:11"/>
    <d v="1899-12-30T09:13:27"/>
    <n v="1"/>
    <n v="0"/>
  </r>
  <r>
    <n v="29121099"/>
    <x v="4"/>
    <d v="1899-12-30T09:12:21"/>
    <d v="1899-12-30T09:21:06"/>
    <n v="0"/>
    <n v="1"/>
  </r>
  <r>
    <n v="2814524"/>
    <x v="4"/>
    <d v="1899-12-30T09:20:29"/>
    <d v="1899-12-30T09:22:59"/>
    <n v="1"/>
    <n v="0"/>
  </r>
  <r>
    <n v="5341697748"/>
    <x v="4"/>
    <d v="1899-12-30T09:22:55"/>
    <d v="1899-12-30T09:30:32"/>
    <n v="0"/>
    <n v="0"/>
  </r>
  <r>
    <n v="4102482"/>
    <x v="4"/>
    <d v="1899-12-30T09:24:26"/>
    <d v="1899-12-30T09:28:36"/>
    <n v="1"/>
    <n v="0"/>
  </r>
  <r>
    <n v="5636281"/>
    <x v="4"/>
    <d v="1899-12-30T09:32:08"/>
    <d v="1899-12-30T09:45:55"/>
    <n v="1"/>
    <n v="0"/>
  </r>
  <r>
    <n v="7715424"/>
    <x v="4"/>
    <d v="1899-12-30T09:40:05"/>
    <d v="1899-12-30T09:51:43"/>
    <n v="1"/>
    <n v="0"/>
  </r>
  <r>
    <n v="3811342"/>
    <x v="4"/>
    <d v="1899-12-30T09:41:44"/>
    <d v="1899-12-30T09:53:27"/>
    <n v="1"/>
    <n v="0"/>
  </r>
  <r>
    <n v="8177683"/>
    <x v="4"/>
    <d v="1899-12-30T09:43:42"/>
    <d v="1899-12-30T09:48:47"/>
    <n v="1"/>
    <n v="0"/>
  </r>
  <r>
    <n v="51367705"/>
    <x v="4"/>
    <d v="1899-12-30T09:50:46"/>
    <d v="1899-12-30T09:51:20"/>
    <n v="0"/>
    <n v="1"/>
  </r>
  <r>
    <n v="7646265"/>
    <x v="4"/>
    <d v="1899-12-30T09:50:54"/>
    <d v="1899-12-30T09:58:44"/>
    <n v="1"/>
    <n v="0"/>
  </r>
  <r>
    <n v="37906881"/>
    <x v="4"/>
    <d v="1899-12-30T09:53:59"/>
    <d v="1899-12-30T09:55:08"/>
    <n v="0"/>
    <n v="1"/>
  </r>
  <r>
    <n v="9740908"/>
    <x v="4"/>
    <d v="1899-12-30T09:54:09"/>
    <d v="1899-12-30T09:57:54"/>
    <n v="1"/>
    <n v="0"/>
  </r>
  <r>
    <n v="45948073"/>
    <x v="4"/>
    <d v="1899-12-30T10:00:12"/>
    <d v="1899-12-30T10:11:07"/>
    <n v="0"/>
    <n v="1"/>
  </r>
  <r>
    <n v="8070345"/>
    <x v="4"/>
    <d v="1899-12-30T10:02:21"/>
    <d v="1899-12-30T10:14:58"/>
    <n v="1"/>
    <n v="0"/>
  </r>
  <r>
    <n v="52214055"/>
    <x v="4"/>
    <d v="1899-12-30T10:04:40"/>
    <d v="1899-12-30T10:09:57"/>
    <n v="0"/>
    <n v="1"/>
  </r>
  <r>
    <n v="8434044"/>
    <x v="4"/>
    <d v="1899-12-30T10:06:57"/>
    <d v="1899-12-30T10:15:24"/>
    <n v="1"/>
    <n v="0"/>
  </r>
  <r>
    <n v="4702334"/>
    <x v="4"/>
    <d v="1899-12-30T10:12:51"/>
    <d v="1899-12-30T10:25:53"/>
    <n v="1"/>
    <n v="0"/>
  </r>
  <r>
    <n v="1308483040"/>
    <x v="4"/>
    <d v="1899-12-30T10:19:26"/>
    <d v="1899-12-30T10:35:23"/>
    <n v="0"/>
    <n v="0"/>
  </r>
  <r>
    <n v="34556399"/>
    <x v="4"/>
    <d v="1899-12-30T10:21:19"/>
    <d v="1899-12-30T10:21:58"/>
    <n v="0"/>
    <n v="1"/>
  </r>
  <r>
    <n v="48676568"/>
    <x v="4"/>
    <d v="1899-12-30T10:23:43"/>
    <d v="1899-12-30T10:30:53"/>
    <n v="0"/>
    <n v="1"/>
  </r>
  <r>
    <n v="1887758"/>
    <x v="4"/>
    <d v="1899-12-30T10:30:02"/>
    <d v="1899-12-30T10:45:13"/>
    <n v="1"/>
    <n v="0"/>
  </r>
  <r>
    <n v="3505978"/>
    <x v="4"/>
    <d v="1899-12-30T10:36:15"/>
    <d v="1899-12-30T10:41:59"/>
    <n v="1"/>
    <n v="0"/>
  </r>
  <r>
    <n v="4405604"/>
    <x v="4"/>
    <d v="1899-12-30T10:41:26"/>
    <d v="1899-12-30T10:51:55"/>
    <n v="1"/>
    <n v="0"/>
  </r>
  <r>
    <n v="2327418"/>
    <x v="4"/>
    <d v="1899-12-30T10:44:46"/>
    <d v="1899-12-30T10:54:29"/>
    <n v="1"/>
    <n v="0"/>
  </r>
  <r>
    <n v="5205087"/>
    <x v="4"/>
    <d v="1899-12-30T10:46:57"/>
    <d v="1899-12-30T10:57:36"/>
    <n v="1"/>
    <n v="0"/>
  </r>
  <r>
    <n v="1936989939"/>
    <x v="4"/>
    <d v="1899-12-30T10:49:19"/>
    <d v="1899-12-30T11:00:28"/>
    <n v="0"/>
    <n v="0"/>
  </r>
  <r>
    <n v="2722706"/>
    <x v="4"/>
    <d v="1899-12-30T10:54:00"/>
    <d v="1899-12-30T11:04:38"/>
    <n v="1"/>
    <n v="0"/>
  </r>
  <r>
    <n v="3018218"/>
    <x v="4"/>
    <d v="1899-12-30T11:01:41"/>
    <d v="1899-12-30T11:03:43"/>
    <n v="1"/>
    <n v="0"/>
  </r>
  <r>
    <n v="3765658"/>
    <x v="4"/>
    <d v="1899-12-30T11:02:08"/>
    <d v="1899-12-30T11:04:32"/>
    <n v="1"/>
    <n v="0"/>
  </r>
  <r>
    <n v="43109897"/>
    <x v="4"/>
    <d v="1899-12-30T11:07:33"/>
    <d v="1899-12-30T11:14:02"/>
    <n v="0"/>
    <n v="1"/>
  </r>
  <r>
    <n v="3178616"/>
    <x v="4"/>
    <d v="1899-12-30T11:15:14"/>
    <d v="1899-12-30T11:19:49"/>
    <n v="1"/>
    <n v="0"/>
  </r>
  <r>
    <n v="71207090"/>
    <x v="4"/>
    <d v="1899-12-30T11:18:38"/>
    <d v="1899-12-30T11:23:39"/>
    <n v="0"/>
    <n v="1"/>
  </r>
  <r>
    <n v="3465997"/>
    <x v="4"/>
    <d v="1899-12-30T11:20:55"/>
    <d v="1899-12-30T11:23:42"/>
    <n v="1"/>
    <n v="0"/>
  </r>
  <r>
    <n v="17490780"/>
    <x v="4"/>
    <d v="1899-12-30T11:22:42"/>
    <d v="1899-12-30T11:38:54"/>
    <n v="0"/>
    <n v="1"/>
  </r>
  <r>
    <n v="9805082"/>
    <x v="4"/>
    <d v="1899-12-30T11:24:53"/>
    <d v="1899-12-30T11:30:29"/>
    <n v="1"/>
    <n v="0"/>
  </r>
  <r>
    <n v="6333547"/>
    <x v="4"/>
    <d v="1899-12-30T11:29:32"/>
    <d v="1899-12-30T11:41:04"/>
    <n v="1"/>
    <n v="0"/>
  </r>
  <r>
    <n v="8424969"/>
    <x v="4"/>
    <d v="1899-12-30T11:36:41"/>
    <d v="1899-12-30T11:49:27"/>
    <n v="1"/>
    <n v="0"/>
  </r>
  <r>
    <n v="41210751"/>
    <x v="4"/>
    <d v="1899-12-30T11:41:16"/>
    <d v="1899-12-30T11:43:56"/>
    <n v="0"/>
    <n v="1"/>
  </r>
  <r>
    <n v="9321082"/>
    <x v="4"/>
    <d v="1899-12-30T11:48:34"/>
    <d v="1899-12-30T12:01:15"/>
    <n v="1"/>
    <n v="0"/>
  </r>
  <r>
    <n v="80907155"/>
    <x v="4"/>
    <d v="1899-12-30T11:55:14"/>
    <d v="1899-12-30T12:03:50"/>
    <n v="0"/>
    <n v="1"/>
  </r>
  <r>
    <n v="16303399"/>
    <x v="4"/>
    <d v="1899-12-30T12:03:21"/>
    <d v="1899-12-30T12:05:04"/>
    <n v="0"/>
    <n v="1"/>
  </r>
  <r>
    <n v="7841442"/>
    <x v="4"/>
    <d v="1899-12-30T12:07:11"/>
    <d v="1899-12-30T12:11:38"/>
    <n v="1"/>
    <n v="0"/>
  </r>
  <r>
    <n v="5512237"/>
    <x v="4"/>
    <d v="1899-12-30T12:12:43"/>
    <d v="1899-12-30T12:14:23"/>
    <n v="1"/>
    <n v="0"/>
  </r>
  <r>
    <n v="2557668"/>
    <x v="4"/>
    <d v="1899-12-30T12:18:03"/>
    <d v="1899-12-30T12:28:26"/>
    <n v="1"/>
    <n v="0"/>
  </r>
  <r>
    <n v="4469748"/>
    <x v="4"/>
    <d v="1899-12-30T12:25:07"/>
    <d v="1899-12-30T12:31:04"/>
    <n v="1"/>
    <n v="0"/>
  </r>
  <r>
    <n v="7773546"/>
    <x v="4"/>
    <d v="1899-12-30T12:27:07"/>
    <d v="1899-12-30T12:36:39"/>
    <n v="1"/>
    <n v="0"/>
  </r>
  <r>
    <n v="9521805"/>
    <x v="4"/>
    <d v="1899-12-30T12:33:57"/>
    <d v="1899-12-30T12:44:35"/>
    <n v="1"/>
    <n v="0"/>
  </r>
  <r>
    <n v="1640140"/>
    <x v="4"/>
    <d v="1899-12-30T12:35:47"/>
    <d v="1899-12-30T12:47:58"/>
    <n v="1"/>
    <n v="0"/>
  </r>
  <r>
    <n v="5415372"/>
    <x v="4"/>
    <d v="1899-12-30T12:38:45"/>
    <d v="1899-12-30T12:47:02"/>
    <n v="1"/>
    <n v="0"/>
  </r>
  <r>
    <n v="23504109"/>
    <x v="4"/>
    <d v="1899-12-30T12:42:04"/>
    <d v="1899-12-30T12:53:22"/>
    <n v="0"/>
    <n v="1"/>
  </r>
  <r>
    <n v="7914439"/>
    <x v="4"/>
    <d v="1899-12-30T12:42:41"/>
    <d v="1899-12-30T12:51:57"/>
    <n v="1"/>
    <n v="0"/>
  </r>
  <r>
    <n v="3900921"/>
    <x v="4"/>
    <d v="1899-12-30T12:42:45"/>
    <d v="1899-12-30T12:55:40"/>
    <n v="1"/>
    <n v="0"/>
  </r>
  <r>
    <n v="1081610"/>
    <x v="4"/>
    <d v="1899-12-30T12:48:34"/>
    <d v="1899-12-30T12:58:47"/>
    <n v="1"/>
    <n v="0"/>
  </r>
  <r>
    <n v="9176754"/>
    <x v="4"/>
    <d v="1899-12-30T12:49:48"/>
    <d v="1899-12-30T13:05:16"/>
    <n v="1"/>
    <n v="0"/>
  </r>
  <r>
    <n v="1814327"/>
    <x v="4"/>
    <d v="1899-12-30T12:55:30"/>
    <d v="1899-12-30T12:55:44"/>
    <n v="1"/>
    <n v="0"/>
  </r>
  <r>
    <n v="87702896"/>
    <x v="4"/>
    <d v="1899-12-30T12:59:35"/>
    <d v="1899-12-30T13:15:39"/>
    <n v="0"/>
    <n v="1"/>
  </r>
  <r>
    <n v="4131448"/>
    <x v="4"/>
    <d v="1899-12-30T13:02:00"/>
    <d v="1899-12-30T13:04:00"/>
    <n v="1"/>
    <n v="0"/>
  </r>
  <r>
    <n v="97798921"/>
    <x v="4"/>
    <d v="1899-12-30T13:02:35"/>
    <d v="1899-12-30T13:12:03"/>
    <n v="0"/>
    <n v="1"/>
  </r>
  <r>
    <n v="97798921"/>
    <x v="4"/>
    <d v="1899-12-30T13:02:58"/>
    <d v="1899-12-30T13:09:56"/>
    <n v="0"/>
    <n v="1"/>
  </r>
  <r>
    <n v="3919087"/>
    <x v="4"/>
    <d v="1899-12-30T13:03:04"/>
    <d v="1899-12-30T13:07:23"/>
    <n v="1"/>
    <n v="0"/>
  </r>
  <r>
    <n v="2619219"/>
    <x v="4"/>
    <d v="1899-12-30T13:08:26"/>
    <d v="1899-12-30T13:10:06"/>
    <n v="1"/>
    <n v="0"/>
  </r>
  <r>
    <n v="54536153"/>
    <x v="4"/>
    <d v="1899-12-30T13:09:58"/>
    <d v="1899-12-30T13:22:25"/>
    <n v="0"/>
    <n v="1"/>
  </r>
  <r>
    <n v="6813775"/>
    <x v="4"/>
    <d v="1899-12-30T13:17:14"/>
    <d v="1899-12-30T13:23:48"/>
    <n v="1"/>
    <n v="0"/>
  </r>
  <r>
    <n v="72312196"/>
    <x v="4"/>
    <d v="1899-12-30T13:19:40"/>
    <d v="1899-12-30T13:35:01"/>
    <n v="0"/>
    <n v="1"/>
  </r>
  <r>
    <n v="2235911"/>
    <x v="4"/>
    <d v="1899-12-30T13:26:41"/>
    <d v="1899-12-30T13:37:41"/>
    <n v="1"/>
    <n v="0"/>
  </r>
  <r>
    <n v="9532678004"/>
    <x v="4"/>
    <d v="1899-12-30T13:31:24"/>
    <d v="1899-12-30T13:43:04"/>
    <n v="0"/>
    <n v="0"/>
  </r>
  <r>
    <n v="4653709"/>
    <x v="4"/>
    <d v="1899-12-30T13:37:51"/>
    <d v="1899-12-30T13:49:23"/>
    <n v="1"/>
    <n v="0"/>
  </r>
  <r>
    <n v="1734512"/>
    <x v="4"/>
    <d v="1899-12-30T13:42:09"/>
    <d v="1899-12-30T13:50:13"/>
    <n v="1"/>
    <n v="0"/>
  </r>
  <r>
    <n v="6741642"/>
    <x v="4"/>
    <d v="1899-12-30T13:48:20"/>
    <d v="1899-12-30T13:48:31"/>
    <n v="1"/>
    <n v="0"/>
  </r>
  <r>
    <n v="45862784"/>
    <x v="4"/>
    <d v="1899-12-30T13:51:52"/>
    <d v="1899-12-30T14:04:22"/>
    <n v="0"/>
    <n v="1"/>
  </r>
  <r>
    <n v="25147401"/>
    <x v="4"/>
    <d v="1899-12-30T13:54:05"/>
    <d v="1899-12-30T14:07:02"/>
    <n v="0"/>
    <n v="1"/>
  </r>
  <r>
    <n v="4963499"/>
    <x v="4"/>
    <d v="1899-12-30T14:02:11"/>
    <d v="1899-12-30T14:05:10"/>
    <n v="1"/>
    <n v="0"/>
  </r>
  <r>
    <n v="7432767"/>
    <x v="4"/>
    <d v="1899-12-30T14:02:31"/>
    <d v="1899-12-30T14:04:21"/>
    <n v="1"/>
    <n v="0"/>
  </r>
  <r>
    <n v="3599100"/>
    <x v="4"/>
    <d v="1899-12-30T14:07:11"/>
    <d v="1899-12-30T14:13:36"/>
    <n v="1"/>
    <n v="0"/>
  </r>
  <r>
    <n v="8251878"/>
    <x v="4"/>
    <d v="1899-12-30T14:13:39"/>
    <d v="1899-12-30T14:15:00"/>
    <n v="1"/>
    <n v="0"/>
  </r>
  <r>
    <n v="2826868"/>
    <x v="4"/>
    <d v="1899-12-30T14:19:17"/>
    <d v="1899-12-30T14:30:16"/>
    <n v="1"/>
    <n v="0"/>
  </r>
  <r>
    <n v="76099906"/>
    <x v="4"/>
    <d v="1899-12-30T14:24:43"/>
    <d v="1899-12-30T14:39:56"/>
    <n v="0"/>
    <n v="1"/>
  </r>
  <r>
    <n v="5147242"/>
    <x v="4"/>
    <d v="1899-12-30T14:29:30"/>
    <d v="1899-12-30T14:32:29"/>
    <n v="1"/>
    <n v="0"/>
  </r>
  <r>
    <n v="9600226"/>
    <x v="4"/>
    <d v="1899-12-30T14:34:55"/>
    <d v="1899-12-30T14:38:31"/>
    <n v="1"/>
    <n v="0"/>
  </r>
  <r>
    <n v="1337042"/>
    <x v="4"/>
    <d v="1899-12-30T14:37:24"/>
    <d v="1899-12-30T14:54:02"/>
    <n v="1"/>
    <n v="0"/>
  </r>
  <r>
    <n v="1223943"/>
    <x v="4"/>
    <d v="1899-12-30T14:44:20"/>
    <d v="1899-12-30T14:57:44"/>
    <n v="1"/>
    <n v="0"/>
  </r>
  <r>
    <n v="3525921"/>
    <x v="4"/>
    <d v="1899-12-30T14:46:26"/>
    <d v="1899-12-30T14:52:02"/>
    <n v="1"/>
    <n v="0"/>
  </r>
  <r>
    <n v="5094248"/>
    <x v="4"/>
    <d v="1899-12-30T14:51:23"/>
    <d v="1899-12-30T15:05:12"/>
    <n v="1"/>
    <n v="0"/>
  </r>
  <r>
    <n v="7275091"/>
    <x v="4"/>
    <d v="1899-12-30T14:57:13"/>
    <d v="1899-12-30T15:11:56"/>
    <n v="1"/>
    <n v="0"/>
  </r>
  <r>
    <n v="73042148"/>
    <x v="4"/>
    <d v="1899-12-30T15:00:32"/>
    <d v="1899-12-30T15:14:23"/>
    <n v="0"/>
    <n v="1"/>
  </r>
  <r>
    <n v="8570276"/>
    <x v="5"/>
    <d v="1899-12-30T08:06:08"/>
    <d v="1899-12-30T08:22:17"/>
    <n v="1"/>
    <n v="0"/>
  </r>
  <r>
    <n v="1775586"/>
    <x v="5"/>
    <d v="1899-12-30T08:09:50"/>
    <d v="1899-12-30T08:23:18"/>
    <n v="1"/>
    <n v="0"/>
  </r>
  <r>
    <n v="27791497"/>
    <x v="5"/>
    <d v="1899-12-30T08:14:06"/>
    <d v="1899-12-30T08:14:59"/>
    <n v="0"/>
    <n v="1"/>
  </r>
  <r>
    <n v="5162775"/>
    <x v="5"/>
    <d v="1899-12-30T08:14:51"/>
    <d v="1899-12-30T08:22:58"/>
    <n v="1"/>
    <n v="0"/>
  </r>
  <r>
    <n v="56115408"/>
    <x v="5"/>
    <d v="1899-12-30T08:21:04"/>
    <d v="1899-12-30T08:34:29"/>
    <n v="0"/>
    <n v="1"/>
  </r>
  <r>
    <n v="6766881"/>
    <x v="5"/>
    <d v="1899-12-30T08:27:36"/>
    <d v="1899-12-30T08:28:01"/>
    <n v="1"/>
    <n v="0"/>
  </r>
  <r>
    <n v="9502975"/>
    <x v="5"/>
    <d v="1899-12-30T08:30:58"/>
    <d v="1899-12-30T08:34:04"/>
    <n v="1"/>
    <n v="0"/>
  </r>
  <r>
    <n v="4212838"/>
    <x v="5"/>
    <d v="1899-12-30T08:34:57"/>
    <d v="1899-12-30T08:37:42"/>
    <n v="1"/>
    <n v="0"/>
  </r>
  <r>
    <n v="6952061"/>
    <x v="5"/>
    <d v="1899-12-30T08:42:28"/>
    <d v="1899-12-30T08:54:09"/>
    <n v="1"/>
    <n v="0"/>
  </r>
  <r>
    <n v="56127547"/>
    <x v="5"/>
    <d v="1899-12-30T08:49:58"/>
    <d v="1899-12-30T09:00:57"/>
    <n v="0"/>
    <n v="1"/>
  </r>
  <r>
    <n v="4952685"/>
    <x v="5"/>
    <d v="1899-12-30T08:51:18"/>
    <d v="1899-12-30T09:02:14"/>
    <n v="1"/>
    <n v="0"/>
  </r>
  <r>
    <n v="8632893"/>
    <x v="5"/>
    <d v="1899-12-30T08:52:45"/>
    <d v="1899-12-30T09:07:02"/>
    <n v="1"/>
    <n v="0"/>
  </r>
  <r>
    <n v="7320123"/>
    <x v="5"/>
    <d v="1899-12-30T08:53:01"/>
    <d v="1899-12-30T09:00:25"/>
    <n v="1"/>
    <n v="0"/>
  </r>
  <r>
    <n v="4600571814"/>
    <x v="5"/>
    <d v="1899-12-30T08:53:46"/>
    <d v="1899-12-30T09:01:03"/>
    <n v="0"/>
    <n v="0"/>
  </r>
  <r>
    <n v="38063903"/>
    <x v="5"/>
    <d v="1899-12-30T08:55:47"/>
    <d v="1899-12-30T08:57:35"/>
    <n v="0"/>
    <n v="1"/>
  </r>
  <r>
    <n v="4901642"/>
    <x v="5"/>
    <d v="1899-12-30T09:03:34"/>
    <d v="1899-12-30T09:15:59"/>
    <n v="1"/>
    <n v="0"/>
  </r>
  <r>
    <n v="39669014"/>
    <x v="5"/>
    <d v="1899-12-30T09:06:12"/>
    <d v="1899-12-30T09:17:05"/>
    <n v="0"/>
    <n v="1"/>
  </r>
  <r>
    <n v="48919339"/>
    <x v="5"/>
    <d v="1899-12-30T09:07:47"/>
    <d v="1899-12-30T09:14:11"/>
    <n v="0"/>
    <n v="1"/>
  </r>
  <r>
    <n v="4960687"/>
    <x v="5"/>
    <d v="1899-12-30T09:12:20"/>
    <d v="1899-12-30T09:27:31"/>
    <n v="1"/>
    <n v="0"/>
  </r>
  <r>
    <n v="41156424"/>
    <x v="5"/>
    <d v="1899-12-30T09:17:30"/>
    <d v="1899-12-30T09:25:50"/>
    <n v="0"/>
    <n v="1"/>
  </r>
  <r>
    <n v="5087066"/>
    <x v="5"/>
    <d v="1899-12-30T09:20:45"/>
    <d v="1899-12-30T09:34:07"/>
    <n v="1"/>
    <n v="0"/>
  </r>
  <r>
    <n v="4636713"/>
    <x v="5"/>
    <d v="1899-12-30T09:24:23"/>
    <d v="1899-12-30T09:31:52"/>
    <n v="1"/>
    <n v="0"/>
  </r>
  <r>
    <n v="3944120"/>
    <x v="5"/>
    <d v="1899-12-30T09:26:02"/>
    <d v="1899-12-30T09:27:05"/>
    <n v="1"/>
    <n v="0"/>
  </r>
  <r>
    <n v="5960122"/>
    <x v="5"/>
    <d v="1899-12-30T09:33:45"/>
    <d v="1899-12-30T09:47:33"/>
    <n v="1"/>
    <n v="0"/>
  </r>
  <r>
    <n v="6795454"/>
    <x v="5"/>
    <d v="1899-12-30T09:39:49"/>
    <d v="1899-12-30T09:40:06"/>
    <n v="1"/>
    <n v="0"/>
  </r>
  <r>
    <n v="5013688"/>
    <x v="5"/>
    <d v="1899-12-30T09:45:32"/>
    <d v="1899-12-30T09:52:52"/>
    <n v="1"/>
    <n v="0"/>
  </r>
  <r>
    <n v="9487255"/>
    <x v="5"/>
    <d v="1899-12-30T09:50:22"/>
    <d v="1899-12-30T10:04:03"/>
    <n v="1"/>
    <n v="0"/>
  </r>
  <r>
    <n v="1592822"/>
    <x v="5"/>
    <d v="1899-12-30T09:56:29"/>
    <d v="1899-12-30T10:12:43"/>
    <n v="1"/>
    <n v="0"/>
  </r>
  <r>
    <n v="9084978"/>
    <x v="5"/>
    <d v="1899-12-30T09:58:22"/>
    <d v="1899-12-30T10:13:21"/>
    <n v="1"/>
    <n v="0"/>
  </r>
  <r>
    <n v="80038636"/>
    <x v="5"/>
    <d v="1899-12-30T10:00:59"/>
    <d v="1899-12-30T10:16:39"/>
    <n v="0"/>
    <n v="1"/>
  </r>
  <r>
    <n v="2021941339"/>
    <x v="5"/>
    <d v="1899-12-30T10:02:50"/>
    <d v="1899-12-30T10:17:26"/>
    <n v="0"/>
    <n v="0"/>
  </r>
  <r>
    <n v="7718350"/>
    <x v="5"/>
    <d v="1899-12-30T10:04:50"/>
    <d v="1899-12-30T10:14:53"/>
    <n v="1"/>
    <n v="0"/>
  </r>
  <r>
    <n v="3153283"/>
    <x v="5"/>
    <d v="1899-12-30T10:10:31"/>
    <d v="1899-12-30T10:24:02"/>
    <n v="1"/>
    <n v="0"/>
  </r>
  <r>
    <n v="6341482"/>
    <x v="5"/>
    <d v="1899-12-30T10:18:05"/>
    <d v="1899-12-30T10:32:51"/>
    <n v="1"/>
    <n v="0"/>
  </r>
  <r>
    <n v="67964973"/>
    <x v="5"/>
    <d v="1899-12-30T10:26:03"/>
    <d v="1899-12-30T10:27:42"/>
    <n v="0"/>
    <n v="1"/>
  </r>
  <r>
    <n v="1223943"/>
    <x v="5"/>
    <d v="1899-12-30T10:33:03"/>
    <d v="1899-12-30T10:49:16"/>
    <n v="1"/>
    <n v="0"/>
  </r>
  <r>
    <n v="8049834"/>
    <x v="5"/>
    <d v="1899-12-30T10:36:38"/>
    <d v="1899-12-30T10:38:55"/>
    <n v="1"/>
    <n v="0"/>
  </r>
  <r>
    <n v="6374704"/>
    <x v="5"/>
    <d v="1899-12-30T10:41:51"/>
    <d v="1899-12-30T10:55:01"/>
    <n v="1"/>
    <n v="0"/>
  </r>
  <r>
    <n v="99625315"/>
    <x v="5"/>
    <d v="1899-12-30T10:42:08"/>
    <d v="1899-12-30T10:48:23"/>
    <n v="0"/>
    <n v="1"/>
  </r>
  <r>
    <n v="9728932"/>
    <x v="5"/>
    <d v="1899-12-30T10:42:50"/>
    <d v="1899-12-30T10:49:17"/>
    <n v="1"/>
    <n v="0"/>
  </r>
  <r>
    <n v="9121149"/>
    <x v="5"/>
    <d v="1899-12-30T10:49:32"/>
    <d v="1899-12-30T10:56:41"/>
    <n v="1"/>
    <n v="0"/>
  </r>
  <r>
    <n v="2790475"/>
    <x v="5"/>
    <d v="1899-12-30T10:57:33"/>
    <d v="1899-12-30T11:09:51"/>
    <n v="1"/>
    <n v="0"/>
  </r>
  <r>
    <n v="4148520"/>
    <x v="5"/>
    <d v="1899-12-30T11:03:58"/>
    <d v="1899-12-30T11:16:39"/>
    <n v="1"/>
    <n v="0"/>
  </r>
  <r>
    <n v="55462392"/>
    <x v="5"/>
    <d v="1899-12-30T11:11:00"/>
    <d v="1899-12-30T11:12:57"/>
    <n v="0"/>
    <n v="1"/>
  </r>
  <r>
    <n v="8130722"/>
    <x v="5"/>
    <d v="1899-12-30T11:11:45"/>
    <d v="1899-12-30T11:27:08"/>
    <n v="1"/>
    <n v="0"/>
  </r>
  <r>
    <n v="5448890"/>
    <x v="5"/>
    <d v="1899-12-30T11:16:11"/>
    <d v="1899-12-30T11:20:22"/>
    <n v="1"/>
    <n v="0"/>
  </r>
  <r>
    <n v="6118241"/>
    <x v="5"/>
    <d v="1899-12-30T11:23:28"/>
    <d v="1899-12-30T11:28:53"/>
    <n v="1"/>
    <n v="0"/>
  </r>
  <r>
    <n v="1088377750"/>
    <x v="5"/>
    <d v="1899-12-30T11:24:31"/>
    <d v="1899-12-30T11:37:45"/>
    <n v="0"/>
    <n v="0"/>
  </r>
  <r>
    <n v="98238772"/>
    <x v="5"/>
    <d v="1899-12-30T11:31:03"/>
    <d v="1899-12-30T11:33:12"/>
    <n v="0"/>
    <n v="1"/>
  </r>
  <r>
    <n v="9524588"/>
    <x v="5"/>
    <d v="1899-12-30T11:37:56"/>
    <d v="1899-12-30T11:53:32"/>
    <n v="1"/>
    <n v="0"/>
  </r>
  <r>
    <n v="96375379"/>
    <x v="5"/>
    <d v="1899-12-30T11:42:58"/>
    <d v="1899-12-30T11:56:41"/>
    <n v="0"/>
    <n v="1"/>
  </r>
  <r>
    <n v="4759206"/>
    <x v="5"/>
    <d v="1899-12-30T11:46:24"/>
    <d v="1899-12-30T11:52:04"/>
    <n v="1"/>
    <n v="0"/>
  </r>
  <r>
    <n v="9197309"/>
    <x v="5"/>
    <d v="1899-12-30T11:52:38"/>
    <d v="1899-12-30T12:08:30"/>
    <n v="1"/>
    <n v="0"/>
  </r>
  <r>
    <n v="8322522"/>
    <x v="5"/>
    <d v="1899-12-30T11:55:19"/>
    <d v="1899-12-30T12:11:28"/>
    <n v="1"/>
    <n v="0"/>
  </r>
  <r>
    <n v="4264808"/>
    <x v="5"/>
    <d v="1899-12-30T12:01:17"/>
    <d v="1899-12-30T12:01:35"/>
    <n v="1"/>
    <n v="0"/>
  </r>
  <r>
    <n v="3095218"/>
    <x v="5"/>
    <d v="1899-12-30T12:09:09"/>
    <d v="1899-12-30T12:24:43"/>
    <n v="1"/>
    <n v="0"/>
  </r>
  <r>
    <n v="5820632164"/>
    <x v="5"/>
    <d v="1899-12-30T12:14:33"/>
    <d v="1899-12-30T12:27:04"/>
    <n v="0"/>
    <n v="0"/>
  </r>
  <r>
    <n v="89814525"/>
    <x v="5"/>
    <d v="1899-12-30T12:15:42"/>
    <d v="1899-12-30T12:16:56"/>
    <n v="0"/>
    <n v="1"/>
  </r>
  <r>
    <n v="1223816"/>
    <x v="5"/>
    <d v="1899-12-30T12:16:05"/>
    <d v="1899-12-30T12:24:45"/>
    <n v="1"/>
    <n v="0"/>
  </r>
  <r>
    <n v="18503160"/>
    <x v="5"/>
    <d v="1899-12-30T12:16:40"/>
    <d v="1899-12-30T12:23:57"/>
    <n v="0"/>
    <n v="1"/>
  </r>
  <r>
    <n v="21677804"/>
    <x v="5"/>
    <d v="1899-12-30T12:19:08"/>
    <d v="1899-12-30T12:26:14"/>
    <n v="0"/>
    <n v="1"/>
  </r>
  <r>
    <n v="5087066"/>
    <x v="5"/>
    <d v="1899-12-30T12:23:05"/>
    <d v="1899-12-30T12:38:52"/>
    <n v="1"/>
    <n v="0"/>
  </r>
  <r>
    <n v="6905863"/>
    <x v="5"/>
    <d v="1899-12-30T12:30:35"/>
    <d v="1899-12-30T12:43:19"/>
    <n v="1"/>
    <n v="0"/>
  </r>
  <r>
    <n v="4144248"/>
    <x v="5"/>
    <d v="1899-12-30T12:30:44"/>
    <d v="1899-12-30T12:46:28"/>
    <n v="1"/>
    <n v="0"/>
  </r>
  <r>
    <n v="16392077"/>
    <x v="5"/>
    <d v="1899-12-30T12:32:28"/>
    <d v="1899-12-30T12:32:36"/>
    <n v="0"/>
    <n v="1"/>
  </r>
  <r>
    <n v="8865092"/>
    <x v="5"/>
    <d v="1899-12-30T12:34:27"/>
    <d v="1899-12-30T12:48:39"/>
    <n v="1"/>
    <n v="0"/>
  </r>
  <r>
    <n v="92597723"/>
    <x v="5"/>
    <d v="1899-12-30T12:40:52"/>
    <d v="1899-12-30T12:44:25"/>
    <n v="0"/>
    <n v="1"/>
  </r>
  <r>
    <n v="49840829"/>
    <x v="5"/>
    <d v="1899-12-30T12:46:09"/>
    <d v="1899-12-30T12:53:49"/>
    <n v="0"/>
    <n v="1"/>
  </r>
  <r>
    <n v="20354301"/>
    <x v="5"/>
    <d v="1899-12-30T12:47:24"/>
    <d v="1899-12-30T12:54:07"/>
    <n v="0"/>
    <n v="1"/>
  </r>
  <r>
    <n v="2731955"/>
    <x v="5"/>
    <d v="1899-12-30T12:55:21"/>
    <d v="1899-12-30T13:01:41"/>
    <n v="1"/>
    <n v="0"/>
  </r>
  <r>
    <n v="2304726"/>
    <x v="5"/>
    <d v="1899-12-30T13:00:27"/>
    <d v="1899-12-30T13:10:05"/>
    <n v="1"/>
    <n v="0"/>
  </r>
  <r>
    <n v="4653709"/>
    <x v="5"/>
    <d v="1899-12-30T13:01:49"/>
    <d v="1899-12-30T13:04:00"/>
    <n v="1"/>
    <n v="0"/>
  </r>
  <r>
    <n v="4848864"/>
    <x v="5"/>
    <d v="1899-12-30T13:03:50"/>
    <d v="1899-12-30T13:13:18"/>
    <n v="1"/>
    <n v="0"/>
  </r>
  <r>
    <n v="6709939"/>
    <x v="5"/>
    <d v="1899-12-30T13:07:34"/>
    <d v="1899-12-30T13:12:00"/>
    <n v="1"/>
    <n v="0"/>
  </r>
  <r>
    <n v="8870498"/>
    <x v="5"/>
    <d v="1899-12-30T13:12:40"/>
    <d v="1899-12-30T13:26:12"/>
    <n v="1"/>
    <n v="0"/>
  </r>
  <r>
    <n v="2947889"/>
    <x v="5"/>
    <d v="1899-12-30T13:15:33"/>
    <d v="1899-12-30T13:31:13"/>
    <n v="1"/>
    <n v="0"/>
  </r>
  <r>
    <n v="8270097"/>
    <x v="5"/>
    <d v="1899-12-30T13:21:22"/>
    <d v="1899-12-30T13:24:15"/>
    <n v="1"/>
    <n v="0"/>
  </r>
  <r>
    <n v="8183468"/>
    <x v="5"/>
    <d v="1899-12-30T13:23:59"/>
    <d v="1899-12-30T13:30:13"/>
    <n v="1"/>
    <n v="0"/>
  </r>
  <r>
    <n v="3263806"/>
    <x v="5"/>
    <d v="1899-12-30T13:24:27"/>
    <d v="1899-12-30T13:31:55"/>
    <n v="1"/>
    <n v="0"/>
  </r>
  <r>
    <n v="7792980"/>
    <x v="5"/>
    <d v="1899-12-30T13:29:47"/>
    <d v="1899-12-30T13:46:15"/>
    <n v="1"/>
    <n v="0"/>
  </r>
  <r>
    <n v="88929925"/>
    <x v="5"/>
    <d v="1899-12-30T13:36:19"/>
    <d v="1899-12-30T13:45:44"/>
    <n v="0"/>
    <n v="1"/>
  </r>
  <r>
    <n v="2478461"/>
    <x v="5"/>
    <d v="1899-12-30T13:40:31"/>
    <d v="1899-12-30T13:49:07"/>
    <n v="1"/>
    <n v="0"/>
  </r>
  <r>
    <n v="2838216"/>
    <x v="5"/>
    <d v="1899-12-30T13:48:48"/>
    <d v="1899-12-30T13:51:25"/>
    <n v="1"/>
    <n v="0"/>
  </r>
  <r>
    <n v="4853153"/>
    <x v="5"/>
    <d v="1899-12-30T13:55:46"/>
    <d v="1899-12-30T13:57:57"/>
    <n v="1"/>
    <n v="0"/>
  </r>
  <r>
    <n v="2985743"/>
    <x v="5"/>
    <d v="1899-12-30T13:57:56"/>
    <d v="1899-12-30T14:10:37"/>
    <n v="1"/>
    <n v="0"/>
  </r>
  <r>
    <n v="3434934"/>
    <x v="5"/>
    <d v="1899-12-30T13:58:52"/>
    <d v="1899-12-30T14:03:52"/>
    <n v="1"/>
    <n v="0"/>
  </r>
  <r>
    <n v="97596112"/>
    <x v="5"/>
    <d v="1899-12-30T14:00:16"/>
    <d v="1899-12-30T14:14:54"/>
    <n v="0"/>
    <n v="1"/>
  </r>
  <r>
    <n v="1247125"/>
    <x v="5"/>
    <d v="1899-12-30T14:03:29"/>
    <d v="1899-12-30T14:14:41"/>
    <n v="1"/>
    <n v="0"/>
  </r>
  <r>
    <n v="6982652"/>
    <x v="5"/>
    <d v="1899-12-30T14:04:57"/>
    <d v="1899-12-30T14:06:08"/>
    <n v="1"/>
    <n v="0"/>
  </r>
  <r>
    <n v="11209967"/>
    <x v="5"/>
    <d v="1899-12-30T14:07:50"/>
    <d v="1899-12-30T14:10:00"/>
    <n v="0"/>
    <n v="1"/>
  </r>
  <r>
    <n v="6251788"/>
    <x v="5"/>
    <d v="1899-12-30T14:08:19"/>
    <d v="1899-12-30T14:15:49"/>
    <n v="1"/>
    <n v="0"/>
  </r>
  <r>
    <n v="8679036"/>
    <x v="5"/>
    <d v="1899-12-30T14:09:16"/>
    <d v="1899-12-30T14:25:04"/>
    <n v="1"/>
    <n v="0"/>
  </r>
  <r>
    <n v="1288637"/>
    <x v="5"/>
    <d v="1899-12-30T14:13:36"/>
    <d v="1899-12-30T14:14:52"/>
    <n v="1"/>
    <n v="0"/>
  </r>
  <r>
    <n v="4825302"/>
    <x v="5"/>
    <d v="1899-12-30T14:19:15"/>
    <d v="1899-12-30T14:19:42"/>
    <n v="1"/>
    <n v="0"/>
  </r>
  <r>
    <n v="5349562"/>
    <x v="5"/>
    <d v="1899-12-30T14:24:36"/>
    <d v="1899-12-30T14:37:49"/>
    <n v="1"/>
    <n v="0"/>
  </r>
  <r>
    <n v="5893512"/>
    <x v="5"/>
    <d v="1899-12-30T14:31:27"/>
    <d v="1899-12-30T14:39:19"/>
    <n v="1"/>
    <n v="0"/>
  </r>
  <r>
    <n v="7138804596"/>
    <x v="5"/>
    <d v="1899-12-30T14:32:20"/>
    <d v="1899-12-30T14:45:01"/>
    <n v="0"/>
    <n v="0"/>
  </r>
  <r>
    <n v="6468376"/>
    <x v="5"/>
    <d v="1899-12-30T14:40:25"/>
    <d v="1899-12-30T14:52:07"/>
    <n v="1"/>
    <n v="0"/>
  </r>
  <r>
    <n v="5076649"/>
    <x v="5"/>
    <d v="1899-12-30T14:48:28"/>
    <d v="1899-12-30T14:55:09"/>
    <n v="1"/>
    <n v="0"/>
  </r>
  <r>
    <n v="3494192"/>
    <x v="5"/>
    <d v="1899-12-30T14:55:55"/>
    <d v="1899-12-30T14:57:00"/>
    <n v="1"/>
    <n v="0"/>
  </r>
  <r>
    <n v="8150086"/>
    <x v="5"/>
    <d v="1899-12-30T15:03:16"/>
    <d v="1899-12-30T15:14:03"/>
    <n v="1"/>
    <n v="0"/>
  </r>
  <r>
    <n v="3934931"/>
    <x v="6"/>
    <d v="1899-12-30T08:02:20"/>
    <d v="1899-12-30T08:06:42"/>
    <n v="1"/>
    <n v="0"/>
  </r>
  <r>
    <n v="2111996"/>
    <x v="6"/>
    <d v="1899-12-30T08:05:22"/>
    <d v="1899-12-30T08:07:48"/>
    <n v="1"/>
    <n v="0"/>
  </r>
  <r>
    <n v="6484436"/>
    <x v="6"/>
    <d v="1899-12-30T08:09:42"/>
    <d v="1899-12-30T08:13:34"/>
    <n v="1"/>
    <n v="0"/>
  </r>
  <r>
    <n v="97646706"/>
    <x v="6"/>
    <d v="1899-12-30T08:13:59"/>
    <d v="1899-12-30T08:14:04"/>
    <n v="0"/>
    <n v="1"/>
  </r>
  <r>
    <n v="9932676"/>
    <x v="6"/>
    <d v="1899-12-30T08:20:49"/>
    <d v="1899-12-30T08:30:50"/>
    <n v="1"/>
    <n v="0"/>
  </r>
  <r>
    <n v="6062869"/>
    <x v="6"/>
    <d v="1899-12-30T08:25:56"/>
    <d v="1899-12-30T08:31:17"/>
    <n v="1"/>
    <n v="0"/>
  </r>
  <r>
    <n v="2828759"/>
    <x v="6"/>
    <d v="1899-12-30T08:32:17"/>
    <d v="1899-12-30T08:36:16"/>
    <n v="1"/>
    <n v="0"/>
  </r>
  <r>
    <n v="7215284"/>
    <x v="6"/>
    <d v="1899-12-30T08:37:56"/>
    <d v="1899-12-30T08:43:38"/>
    <n v="1"/>
    <n v="0"/>
  </r>
  <r>
    <n v="1384299"/>
    <x v="6"/>
    <d v="1899-12-30T08:41:20"/>
    <d v="1899-12-30T08:55:02"/>
    <n v="1"/>
    <n v="0"/>
  </r>
  <r>
    <n v="2486941"/>
    <x v="6"/>
    <d v="1899-12-30T08:44:05"/>
    <d v="1899-12-30T08:44:29"/>
    <n v="1"/>
    <n v="0"/>
  </r>
  <r>
    <n v="6561564994"/>
    <x v="6"/>
    <d v="1899-12-30T08:51:48"/>
    <d v="1899-12-30T08:53:33"/>
    <n v="0"/>
    <n v="0"/>
  </r>
  <r>
    <n v="1207918"/>
    <x v="6"/>
    <d v="1899-12-30T08:58:43"/>
    <d v="1899-12-30T09:02:30"/>
    <n v="1"/>
    <n v="0"/>
  </r>
  <r>
    <n v="66800387"/>
    <x v="6"/>
    <d v="1899-12-30T09:02:39"/>
    <d v="1899-12-30T09:08:15"/>
    <n v="0"/>
    <n v="1"/>
  </r>
  <r>
    <n v="49093359"/>
    <x v="6"/>
    <d v="1899-12-30T09:02:49"/>
    <d v="1899-12-30T09:09:12"/>
    <n v="0"/>
    <n v="1"/>
  </r>
  <r>
    <n v="2252239"/>
    <x v="6"/>
    <d v="1899-12-30T09:10:34"/>
    <d v="1899-12-30T09:22:06"/>
    <n v="1"/>
    <n v="0"/>
  </r>
  <r>
    <n v="4925279"/>
    <x v="6"/>
    <d v="1899-12-30T09:14:32"/>
    <d v="1899-12-30T09:20:35"/>
    <n v="1"/>
    <n v="0"/>
  </r>
  <r>
    <n v="25459710"/>
    <x v="6"/>
    <d v="1899-12-30T09:18:41"/>
    <d v="1899-12-30T09:28:12"/>
    <n v="0"/>
    <n v="1"/>
  </r>
  <r>
    <n v="3943994"/>
    <x v="6"/>
    <d v="1899-12-30T09:24:28"/>
    <d v="1899-12-30T09:35:03"/>
    <n v="1"/>
    <n v="0"/>
  </r>
  <r>
    <n v="2109147679"/>
    <x v="6"/>
    <d v="1899-12-30T09:25:21"/>
    <d v="1899-12-30T09:40:39"/>
    <n v="0"/>
    <n v="0"/>
  </r>
  <r>
    <n v="9967649"/>
    <x v="6"/>
    <d v="1899-12-30T09:31:06"/>
    <d v="1899-12-30T09:42:10"/>
    <n v="1"/>
    <n v="0"/>
  </r>
  <r>
    <n v="2947660"/>
    <x v="6"/>
    <d v="1899-12-30T09:33:22"/>
    <d v="1899-12-30T09:42:29"/>
    <n v="1"/>
    <n v="0"/>
  </r>
  <r>
    <n v="6492842"/>
    <x v="6"/>
    <d v="1899-12-30T09:41:28"/>
    <d v="1899-12-30T09:50:28"/>
    <n v="1"/>
    <n v="0"/>
  </r>
  <r>
    <n v="70730125"/>
    <x v="6"/>
    <d v="1899-12-30T09:47:12"/>
    <d v="1899-12-30T10:02:09"/>
    <n v="0"/>
    <n v="1"/>
  </r>
  <r>
    <n v="4056361"/>
    <x v="6"/>
    <d v="1899-12-30T09:53:51"/>
    <d v="1899-12-30T10:02:34"/>
    <n v="1"/>
    <n v="0"/>
  </r>
  <r>
    <n v="12721215"/>
    <x v="6"/>
    <d v="1899-12-30T09:56:37"/>
    <d v="1899-12-30T10:04:36"/>
    <n v="0"/>
    <n v="1"/>
  </r>
  <r>
    <n v="4566750"/>
    <x v="6"/>
    <d v="1899-12-30T10:00:00"/>
    <d v="1899-12-30T10:07:33"/>
    <n v="1"/>
    <n v="0"/>
  </r>
  <r>
    <n v="7279106"/>
    <x v="6"/>
    <d v="1899-12-30T10:03:52"/>
    <d v="1899-12-30T10:19:14"/>
    <n v="1"/>
    <n v="0"/>
  </r>
  <r>
    <n v="3824660"/>
    <x v="6"/>
    <d v="1899-12-30T10:10:20"/>
    <d v="1899-12-30T10:22:21"/>
    <n v="1"/>
    <n v="0"/>
  </r>
  <r>
    <n v="5815339"/>
    <x v="6"/>
    <d v="1899-12-30T10:16:35"/>
    <d v="1899-12-30T10:23:08"/>
    <n v="1"/>
    <n v="0"/>
  </r>
  <r>
    <n v="77946476"/>
    <x v="6"/>
    <d v="1899-12-30T10:19:08"/>
    <d v="1899-12-30T10:19:33"/>
    <n v="0"/>
    <n v="1"/>
  </r>
  <r>
    <n v="84589848"/>
    <x v="6"/>
    <d v="1899-12-30T10:26:58"/>
    <d v="1899-12-30T10:30:12"/>
    <n v="0"/>
    <n v="1"/>
  </r>
  <r>
    <n v="4501823"/>
    <x v="6"/>
    <d v="1899-12-30T10:33:48"/>
    <d v="1899-12-30T10:43:33"/>
    <n v="1"/>
    <n v="0"/>
  </r>
  <r>
    <n v="38244568"/>
    <x v="6"/>
    <d v="1899-12-30T10:39:06"/>
    <d v="1899-12-30T10:50:52"/>
    <n v="0"/>
    <n v="1"/>
  </r>
  <r>
    <n v="3613950"/>
    <x v="6"/>
    <d v="1899-12-30T10:43:04"/>
    <d v="1899-12-30T10:44:45"/>
    <n v="1"/>
    <n v="0"/>
  </r>
  <r>
    <n v="5750819"/>
    <x v="6"/>
    <d v="1899-12-30T10:44:25"/>
    <d v="1899-12-30T10:52:06"/>
    <n v="1"/>
    <n v="0"/>
  </r>
  <r>
    <n v="63291235"/>
    <x v="6"/>
    <d v="1899-12-30T10:49:19"/>
    <d v="1899-12-30T10:54:11"/>
    <n v="0"/>
    <n v="1"/>
  </r>
  <r>
    <n v="3198725"/>
    <x v="6"/>
    <d v="1899-12-30T10:50:16"/>
    <d v="1899-12-30T10:58:38"/>
    <n v="1"/>
    <n v="0"/>
  </r>
  <r>
    <n v="6248157784"/>
    <x v="6"/>
    <d v="1899-12-30T10:54:51"/>
    <d v="1899-12-30T10:57:38"/>
    <n v="0"/>
    <n v="0"/>
  </r>
  <r>
    <n v="6607648"/>
    <x v="6"/>
    <d v="1899-12-30T11:00:35"/>
    <d v="1899-12-30T11:16:36"/>
    <n v="1"/>
    <n v="0"/>
  </r>
  <r>
    <n v="5340881"/>
    <x v="6"/>
    <d v="1899-12-30T11:08:21"/>
    <d v="1899-12-30T11:10:50"/>
    <n v="1"/>
    <n v="0"/>
  </r>
  <r>
    <n v="99162491"/>
    <x v="6"/>
    <d v="1899-12-30T11:13:02"/>
    <d v="1899-12-30T11:13:56"/>
    <n v="0"/>
    <n v="1"/>
  </r>
  <r>
    <n v="3072421"/>
    <x v="6"/>
    <d v="1899-12-30T11:15:58"/>
    <d v="1899-12-30T11:27:50"/>
    <n v="1"/>
    <n v="0"/>
  </r>
  <r>
    <n v="1909553"/>
    <x v="6"/>
    <d v="1899-12-30T11:19:35"/>
    <d v="1899-12-30T11:27:48"/>
    <n v="1"/>
    <n v="0"/>
  </r>
  <r>
    <n v="62836073"/>
    <x v="6"/>
    <d v="1899-12-30T11:27:27"/>
    <d v="1899-12-30T11:33:38"/>
    <n v="0"/>
    <n v="1"/>
  </r>
  <r>
    <n v="9566647"/>
    <x v="6"/>
    <d v="1899-12-30T11:31:17"/>
    <d v="1899-12-30T11:45:11"/>
    <n v="1"/>
    <n v="0"/>
  </r>
  <r>
    <n v="5833452"/>
    <x v="6"/>
    <d v="1899-12-30T11:38:34"/>
    <d v="1899-12-30T11:52:50"/>
    <n v="1"/>
    <n v="0"/>
  </r>
  <r>
    <n v="10760583"/>
    <x v="6"/>
    <d v="1899-12-30T11:45:31"/>
    <d v="1899-12-30T11:47:40"/>
    <n v="0"/>
    <n v="1"/>
  </r>
  <r>
    <n v="39669014"/>
    <x v="6"/>
    <d v="1899-12-30T11:46:07"/>
    <d v="1899-12-30T11:46:47"/>
    <n v="0"/>
    <n v="1"/>
  </r>
  <r>
    <n v="5147651"/>
    <x v="6"/>
    <d v="1899-12-30T11:51:21"/>
    <d v="1899-12-30T11:54:06"/>
    <n v="1"/>
    <n v="0"/>
  </r>
  <r>
    <n v="41144838"/>
    <x v="6"/>
    <d v="1899-12-30T11:59:16"/>
    <d v="1899-12-30T12:13:25"/>
    <n v="0"/>
    <n v="1"/>
  </r>
  <r>
    <n v="1332513"/>
    <x v="6"/>
    <d v="1899-12-30T12:04:42"/>
    <d v="1899-12-30T12:05:52"/>
    <n v="1"/>
    <n v="0"/>
  </r>
  <r>
    <n v="7743548"/>
    <x v="6"/>
    <d v="1899-12-30T12:05:25"/>
    <d v="1899-12-30T12:13:04"/>
    <n v="1"/>
    <n v="0"/>
  </r>
  <r>
    <n v="7451541965"/>
    <x v="6"/>
    <d v="1899-12-30T12:12:29"/>
    <d v="1899-12-30T12:19:04"/>
    <n v="0"/>
    <n v="0"/>
  </r>
  <r>
    <n v="2109147679"/>
    <x v="6"/>
    <d v="1899-12-30T12:18:28"/>
    <d v="1899-12-30T12:24:00"/>
    <n v="0"/>
    <n v="0"/>
  </r>
  <r>
    <n v="5022247"/>
    <x v="6"/>
    <d v="1899-12-30T12:26:42"/>
    <d v="1899-12-30T12:40:28"/>
    <n v="1"/>
    <n v="0"/>
  </r>
  <r>
    <n v="2920581"/>
    <x v="6"/>
    <d v="1899-12-30T12:34:33"/>
    <d v="1899-12-30T12:44:56"/>
    <n v="1"/>
    <n v="0"/>
  </r>
  <r>
    <n v="7126980"/>
    <x v="6"/>
    <d v="1899-12-30T12:37:20"/>
    <d v="1899-12-30T12:50:37"/>
    <n v="1"/>
    <n v="0"/>
  </r>
  <r>
    <n v="54006070"/>
    <x v="6"/>
    <d v="1899-12-30T12:45:34"/>
    <d v="1899-12-30T12:47:52"/>
    <n v="0"/>
    <n v="1"/>
  </r>
  <r>
    <n v="8672651"/>
    <x v="6"/>
    <d v="1899-12-30T12:48:59"/>
    <d v="1899-12-30T13:04:16"/>
    <n v="1"/>
    <n v="0"/>
  </r>
  <r>
    <n v="54136845"/>
    <x v="6"/>
    <d v="1899-12-30T12:56:27"/>
    <d v="1899-12-30T12:58:56"/>
    <n v="0"/>
    <n v="1"/>
  </r>
  <r>
    <n v="5223970"/>
    <x v="6"/>
    <d v="1899-12-30T12:56:27"/>
    <d v="1899-12-30T13:12:40"/>
    <n v="1"/>
    <n v="0"/>
  </r>
  <r>
    <n v="4264808"/>
    <x v="6"/>
    <d v="1899-12-30T12:56:53"/>
    <d v="1899-12-30T13:13:02"/>
    <n v="1"/>
    <n v="0"/>
  </r>
  <r>
    <n v="5790304"/>
    <x v="6"/>
    <d v="1899-12-30T12:56:55"/>
    <d v="1899-12-30T12:57:58"/>
    <n v="1"/>
    <n v="0"/>
  </r>
  <r>
    <n v="13484133"/>
    <x v="6"/>
    <d v="1899-12-30T12:59:35"/>
    <d v="1899-12-30T13:05:55"/>
    <n v="0"/>
    <n v="1"/>
  </r>
  <r>
    <n v="6269166"/>
    <x v="6"/>
    <d v="1899-12-30T13:03:29"/>
    <d v="1899-12-30T13:17:07"/>
    <n v="1"/>
    <n v="0"/>
  </r>
  <r>
    <n v="5089019"/>
    <x v="6"/>
    <d v="1899-12-30T13:03:49"/>
    <d v="1899-12-30T13:10:52"/>
    <n v="1"/>
    <n v="0"/>
  </r>
  <r>
    <n v="6994188"/>
    <x v="6"/>
    <d v="1899-12-30T13:09:05"/>
    <d v="1899-12-30T13:19:56"/>
    <n v="1"/>
    <n v="0"/>
  </r>
  <r>
    <n v="16883712"/>
    <x v="6"/>
    <d v="1899-12-30T13:13:01"/>
    <d v="1899-12-30T13:21:32"/>
    <n v="0"/>
    <n v="1"/>
  </r>
  <r>
    <n v="2781512"/>
    <x v="6"/>
    <d v="1899-12-30T13:17:24"/>
    <d v="1899-12-30T13:30:54"/>
    <n v="1"/>
    <n v="0"/>
  </r>
  <r>
    <n v="4273704"/>
    <x v="6"/>
    <d v="1899-12-30T13:18:05"/>
    <d v="1899-12-30T13:29:35"/>
    <n v="1"/>
    <n v="0"/>
  </r>
  <r>
    <n v="3707498"/>
    <x v="6"/>
    <d v="1899-12-30T13:26:09"/>
    <d v="1899-12-30T13:37:57"/>
    <n v="1"/>
    <n v="0"/>
  </r>
  <r>
    <n v="3407358"/>
    <x v="6"/>
    <d v="1899-12-30T13:34:28"/>
    <d v="1899-12-30T13:36:09"/>
    <n v="1"/>
    <n v="0"/>
  </r>
  <r>
    <n v="5251861"/>
    <x v="6"/>
    <d v="1899-12-30T13:39:57"/>
    <d v="1899-12-30T13:42:57"/>
    <n v="1"/>
    <n v="0"/>
  </r>
  <r>
    <n v="7473070"/>
    <x v="6"/>
    <d v="1899-12-30T13:43:28"/>
    <d v="1899-12-30T13:59:35"/>
    <n v="1"/>
    <n v="0"/>
  </r>
  <r>
    <n v="3596504"/>
    <x v="6"/>
    <d v="1899-12-30T13:49:20"/>
    <d v="1899-12-30T13:59:33"/>
    <n v="1"/>
    <n v="0"/>
  </r>
  <r>
    <n v="9620982"/>
    <x v="6"/>
    <d v="1899-12-30T13:49:21"/>
    <d v="1899-12-30T13:59:40"/>
    <n v="1"/>
    <n v="0"/>
  </r>
  <r>
    <n v="93696449"/>
    <x v="6"/>
    <d v="1899-12-30T13:54:20"/>
    <d v="1899-12-30T13:54:35"/>
    <n v="0"/>
    <n v="1"/>
  </r>
  <r>
    <n v="6833658"/>
    <x v="6"/>
    <d v="1899-12-30T13:58:38"/>
    <d v="1899-12-30T14:02:06"/>
    <n v="1"/>
    <n v="0"/>
  </r>
  <r>
    <n v="85422307"/>
    <x v="6"/>
    <d v="1899-12-30T14:04:39"/>
    <d v="1899-12-30T14:09:43"/>
    <n v="0"/>
    <n v="1"/>
  </r>
  <r>
    <n v="6191682"/>
    <x v="6"/>
    <d v="1899-12-30T14:05:27"/>
    <d v="1899-12-30T14:20:15"/>
    <n v="1"/>
    <n v="0"/>
  </r>
  <r>
    <n v="6461167"/>
    <x v="6"/>
    <d v="1899-12-30T14:08:07"/>
    <d v="1899-12-30T14:15:30"/>
    <n v="1"/>
    <n v="0"/>
  </r>
  <r>
    <n v="8270097"/>
    <x v="6"/>
    <d v="1899-12-30T14:09:39"/>
    <d v="1899-12-30T14:12:44"/>
    <n v="1"/>
    <n v="0"/>
  </r>
  <r>
    <n v="8982137"/>
    <x v="6"/>
    <d v="1899-12-30T14:09:45"/>
    <d v="1899-12-30T14:22:03"/>
    <n v="1"/>
    <n v="0"/>
  </r>
  <r>
    <n v="47677051"/>
    <x v="6"/>
    <d v="1899-12-30T14:14:56"/>
    <d v="1899-12-30T14:29:43"/>
    <n v="0"/>
    <n v="1"/>
  </r>
  <r>
    <n v="76139570"/>
    <x v="6"/>
    <d v="1899-12-30T14:18:09"/>
    <d v="1899-12-30T14:24:43"/>
    <n v="0"/>
    <n v="1"/>
  </r>
  <r>
    <n v="62016185"/>
    <x v="6"/>
    <d v="1899-12-30T14:24:32"/>
    <d v="1899-12-30T14:34:22"/>
    <n v="0"/>
    <n v="1"/>
  </r>
  <r>
    <n v="93696449"/>
    <x v="6"/>
    <d v="1899-12-30T14:25:07"/>
    <d v="1899-12-30T14:36:17"/>
    <n v="0"/>
    <n v="1"/>
  </r>
  <r>
    <n v="7914439"/>
    <x v="6"/>
    <d v="1899-12-30T14:28:37"/>
    <d v="1899-12-30T14:45:01"/>
    <n v="1"/>
    <n v="0"/>
  </r>
  <r>
    <n v="38047574"/>
    <x v="6"/>
    <d v="1899-12-30T14:34:23"/>
    <d v="1899-12-30T14:45:28"/>
    <n v="0"/>
    <n v="1"/>
  </r>
  <r>
    <n v="3184339"/>
    <x v="6"/>
    <d v="1899-12-30T14:40:59"/>
    <d v="1899-12-30T14:42:09"/>
    <n v="1"/>
    <n v="0"/>
  </r>
  <r>
    <n v="8126744698"/>
    <x v="6"/>
    <d v="1899-12-30T14:47:58"/>
    <d v="1899-12-30T14:50:44"/>
    <n v="0"/>
    <n v="0"/>
  </r>
  <r>
    <n v="52391912"/>
    <x v="6"/>
    <d v="1899-12-30T14:53:46"/>
    <d v="1899-12-30T14:59:39"/>
    <n v="0"/>
    <n v="1"/>
  </r>
  <r>
    <n v="1223943"/>
    <x v="6"/>
    <d v="1899-12-30T15:00:19"/>
    <d v="1899-12-30T15:10:28"/>
    <n v="1"/>
    <n v="0"/>
  </r>
  <r>
    <n v="14201334"/>
    <x v="7"/>
    <d v="1899-12-30T08:03:23"/>
    <d v="1899-12-30T08:11:24"/>
    <n v="0"/>
    <n v="1"/>
  </r>
  <r>
    <n v="1972250241"/>
    <x v="7"/>
    <d v="1899-12-30T08:05:31"/>
    <d v="1899-12-30T08:06:25"/>
    <n v="0"/>
    <n v="0"/>
  </r>
  <r>
    <n v="3028093"/>
    <x v="7"/>
    <d v="1899-12-30T08:12:16"/>
    <d v="1899-12-30T08:15:00"/>
    <n v="1"/>
    <n v="0"/>
  </r>
  <r>
    <n v="27487200"/>
    <x v="7"/>
    <d v="1899-12-30T08:18:55"/>
    <d v="1899-12-30T08:31:16"/>
    <n v="0"/>
    <n v="1"/>
  </r>
  <r>
    <n v="7377702"/>
    <x v="7"/>
    <d v="1899-12-30T08:20:00"/>
    <d v="1899-12-30T08:28:45"/>
    <n v="1"/>
    <n v="0"/>
  </r>
  <r>
    <n v="9294571"/>
    <x v="7"/>
    <d v="1899-12-30T08:25:40"/>
    <d v="1899-12-30T08:30:27"/>
    <n v="1"/>
    <n v="0"/>
  </r>
  <r>
    <n v="6865106"/>
    <x v="7"/>
    <d v="1899-12-30T08:33:10"/>
    <d v="1899-12-30T08:45:46"/>
    <n v="1"/>
    <n v="0"/>
  </r>
  <r>
    <n v="62086163"/>
    <x v="7"/>
    <d v="1899-12-30T08:39:16"/>
    <d v="1899-12-30T08:42:54"/>
    <n v="0"/>
    <n v="1"/>
  </r>
  <r>
    <n v="6367284"/>
    <x v="7"/>
    <d v="1899-12-30T08:45:53"/>
    <d v="1899-12-30T08:49:13"/>
    <n v="1"/>
    <n v="0"/>
  </r>
  <r>
    <n v="1811630"/>
    <x v="7"/>
    <d v="1899-12-30T08:49:44"/>
    <d v="1899-12-30T08:50:43"/>
    <n v="1"/>
    <n v="0"/>
  </r>
  <r>
    <n v="9346036178"/>
    <x v="7"/>
    <d v="1899-12-30T08:53:03"/>
    <d v="1899-12-30T09:07:43"/>
    <n v="0"/>
    <n v="0"/>
  </r>
  <r>
    <n v="1138033"/>
    <x v="7"/>
    <d v="1899-12-30T09:00:04"/>
    <d v="1899-12-30T09:03:20"/>
    <n v="1"/>
    <n v="0"/>
  </r>
  <r>
    <n v="2114812"/>
    <x v="7"/>
    <d v="1899-12-30T09:01:40"/>
    <d v="1899-12-30T09:09:29"/>
    <n v="1"/>
    <n v="0"/>
  </r>
  <r>
    <n v="4195677"/>
    <x v="7"/>
    <d v="1899-12-30T09:02:05"/>
    <d v="1899-12-30T09:09:58"/>
    <n v="1"/>
    <n v="0"/>
  </r>
  <r>
    <n v="3493348"/>
    <x v="7"/>
    <d v="1899-12-30T09:06:15"/>
    <d v="1899-12-30T09:20:32"/>
    <n v="1"/>
    <n v="0"/>
  </r>
  <r>
    <n v="6005020"/>
    <x v="7"/>
    <d v="1899-12-30T09:07:52"/>
    <d v="1899-12-30T09:17:51"/>
    <n v="1"/>
    <n v="0"/>
  </r>
  <r>
    <n v="7421868"/>
    <x v="7"/>
    <d v="1899-12-30T09:11:25"/>
    <d v="1899-12-30T09:16:02"/>
    <n v="1"/>
    <n v="0"/>
  </r>
  <r>
    <n v="2227803"/>
    <x v="7"/>
    <d v="1899-12-30T09:11:46"/>
    <d v="1899-12-30T09:23:52"/>
    <n v="1"/>
    <n v="0"/>
  </r>
  <r>
    <n v="4007464"/>
    <x v="7"/>
    <d v="1899-12-30T09:18:15"/>
    <d v="1899-12-30T09:19:25"/>
    <n v="1"/>
    <n v="0"/>
  </r>
  <r>
    <n v="54713807"/>
    <x v="7"/>
    <d v="1899-12-30T09:21:09"/>
    <d v="1899-12-30T09:23:48"/>
    <n v="0"/>
    <n v="1"/>
  </r>
  <r>
    <n v="7097883"/>
    <x v="7"/>
    <d v="1899-12-30T09:24:34"/>
    <d v="1899-12-30T09:27:53"/>
    <n v="1"/>
    <n v="0"/>
  </r>
  <r>
    <n v="48630026"/>
    <x v="7"/>
    <d v="1899-12-30T09:31:49"/>
    <d v="1899-12-30T09:45:23"/>
    <n v="0"/>
    <n v="1"/>
  </r>
  <r>
    <n v="1279245"/>
    <x v="7"/>
    <d v="1899-12-30T09:39:34"/>
    <d v="1899-12-30T09:47:58"/>
    <n v="1"/>
    <n v="0"/>
  </r>
  <r>
    <n v="2571251"/>
    <x v="7"/>
    <d v="1899-12-30T09:47:51"/>
    <d v="1899-12-30T09:58:51"/>
    <n v="1"/>
    <n v="0"/>
  </r>
  <r>
    <n v="9566647"/>
    <x v="7"/>
    <d v="1899-12-30T09:48:42"/>
    <d v="1899-12-30T09:49:41"/>
    <n v="1"/>
    <n v="0"/>
  </r>
  <r>
    <n v="1454555"/>
    <x v="7"/>
    <d v="1899-12-30T09:51:32"/>
    <d v="1899-12-30T09:51:32"/>
    <n v="1"/>
    <n v="0"/>
  </r>
  <r>
    <n v="21996267"/>
    <x v="7"/>
    <d v="1899-12-30T09:53:33"/>
    <d v="1899-12-30T09:54:26"/>
    <n v="0"/>
    <n v="1"/>
  </r>
  <r>
    <n v="8429072"/>
    <x v="7"/>
    <d v="1899-12-30T09:56:22"/>
    <d v="1899-12-30T10:05:01"/>
    <n v="1"/>
    <n v="0"/>
  </r>
  <r>
    <n v="9815754"/>
    <x v="7"/>
    <d v="1899-12-30T10:02:41"/>
    <d v="1899-12-30T10:05:20"/>
    <n v="1"/>
    <n v="0"/>
  </r>
  <r>
    <n v="2434652"/>
    <x v="7"/>
    <d v="1899-12-30T10:10:08"/>
    <d v="1899-12-30T10:25:08"/>
    <n v="1"/>
    <n v="0"/>
  </r>
  <r>
    <n v="4939683"/>
    <x v="7"/>
    <d v="1899-12-30T10:14:10"/>
    <d v="1899-12-30T10:25:13"/>
    <n v="1"/>
    <n v="0"/>
  </r>
  <r>
    <n v="6821027"/>
    <x v="7"/>
    <d v="1899-12-30T10:15:50"/>
    <d v="1899-12-30T10:26:53"/>
    <n v="1"/>
    <n v="0"/>
  </r>
  <r>
    <n v="3253368"/>
    <x v="7"/>
    <d v="1899-12-30T10:19:48"/>
    <d v="1899-12-30T10:21:34"/>
    <n v="1"/>
    <n v="0"/>
  </r>
  <r>
    <n v="3505978"/>
    <x v="7"/>
    <d v="1899-12-30T10:24:42"/>
    <d v="1899-12-30T10:41:01"/>
    <n v="1"/>
    <n v="0"/>
  </r>
  <r>
    <n v="91743317"/>
    <x v="7"/>
    <d v="1899-12-30T10:29:32"/>
    <d v="1899-12-30T10:43:37"/>
    <n v="0"/>
    <n v="1"/>
  </r>
  <r>
    <n v="5104536"/>
    <x v="7"/>
    <d v="1899-12-30T10:35:43"/>
    <d v="1899-12-30T10:39:32"/>
    <n v="1"/>
    <n v="0"/>
  </r>
  <r>
    <n v="7353916"/>
    <x v="7"/>
    <d v="1899-12-30T10:43:09"/>
    <d v="1899-12-30T10:53:27"/>
    <n v="1"/>
    <n v="0"/>
  </r>
  <r>
    <n v="4412771"/>
    <x v="7"/>
    <d v="1899-12-30T10:45:15"/>
    <d v="1899-12-30T10:51:42"/>
    <n v="1"/>
    <n v="0"/>
  </r>
  <r>
    <n v="6709939"/>
    <x v="7"/>
    <d v="1899-12-30T10:45:22"/>
    <d v="1899-12-30T10:48:53"/>
    <n v="1"/>
    <n v="0"/>
  </r>
  <r>
    <n v="7891185"/>
    <x v="7"/>
    <d v="1899-12-30T10:48:09"/>
    <d v="1899-12-30T11:04:37"/>
    <n v="1"/>
    <n v="0"/>
  </r>
  <r>
    <n v="90417363"/>
    <x v="7"/>
    <d v="1899-12-30T10:55:16"/>
    <d v="1899-12-30T11:03:26"/>
    <n v="0"/>
    <n v="1"/>
  </r>
  <r>
    <n v="4929499"/>
    <x v="7"/>
    <d v="1899-12-30T10:57:42"/>
    <d v="1899-12-30T11:00:28"/>
    <n v="1"/>
    <n v="0"/>
  </r>
  <r>
    <n v="3824371"/>
    <x v="7"/>
    <d v="1899-12-30T11:05:32"/>
    <d v="1899-12-30T11:18:58"/>
    <n v="1"/>
    <n v="0"/>
  </r>
  <r>
    <n v="1119740"/>
    <x v="7"/>
    <d v="1899-12-30T11:11:57"/>
    <d v="1899-12-30T11:24:28"/>
    <n v="1"/>
    <n v="0"/>
  </r>
  <r>
    <n v="1219073"/>
    <x v="7"/>
    <d v="1899-12-30T11:14:56"/>
    <d v="1899-12-30T11:21:25"/>
    <n v="1"/>
    <n v="0"/>
  </r>
  <r>
    <n v="87702896"/>
    <x v="7"/>
    <d v="1899-12-30T11:21:58"/>
    <d v="1899-12-30T11:29:27"/>
    <n v="0"/>
    <n v="1"/>
  </r>
  <r>
    <n v="94197168"/>
    <x v="7"/>
    <d v="1899-12-30T11:28:36"/>
    <d v="1899-12-30T11:37:34"/>
    <n v="0"/>
    <n v="1"/>
  </r>
  <r>
    <n v="8655825"/>
    <x v="7"/>
    <d v="1899-12-30T11:34:49"/>
    <d v="1899-12-30T11:41:45"/>
    <n v="1"/>
    <n v="0"/>
  </r>
  <r>
    <n v="47707639"/>
    <x v="7"/>
    <d v="1899-12-30T11:43:07"/>
    <d v="1899-12-30T11:51:50"/>
    <n v="0"/>
    <n v="1"/>
  </r>
  <r>
    <n v="5029329"/>
    <x v="7"/>
    <d v="1899-12-30T11:46:30"/>
    <d v="1899-12-30T11:53:19"/>
    <n v="1"/>
    <n v="0"/>
  </r>
  <r>
    <n v="8825868"/>
    <x v="7"/>
    <d v="1899-12-30T11:53:33"/>
    <d v="1899-12-30T12:03:48"/>
    <n v="1"/>
    <n v="0"/>
  </r>
  <r>
    <n v="8461631"/>
    <x v="7"/>
    <d v="1899-12-30T12:00:22"/>
    <d v="1899-12-30T12:04:58"/>
    <n v="1"/>
    <n v="0"/>
  </r>
  <r>
    <n v="76777492"/>
    <x v="7"/>
    <d v="1899-12-30T12:01:02"/>
    <d v="1899-12-30T12:12:21"/>
    <n v="0"/>
    <n v="1"/>
  </r>
  <r>
    <n v="71036125"/>
    <x v="7"/>
    <d v="1899-12-30T12:08:36"/>
    <d v="1899-12-30T12:23:31"/>
    <n v="0"/>
    <n v="1"/>
  </r>
  <r>
    <n v="2989192"/>
    <x v="7"/>
    <d v="1899-12-30T12:12:40"/>
    <d v="1899-12-30T12:19:26"/>
    <n v="1"/>
    <n v="0"/>
  </r>
  <r>
    <n v="5131341"/>
    <x v="7"/>
    <d v="1899-12-30T12:14:02"/>
    <d v="1899-12-30T12:15:27"/>
    <n v="1"/>
    <n v="0"/>
  </r>
  <r>
    <n v="2826868"/>
    <x v="7"/>
    <d v="1899-12-30T12:22:19"/>
    <d v="1899-12-30T12:22:20"/>
    <n v="1"/>
    <n v="0"/>
  </r>
  <r>
    <n v="9849071"/>
    <x v="7"/>
    <d v="1899-12-30T12:22:29"/>
    <d v="1899-12-30T12:31:16"/>
    <n v="1"/>
    <n v="0"/>
  </r>
  <r>
    <n v="47025160"/>
    <x v="7"/>
    <d v="1899-12-30T12:28:56"/>
    <d v="1899-12-30T12:43:01"/>
    <n v="0"/>
    <n v="1"/>
  </r>
  <r>
    <n v="97798921"/>
    <x v="7"/>
    <d v="1899-12-30T12:31:17"/>
    <d v="1899-12-30T12:37:32"/>
    <n v="0"/>
    <n v="1"/>
  </r>
  <r>
    <n v="2248131"/>
    <x v="7"/>
    <d v="1899-12-30T12:33:06"/>
    <d v="1899-12-30T12:46:48"/>
    <n v="1"/>
    <n v="0"/>
  </r>
  <r>
    <n v="1973826522"/>
    <x v="7"/>
    <d v="1899-12-30T12:33:44"/>
    <d v="1899-12-30T12:33:51"/>
    <n v="0"/>
    <n v="0"/>
  </r>
  <r>
    <n v="6293367175"/>
    <x v="7"/>
    <d v="1899-12-30T12:38:09"/>
    <d v="1899-12-30T12:44:59"/>
    <n v="0"/>
    <n v="0"/>
  </r>
  <r>
    <n v="5092577"/>
    <x v="7"/>
    <d v="1899-12-30T12:40:49"/>
    <d v="1899-12-30T12:47:03"/>
    <n v="1"/>
    <n v="0"/>
  </r>
  <r>
    <n v="62086163"/>
    <x v="7"/>
    <d v="1899-12-30T12:45:01"/>
    <d v="1899-12-30T12:46:58"/>
    <n v="0"/>
    <n v="1"/>
  </r>
  <r>
    <n v="4657345"/>
    <x v="7"/>
    <d v="1899-12-30T12:51:58"/>
    <d v="1899-12-30T12:52:18"/>
    <n v="1"/>
    <n v="0"/>
  </r>
  <r>
    <n v="7937998"/>
    <x v="7"/>
    <d v="1899-12-30T12:54:42"/>
    <d v="1899-12-30T12:57:46"/>
    <n v="1"/>
    <n v="0"/>
  </r>
  <r>
    <n v="7269536"/>
    <x v="7"/>
    <d v="1899-12-30T12:55:07"/>
    <d v="1899-12-30T13:02:03"/>
    <n v="1"/>
    <n v="0"/>
  </r>
  <r>
    <n v="98939809"/>
    <x v="7"/>
    <d v="1899-12-30T12:55:47"/>
    <d v="1899-12-30T12:58:49"/>
    <n v="0"/>
    <n v="1"/>
  </r>
  <r>
    <n v="7766265"/>
    <x v="7"/>
    <d v="1899-12-30T13:03:14"/>
    <d v="1899-12-30T13:05:21"/>
    <n v="1"/>
    <n v="0"/>
  </r>
  <r>
    <n v="7377702"/>
    <x v="7"/>
    <d v="1899-12-30T13:07:32"/>
    <d v="1899-12-30T13:11:16"/>
    <n v="1"/>
    <n v="0"/>
  </r>
  <r>
    <n v="38244568"/>
    <x v="7"/>
    <d v="1899-12-30T13:09:30"/>
    <d v="1899-12-30T13:10:51"/>
    <n v="0"/>
    <n v="1"/>
  </r>
  <r>
    <n v="5094248"/>
    <x v="7"/>
    <d v="1899-12-30T13:13:42"/>
    <d v="1899-12-30T13:26:27"/>
    <n v="1"/>
    <n v="0"/>
  </r>
  <r>
    <n v="1233459"/>
    <x v="7"/>
    <d v="1899-12-30T13:20:09"/>
    <d v="1899-12-30T13:21:43"/>
    <n v="1"/>
    <n v="0"/>
  </r>
  <r>
    <n v="9398644"/>
    <x v="7"/>
    <d v="1899-12-30T13:22:20"/>
    <d v="1899-12-30T13:37:15"/>
    <n v="1"/>
    <n v="0"/>
  </r>
  <r>
    <n v="3390459"/>
    <x v="7"/>
    <d v="1899-12-30T13:24:31"/>
    <d v="1899-12-30T13:25:17"/>
    <n v="1"/>
    <n v="0"/>
  </r>
  <r>
    <n v="5252835"/>
    <x v="7"/>
    <d v="1899-12-30T13:25:04"/>
    <d v="1899-12-30T13:39:54"/>
    <n v="1"/>
    <n v="0"/>
  </r>
  <r>
    <n v="15643568"/>
    <x v="7"/>
    <d v="1899-12-30T13:27:28"/>
    <d v="1899-12-30T13:30:29"/>
    <n v="0"/>
    <n v="1"/>
  </r>
  <r>
    <n v="39921944"/>
    <x v="7"/>
    <d v="1899-12-30T13:32:08"/>
    <d v="1899-12-30T13:46:23"/>
    <n v="0"/>
    <n v="1"/>
  </r>
  <r>
    <n v="66800387"/>
    <x v="7"/>
    <d v="1899-12-30T13:33:44"/>
    <d v="1899-12-30T13:34:23"/>
    <n v="0"/>
    <n v="1"/>
  </r>
  <r>
    <n v="88664428"/>
    <x v="7"/>
    <d v="1899-12-30T13:34:00"/>
    <d v="1899-12-30T13:38:08"/>
    <n v="0"/>
    <n v="1"/>
  </r>
  <r>
    <n v="4111617"/>
    <x v="7"/>
    <d v="1899-12-30T13:34:24"/>
    <d v="1899-12-30T13:40:23"/>
    <n v="1"/>
    <n v="0"/>
  </r>
  <r>
    <n v="9804309"/>
    <x v="7"/>
    <d v="1899-12-30T13:39:38"/>
    <d v="1899-12-30T13:52:56"/>
    <n v="1"/>
    <n v="0"/>
  </r>
  <r>
    <n v="3382728"/>
    <x v="7"/>
    <d v="1899-12-30T13:40:08"/>
    <d v="1899-12-30T13:46:35"/>
    <n v="1"/>
    <n v="0"/>
  </r>
  <r>
    <n v="9091369"/>
    <x v="7"/>
    <d v="1899-12-30T13:44:08"/>
    <d v="1899-12-30T13:46:37"/>
    <n v="1"/>
    <n v="0"/>
  </r>
  <r>
    <n v="3981821518"/>
    <x v="7"/>
    <d v="1899-12-30T13:47:13"/>
    <d v="1899-12-30T13:50:56"/>
    <n v="0"/>
    <n v="0"/>
  </r>
  <r>
    <n v="6304174"/>
    <x v="7"/>
    <d v="1899-12-30T13:47:13"/>
    <d v="1899-12-30T14:02:35"/>
    <n v="1"/>
    <n v="0"/>
  </r>
  <r>
    <n v="8233999"/>
    <x v="7"/>
    <d v="1899-12-30T13:52:44"/>
    <d v="1899-12-30T14:07:13"/>
    <n v="1"/>
    <n v="0"/>
  </r>
  <r>
    <n v="97782375"/>
    <x v="7"/>
    <d v="1899-12-30T13:55:59"/>
    <d v="1899-12-30T13:58:02"/>
    <n v="0"/>
    <n v="1"/>
  </r>
  <r>
    <n v="2826868"/>
    <x v="7"/>
    <d v="1899-12-30T13:59:02"/>
    <d v="1899-12-30T14:14:37"/>
    <n v="1"/>
    <n v="0"/>
  </r>
  <r>
    <n v="93794133"/>
    <x v="7"/>
    <d v="1899-12-30T14:03:44"/>
    <d v="1899-12-30T14:10:09"/>
    <n v="0"/>
    <n v="1"/>
  </r>
  <r>
    <n v="85838361"/>
    <x v="7"/>
    <d v="1899-12-30T14:08:18"/>
    <d v="1899-12-30T14:23:04"/>
    <n v="0"/>
    <n v="1"/>
  </r>
  <r>
    <n v="1616328"/>
    <x v="7"/>
    <d v="1899-12-30T14:14:42"/>
    <d v="1899-12-30T14:22:24"/>
    <n v="1"/>
    <n v="0"/>
  </r>
  <r>
    <n v="9773176"/>
    <x v="7"/>
    <d v="1899-12-30T14:22:11"/>
    <d v="1899-12-30T14:25:50"/>
    <n v="1"/>
    <n v="0"/>
  </r>
  <r>
    <n v="8246306"/>
    <x v="7"/>
    <d v="1899-12-30T14:22:58"/>
    <d v="1899-12-30T14:26:38"/>
    <n v="1"/>
    <n v="0"/>
  </r>
  <r>
    <n v="2412611"/>
    <x v="7"/>
    <d v="1899-12-30T14:24:57"/>
    <d v="1899-12-30T14:37:00"/>
    <n v="1"/>
    <n v="0"/>
  </r>
  <r>
    <n v="7795911"/>
    <x v="7"/>
    <d v="1899-12-30T14:31:37"/>
    <d v="1899-12-30T14:35:36"/>
    <n v="1"/>
    <n v="0"/>
  </r>
  <r>
    <n v="8063487"/>
    <x v="7"/>
    <d v="1899-12-30T14:38:49"/>
    <d v="1899-12-30T14:48:13"/>
    <n v="1"/>
    <n v="0"/>
  </r>
  <r>
    <n v="68677362"/>
    <x v="7"/>
    <d v="1899-12-30T14:46:06"/>
    <d v="1899-12-30T14:46:23"/>
    <n v="0"/>
    <n v="1"/>
  </r>
  <r>
    <n v="6766787935"/>
    <x v="7"/>
    <d v="1899-12-30T14:53:55"/>
    <d v="1899-12-30T15:03:00"/>
    <n v="0"/>
    <n v="0"/>
  </r>
  <r>
    <n v="27791497"/>
    <x v="7"/>
    <d v="1899-12-30T14:58:10"/>
    <d v="1899-12-30T15:10:41"/>
    <n v="0"/>
    <n v="1"/>
  </r>
  <r>
    <n v="6158527"/>
    <x v="7"/>
    <d v="1899-12-30T14:59:16"/>
    <d v="1899-12-30T15:02:13"/>
    <n v="1"/>
    <n v="0"/>
  </r>
  <r>
    <n v="3456554"/>
    <x v="7"/>
    <d v="1899-12-30T15:01:40"/>
    <d v="1899-12-30T15:14:17"/>
    <n v="1"/>
    <n v="0"/>
  </r>
  <r>
    <n v="3437033"/>
    <x v="8"/>
    <d v="1899-12-30T08:06:54"/>
    <d v="1899-12-30T08:16:11"/>
    <n v="1"/>
    <n v="0"/>
  </r>
  <r>
    <n v="2128068"/>
    <x v="8"/>
    <d v="1899-12-30T08:13:19"/>
    <d v="1899-12-30T08:17:52"/>
    <n v="1"/>
    <n v="0"/>
  </r>
  <r>
    <n v="20679187"/>
    <x v="8"/>
    <d v="1899-12-30T08:21:36"/>
    <d v="1899-12-30T08:26:58"/>
    <n v="0"/>
    <n v="1"/>
  </r>
  <r>
    <n v="9259392564"/>
    <x v="8"/>
    <d v="1899-12-30T08:28:29"/>
    <d v="1899-12-30T08:36:48"/>
    <n v="0"/>
    <n v="0"/>
  </r>
  <r>
    <n v="7852624"/>
    <x v="8"/>
    <d v="1899-12-30T08:36:45"/>
    <d v="1899-12-30T08:51:33"/>
    <n v="1"/>
    <n v="0"/>
  </r>
  <r>
    <n v="8838584"/>
    <x v="8"/>
    <d v="1899-12-30T08:41:21"/>
    <d v="1899-12-30T08:56:07"/>
    <n v="1"/>
    <n v="0"/>
  </r>
  <r>
    <n v="2492731"/>
    <x v="8"/>
    <d v="1899-12-30T08:43:19"/>
    <d v="1899-12-30T08:45:42"/>
    <n v="1"/>
    <n v="0"/>
  </r>
  <r>
    <n v="8028777"/>
    <x v="8"/>
    <d v="1899-12-30T08:45:41"/>
    <d v="1899-12-30T08:55:45"/>
    <n v="1"/>
    <n v="0"/>
  </r>
  <r>
    <n v="2619219"/>
    <x v="8"/>
    <d v="1899-12-30T08:46:51"/>
    <d v="1899-12-30T08:49:41"/>
    <n v="1"/>
    <n v="0"/>
  </r>
  <r>
    <n v="2506618"/>
    <x v="8"/>
    <d v="1899-12-30T08:48:33"/>
    <d v="1899-12-30T09:04:05"/>
    <n v="1"/>
    <n v="0"/>
  </r>
  <r>
    <n v="7979313"/>
    <x v="8"/>
    <d v="1899-12-30T08:53:52"/>
    <d v="1899-12-30T09:01:28"/>
    <n v="1"/>
    <n v="0"/>
  </r>
  <r>
    <n v="23123600"/>
    <x v="8"/>
    <d v="1899-12-30T08:57:37"/>
    <d v="1899-12-30T08:58:41"/>
    <n v="0"/>
    <n v="1"/>
  </r>
  <r>
    <n v="9849476"/>
    <x v="8"/>
    <d v="1899-12-30T09:02:13"/>
    <d v="1899-12-30T09:03:01"/>
    <n v="1"/>
    <n v="0"/>
  </r>
  <r>
    <n v="27410048"/>
    <x v="8"/>
    <d v="1899-12-30T09:03:35"/>
    <d v="1899-12-30T09:03:48"/>
    <n v="0"/>
    <n v="1"/>
  </r>
  <r>
    <n v="6746757"/>
    <x v="8"/>
    <d v="1899-12-30T09:05:47"/>
    <d v="1899-12-30T09:08:59"/>
    <n v="1"/>
    <n v="0"/>
  </r>
  <r>
    <n v="5087066"/>
    <x v="8"/>
    <d v="1899-12-30T09:07:28"/>
    <d v="1899-12-30T09:12:05"/>
    <n v="1"/>
    <n v="0"/>
  </r>
  <r>
    <n v="9680416"/>
    <x v="8"/>
    <d v="1899-12-30T09:14:07"/>
    <d v="1899-12-30T09:22:26"/>
    <n v="1"/>
    <n v="0"/>
  </r>
  <r>
    <n v="9356216"/>
    <x v="8"/>
    <d v="1899-12-30T09:21:07"/>
    <d v="1899-12-30T09:37:30"/>
    <n v="1"/>
    <n v="0"/>
  </r>
  <r>
    <n v="7415603"/>
    <x v="8"/>
    <d v="1899-12-30T09:24:24"/>
    <d v="1899-12-30T09:29:19"/>
    <n v="1"/>
    <n v="0"/>
  </r>
  <r>
    <n v="28145499"/>
    <x v="8"/>
    <d v="1899-12-30T09:32:00"/>
    <d v="1899-12-30T09:37:13"/>
    <n v="0"/>
    <n v="1"/>
  </r>
  <r>
    <n v="61527800"/>
    <x v="8"/>
    <d v="1899-12-30T09:35:50"/>
    <d v="1899-12-30T09:50:28"/>
    <n v="0"/>
    <n v="1"/>
  </r>
  <r>
    <n v="4873703"/>
    <x v="8"/>
    <d v="1899-12-30T09:43:46"/>
    <d v="1899-12-30T09:56:41"/>
    <n v="1"/>
    <n v="0"/>
  </r>
  <r>
    <n v="43019885"/>
    <x v="8"/>
    <d v="1899-12-30T09:45:20"/>
    <d v="1899-12-30T09:59:29"/>
    <n v="0"/>
    <n v="1"/>
  </r>
  <r>
    <n v="7388260"/>
    <x v="8"/>
    <d v="1899-12-30T09:52:33"/>
    <d v="1899-12-30T10:03:46"/>
    <n v="1"/>
    <n v="0"/>
  </r>
  <r>
    <n v="4581715"/>
    <x v="8"/>
    <d v="1899-12-30T09:52:53"/>
    <d v="1899-12-30T10:06:55"/>
    <n v="1"/>
    <n v="0"/>
  </r>
  <r>
    <n v="58420185"/>
    <x v="8"/>
    <d v="1899-12-30T10:00:54"/>
    <d v="1899-12-30T10:06:34"/>
    <n v="0"/>
    <n v="1"/>
  </r>
  <r>
    <n v="45948073"/>
    <x v="8"/>
    <d v="1899-12-30T10:04:30"/>
    <d v="1899-12-30T10:13:15"/>
    <n v="0"/>
    <n v="1"/>
  </r>
  <r>
    <n v="4473835"/>
    <x v="8"/>
    <d v="1899-12-30T10:06:07"/>
    <d v="1899-12-30T10:13:35"/>
    <n v="1"/>
    <n v="0"/>
  </r>
  <r>
    <n v="7739841"/>
    <x v="8"/>
    <d v="1899-12-30T10:10:50"/>
    <d v="1899-12-30T10:13:25"/>
    <n v="1"/>
    <n v="0"/>
  </r>
  <r>
    <n v="6275284312"/>
    <x v="8"/>
    <d v="1899-12-30T10:17:59"/>
    <d v="1899-12-30T10:24:52"/>
    <n v="0"/>
    <n v="0"/>
  </r>
  <r>
    <n v="1692981"/>
    <x v="8"/>
    <d v="1899-12-30T10:23:29"/>
    <d v="1899-12-30T10:25:19"/>
    <n v="1"/>
    <n v="0"/>
  </r>
  <r>
    <n v="9270571"/>
    <x v="8"/>
    <d v="1899-12-30T10:30:28"/>
    <d v="1899-12-30T10:41:40"/>
    <n v="1"/>
    <n v="0"/>
  </r>
  <r>
    <n v="6299545"/>
    <x v="8"/>
    <d v="1899-12-30T10:33:24"/>
    <d v="1899-12-30T10:37:54"/>
    <n v="1"/>
    <n v="0"/>
  </r>
  <r>
    <n v="67064385"/>
    <x v="8"/>
    <d v="1899-12-30T10:37:37"/>
    <d v="1899-12-30T10:40:31"/>
    <n v="0"/>
    <n v="1"/>
  </r>
  <r>
    <n v="4062215"/>
    <x v="8"/>
    <d v="1899-12-30T10:44:09"/>
    <d v="1899-12-30T10:54:43"/>
    <n v="1"/>
    <n v="0"/>
  </r>
  <r>
    <n v="2835355"/>
    <x v="8"/>
    <d v="1899-12-30T10:49:54"/>
    <d v="1899-12-30T10:57:56"/>
    <n v="1"/>
    <n v="0"/>
  </r>
  <r>
    <n v="9283739"/>
    <x v="8"/>
    <d v="1899-12-30T10:55:03"/>
    <d v="1899-12-30T11:08:54"/>
    <n v="1"/>
    <n v="0"/>
  </r>
  <r>
    <n v="7118082"/>
    <x v="8"/>
    <d v="1899-12-30T10:57:50"/>
    <d v="1899-12-30T11:11:43"/>
    <n v="1"/>
    <n v="0"/>
  </r>
  <r>
    <n v="30178521"/>
    <x v="8"/>
    <d v="1899-12-30T11:01:57"/>
    <d v="1899-12-30T11:09:54"/>
    <n v="0"/>
    <n v="1"/>
  </r>
  <r>
    <n v="5014399"/>
    <x v="8"/>
    <d v="1899-12-30T11:08:48"/>
    <d v="1899-12-30T11:13:44"/>
    <n v="1"/>
    <n v="0"/>
  </r>
  <r>
    <n v="3984696"/>
    <x v="8"/>
    <d v="1899-12-30T11:10:46"/>
    <d v="1899-12-30T11:10:53"/>
    <n v="1"/>
    <n v="0"/>
  </r>
  <r>
    <n v="53386383"/>
    <x v="8"/>
    <d v="1899-12-30T11:18:14"/>
    <d v="1899-12-30T11:19:20"/>
    <n v="0"/>
    <n v="1"/>
  </r>
  <r>
    <n v="8733120283"/>
    <x v="8"/>
    <d v="1899-12-30T11:18:44"/>
    <d v="1899-12-30T11:26:18"/>
    <n v="0"/>
    <n v="0"/>
  </r>
  <r>
    <n v="6934405"/>
    <x v="8"/>
    <d v="1899-12-30T11:21:26"/>
    <d v="1899-12-30T11:31:19"/>
    <n v="1"/>
    <n v="0"/>
  </r>
  <r>
    <n v="54136845"/>
    <x v="8"/>
    <d v="1899-12-30T11:29:37"/>
    <d v="1899-12-30T11:31:49"/>
    <n v="0"/>
    <n v="1"/>
  </r>
  <r>
    <n v="76310343"/>
    <x v="8"/>
    <d v="1899-12-30T11:35:42"/>
    <d v="1899-12-30T11:44:03"/>
    <n v="0"/>
    <n v="1"/>
  </r>
  <r>
    <n v="9005999"/>
    <x v="8"/>
    <d v="1899-12-30T11:42:31"/>
    <d v="1899-12-30T11:54:23"/>
    <n v="1"/>
    <n v="0"/>
  </r>
  <r>
    <n v="7763451"/>
    <x v="8"/>
    <d v="1899-12-30T11:47:13"/>
    <d v="1899-12-30T11:57:59"/>
    <n v="1"/>
    <n v="0"/>
  </r>
  <r>
    <n v="3765001"/>
    <x v="8"/>
    <d v="1899-12-30T11:49:41"/>
    <d v="1899-12-30T12:05:43"/>
    <n v="1"/>
    <n v="0"/>
  </r>
  <r>
    <n v="8498076"/>
    <x v="8"/>
    <d v="1899-12-30T11:52:42"/>
    <d v="1899-12-30T11:58:32"/>
    <n v="1"/>
    <n v="0"/>
  </r>
  <r>
    <n v="4995171"/>
    <x v="8"/>
    <d v="1899-12-30T12:00:52"/>
    <d v="1899-12-30T12:05:36"/>
    <n v="1"/>
    <n v="0"/>
  </r>
  <r>
    <n v="8929993"/>
    <x v="8"/>
    <d v="1899-12-30T12:02:30"/>
    <d v="1899-12-30T12:10:24"/>
    <n v="1"/>
    <n v="0"/>
  </r>
  <r>
    <n v="7473804"/>
    <x v="8"/>
    <d v="1899-12-30T12:09:44"/>
    <d v="1899-12-30T12:19:54"/>
    <n v="1"/>
    <n v="0"/>
  </r>
  <r>
    <n v="1816002"/>
    <x v="8"/>
    <d v="1899-12-30T12:10:33"/>
    <d v="1899-12-30T12:14:29"/>
    <n v="1"/>
    <n v="0"/>
  </r>
  <r>
    <n v="4133182"/>
    <x v="8"/>
    <d v="1899-12-30T12:15:17"/>
    <d v="1899-12-30T12:17:02"/>
    <n v="1"/>
    <n v="0"/>
  </r>
  <r>
    <n v="63141248"/>
    <x v="8"/>
    <d v="1899-12-30T12:17:38"/>
    <d v="1899-12-30T12:24:55"/>
    <n v="0"/>
    <n v="1"/>
  </r>
  <r>
    <n v="7384686"/>
    <x v="8"/>
    <d v="1899-12-30T12:23:17"/>
    <d v="1899-12-30T12:35:27"/>
    <n v="1"/>
    <n v="0"/>
  </r>
  <r>
    <n v="3150344"/>
    <x v="8"/>
    <d v="1899-12-30T12:24:37"/>
    <d v="1899-12-30T12:38:39"/>
    <n v="1"/>
    <n v="0"/>
  </r>
  <r>
    <n v="6786847"/>
    <x v="8"/>
    <d v="1899-12-30T12:28:36"/>
    <d v="1899-12-30T12:42:07"/>
    <n v="1"/>
    <n v="0"/>
  </r>
  <r>
    <n v="2947889"/>
    <x v="8"/>
    <d v="1899-12-30T12:33:26"/>
    <d v="1899-12-30T12:42:42"/>
    <n v="1"/>
    <n v="0"/>
  </r>
  <r>
    <n v="28961250"/>
    <x v="8"/>
    <d v="1899-12-30T12:33:53"/>
    <d v="1899-12-30T12:44:36"/>
    <n v="0"/>
    <n v="1"/>
  </r>
  <r>
    <n v="3328479"/>
    <x v="8"/>
    <d v="1899-12-30T12:38:26"/>
    <d v="1899-12-30T12:51:46"/>
    <n v="1"/>
    <n v="0"/>
  </r>
  <r>
    <n v="61322035"/>
    <x v="8"/>
    <d v="1899-12-30T12:41:51"/>
    <d v="1899-12-30T12:42:24"/>
    <n v="0"/>
    <n v="1"/>
  </r>
  <r>
    <n v="40308049"/>
    <x v="8"/>
    <d v="1899-12-30T12:43:53"/>
    <d v="1899-12-30T12:54:41"/>
    <n v="0"/>
    <n v="1"/>
  </r>
  <r>
    <n v="7066778"/>
    <x v="8"/>
    <d v="1899-12-30T12:50:11"/>
    <d v="1899-12-30T12:55:35"/>
    <n v="1"/>
    <n v="0"/>
  </r>
  <r>
    <n v="3434934"/>
    <x v="8"/>
    <d v="1899-12-30T12:58:10"/>
    <d v="1899-12-30T13:12:34"/>
    <n v="1"/>
    <n v="0"/>
  </r>
  <r>
    <n v="3017523"/>
    <x v="8"/>
    <d v="1899-12-30T13:02:32"/>
    <d v="1899-12-30T13:11:35"/>
    <n v="1"/>
    <n v="0"/>
  </r>
  <r>
    <n v="26699217"/>
    <x v="8"/>
    <d v="1899-12-30T13:07:56"/>
    <d v="1899-12-30T13:24:33"/>
    <n v="0"/>
    <n v="1"/>
  </r>
  <r>
    <n v="3192836"/>
    <x v="8"/>
    <d v="1899-12-30T13:09:13"/>
    <d v="1899-12-30T13:09:30"/>
    <n v="1"/>
    <n v="0"/>
  </r>
  <r>
    <n v="6979384"/>
    <x v="8"/>
    <d v="1899-12-30T13:16:33"/>
    <d v="1899-12-30T13:30:02"/>
    <n v="1"/>
    <n v="0"/>
  </r>
  <r>
    <n v="5277660"/>
    <x v="8"/>
    <d v="1899-12-30T13:19:50"/>
    <d v="1899-12-30T13:31:18"/>
    <n v="1"/>
    <n v="0"/>
  </r>
  <r>
    <n v="9543572"/>
    <x v="8"/>
    <d v="1899-12-30T13:20:01"/>
    <d v="1899-12-30T13:31:22"/>
    <n v="1"/>
    <n v="0"/>
  </r>
  <r>
    <n v="3984696"/>
    <x v="8"/>
    <d v="1899-12-30T13:25:18"/>
    <d v="1899-12-30T13:35:47"/>
    <n v="1"/>
    <n v="0"/>
  </r>
  <r>
    <n v="47855743"/>
    <x v="8"/>
    <d v="1899-12-30T13:31:45"/>
    <d v="1899-12-30T13:45:46"/>
    <n v="0"/>
    <n v="1"/>
  </r>
  <r>
    <n v="3095218"/>
    <x v="8"/>
    <d v="1899-12-30T13:34:46"/>
    <d v="1899-12-30T13:50:48"/>
    <n v="1"/>
    <n v="0"/>
  </r>
  <r>
    <n v="7933399"/>
    <x v="8"/>
    <d v="1899-12-30T13:41:35"/>
    <d v="1899-12-30T13:46:24"/>
    <n v="1"/>
    <n v="0"/>
  </r>
  <r>
    <n v="54821549"/>
    <x v="8"/>
    <d v="1899-12-30T13:44:56"/>
    <d v="1899-12-30T13:50:21"/>
    <n v="0"/>
    <n v="1"/>
  </r>
  <r>
    <n v="14919021"/>
    <x v="8"/>
    <d v="1899-12-30T13:45:34"/>
    <d v="1899-12-30T13:48:41"/>
    <n v="0"/>
    <n v="1"/>
  </r>
  <r>
    <n v="9175377"/>
    <x v="8"/>
    <d v="1899-12-30T13:50:08"/>
    <d v="1899-12-30T13:54:00"/>
    <n v="1"/>
    <n v="0"/>
  </r>
  <r>
    <n v="3656681"/>
    <x v="8"/>
    <d v="1899-12-30T13:56:10"/>
    <d v="1899-12-30T14:11:45"/>
    <n v="1"/>
    <n v="0"/>
  </r>
  <r>
    <n v="5741700"/>
    <x v="8"/>
    <d v="1899-12-30T14:04:29"/>
    <d v="1899-12-30T14:20:54"/>
    <n v="1"/>
    <n v="0"/>
  </r>
  <r>
    <n v="18816694"/>
    <x v="8"/>
    <d v="1899-12-30T14:12:11"/>
    <d v="1899-12-30T14:24:47"/>
    <n v="0"/>
    <n v="1"/>
  </r>
  <r>
    <n v="6177366"/>
    <x v="8"/>
    <d v="1899-12-30T14:13:26"/>
    <d v="1899-12-30T14:19:17"/>
    <n v="1"/>
    <n v="0"/>
  </r>
  <r>
    <n v="4221160"/>
    <x v="8"/>
    <d v="1899-12-30T14:15:54"/>
    <d v="1899-12-30T14:29:02"/>
    <n v="1"/>
    <n v="0"/>
  </r>
  <r>
    <n v="9339774"/>
    <x v="8"/>
    <d v="1899-12-30T14:20:20"/>
    <d v="1899-12-30T14:34:07"/>
    <n v="1"/>
    <n v="0"/>
  </r>
  <r>
    <n v="46255010"/>
    <x v="8"/>
    <d v="1899-12-30T14:24:07"/>
    <d v="1899-12-30T14:26:38"/>
    <n v="0"/>
    <n v="1"/>
  </r>
  <r>
    <n v="91208799"/>
    <x v="8"/>
    <d v="1899-12-30T14:28:29"/>
    <d v="1899-12-30T14:39:06"/>
    <n v="0"/>
    <n v="1"/>
  </r>
  <r>
    <n v="7211782"/>
    <x v="8"/>
    <d v="1899-12-30T14:35:08"/>
    <d v="1899-12-30T14:35:31"/>
    <n v="1"/>
    <n v="0"/>
  </r>
  <r>
    <n v="3429335"/>
    <x v="8"/>
    <d v="1899-12-30T14:43:23"/>
    <d v="1899-12-30T14:59:33"/>
    <n v="1"/>
    <n v="0"/>
  </r>
  <r>
    <n v="3206241"/>
    <x v="8"/>
    <d v="1899-12-30T14:47:15"/>
    <d v="1899-12-30T15:03:24"/>
    <n v="1"/>
    <n v="0"/>
  </r>
  <r>
    <n v="8750670"/>
    <x v="8"/>
    <d v="1899-12-30T14:48:17"/>
    <d v="1899-12-30T14:49:21"/>
    <n v="1"/>
    <n v="0"/>
  </r>
  <r>
    <n v="7792679"/>
    <x v="8"/>
    <d v="1899-12-30T14:53:28"/>
    <d v="1899-12-30T14:53:50"/>
    <n v="1"/>
    <n v="0"/>
  </r>
  <r>
    <n v="9287211"/>
    <x v="8"/>
    <d v="1899-12-30T14:55:22"/>
    <d v="1899-12-30T15:00:35"/>
    <n v="1"/>
    <n v="0"/>
  </r>
  <r>
    <n v="1997542"/>
    <x v="8"/>
    <d v="1899-12-30T15:03:36"/>
    <d v="1899-12-30T15:09:19"/>
    <n v="1"/>
    <n v="0"/>
  </r>
  <r>
    <n v="3558582"/>
    <x v="9"/>
    <d v="1899-12-30T08:04:41"/>
    <d v="1899-12-30T08:15:08"/>
    <n v="1"/>
    <n v="0"/>
  </r>
  <r>
    <n v="25240352"/>
    <x v="9"/>
    <d v="1899-12-30T08:05:10"/>
    <d v="1899-12-30T08:16:21"/>
    <n v="0"/>
    <n v="1"/>
  </r>
  <r>
    <n v="5829504"/>
    <x v="9"/>
    <d v="1899-12-30T08:06:45"/>
    <d v="1899-12-30T08:12:58"/>
    <n v="1"/>
    <n v="0"/>
  </r>
  <r>
    <n v="97317489"/>
    <x v="9"/>
    <d v="1899-12-30T08:10:30"/>
    <d v="1899-12-30T08:14:24"/>
    <n v="0"/>
    <n v="1"/>
  </r>
  <r>
    <n v="53762222"/>
    <x v="9"/>
    <d v="1899-12-30T08:13:23"/>
    <d v="1899-12-30T08:21:28"/>
    <n v="0"/>
    <n v="1"/>
  </r>
  <r>
    <n v="3363840"/>
    <x v="9"/>
    <d v="1899-12-30T08:15:49"/>
    <d v="1899-12-30T08:18:19"/>
    <n v="1"/>
    <n v="0"/>
  </r>
  <r>
    <n v="5542324"/>
    <x v="9"/>
    <d v="1899-12-30T08:17:13"/>
    <d v="1899-12-30T08:29:58"/>
    <n v="1"/>
    <n v="0"/>
  </r>
  <r>
    <n v="9853612"/>
    <x v="9"/>
    <d v="1899-12-30T08:21:49"/>
    <d v="1899-12-30T08:37:21"/>
    <n v="1"/>
    <n v="0"/>
  </r>
  <r>
    <n v="5392799"/>
    <x v="9"/>
    <d v="1899-12-30T08:27:54"/>
    <d v="1899-12-30T08:42:04"/>
    <n v="1"/>
    <n v="0"/>
  </r>
  <r>
    <n v="1089768"/>
    <x v="9"/>
    <d v="1899-12-30T08:31:10"/>
    <d v="1899-12-30T08:45:30"/>
    <n v="1"/>
    <n v="0"/>
  </r>
  <r>
    <n v="4274311"/>
    <x v="9"/>
    <d v="1899-12-30T08:34:04"/>
    <d v="1899-12-30T08:46:23"/>
    <n v="1"/>
    <n v="0"/>
  </r>
  <r>
    <n v="8276893"/>
    <x v="9"/>
    <d v="1899-12-30T08:39:13"/>
    <d v="1899-12-30T08:51:47"/>
    <n v="1"/>
    <n v="0"/>
  </r>
  <r>
    <n v="24724114"/>
    <x v="9"/>
    <d v="1899-12-30T08:41:28"/>
    <d v="1899-12-30T08:43:20"/>
    <n v="0"/>
    <n v="1"/>
  </r>
  <r>
    <n v="23580194"/>
    <x v="9"/>
    <d v="1899-12-30T08:45:50"/>
    <d v="1899-12-30T09:01:23"/>
    <n v="0"/>
    <n v="1"/>
  </r>
  <r>
    <n v="1775131"/>
    <x v="9"/>
    <d v="1899-12-30T08:51:41"/>
    <d v="1899-12-30T08:52:43"/>
    <n v="1"/>
    <n v="0"/>
  </r>
  <r>
    <n v="8001915"/>
    <x v="9"/>
    <d v="1899-12-30T08:54:32"/>
    <d v="1899-12-30T09:08:08"/>
    <n v="1"/>
    <n v="0"/>
  </r>
  <r>
    <n v="7508054"/>
    <x v="9"/>
    <d v="1899-12-30T08:59:43"/>
    <d v="1899-12-30T09:10:06"/>
    <n v="1"/>
    <n v="0"/>
  </r>
  <r>
    <n v="5854377"/>
    <x v="9"/>
    <d v="1899-12-30T09:00:06"/>
    <d v="1899-12-30T09:04:45"/>
    <n v="1"/>
    <n v="0"/>
  </r>
  <r>
    <n v="3478173"/>
    <x v="9"/>
    <d v="1899-12-30T09:06:22"/>
    <d v="1899-12-30T09:12:48"/>
    <n v="1"/>
    <n v="0"/>
  </r>
  <r>
    <n v="3999937"/>
    <x v="9"/>
    <d v="1899-12-30T09:13:39"/>
    <d v="1899-12-30T09:22:35"/>
    <n v="1"/>
    <n v="0"/>
  </r>
  <r>
    <n v="83559673"/>
    <x v="9"/>
    <d v="1899-12-30T09:15:26"/>
    <d v="1899-12-30T09:30:41"/>
    <n v="0"/>
    <n v="1"/>
  </r>
  <r>
    <n v="1355775"/>
    <x v="9"/>
    <d v="1899-12-30T09:20:46"/>
    <d v="1899-12-30T09:22:06"/>
    <n v="1"/>
    <n v="0"/>
  </r>
  <r>
    <n v="3463982286"/>
    <x v="9"/>
    <d v="1899-12-30T09:28:54"/>
    <d v="1899-12-30T09:39:46"/>
    <n v="0"/>
    <n v="0"/>
  </r>
  <r>
    <n v="8870498"/>
    <x v="9"/>
    <d v="1899-12-30T09:36:15"/>
    <d v="1899-12-30T09:38:38"/>
    <n v="1"/>
    <n v="0"/>
  </r>
  <r>
    <n v="9894998"/>
    <x v="9"/>
    <d v="1899-12-30T09:40:52"/>
    <d v="1899-12-30T09:52:23"/>
    <n v="1"/>
    <n v="0"/>
  </r>
  <r>
    <n v="8841955"/>
    <x v="9"/>
    <d v="1899-12-30T09:45:09"/>
    <d v="1899-12-30T09:45:15"/>
    <n v="1"/>
    <n v="0"/>
  </r>
  <r>
    <n v="7379567"/>
    <x v="9"/>
    <d v="1899-12-30T09:50:08"/>
    <d v="1899-12-30T09:59:25"/>
    <n v="1"/>
    <n v="0"/>
  </r>
  <r>
    <n v="2092198"/>
    <x v="9"/>
    <d v="1899-12-30T09:51:23"/>
    <d v="1899-12-30T09:54:33"/>
    <n v="1"/>
    <n v="0"/>
  </r>
  <r>
    <n v="6006309"/>
    <x v="9"/>
    <d v="1899-12-30T09:59:04"/>
    <d v="1899-12-30T10:01:49"/>
    <n v="1"/>
    <n v="0"/>
  </r>
  <r>
    <n v="6736331"/>
    <x v="9"/>
    <d v="1899-12-30T09:59:17"/>
    <d v="1899-12-30T10:05:05"/>
    <n v="1"/>
    <n v="0"/>
  </r>
  <r>
    <n v="7291318"/>
    <x v="9"/>
    <d v="1899-12-30T10:01:39"/>
    <d v="1899-12-30T10:17:34"/>
    <n v="1"/>
    <n v="0"/>
  </r>
  <r>
    <n v="30178521"/>
    <x v="9"/>
    <d v="1899-12-30T10:08:14"/>
    <d v="1899-12-30T10:10:24"/>
    <n v="0"/>
    <n v="1"/>
  </r>
  <r>
    <n v="3232376"/>
    <x v="9"/>
    <d v="1899-12-30T10:13:13"/>
    <d v="1899-12-30T10:26:35"/>
    <n v="1"/>
    <n v="0"/>
  </r>
  <r>
    <n v="7536048937"/>
    <x v="9"/>
    <d v="1899-12-30T10:20:52"/>
    <d v="1899-12-30T10:33:28"/>
    <n v="0"/>
    <n v="0"/>
  </r>
  <r>
    <n v="6026397"/>
    <x v="9"/>
    <d v="1899-12-30T10:24:25"/>
    <d v="1899-12-30T10:40:03"/>
    <n v="1"/>
    <n v="0"/>
  </r>
  <r>
    <n v="54821549"/>
    <x v="9"/>
    <d v="1899-12-30T10:26:39"/>
    <d v="1899-12-30T10:43:07"/>
    <n v="0"/>
    <n v="1"/>
  </r>
  <r>
    <n v="4555937"/>
    <x v="9"/>
    <d v="1899-12-30T10:32:58"/>
    <d v="1899-12-30T10:37:15"/>
    <n v="1"/>
    <n v="0"/>
  </r>
  <r>
    <n v="65621292"/>
    <x v="9"/>
    <d v="1899-12-30T10:34:28"/>
    <d v="1899-12-30T10:43:02"/>
    <n v="0"/>
    <n v="1"/>
  </r>
  <r>
    <n v="13898038"/>
    <x v="9"/>
    <d v="1899-12-30T10:34:39"/>
    <d v="1899-12-30T10:47:29"/>
    <n v="0"/>
    <n v="1"/>
  </r>
  <r>
    <n v="6018613"/>
    <x v="9"/>
    <d v="1899-12-30T10:37:51"/>
    <d v="1899-12-30T10:41:27"/>
    <n v="1"/>
    <n v="0"/>
  </r>
  <r>
    <n v="7741751"/>
    <x v="9"/>
    <d v="1899-12-30T10:40:56"/>
    <d v="1899-12-30T10:46:24"/>
    <n v="1"/>
    <n v="0"/>
  </r>
  <r>
    <n v="5512492"/>
    <x v="9"/>
    <d v="1899-12-30T10:41:21"/>
    <d v="1899-12-30T10:51:44"/>
    <n v="1"/>
    <n v="0"/>
  </r>
  <r>
    <n v="36332723"/>
    <x v="9"/>
    <d v="1899-12-30T10:42:09"/>
    <d v="1899-12-30T10:47:23"/>
    <n v="0"/>
    <n v="1"/>
  </r>
  <r>
    <n v="28961250"/>
    <x v="9"/>
    <d v="1899-12-30T10:44:58"/>
    <d v="1899-12-30T10:45:12"/>
    <n v="0"/>
    <n v="1"/>
  </r>
  <r>
    <n v="96191858"/>
    <x v="9"/>
    <d v="1899-12-30T10:46:48"/>
    <d v="1899-12-30T11:02:44"/>
    <n v="0"/>
    <n v="1"/>
  </r>
  <r>
    <n v="49342013"/>
    <x v="9"/>
    <d v="1899-12-30T10:51:22"/>
    <d v="1899-12-30T10:57:21"/>
    <n v="0"/>
    <n v="1"/>
  </r>
  <r>
    <n v="2329556"/>
    <x v="9"/>
    <d v="1899-12-30T10:57:37"/>
    <d v="1899-12-30T10:57:47"/>
    <n v="1"/>
    <n v="0"/>
  </r>
  <r>
    <n v="2969264"/>
    <x v="9"/>
    <d v="1899-12-30T11:01:24"/>
    <d v="1899-12-30T11:07:21"/>
    <n v="1"/>
    <n v="0"/>
  </r>
  <r>
    <n v="8498683"/>
    <x v="9"/>
    <d v="1899-12-30T11:01:41"/>
    <d v="1899-12-30T11:04:57"/>
    <n v="1"/>
    <n v="0"/>
  </r>
  <r>
    <n v="2341441"/>
    <x v="9"/>
    <d v="1899-12-30T11:07:12"/>
    <d v="1899-12-30T11:08:18"/>
    <n v="1"/>
    <n v="0"/>
  </r>
  <r>
    <n v="30270334"/>
    <x v="9"/>
    <d v="1899-12-30T11:10:52"/>
    <d v="1899-12-30T11:13:17"/>
    <n v="0"/>
    <n v="1"/>
  </r>
  <r>
    <n v="4657345"/>
    <x v="9"/>
    <d v="1899-12-30T11:16:38"/>
    <d v="1899-12-30T11:27:11"/>
    <n v="1"/>
    <n v="0"/>
  </r>
  <r>
    <n v="2145244"/>
    <x v="9"/>
    <d v="1899-12-30T11:17:13"/>
    <d v="1899-12-30T11:17:33"/>
    <n v="1"/>
    <n v="0"/>
  </r>
  <r>
    <n v="7627829"/>
    <x v="9"/>
    <d v="1899-12-30T11:22:58"/>
    <d v="1899-12-30T11:38:57"/>
    <n v="1"/>
    <n v="0"/>
  </r>
  <r>
    <n v="9182658"/>
    <x v="9"/>
    <d v="1899-12-30T11:25:22"/>
    <d v="1899-12-30T11:26:02"/>
    <n v="1"/>
    <n v="0"/>
  </r>
  <r>
    <n v="4191600"/>
    <x v="9"/>
    <d v="1899-12-30T11:28:19"/>
    <d v="1899-12-30T11:29:50"/>
    <n v="1"/>
    <n v="0"/>
  </r>
  <r>
    <n v="5492379"/>
    <x v="9"/>
    <d v="1899-12-30T11:28:41"/>
    <d v="1899-12-30T11:38:26"/>
    <n v="1"/>
    <n v="0"/>
  </r>
  <r>
    <n v="2861766"/>
    <x v="9"/>
    <d v="1899-12-30T11:33:12"/>
    <d v="1899-12-30T11:39:28"/>
    <n v="1"/>
    <n v="0"/>
  </r>
  <r>
    <n v="1309359"/>
    <x v="9"/>
    <d v="1899-12-30T11:37:17"/>
    <d v="1899-12-30T11:39:18"/>
    <n v="1"/>
    <n v="0"/>
  </r>
  <r>
    <n v="5272270"/>
    <x v="9"/>
    <d v="1899-12-30T11:39:33"/>
    <d v="1899-12-30T11:51:18"/>
    <n v="1"/>
    <n v="0"/>
  </r>
  <r>
    <n v="9266643"/>
    <x v="9"/>
    <d v="1899-12-30T11:43:11"/>
    <d v="1899-12-30T11:45:41"/>
    <n v="1"/>
    <n v="0"/>
  </r>
  <r>
    <n v="3460208"/>
    <x v="9"/>
    <d v="1899-12-30T11:49:57"/>
    <d v="1899-12-30T12:03:31"/>
    <n v="1"/>
    <n v="0"/>
  </r>
  <r>
    <n v="25545000"/>
    <x v="9"/>
    <d v="1899-12-30T11:54:12"/>
    <d v="1899-12-30T12:06:30"/>
    <n v="0"/>
    <n v="1"/>
  </r>
  <r>
    <n v="1207918"/>
    <x v="9"/>
    <d v="1899-12-30T12:01:49"/>
    <d v="1899-12-30T12:17:03"/>
    <n v="1"/>
    <n v="0"/>
  </r>
  <r>
    <n v="4471828"/>
    <x v="9"/>
    <d v="1899-12-30T12:05:27"/>
    <d v="1899-12-30T12:15:02"/>
    <n v="1"/>
    <n v="0"/>
  </r>
  <r>
    <n v="6516836"/>
    <x v="9"/>
    <d v="1899-12-30T12:11:42"/>
    <d v="1899-12-30T12:12:25"/>
    <n v="1"/>
    <n v="0"/>
  </r>
  <r>
    <n v="1197931"/>
    <x v="9"/>
    <d v="1899-12-30T12:16:59"/>
    <d v="1899-12-30T12:17:44"/>
    <n v="1"/>
    <n v="0"/>
  </r>
  <r>
    <n v="8750619"/>
    <x v="9"/>
    <d v="1899-12-30T12:23:42"/>
    <d v="1899-12-30T12:24:30"/>
    <n v="1"/>
    <n v="0"/>
  </r>
  <r>
    <n v="2076719"/>
    <x v="9"/>
    <d v="1899-12-30T12:29:37"/>
    <d v="1899-12-30T12:40:35"/>
    <n v="1"/>
    <n v="0"/>
  </r>
  <r>
    <n v="3131883"/>
    <x v="9"/>
    <d v="1899-12-30T12:34:57"/>
    <d v="1899-12-30T12:40:35"/>
    <n v="1"/>
    <n v="0"/>
  </r>
  <r>
    <n v="1552302"/>
    <x v="9"/>
    <d v="1899-12-30T12:42:32"/>
    <d v="1899-12-30T12:58:44"/>
    <n v="1"/>
    <n v="0"/>
  </r>
  <r>
    <n v="33708687"/>
    <x v="9"/>
    <d v="1899-12-30T12:46:37"/>
    <d v="1899-12-30T12:49:09"/>
    <n v="0"/>
    <n v="1"/>
  </r>
  <r>
    <n v="23123600"/>
    <x v="9"/>
    <d v="1899-12-30T12:47:04"/>
    <d v="1899-12-30T12:59:33"/>
    <n v="0"/>
    <n v="1"/>
  </r>
  <r>
    <n v="5913571"/>
    <x v="9"/>
    <d v="1899-12-30T12:53:52"/>
    <d v="1899-12-30T13:10:28"/>
    <n v="1"/>
    <n v="0"/>
  </r>
  <r>
    <n v="5790304"/>
    <x v="9"/>
    <d v="1899-12-30T12:54:16"/>
    <d v="1899-12-30T12:54:18"/>
    <n v="1"/>
    <n v="0"/>
  </r>
  <r>
    <n v="97953696"/>
    <x v="9"/>
    <d v="1899-12-30T12:56:18"/>
    <d v="1899-12-30T13:05:23"/>
    <n v="0"/>
    <n v="1"/>
  </r>
  <r>
    <n v="13588783"/>
    <x v="9"/>
    <d v="1899-12-30T12:59:18"/>
    <d v="1899-12-30T13:10:29"/>
    <n v="0"/>
    <n v="1"/>
  </r>
  <r>
    <n v="3300626"/>
    <x v="9"/>
    <d v="1899-12-30T13:03:35"/>
    <d v="1899-12-30T13:14:15"/>
    <n v="1"/>
    <n v="0"/>
  </r>
  <r>
    <n v="9849071"/>
    <x v="9"/>
    <d v="1899-12-30T13:04:47"/>
    <d v="1899-12-30T13:10:16"/>
    <n v="1"/>
    <n v="0"/>
  </r>
  <r>
    <n v="39697250"/>
    <x v="9"/>
    <d v="1899-12-30T13:06:29"/>
    <d v="1899-12-30T13:14:13"/>
    <n v="0"/>
    <n v="1"/>
  </r>
  <r>
    <n v="3826370863"/>
    <x v="9"/>
    <d v="1899-12-30T13:14:14"/>
    <d v="1899-12-30T13:22:13"/>
    <n v="0"/>
    <n v="0"/>
  </r>
  <r>
    <n v="9088452"/>
    <x v="9"/>
    <d v="1899-12-30T13:18:49"/>
    <d v="1899-12-30T13:30:03"/>
    <n v="1"/>
    <n v="0"/>
  </r>
  <r>
    <n v="8026912"/>
    <x v="9"/>
    <d v="1899-12-30T13:20:50"/>
    <d v="1899-12-30T13:31:41"/>
    <n v="1"/>
    <n v="0"/>
  </r>
  <r>
    <n v="24290062"/>
    <x v="9"/>
    <d v="1899-12-30T13:28:26"/>
    <d v="1899-12-30T13:41:36"/>
    <n v="0"/>
    <n v="1"/>
  </r>
  <r>
    <n v="6785899"/>
    <x v="9"/>
    <d v="1899-12-30T13:35:46"/>
    <d v="1899-12-30T13:48:29"/>
    <n v="1"/>
    <n v="0"/>
  </r>
  <r>
    <n v="75048005"/>
    <x v="9"/>
    <d v="1899-12-30T13:43:39"/>
    <d v="1899-12-30T13:56:22"/>
    <n v="0"/>
    <n v="1"/>
  </r>
  <r>
    <n v="97459926"/>
    <x v="9"/>
    <d v="1899-12-30T13:44:35"/>
    <d v="1899-12-30T13:55:05"/>
    <n v="0"/>
    <n v="1"/>
  </r>
  <r>
    <n v="9600226"/>
    <x v="9"/>
    <d v="1899-12-30T13:47:18"/>
    <d v="1899-12-30T13:53:00"/>
    <n v="1"/>
    <n v="0"/>
  </r>
  <r>
    <n v="9685747"/>
    <x v="9"/>
    <d v="1899-12-30T13:52:28"/>
    <d v="1899-12-30T14:06:52"/>
    <n v="1"/>
    <n v="0"/>
  </r>
  <r>
    <n v="3178616"/>
    <x v="9"/>
    <d v="1899-12-30T13:58:34"/>
    <d v="1899-12-30T14:05:47"/>
    <n v="1"/>
    <n v="0"/>
  </r>
  <r>
    <n v="9979899"/>
    <x v="9"/>
    <d v="1899-12-30T14:06:52"/>
    <d v="1899-12-30T14:11:32"/>
    <n v="1"/>
    <n v="0"/>
  </r>
  <r>
    <n v="4575865"/>
    <x v="9"/>
    <d v="1899-12-30T14:09:01"/>
    <d v="1899-12-30T14:11:07"/>
    <n v="1"/>
    <n v="0"/>
  </r>
  <r>
    <n v="1808444"/>
    <x v="9"/>
    <d v="1899-12-30T14:13:42"/>
    <d v="1899-12-30T14:19:08"/>
    <n v="1"/>
    <n v="0"/>
  </r>
  <r>
    <n v="1649912"/>
    <x v="9"/>
    <d v="1899-12-30T14:16:20"/>
    <d v="1899-12-30T14:29:39"/>
    <n v="1"/>
    <n v="0"/>
  </r>
  <r>
    <n v="6128500046"/>
    <x v="9"/>
    <d v="1899-12-30T14:21:20"/>
    <d v="1899-12-30T14:31:24"/>
    <n v="0"/>
    <n v="0"/>
  </r>
  <r>
    <n v="6580951"/>
    <x v="9"/>
    <d v="1899-12-30T14:24:17"/>
    <d v="1899-12-30T14:24:20"/>
    <n v="1"/>
    <n v="0"/>
  </r>
  <r>
    <n v="5536146"/>
    <x v="9"/>
    <d v="1899-12-30T14:26:57"/>
    <d v="1899-12-30T14:28:36"/>
    <n v="1"/>
    <n v="0"/>
  </r>
  <r>
    <n v="7396921"/>
    <x v="9"/>
    <d v="1899-12-30T14:35:10"/>
    <d v="1899-12-30T14:47:15"/>
    <n v="1"/>
    <n v="0"/>
  </r>
  <r>
    <n v="8331262"/>
    <x v="9"/>
    <d v="1899-12-30T14:40:55"/>
    <d v="1899-12-30T14:48:27"/>
    <n v="1"/>
    <n v="0"/>
  </r>
  <r>
    <n v="5146166"/>
    <x v="9"/>
    <d v="1899-12-30T14:46:16"/>
    <d v="1899-12-30T14:55:28"/>
    <n v="1"/>
    <n v="0"/>
  </r>
  <r>
    <n v="6729705"/>
    <x v="9"/>
    <d v="1899-12-30T14:54:24"/>
    <d v="1899-12-30T15:04:32"/>
    <n v="1"/>
    <n v="0"/>
  </r>
  <r>
    <n v="5372125"/>
    <x v="9"/>
    <d v="1899-12-30T15:00:15"/>
    <d v="1899-12-30T15:00:16"/>
    <n v="1"/>
    <n v="0"/>
  </r>
  <r>
    <n v="8870498"/>
    <x v="10"/>
    <d v="1899-12-30T08:05:19"/>
    <d v="1899-12-30T08:16:19"/>
    <n v="1"/>
    <n v="0"/>
  </r>
  <r>
    <n v="7880585"/>
    <x v="10"/>
    <d v="1899-12-30T08:10:40"/>
    <d v="1899-12-30T08:23:35"/>
    <n v="1"/>
    <n v="0"/>
  </r>
  <r>
    <n v="3652646"/>
    <x v="10"/>
    <d v="1899-12-30T08:12:58"/>
    <d v="1899-12-30T08:17:48"/>
    <n v="1"/>
    <n v="0"/>
  </r>
  <r>
    <n v="3691457"/>
    <x v="10"/>
    <d v="1899-12-30T08:19:31"/>
    <d v="1899-12-30T08:35:40"/>
    <n v="1"/>
    <n v="0"/>
  </r>
  <r>
    <n v="4344184930"/>
    <x v="10"/>
    <d v="1899-12-30T08:22:05"/>
    <d v="1899-12-30T08:35:13"/>
    <n v="0"/>
    <n v="0"/>
  </r>
  <r>
    <n v="5290460"/>
    <x v="10"/>
    <d v="1899-12-30T08:27:41"/>
    <d v="1899-12-30T08:43:23"/>
    <n v="1"/>
    <n v="0"/>
  </r>
  <r>
    <n v="6922037"/>
    <x v="10"/>
    <d v="1899-12-30T08:32:12"/>
    <d v="1899-12-30T08:35:28"/>
    <n v="1"/>
    <n v="0"/>
  </r>
  <r>
    <n v="7060245"/>
    <x v="10"/>
    <d v="1899-12-30T08:37:15"/>
    <d v="1899-12-30T08:43:00"/>
    <n v="1"/>
    <n v="0"/>
  </r>
  <r>
    <n v="5788783"/>
    <x v="10"/>
    <d v="1899-12-30T08:40:03"/>
    <d v="1899-12-30T08:47:28"/>
    <n v="1"/>
    <n v="0"/>
  </r>
  <r>
    <n v="8647144"/>
    <x v="10"/>
    <d v="1899-12-30T08:41:24"/>
    <d v="1899-12-30T08:42:28"/>
    <n v="1"/>
    <n v="0"/>
  </r>
  <r>
    <n v="24665933"/>
    <x v="10"/>
    <d v="1899-12-30T08:43:47"/>
    <d v="1899-12-30T08:51:18"/>
    <n v="0"/>
    <n v="1"/>
  </r>
  <r>
    <n v="3326329"/>
    <x v="10"/>
    <d v="1899-12-30T08:51:46"/>
    <d v="1899-12-30T08:54:56"/>
    <n v="1"/>
    <n v="0"/>
  </r>
  <r>
    <n v="3478111"/>
    <x v="10"/>
    <d v="1899-12-30T08:54:53"/>
    <d v="1899-12-30T08:56:42"/>
    <n v="1"/>
    <n v="0"/>
  </r>
  <r>
    <n v="7937998"/>
    <x v="10"/>
    <d v="1899-12-30T09:01:50"/>
    <d v="1899-12-30T09:04:21"/>
    <n v="1"/>
    <n v="0"/>
  </r>
  <r>
    <n v="82239478"/>
    <x v="10"/>
    <d v="1899-12-30T09:09:46"/>
    <d v="1899-12-30T09:16:32"/>
    <n v="0"/>
    <n v="1"/>
  </r>
  <r>
    <n v="2557643"/>
    <x v="10"/>
    <d v="1899-12-30T09:16:10"/>
    <d v="1899-12-30T09:20:59"/>
    <n v="1"/>
    <n v="0"/>
  </r>
  <r>
    <n v="4501726"/>
    <x v="10"/>
    <d v="1899-12-30T09:18:04"/>
    <d v="1899-12-30T09:25:21"/>
    <n v="1"/>
    <n v="0"/>
  </r>
  <r>
    <n v="1415198"/>
    <x v="10"/>
    <d v="1899-12-30T09:21:29"/>
    <d v="1899-12-30T09:37:03"/>
    <n v="1"/>
    <n v="0"/>
  </r>
  <r>
    <n v="23368531"/>
    <x v="10"/>
    <d v="1899-12-30T09:23:05"/>
    <d v="1899-12-30T09:24:47"/>
    <n v="0"/>
    <n v="1"/>
  </r>
  <r>
    <n v="5750549"/>
    <x v="10"/>
    <d v="1899-12-30T09:28:37"/>
    <d v="1899-12-30T09:28:52"/>
    <n v="1"/>
    <n v="0"/>
  </r>
  <r>
    <n v="3897850970"/>
    <x v="10"/>
    <d v="1899-12-30T09:29:03"/>
    <d v="1899-12-30T09:31:39"/>
    <n v="0"/>
    <n v="0"/>
  </r>
  <r>
    <n v="2573868"/>
    <x v="10"/>
    <d v="1899-12-30T09:35:28"/>
    <d v="1899-12-30T09:49:30"/>
    <n v="1"/>
    <n v="0"/>
  </r>
  <r>
    <n v="1701008"/>
    <x v="10"/>
    <d v="1899-12-30T09:37:30"/>
    <d v="1899-12-30T09:48:04"/>
    <n v="1"/>
    <n v="0"/>
  </r>
  <r>
    <n v="1617146"/>
    <x v="10"/>
    <d v="1899-12-30T09:44:17"/>
    <d v="1899-12-30T09:54:21"/>
    <n v="1"/>
    <n v="0"/>
  </r>
  <r>
    <n v="7085993"/>
    <x v="10"/>
    <d v="1899-12-30T09:46:22"/>
    <d v="1899-12-30T09:58:44"/>
    <n v="1"/>
    <n v="0"/>
  </r>
  <r>
    <n v="73460179"/>
    <x v="10"/>
    <d v="1899-12-30T09:51:16"/>
    <d v="1899-12-30T09:55:13"/>
    <n v="0"/>
    <n v="1"/>
  </r>
  <r>
    <n v="5983034"/>
    <x v="10"/>
    <d v="1899-12-30T09:54:03"/>
    <d v="1899-12-30T10:01:15"/>
    <n v="1"/>
    <n v="0"/>
  </r>
  <r>
    <n v="16724936"/>
    <x v="10"/>
    <d v="1899-12-30T09:54:58"/>
    <d v="1899-12-30T09:57:07"/>
    <n v="0"/>
    <n v="1"/>
  </r>
  <r>
    <n v="19343766"/>
    <x v="10"/>
    <d v="1899-12-30T09:58:39"/>
    <d v="1899-12-30T10:02:17"/>
    <n v="0"/>
    <n v="1"/>
  </r>
  <r>
    <n v="7439955"/>
    <x v="10"/>
    <d v="1899-12-30T10:00:43"/>
    <d v="1899-12-30T10:17:00"/>
    <n v="1"/>
    <n v="0"/>
  </r>
  <r>
    <n v="7224275"/>
    <x v="10"/>
    <d v="1899-12-30T10:03:21"/>
    <d v="1899-12-30T10:04:21"/>
    <n v="1"/>
    <n v="0"/>
  </r>
  <r>
    <n v="1679471"/>
    <x v="10"/>
    <d v="1899-12-30T10:10:22"/>
    <d v="1899-12-30T10:17:33"/>
    <n v="1"/>
    <n v="0"/>
  </r>
  <r>
    <n v="6270159"/>
    <x v="10"/>
    <d v="1899-12-30T10:14:22"/>
    <d v="1899-12-30T10:14:51"/>
    <n v="1"/>
    <n v="0"/>
  </r>
  <r>
    <n v="1482340"/>
    <x v="10"/>
    <d v="1899-12-30T10:18:58"/>
    <d v="1899-12-30T10:33:15"/>
    <n v="1"/>
    <n v="0"/>
  </r>
  <r>
    <n v="28185580"/>
    <x v="10"/>
    <d v="1899-12-30T10:20:27"/>
    <d v="1899-12-30T10:24:48"/>
    <n v="0"/>
    <n v="1"/>
  </r>
  <r>
    <n v="4222605"/>
    <x v="10"/>
    <d v="1899-12-30T10:24:36"/>
    <d v="1899-12-30T10:27:44"/>
    <n v="1"/>
    <n v="0"/>
  </r>
  <r>
    <n v="6689117"/>
    <x v="10"/>
    <d v="1899-12-30T10:27:04"/>
    <d v="1899-12-30T10:28:44"/>
    <n v="1"/>
    <n v="0"/>
  </r>
  <r>
    <n v="3785540"/>
    <x v="10"/>
    <d v="1899-12-30T10:27:24"/>
    <d v="1899-12-30T10:28:08"/>
    <n v="1"/>
    <n v="0"/>
  </r>
  <r>
    <n v="6151478"/>
    <x v="10"/>
    <d v="1899-12-30T10:35:05"/>
    <d v="1899-12-30T10:45:14"/>
    <n v="1"/>
    <n v="0"/>
  </r>
  <r>
    <n v="9926754"/>
    <x v="10"/>
    <d v="1899-12-30T10:39:40"/>
    <d v="1899-12-30T10:44:15"/>
    <n v="1"/>
    <n v="0"/>
  </r>
  <r>
    <n v="89098100"/>
    <x v="10"/>
    <d v="1899-12-30T10:42:23"/>
    <d v="1899-12-30T10:47:42"/>
    <n v="0"/>
    <n v="1"/>
  </r>
  <r>
    <n v="6460935"/>
    <x v="10"/>
    <d v="1899-12-30T10:49:46"/>
    <d v="1899-12-30T10:54:55"/>
    <n v="1"/>
    <n v="0"/>
  </r>
  <r>
    <n v="83559673"/>
    <x v="10"/>
    <d v="1899-12-30T10:56:59"/>
    <d v="1899-12-30T11:03:18"/>
    <n v="0"/>
    <n v="1"/>
  </r>
  <r>
    <n v="1661633"/>
    <x v="10"/>
    <d v="1899-12-30T11:04:04"/>
    <d v="1899-12-30T11:07:46"/>
    <n v="1"/>
    <n v="0"/>
  </r>
  <r>
    <n v="5809293"/>
    <x v="10"/>
    <d v="1899-12-30T11:09:20"/>
    <d v="1899-12-30T11:22:56"/>
    <n v="1"/>
    <n v="0"/>
  </r>
  <r>
    <n v="5790304"/>
    <x v="10"/>
    <d v="1899-12-30T11:11:50"/>
    <d v="1899-12-30T11:21:57"/>
    <n v="1"/>
    <n v="0"/>
  </r>
  <r>
    <n v="7088840"/>
    <x v="10"/>
    <d v="1899-12-30T11:12:39"/>
    <d v="1899-12-30T11:29:08"/>
    <n v="1"/>
    <n v="0"/>
  </r>
  <r>
    <n v="1302112"/>
    <x v="10"/>
    <d v="1899-12-30T11:15:56"/>
    <d v="1899-12-30T11:17:29"/>
    <n v="1"/>
    <n v="0"/>
  </r>
  <r>
    <n v="8299537"/>
    <x v="10"/>
    <d v="1899-12-30T11:21:09"/>
    <d v="1899-12-30T11:30:20"/>
    <n v="1"/>
    <n v="0"/>
  </r>
  <r>
    <n v="1519891"/>
    <x v="10"/>
    <d v="1899-12-30T11:25:30"/>
    <d v="1899-12-30T11:41:29"/>
    <n v="1"/>
    <n v="0"/>
  </r>
  <r>
    <n v="29771613"/>
    <x v="10"/>
    <d v="1899-12-30T11:26:58"/>
    <d v="1899-12-30T11:29:30"/>
    <n v="0"/>
    <n v="1"/>
  </r>
  <r>
    <n v="9088045"/>
    <x v="10"/>
    <d v="1899-12-30T11:27:05"/>
    <d v="1899-12-30T11:27:17"/>
    <n v="1"/>
    <n v="0"/>
  </r>
  <r>
    <n v="59864989"/>
    <x v="10"/>
    <d v="1899-12-30T11:32:55"/>
    <d v="1899-12-30T11:46:09"/>
    <n v="0"/>
    <n v="1"/>
  </r>
  <r>
    <n v="2741017"/>
    <x v="10"/>
    <d v="1899-12-30T11:36:44"/>
    <d v="1899-12-30T11:47:09"/>
    <n v="1"/>
    <n v="0"/>
  </r>
  <r>
    <n v="1092699"/>
    <x v="10"/>
    <d v="1899-12-30T11:37:24"/>
    <d v="1899-12-30T11:50:58"/>
    <n v="1"/>
    <n v="0"/>
  </r>
  <r>
    <n v="3284714"/>
    <x v="10"/>
    <d v="1899-12-30T11:38:53"/>
    <d v="1899-12-30T11:55:32"/>
    <n v="1"/>
    <n v="0"/>
  </r>
  <r>
    <n v="1822675725"/>
    <x v="10"/>
    <d v="1899-12-30T11:39:01"/>
    <d v="1899-12-30T11:47:11"/>
    <n v="0"/>
    <n v="0"/>
  </r>
  <r>
    <n v="9595194"/>
    <x v="10"/>
    <d v="1899-12-30T11:43:12"/>
    <d v="1899-12-30T11:59:26"/>
    <n v="1"/>
    <n v="0"/>
  </r>
  <r>
    <n v="5015921"/>
    <x v="10"/>
    <d v="1899-12-30T11:50:49"/>
    <d v="1899-12-30T11:57:59"/>
    <n v="1"/>
    <n v="0"/>
  </r>
  <r>
    <n v="1015521"/>
    <x v="10"/>
    <d v="1899-12-30T11:55:05"/>
    <d v="1899-12-30T11:58:05"/>
    <n v="1"/>
    <n v="0"/>
  </r>
  <r>
    <n v="4452201"/>
    <x v="10"/>
    <d v="1899-12-30T11:56:33"/>
    <d v="1899-12-30T12:03:36"/>
    <n v="1"/>
    <n v="0"/>
  </r>
  <r>
    <n v="6801890"/>
    <x v="10"/>
    <d v="1899-12-30T12:04:06"/>
    <d v="1899-12-30T12:10:36"/>
    <n v="1"/>
    <n v="0"/>
  </r>
  <r>
    <n v="19638469"/>
    <x v="10"/>
    <d v="1899-12-30T12:11:04"/>
    <d v="1899-12-30T12:26:10"/>
    <n v="0"/>
    <n v="1"/>
  </r>
  <r>
    <n v="43897696"/>
    <x v="10"/>
    <d v="1899-12-30T12:18:19"/>
    <d v="1899-12-30T12:23:17"/>
    <n v="0"/>
    <n v="1"/>
  </r>
  <r>
    <n v="8253162"/>
    <x v="10"/>
    <d v="1899-12-30T12:21:09"/>
    <d v="1899-12-30T12:29:23"/>
    <n v="1"/>
    <n v="0"/>
  </r>
  <r>
    <n v="42038927"/>
    <x v="10"/>
    <d v="1899-12-30T12:27:17"/>
    <d v="1899-12-30T12:33:39"/>
    <n v="0"/>
    <n v="1"/>
  </r>
  <r>
    <n v="5758962"/>
    <x v="10"/>
    <d v="1899-12-30T12:35:26"/>
    <d v="1899-12-30T12:47:25"/>
    <n v="1"/>
    <n v="0"/>
  </r>
  <r>
    <n v="77096634"/>
    <x v="10"/>
    <d v="1899-12-30T12:36:00"/>
    <d v="1899-12-30T12:44:14"/>
    <n v="0"/>
    <n v="1"/>
  </r>
  <r>
    <n v="8041809"/>
    <x v="10"/>
    <d v="1899-12-30T12:36:07"/>
    <d v="1899-12-30T12:46:38"/>
    <n v="1"/>
    <n v="0"/>
  </r>
  <r>
    <n v="6735390"/>
    <x v="10"/>
    <d v="1899-12-30T12:37:37"/>
    <d v="1899-12-30T12:41:02"/>
    <n v="1"/>
    <n v="0"/>
  </r>
  <r>
    <n v="93811207"/>
    <x v="10"/>
    <d v="1899-12-30T12:38:59"/>
    <d v="1899-12-30T12:49:50"/>
    <n v="0"/>
    <n v="1"/>
  </r>
  <r>
    <n v="8079505"/>
    <x v="10"/>
    <d v="1899-12-30T12:40:09"/>
    <d v="1899-12-30T12:41:53"/>
    <n v="1"/>
    <n v="0"/>
  </r>
  <r>
    <n v="3348581"/>
    <x v="10"/>
    <d v="1899-12-30T12:45:22"/>
    <d v="1899-12-30T13:00:36"/>
    <n v="1"/>
    <n v="0"/>
  </r>
  <r>
    <n v="13484133"/>
    <x v="10"/>
    <d v="1899-12-30T12:45:43"/>
    <d v="1899-12-30T12:56:37"/>
    <n v="0"/>
    <n v="1"/>
  </r>
  <r>
    <n v="3017523"/>
    <x v="10"/>
    <d v="1899-12-30T12:46:41"/>
    <d v="1899-12-30T12:57:46"/>
    <n v="1"/>
    <n v="0"/>
  </r>
  <r>
    <n v="5464497"/>
    <x v="10"/>
    <d v="1899-12-30T12:51:58"/>
    <d v="1899-12-30T12:52:40"/>
    <n v="1"/>
    <n v="0"/>
  </r>
  <r>
    <n v="5744567"/>
    <x v="10"/>
    <d v="1899-12-30T12:58:18"/>
    <d v="1899-12-30T13:11:21"/>
    <n v="1"/>
    <n v="0"/>
  </r>
  <r>
    <n v="5107477025"/>
    <x v="10"/>
    <d v="1899-12-30T13:04:44"/>
    <d v="1899-12-30T13:07:56"/>
    <n v="0"/>
    <n v="0"/>
  </r>
  <r>
    <n v="1332884"/>
    <x v="10"/>
    <d v="1899-12-30T13:06:50"/>
    <d v="1899-12-30T13:09:33"/>
    <n v="1"/>
    <n v="0"/>
  </r>
  <r>
    <n v="38823305"/>
    <x v="10"/>
    <d v="1899-12-30T13:10:40"/>
    <d v="1899-12-30T13:25:58"/>
    <n v="0"/>
    <n v="1"/>
  </r>
  <r>
    <n v="7160339"/>
    <x v="10"/>
    <d v="1899-12-30T13:18:34"/>
    <d v="1899-12-30T13:32:31"/>
    <n v="1"/>
    <n v="0"/>
  </r>
  <r>
    <n v="43277353"/>
    <x v="10"/>
    <d v="1899-12-30T13:19:29"/>
    <d v="1899-12-30T13:23:39"/>
    <n v="0"/>
    <n v="1"/>
  </r>
  <r>
    <n v="8749135"/>
    <x v="10"/>
    <d v="1899-12-30T13:27:36"/>
    <d v="1899-12-30T13:32:23"/>
    <n v="1"/>
    <n v="0"/>
  </r>
  <r>
    <n v="16977213"/>
    <x v="10"/>
    <d v="1899-12-30T13:33:04"/>
    <d v="1899-12-30T13:38:31"/>
    <n v="0"/>
    <n v="1"/>
  </r>
  <r>
    <n v="13221411"/>
    <x v="10"/>
    <d v="1899-12-30T13:33:46"/>
    <d v="1899-12-30T13:47:59"/>
    <n v="0"/>
    <n v="1"/>
  </r>
  <r>
    <n v="2653312"/>
    <x v="10"/>
    <d v="1899-12-30T13:39:16"/>
    <d v="1899-12-30T13:44:58"/>
    <n v="1"/>
    <n v="0"/>
  </r>
  <r>
    <n v="4187727"/>
    <x v="10"/>
    <d v="1899-12-30T13:41:21"/>
    <d v="1899-12-30T13:45:43"/>
    <n v="1"/>
    <n v="0"/>
  </r>
  <r>
    <n v="4370146"/>
    <x v="10"/>
    <d v="1899-12-30T13:43:15"/>
    <d v="1899-12-30T13:58:16"/>
    <n v="1"/>
    <n v="0"/>
  </r>
  <r>
    <n v="5725773"/>
    <x v="10"/>
    <d v="1899-12-30T13:47:31"/>
    <d v="1899-12-30T14:02:57"/>
    <n v="1"/>
    <n v="0"/>
  </r>
  <r>
    <n v="6345014"/>
    <x v="10"/>
    <d v="1899-12-30T13:55:21"/>
    <d v="1899-12-30T13:57:36"/>
    <n v="1"/>
    <n v="0"/>
  </r>
  <r>
    <n v="7507831"/>
    <x v="10"/>
    <d v="1899-12-30T14:03:03"/>
    <d v="1899-12-30T14:12:41"/>
    <n v="1"/>
    <n v="0"/>
  </r>
  <r>
    <n v="1198407"/>
    <x v="10"/>
    <d v="1899-12-30T14:09:40"/>
    <d v="1899-12-30T14:21:07"/>
    <n v="1"/>
    <n v="0"/>
  </r>
  <r>
    <n v="4055319"/>
    <x v="10"/>
    <d v="1899-12-30T14:16:23"/>
    <d v="1899-12-30T14:33:00"/>
    <n v="1"/>
    <n v="0"/>
  </r>
  <r>
    <n v="70730125"/>
    <x v="10"/>
    <d v="1899-12-30T14:17:56"/>
    <d v="1899-12-30T14:19:16"/>
    <n v="0"/>
    <n v="1"/>
  </r>
  <r>
    <n v="45158089"/>
    <x v="10"/>
    <d v="1899-12-30T14:18:37"/>
    <d v="1899-12-30T14:20:50"/>
    <n v="0"/>
    <n v="1"/>
  </r>
  <r>
    <n v="8159631"/>
    <x v="10"/>
    <d v="1899-12-30T14:18:58"/>
    <d v="1899-12-30T14:26:05"/>
    <n v="1"/>
    <n v="0"/>
  </r>
  <r>
    <n v="2645518"/>
    <x v="10"/>
    <d v="1899-12-30T14:24:22"/>
    <d v="1899-12-30T14:34:04"/>
    <n v="1"/>
    <n v="0"/>
  </r>
  <r>
    <n v="5199929"/>
    <x v="10"/>
    <d v="1899-12-30T14:25:12"/>
    <d v="1899-12-30T14:37:59"/>
    <n v="1"/>
    <n v="0"/>
  </r>
  <r>
    <n v="4039284"/>
    <x v="10"/>
    <d v="1899-12-30T14:27:07"/>
    <d v="1899-12-30T14:33:10"/>
    <n v="1"/>
    <n v="0"/>
  </r>
  <r>
    <n v="1431491"/>
    <x v="10"/>
    <d v="1899-12-30T14:31:08"/>
    <d v="1899-12-30T14:40:37"/>
    <n v="1"/>
    <n v="0"/>
  </r>
  <r>
    <n v="39848401"/>
    <x v="10"/>
    <d v="1899-12-30T14:35:17"/>
    <d v="1899-12-30T14:36:11"/>
    <n v="0"/>
    <n v="1"/>
  </r>
  <r>
    <n v="9225807"/>
    <x v="10"/>
    <d v="1899-12-30T14:42:10"/>
    <d v="1899-12-30T14:53:30"/>
    <n v="1"/>
    <n v="0"/>
  </r>
  <r>
    <n v="7986409"/>
    <x v="10"/>
    <d v="1899-12-30T14:45:13"/>
    <d v="1899-12-30T14:47:55"/>
    <n v="1"/>
    <n v="0"/>
  </r>
  <r>
    <n v="54554135"/>
    <x v="10"/>
    <d v="1899-12-30T14:51:59"/>
    <d v="1899-12-30T14:54:15"/>
    <n v="0"/>
    <n v="1"/>
  </r>
  <r>
    <n v="1263080"/>
    <x v="10"/>
    <d v="1899-12-30T14:57:01"/>
    <d v="1899-12-30T15:12:22"/>
    <n v="1"/>
    <n v="0"/>
  </r>
  <r>
    <n v="97953696"/>
    <x v="10"/>
    <d v="1899-12-30T15:02:16"/>
    <d v="1899-12-30T15:04:35"/>
    <n v="0"/>
    <n v="1"/>
  </r>
  <r>
    <n v="9772824"/>
    <x v="11"/>
    <d v="1899-12-30T08:00:19"/>
    <d v="1899-12-30T08:07:35"/>
    <n v="1"/>
    <n v="0"/>
  </r>
  <r>
    <n v="1157434"/>
    <x v="11"/>
    <d v="1899-12-30T08:03:35"/>
    <d v="1899-12-30T08:19:25"/>
    <n v="1"/>
    <n v="0"/>
  </r>
  <r>
    <n v="8799928507"/>
    <x v="11"/>
    <d v="1899-12-30T08:11:32"/>
    <d v="1899-12-30T08:23:01"/>
    <n v="0"/>
    <n v="0"/>
  </r>
  <r>
    <n v="5372891"/>
    <x v="11"/>
    <d v="1899-12-30T08:18:03"/>
    <d v="1899-12-30T08:19:27"/>
    <n v="1"/>
    <n v="0"/>
  </r>
  <r>
    <n v="2663800"/>
    <x v="11"/>
    <d v="1899-12-30T08:25:06"/>
    <d v="1899-12-30T08:36:26"/>
    <n v="1"/>
    <n v="0"/>
  </r>
  <r>
    <n v="32779069"/>
    <x v="11"/>
    <d v="1899-12-30T08:30:12"/>
    <d v="1899-12-30T08:42:59"/>
    <n v="0"/>
    <n v="1"/>
  </r>
  <r>
    <n v="8261808"/>
    <x v="11"/>
    <d v="1899-12-30T08:34:21"/>
    <d v="1899-12-30T08:48:15"/>
    <n v="1"/>
    <n v="0"/>
  </r>
  <r>
    <n v="7321543"/>
    <x v="11"/>
    <d v="1899-12-30T08:40:35"/>
    <d v="1899-12-30T08:54:32"/>
    <n v="1"/>
    <n v="0"/>
  </r>
  <r>
    <n v="7513392"/>
    <x v="11"/>
    <d v="1899-12-30T08:44:28"/>
    <d v="1899-12-30T08:47:37"/>
    <n v="1"/>
    <n v="0"/>
  </r>
  <r>
    <n v="77036136"/>
    <x v="11"/>
    <d v="1899-12-30T08:51:54"/>
    <d v="1899-12-30T09:01:14"/>
    <n v="0"/>
    <n v="1"/>
  </r>
  <r>
    <n v="1700508"/>
    <x v="11"/>
    <d v="1899-12-30T08:55:23"/>
    <d v="1899-12-30T09:11:15"/>
    <n v="1"/>
    <n v="0"/>
  </r>
  <r>
    <n v="7872182"/>
    <x v="11"/>
    <d v="1899-12-30T09:03:17"/>
    <d v="1899-12-30T09:12:40"/>
    <n v="1"/>
    <n v="0"/>
  </r>
  <r>
    <n v="84513035"/>
    <x v="11"/>
    <d v="1899-12-30T09:07:27"/>
    <d v="1899-12-30T09:11:24"/>
    <n v="0"/>
    <n v="1"/>
  </r>
  <r>
    <n v="1775586"/>
    <x v="11"/>
    <d v="1899-12-30T09:13:43"/>
    <d v="1899-12-30T09:21:17"/>
    <n v="1"/>
    <n v="0"/>
  </r>
  <r>
    <n v="1225082"/>
    <x v="11"/>
    <d v="1899-12-30T09:14:38"/>
    <d v="1899-12-30T09:16:37"/>
    <n v="1"/>
    <n v="0"/>
  </r>
  <r>
    <n v="1586675"/>
    <x v="11"/>
    <d v="1899-12-30T09:22:57"/>
    <d v="1899-12-30T09:32:56"/>
    <n v="1"/>
    <n v="0"/>
  </r>
  <r>
    <n v="2672229"/>
    <x v="11"/>
    <d v="1899-12-30T09:29:33"/>
    <d v="1899-12-30T09:37:02"/>
    <n v="1"/>
    <n v="0"/>
  </r>
  <r>
    <n v="2443869"/>
    <x v="11"/>
    <d v="1899-12-30T09:35:29"/>
    <d v="1899-12-30T09:46:45"/>
    <n v="1"/>
    <n v="0"/>
  </r>
  <r>
    <n v="7166411"/>
    <x v="11"/>
    <d v="1899-12-30T09:39:48"/>
    <d v="1899-12-30T09:48:11"/>
    <n v="1"/>
    <n v="0"/>
  </r>
  <r>
    <n v="4657345"/>
    <x v="11"/>
    <d v="1899-12-30T09:40:44"/>
    <d v="1899-12-30T09:56:15"/>
    <n v="1"/>
    <n v="0"/>
  </r>
  <r>
    <n v="6070329"/>
    <x v="11"/>
    <d v="1899-12-30T09:40:52"/>
    <d v="1899-12-30T09:56:38"/>
    <n v="1"/>
    <n v="0"/>
  </r>
  <r>
    <n v="4845362"/>
    <x v="11"/>
    <d v="1899-12-30T09:40:58"/>
    <d v="1899-12-30T09:41:21"/>
    <n v="1"/>
    <n v="0"/>
  </r>
  <r>
    <n v="6333341"/>
    <x v="11"/>
    <d v="1899-12-30T09:45:57"/>
    <d v="1899-12-30T09:50:54"/>
    <n v="1"/>
    <n v="0"/>
  </r>
  <r>
    <n v="5060909"/>
    <x v="11"/>
    <d v="1899-12-30T09:46:04"/>
    <d v="1899-12-30T09:55:42"/>
    <n v="1"/>
    <n v="0"/>
  </r>
  <r>
    <n v="4673703944"/>
    <x v="11"/>
    <d v="1899-12-30T09:47:51"/>
    <d v="1899-12-30T09:51:42"/>
    <n v="0"/>
    <n v="0"/>
  </r>
  <r>
    <n v="3178616"/>
    <x v="11"/>
    <d v="1899-12-30T09:50:02"/>
    <d v="1899-12-30T09:52:57"/>
    <n v="1"/>
    <n v="0"/>
  </r>
  <r>
    <n v="2079170589"/>
    <x v="11"/>
    <d v="1899-12-30T09:52:08"/>
    <d v="1899-12-30T10:01:29"/>
    <n v="0"/>
    <n v="0"/>
  </r>
  <r>
    <n v="9815754"/>
    <x v="11"/>
    <d v="1899-12-30T09:54:09"/>
    <d v="1899-12-30T10:00:19"/>
    <n v="1"/>
    <n v="0"/>
  </r>
  <r>
    <n v="4111617"/>
    <x v="11"/>
    <d v="1899-12-30T09:56:53"/>
    <d v="1899-12-30T09:58:40"/>
    <n v="1"/>
    <n v="0"/>
  </r>
  <r>
    <n v="1117628"/>
    <x v="11"/>
    <d v="1899-12-30T09:59:48"/>
    <d v="1899-12-30T10:11:11"/>
    <n v="1"/>
    <n v="0"/>
  </r>
  <r>
    <n v="5487496"/>
    <x v="11"/>
    <d v="1899-12-30T10:06:27"/>
    <d v="1899-12-30T10:09:15"/>
    <n v="1"/>
    <n v="0"/>
  </r>
  <r>
    <n v="1472682"/>
    <x v="11"/>
    <d v="1899-12-30T10:12:29"/>
    <d v="1899-12-30T10:21:37"/>
    <n v="1"/>
    <n v="0"/>
  </r>
  <r>
    <n v="43885630"/>
    <x v="11"/>
    <d v="1899-12-30T10:19:02"/>
    <d v="1899-12-30T10:25:19"/>
    <n v="0"/>
    <n v="1"/>
  </r>
  <r>
    <n v="5543741"/>
    <x v="11"/>
    <d v="1899-12-30T10:19:10"/>
    <d v="1899-12-30T10:27:42"/>
    <n v="1"/>
    <n v="0"/>
  </r>
  <r>
    <n v="2590674"/>
    <x v="11"/>
    <d v="1899-12-30T10:19:34"/>
    <d v="1899-12-30T10:28:57"/>
    <n v="1"/>
    <n v="0"/>
  </r>
  <r>
    <n v="4212838"/>
    <x v="11"/>
    <d v="1899-12-30T10:25:15"/>
    <d v="1899-12-30T10:33:13"/>
    <n v="1"/>
    <n v="0"/>
  </r>
  <r>
    <n v="7836418"/>
    <x v="11"/>
    <d v="1899-12-30T10:27:03"/>
    <d v="1899-12-30T10:29:56"/>
    <n v="1"/>
    <n v="0"/>
  </r>
  <r>
    <n v="2844911"/>
    <x v="11"/>
    <d v="1899-12-30T10:31:02"/>
    <d v="1899-12-30T10:47:34"/>
    <n v="1"/>
    <n v="0"/>
  </r>
  <r>
    <n v="2861766"/>
    <x v="11"/>
    <d v="1899-12-30T10:34:03"/>
    <d v="1899-12-30T10:46:42"/>
    <n v="1"/>
    <n v="0"/>
  </r>
  <r>
    <n v="9655946"/>
    <x v="11"/>
    <d v="1899-12-30T10:39:09"/>
    <d v="1899-12-30T10:50:47"/>
    <n v="1"/>
    <n v="0"/>
  </r>
  <r>
    <n v="6050570"/>
    <x v="11"/>
    <d v="1899-12-30T10:44:19"/>
    <d v="1899-12-30T10:58:49"/>
    <n v="1"/>
    <n v="0"/>
  </r>
  <r>
    <n v="1607422"/>
    <x v="11"/>
    <d v="1899-12-30T10:51:26"/>
    <d v="1899-12-30T11:01:30"/>
    <n v="1"/>
    <n v="0"/>
  </r>
  <r>
    <n v="1192412"/>
    <x v="11"/>
    <d v="1899-12-30T10:54:01"/>
    <d v="1899-12-30T11:08:43"/>
    <n v="1"/>
    <n v="0"/>
  </r>
  <r>
    <n v="4959551431"/>
    <x v="11"/>
    <d v="1899-12-30T10:54:18"/>
    <d v="1899-12-30T10:59:06"/>
    <n v="0"/>
    <n v="0"/>
  </r>
  <r>
    <n v="9808221"/>
    <x v="11"/>
    <d v="1899-12-30T10:57:48"/>
    <d v="1899-12-30T11:07:41"/>
    <n v="1"/>
    <n v="0"/>
  </r>
  <r>
    <n v="8672623"/>
    <x v="11"/>
    <d v="1899-12-30T11:01:39"/>
    <d v="1899-12-30T11:09:02"/>
    <n v="1"/>
    <n v="0"/>
  </r>
  <r>
    <n v="3862016"/>
    <x v="11"/>
    <d v="1899-12-30T11:04:14"/>
    <d v="1899-12-30T11:12:52"/>
    <n v="1"/>
    <n v="0"/>
  </r>
  <r>
    <n v="16580449"/>
    <x v="11"/>
    <d v="1899-12-30T11:04:17"/>
    <d v="1899-12-30T11:20:04"/>
    <n v="0"/>
    <n v="1"/>
  </r>
  <r>
    <n v="67064385"/>
    <x v="11"/>
    <d v="1899-12-30T11:10:40"/>
    <d v="1899-12-30T11:23:56"/>
    <n v="0"/>
    <n v="1"/>
  </r>
  <r>
    <n v="2078150"/>
    <x v="11"/>
    <d v="1899-12-30T11:14:58"/>
    <d v="1899-12-30T11:20:19"/>
    <n v="1"/>
    <n v="0"/>
  </r>
  <r>
    <n v="5094248"/>
    <x v="11"/>
    <d v="1899-12-30T11:17:52"/>
    <d v="1899-12-30T11:22:42"/>
    <n v="1"/>
    <n v="0"/>
  </r>
  <r>
    <n v="2584185"/>
    <x v="11"/>
    <d v="1899-12-30T11:19:48"/>
    <d v="1899-12-30T11:35:18"/>
    <n v="1"/>
    <n v="0"/>
  </r>
  <r>
    <n v="3346801494"/>
    <x v="11"/>
    <d v="1899-12-30T11:22:29"/>
    <d v="1899-12-30T11:33:39"/>
    <n v="0"/>
    <n v="0"/>
  </r>
  <r>
    <n v="4535172"/>
    <x v="11"/>
    <d v="1899-12-30T11:24:04"/>
    <d v="1899-12-30T11:25:20"/>
    <n v="1"/>
    <n v="0"/>
  </r>
  <r>
    <n v="8723323"/>
    <x v="11"/>
    <d v="1899-12-30T11:24:05"/>
    <d v="1899-12-30T11:35:47"/>
    <n v="1"/>
    <n v="0"/>
  </r>
  <r>
    <n v="76845076"/>
    <x v="11"/>
    <d v="1899-12-30T11:30:28"/>
    <d v="1899-12-30T11:36:02"/>
    <n v="0"/>
    <n v="1"/>
  </r>
  <r>
    <n v="12063341"/>
    <x v="11"/>
    <d v="1899-12-30T11:36:39"/>
    <d v="1899-12-30T11:41:01"/>
    <n v="0"/>
    <n v="1"/>
  </r>
  <r>
    <n v="9866204"/>
    <x v="11"/>
    <d v="1899-12-30T11:36:40"/>
    <d v="1899-12-30T11:45:52"/>
    <n v="1"/>
    <n v="0"/>
  </r>
  <r>
    <n v="9364912"/>
    <x v="11"/>
    <d v="1899-12-30T11:41:30"/>
    <d v="1899-12-30T11:54:03"/>
    <n v="1"/>
    <n v="0"/>
  </r>
  <r>
    <n v="9975977"/>
    <x v="11"/>
    <d v="1899-12-30T11:41:37"/>
    <d v="1899-12-30T11:47:40"/>
    <n v="1"/>
    <n v="0"/>
  </r>
  <r>
    <n v="8802222"/>
    <x v="11"/>
    <d v="1899-12-30T11:44:09"/>
    <d v="1899-12-30T11:52:10"/>
    <n v="1"/>
    <n v="0"/>
  </r>
  <r>
    <n v="1552877"/>
    <x v="11"/>
    <d v="1899-12-30T11:49:36"/>
    <d v="1899-12-30T11:54:15"/>
    <n v="1"/>
    <n v="0"/>
  </r>
  <r>
    <n v="6516534288"/>
    <x v="11"/>
    <d v="1899-12-30T11:52:18"/>
    <d v="1899-12-30T11:58:33"/>
    <n v="0"/>
    <n v="0"/>
  </r>
  <r>
    <n v="68647777"/>
    <x v="11"/>
    <d v="1899-12-30T11:59:33"/>
    <d v="1899-12-30T12:09:58"/>
    <n v="0"/>
    <n v="1"/>
  </r>
  <r>
    <n v="3360951"/>
    <x v="11"/>
    <d v="1899-12-30T12:05:32"/>
    <d v="1899-12-30T12:12:30"/>
    <n v="1"/>
    <n v="0"/>
  </r>
  <r>
    <n v="9127211929"/>
    <x v="11"/>
    <d v="1899-12-30T12:09:20"/>
    <d v="1899-12-30T12:15:01"/>
    <n v="0"/>
    <n v="0"/>
  </r>
  <r>
    <n v="9647309"/>
    <x v="11"/>
    <d v="1899-12-30T12:14:06"/>
    <d v="1899-12-30T12:21:22"/>
    <n v="1"/>
    <n v="0"/>
  </r>
  <r>
    <n v="6024447"/>
    <x v="11"/>
    <d v="1899-12-30T12:16:46"/>
    <d v="1899-12-30T12:28:27"/>
    <n v="1"/>
    <n v="0"/>
  </r>
  <r>
    <n v="12919749"/>
    <x v="11"/>
    <d v="1899-12-30T12:23:15"/>
    <d v="1899-12-30T12:31:59"/>
    <n v="0"/>
    <n v="1"/>
  </r>
  <r>
    <n v="3287315"/>
    <x v="11"/>
    <d v="1899-12-30T12:23:26"/>
    <d v="1899-12-30T12:26:34"/>
    <n v="1"/>
    <n v="0"/>
  </r>
  <r>
    <n v="9953379"/>
    <x v="11"/>
    <d v="1899-12-30T12:29:41"/>
    <d v="1899-12-30T12:36:53"/>
    <n v="1"/>
    <n v="0"/>
  </r>
  <r>
    <n v="97558765"/>
    <x v="11"/>
    <d v="1899-12-30T12:37:22"/>
    <d v="1899-12-30T12:49:32"/>
    <n v="0"/>
    <n v="1"/>
  </r>
  <r>
    <n v="2722706"/>
    <x v="11"/>
    <d v="1899-12-30T12:43:34"/>
    <d v="1899-12-30T12:46:20"/>
    <n v="1"/>
    <n v="0"/>
  </r>
  <r>
    <n v="97876188"/>
    <x v="11"/>
    <d v="1899-12-30T12:49:08"/>
    <d v="1899-12-30T12:49:56"/>
    <n v="0"/>
    <n v="1"/>
  </r>
  <r>
    <n v="4068728"/>
    <x v="11"/>
    <d v="1899-12-30T12:54:09"/>
    <d v="1899-12-30T13:06:50"/>
    <n v="1"/>
    <n v="0"/>
  </r>
  <r>
    <n v="7624070"/>
    <x v="11"/>
    <d v="1899-12-30T13:02:26"/>
    <d v="1899-12-30T13:17:43"/>
    <n v="1"/>
    <n v="0"/>
  </r>
  <r>
    <n v="2419247"/>
    <x v="11"/>
    <d v="1899-12-30T13:07:29"/>
    <d v="1899-12-30T13:08:52"/>
    <n v="1"/>
    <n v="0"/>
  </r>
  <r>
    <n v="5244597"/>
    <x v="11"/>
    <d v="1899-12-30T13:12:07"/>
    <d v="1899-12-30T13:22:31"/>
    <n v="1"/>
    <n v="0"/>
  </r>
  <r>
    <n v="2005653"/>
    <x v="11"/>
    <d v="1899-12-30T13:12:34"/>
    <d v="1899-12-30T13:22:27"/>
    <n v="1"/>
    <n v="0"/>
  </r>
  <r>
    <n v="7203715"/>
    <x v="11"/>
    <d v="1899-12-30T13:18:27"/>
    <d v="1899-12-30T13:31:11"/>
    <n v="1"/>
    <n v="0"/>
  </r>
  <r>
    <n v="4520463"/>
    <x v="11"/>
    <d v="1899-12-30T13:21:18"/>
    <d v="1899-12-30T13:21:20"/>
    <n v="1"/>
    <n v="0"/>
  </r>
  <r>
    <n v="4454837"/>
    <x v="11"/>
    <d v="1899-12-30T13:29:34"/>
    <d v="1899-12-30T13:31:29"/>
    <n v="1"/>
    <n v="0"/>
  </r>
  <r>
    <n v="6999348"/>
    <x v="11"/>
    <d v="1899-12-30T13:36:41"/>
    <d v="1899-12-30T13:38:55"/>
    <n v="1"/>
    <n v="0"/>
  </r>
  <r>
    <n v="90884366"/>
    <x v="11"/>
    <d v="1899-12-30T13:44:47"/>
    <d v="1899-12-30T13:55:08"/>
    <n v="0"/>
    <n v="1"/>
  </r>
  <r>
    <n v="3121640"/>
    <x v="11"/>
    <d v="1899-12-30T13:52:55"/>
    <d v="1899-12-30T14:00:27"/>
    <n v="1"/>
    <n v="0"/>
  </r>
  <r>
    <n v="5912710"/>
    <x v="11"/>
    <d v="1899-12-30T13:55:02"/>
    <d v="1899-12-30T14:08:34"/>
    <n v="1"/>
    <n v="0"/>
  </r>
  <r>
    <n v="7118082"/>
    <x v="11"/>
    <d v="1899-12-30T14:02:45"/>
    <d v="1899-12-30T14:11:37"/>
    <n v="1"/>
    <n v="0"/>
  </r>
  <r>
    <n v="9100303"/>
    <x v="11"/>
    <d v="1899-12-30T14:03:02"/>
    <d v="1899-12-30T14:08:35"/>
    <n v="1"/>
    <n v="0"/>
  </r>
  <r>
    <n v="25581178"/>
    <x v="11"/>
    <d v="1899-12-30T14:08:46"/>
    <d v="1899-12-30T14:20:11"/>
    <n v="0"/>
    <n v="1"/>
  </r>
  <r>
    <n v="78976022"/>
    <x v="11"/>
    <d v="1899-12-30T14:16:44"/>
    <d v="1899-12-30T14:19:03"/>
    <n v="0"/>
    <n v="1"/>
  </r>
  <r>
    <n v="7781904"/>
    <x v="11"/>
    <d v="1899-12-30T14:23:29"/>
    <d v="1899-12-30T14:30:24"/>
    <n v="1"/>
    <n v="0"/>
  </r>
  <r>
    <n v="7473804"/>
    <x v="11"/>
    <d v="1899-12-30T14:27:52"/>
    <d v="1899-12-30T14:37:23"/>
    <n v="1"/>
    <n v="0"/>
  </r>
  <r>
    <n v="8474693946"/>
    <x v="11"/>
    <d v="1899-12-30T14:30:06"/>
    <d v="1899-12-30T14:46:07"/>
    <n v="0"/>
    <n v="0"/>
  </r>
  <r>
    <n v="8984769"/>
    <x v="11"/>
    <d v="1899-12-30T14:37:26"/>
    <d v="1899-12-30T14:40:12"/>
    <n v="1"/>
    <n v="0"/>
  </r>
  <r>
    <n v="40395856"/>
    <x v="11"/>
    <d v="1899-12-30T14:43:40"/>
    <d v="1899-12-30T14:50:21"/>
    <n v="0"/>
    <n v="1"/>
  </r>
  <r>
    <n v="9728932"/>
    <x v="11"/>
    <d v="1899-12-30T14:48:08"/>
    <d v="1899-12-30T14:49:47"/>
    <n v="1"/>
    <n v="0"/>
  </r>
  <r>
    <n v="8135542"/>
    <x v="11"/>
    <d v="1899-12-30T14:55:27"/>
    <d v="1899-12-30T15:10:53"/>
    <n v="1"/>
    <n v="0"/>
  </r>
  <r>
    <n v="10093488"/>
    <x v="11"/>
    <d v="1899-12-30T14:55:39"/>
    <d v="1899-12-30T14:56:14"/>
    <n v="0"/>
    <n v="1"/>
  </r>
  <r>
    <n v="4203418"/>
    <x v="11"/>
    <d v="1899-12-30T15:00:49"/>
    <d v="1899-12-30T15:14:17"/>
    <n v="1"/>
    <n v="0"/>
  </r>
  <r>
    <n v="2456290"/>
    <x v="12"/>
    <d v="1899-12-30T08:03:44"/>
    <d v="1899-12-30T08:19:24"/>
    <n v="1"/>
    <n v="0"/>
  </r>
  <r>
    <n v="27610972"/>
    <x v="12"/>
    <d v="1899-12-30T08:08:00"/>
    <d v="1899-12-30T08:24:24"/>
    <n v="0"/>
    <n v="1"/>
  </r>
  <r>
    <n v="3073815"/>
    <x v="12"/>
    <d v="1899-12-30T08:14:03"/>
    <d v="1899-12-30T08:21:06"/>
    <n v="1"/>
    <n v="0"/>
  </r>
  <r>
    <n v="9776810"/>
    <x v="12"/>
    <d v="1899-12-30T08:19:45"/>
    <d v="1899-12-30T08:29:34"/>
    <n v="1"/>
    <n v="0"/>
  </r>
  <r>
    <n v="6763741"/>
    <x v="12"/>
    <d v="1899-12-30T08:24:35"/>
    <d v="1899-12-30T08:32:39"/>
    <n v="1"/>
    <n v="0"/>
  </r>
  <r>
    <n v="2309436"/>
    <x v="12"/>
    <d v="1899-12-30T08:28:23"/>
    <d v="1899-12-30T08:35:26"/>
    <n v="1"/>
    <n v="0"/>
  </r>
  <r>
    <n v="3131883"/>
    <x v="12"/>
    <d v="1899-12-30T08:34:16"/>
    <d v="1899-12-30T08:41:54"/>
    <n v="1"/>
    <n v="0"/>
  </r>
  <r>
    <n v="69001821"/>
    <x v="12"/>
    <d v="1899-12-30T08:36:02"/>
    <d v="1899-12-30T08:48:40"/>
    <n v="0"/>
    <n v="1"/>
  </r>
  <r>
    <n v="2150051"/>
    <x v="12"/>
    <d v="1899-12-30T08:42:52"/>
    <d v="1899-12-30T08:48:49"/>
    <n v="1"/>
    <n v="0"/>
  </r>
  <r>
    <n v="9967523741"/>
    <x v="12"/>
    <d v="1899-12-30T08:51:10"/>
    <d v="1899-12-30T08:57:28"/>
    <n v="0"/>
    <n v="0"/>
  </r>
  <r>
    <n v="23300236"/>
    <x v="12"/>
    <d v="1899-12-30T08:54:10"/>
    <d v="1899-12-30T09:00:15"/>
    <n v="0"/>
    <n v="1"/>
  </r>
  <r>
    <n v="4714815"/>
    <x v="12"/>
    <d v="1899-12-30T08:59:47"/>
    <d v="1899-12-30T09:09:16"/>
    <n v="1"/>
    <n v="0"/>
  </r>
  <r>
    <n v="80038636"/>
    <x v="12"/>
    <d v="1899-12-30T09:07:37"/>
    <d v="1899-12-30T09:10:39"/>
    <n v="0"/>
    <n v="1"/>
  </r>
  <r>
    <n v="47596793"/>
    <x v="12"/>
    <d v="1899-12-30T09:08:03"/>
    <d v="1899-12-30T09:11:14"/>
    <n v="0"/>
    <n v="1"/>
  </r>
  <r>
    <n v="6574044"/>
    <x v="12"/>
    <d v="1899-12-30T09:09:42"/>
    <d v="1899-12-30T09:20:23"/>
    <n v="1"/>
    <n v="0"/>
  </r>
  <r>
    <n v="9475290"/>
    <x v="12"/>
    <d v="1899-12-30T09:14:35"/>
    <d v="1899-12-30T09:28:24"/>
    <n v="1"/>
    <n v="0"/>
  </r>
  <r>
    <n v="4458725"/>
    <x v="12"/>
    <d v="1899-12-30T09:14:53"/>
    <d v="1899-12-30T09:29:07"/>
    <n v="1"/>
    <n v="0"/>
  </r>
  <r>
    <n v="4785864"/>
    <x v="12"/>
    <d v="1899-12-30T09:19:12"/>
    <d v="1899-12-30T09:22:36"/>
    <n v="1"/>
    <n v="0"/>
  </r>
  <r>
    <n v="3109039"/>
    <x v="12"/>
    <d v="1899-12-30T09:21:18"/>
    <d v="1899-12-30T09:24:04"/>
    <n v="1"/>
    <n v="0"/>
  </r>
  <r>
    <n v="7340326"/>
    <x v="12"/>
    <d v="1899-12-30T09:21:24"/>
    <d v="1899-12-30T09:22:34"/>
    <n v="1"/>
    <n v="0"/>
  </r>
  <r>
    <n v="7865428"/>
    <x v="12"/>
    <d v="1899-12-30T09:27:38"/>
    <d v="1899-12-30T09:43:38"/>
    <n v="1"/>
    <n v="0"/>
  </r>
  <r>
    <n v="1467591"/>
    <x v="12"/>
    <d v="1899-12-30T09:30:21"/>
    <d v="1899-12-30T09:42:22"/>
    <n v="1"/>
    <n v="0"/>
  </r>
  <r>
    <n v="2475157"/>
    <x v="12"/>
    <d v="1899-12-30T09:35:06"/>
    <d v="1899-12-30T09:40:47"/>
    <n v="1"/>
    <n v="0"/>
  </r>
  <r>
    <n v="6023049"/>
    <x v="12"/>
    <d v="1899-12-30T09:35:25"/>
    <d v="1899-12-30T09:51:50"/>
    <n v="1"/>
    <n v="0"/>
  </r>
  <r>
    <n v="39210366"/>
    <x v="12"/>
    <d v="1899-12-30T09:39:23"/>
    <d v="1899-12-30T09:42:46"/>
    <n v="0"/>
    <n v="1"/>
  </r>
  <r>
    <n v="90880011"/>
    <x v="12"/>
    <d v="1899-12-30T09:46:42"/>
    <d v="1899-12-30T09:54:05"/>
    <n v="0"/>
    <n v="1"/>
  </r>
  <r>
    <n v="4469748"/>
    <x v="12"/>
    <d v="1899-12-30T09:52:09"/>
    <d v="1899-12-30T09:57:22"/>
    <n v="1"/>
    <n v="0"/>
  </r>
  <r>
    <n v="3931739393"/>
    <x v="12"/>
    <d v="1899-12-30T09:54:23"/>
    <d v="1899-12-30T10:07:26"/>
    <n v="0"/>
    <n v="0"/>
  </r>
  <r>
    <n v="4079013"/>
    <x v="12"/>
    <d v="1899-12-30T09:59:17"/>
    <d v="1899-12-30T10:00:44"/>
    <n v="1"/>
    <n v="0"/>
  </r>
  <r>
    <n v="7751076"/>
    <x v="12"/>
    <d v="1899-12-30T10:04:45"/>
    <d v="1899-12-30T10:15:50"/>
    <n v="1"/>
    <n v="0"/>
  </r>
  <r>
    <n v="27684909"/>
    <x v="12"/>
    <d v="1899-12-30T10:07:12"/>
    <d v="1899-12-30T10:20:48"/>
    <n v="0"/>
    <n v="1"/>
  </r>
  <r>
    <n v="1588418"/>
    <x v="12"/>
    <d v="1899-12-30T10:10:53"/>
    <d v="1899-12-30T10:26:35"/>
    <n v="1"/>
    <n v="0"/>
  </r>
  <r>
    <n v="5333653356"/>
    <x v="12"/>
    <d v="1899-12-30T10:14:39"/>
    <d v="1899-12-30T10:22:11"/>
    <n v="0"/>
    <n v="0"/>
  </r>
  <r>
    <n v="6305758"/>
    <x v="12"/>
    <d v="1899-12-30T10:17:56"/>
    <d v="1899-12-30T10:25:20"/>
    <n v="1"/>
    <n v="0"/>
  </r>
  <r>
    <n v="45373038"/>
    <x v="12"/>
    <d v="1899-12-30T10:21:48"/>
    <d v="1899-12-30T10:36:08"/>
    <n v="0"/>
    <n v="1"/>
  </r>
  <r>
    <n v="7589993"/>
    <x v="12"/>
    <d v="1899-12-30T10:21:52"/>
    <d v="1899-12-30T10:31:06"/>
    <n v="1"/>
    <n v="0"/>
  </r>
  <r>
    <n v="5588421"/>
    <x v="12"/>
    <d v="1899-12-30T10:24:28"/>
    <d v="1899-12-30T10:33:05"/>
    <n v="1"/>
    <n v="0"/>
  </r>
  <r>
    <n v="9662407"/>
    <x v="12"/>
    <d v="1899-12-30T10:26:32"/>
    <d v="1899-12-30T10:38:51"/>
    <n v="1"/>
    <n v="0"/>
  </r>
  <r>
    <n v="3422062"/>
    <x v="12"/>
    <d v="1899-12-30T10:29:47"/>
    <d v="1899-12-30T10:34:38"/>
    <n v="1"/>
    <n v="0"/>
  </r>
  <r>
    <n v="9305031"/>
    <x v="12"/>
    <d v="1899-12-30T10:31:07"/>
    <d v="1899-12-30T10:47:33"/>
    <n v="1"/>
    <n v="0"/>
  </r>
  <r>
    <n v="4911005"/>
    <x v="12"/>
    <d v="1899-12-30T10:38:00"/>
    <d v="1899-12-30T10:48:06"/>
    <n v="1"/>
    <n v="0"/>
  </r>
  <r>
    <n v="1391272"/>
    <x v="12"/>
    <d v="1899-12-30T10:43:10"/>
    <d v="1899-12-30T10:58:27"/>
    <n v="1"/>
    <n v="0"/>
  </r>
  <r>
    <n v="5027404"/>
    <x v="12"/>
    <d v="1899-12-30T10:51:03"/>
    <d v="1899-12-30T11:02:13"/>
    <n v="1"/>
    <n v="0"/>
  </r>
  <r>
    <n v="38244568"/>
    <x v="12"/>
    <d v="1899-12-30T10:59:04"/>
    <d v="1899-12-30T11:00:04"/>
    <n v="0"/>
    <n v="1"/>
  </r>
  <r>
    <n v="64900068"/>
    <x v="12"/>
    <d v="1899-12-30T11:05:32"/>
    <d v="1899-12-30T11:06:12"/>
    <n v="0"/>
    <n v="1"/>
  </r>
  <r>
    <n v="45015009"/>
    <x v="12"/>
    <d v="1899-12-30T11:10:16"/>
    <d v="1899-12-30T11:22:38"/>
    <n v="0"/>
    <n v="1"/>
  </r>
  <r>
    <n v="20424852"/>
    <x v="12"/>
    <d v="1899-12-30T11:13:32"/>
    <d v="1899-12-30T11:17:35"/>
    <n v="0"/>
    <n v="1"/>
  </r>
  <r>
    <n v="4471203"/>
    <x v="12"/>
    <d v="1899-12-30T11:21:06"/>
    <d v="1899-12-30T11:34:46"/>
    <n v="1"/>
    <n v="0"/>
  </r>
  <r>
    <n v="8250018"/>
    <x v="12"/>
    <d v="1899-12-30T11:28:57"/>
    <d v="1899-12-30T11:44:54"/>
    <n v="1"/>
    <n v="0"/>
  </r>
  <r>
    <n v="1161028310"/>
    <x v="12"/>
    <d v="1899-12-30T11:28:57"/>
    <d v="1899-12-30T11:43:52"/>
    <n v="0"/>
    <n v="0"/>
  </r>
  <r>
    <n v="66465215"/>
    <x v="12"/>
    <d v="1899-12-30T11:36:42"/>
    <d v="1899-12-30T11:52:53"/>
    <n v="0"/>
    <n v="1"/>
  </r>
  <r>
    <n v="6386788"/>
    <x v="12"/>
    <d v="1899-12-30T11:43:03"/>
    <d v="1899-12-30T11:53:23"/>
    <n v="1"/>
    <n v="0"/>
  </r>
  <r>
    <n v="3589291"/>
    <x v="12"/>
    <d v="1899-12-30T11:45:02"/>
    <d v="1899-12-30T11:57:32"/>
    <n v="1"/>
    <n v="0"/>
  </r>
  <r>
    <n v="9254070"/>
    <x v="12"/>
    <d v="1899-12-30T11:49:30"/>
    <d v="1899-12-30T11:56:45"/>
    <n v="1"/>
    <n v="0"/>
  </r>
  <r>
    <n v="6337931"/>
    <x v="12"/>
    <d v="1899-12-30T11:54:36"/>
    <d v="1899-12-30T12:08:25"/>
    <n v="1"/>
    <n v="0"/>
  </r>
  <r>
    <n v="3563037"/>
    <x v="12"/>
    <d v="1899-12-30T12:02:30"/>
    <d v="1899-12-30T12:18:48"/>
    <n v="1"/>
    <n v="0"/>
  </r>
  <r>
    <n v="2302227"/>
    <x v="12"/>
    <d v="1899-12-30T12:03:10"/>
    <d v="1899-12-30T12:11:35"/>
    <n v="1"/>
    <n v="0"/>
  </r>
  <r>
    <n v="24454566"/>
    <x v="12"/>
    <d v="1899-12-30T12:10:48"/>
    <d v="1899-12-30T12:18:35"/>
    <n v="0"/>
    <n v="1"/>
  </r>
  <r>
    <n v="6551880"/>
    <x v="12"/>
    <d v="1899-12-30T12:10:54"/>
    <d v="1899-12-30T12:16:13"/>
    <n v="1"/>
    <n v="0"/>
  </r>
  <r>
    <n v="6616163"/>
    <x v="12"/>
    <d v="1899-12-30T12:19:05"/>
    <d v="1899-12-30T12:23:26"/>
    <n v="1"/>
    <n v="0"/>
  </r>
  <r>
    <n v="96381896"/>
    <x v="12"/>
    <d v="1899-12-30T12:25:01"/>
    <d v="1899-12-30T12:29:36"/>
    <n v="0"/>
    <n v="1"/>
  </r>
  <r>
    <n v="6892980"/>
    <x v="12"/>
    <d v="1899-12-30T12:32:57"/>
    <d v="1899-12-30T12:39:12"/>
    <n v="1"/>
    <n v="0"/>
  </r>
  <r>
    <n v="5341697748"/>
    <x v="12"/>
    <d v="1899-12-30T12:33:50"/>
    <d v="1899-12-30T12:48:25"/>
    <n v="0"/>
    <n v="0"/>
  </r>
  <r>
    <n v="52064221"/>
    <x v="12"/>
    <d v="1899-12-30T12:39:50"/>
    <d v="1899-12-30T12:56:25"/>
    <n v="0"/>
    <n v="1"/>
  </r>
  <r>
    <n v="5111892302"/>
    <x v="12"/>
    <d v="1899-12-30T12:46:13"/>
    <d v="1899-12-30T12:56:37"/>
    <n v="0"/>
    <n v="0"/>
  </r>
  <r>
    <n v="7571642"/>
    <x v="12"/>
    <d v="1899-12-30T12:50:59"/>
    <d v="1899-12-30T12:50:59"/>
    <n v="1"/>
    <n v="0"/>
  </r>
  <r>
    <n v="9570286"/>
    <x v="12"/>
    <d v="1899-12-30T12:51:46"/>
    <d v="1899-12-30T13:06:01"/>
    <n v="1"/>
    <n v="0"/>
  </r>
  <r>
    <n v="7632647"/>
    <x v="12"/>
    <d v="1899-12-30T12:58:21"/>
    <d v="1899-12-30T13:00:25"/>
    <n v="1"/>
    <n v="0"/>
  </r>
  <r>
    <n v="3437033"/>
    <x v="12"/>
    <d v="1899-12-30T13:03:56"/>
    <d v="1899-12-30T13:09:08"/>
    <n v="1"/>
    <n v="0"/>
  </r>
  <r>
    <n v="81575080"/>
    <x v="12"/>
    <d v="1899-12-30T13:11:57"/>
    <d v="1899-12-30T13:15:17"/>
    <n v="0"/>
    <n v="1"/>
  </r>
  <r>
    <n v="7677384"/>
    <x v="12"/>
    <d v="1899-12-30T13:13:45"/>
    <d v="1899-12-30T13:19:46"/>
    <n v="1"/>
    <n v="0"/>
  </r>
  <r>
    <n v="6194112"/>
    <x v="12"/>
    <d v="1899-12-30T13:14:31"/>
    <d v="1899-12-30T13:22:48"/>
    <n v="1"/>
    <n v="0"/>
  </r>
  <r>
    <n v="67913744"/>
    <x v="12"/>
    <d v="1899-12-30T13:17:35"/>
    <d v="1899-12-30T13:32:57"/>
    <n v="0"/>
    <n v="1"/>
  </r>
  <r>
    <n v="9418587"/>
    <x v="12"/>
    <d v="1899-12-30T13:25:12"/>
    <d v="1899-12-30T13:27:28"/>
    <n v="1"/>
    <n v="0"/>
  </r>
  <r>
    <n v="3273221616"/>
    <x v="12"/>
    <d v="1899-12-30T13:30:23"/>
    <d v="1899-12-30T13:37:49"/>
    <n v="0"/>
    <n v="0"/>
  </r>
  <r>
    <n v="7364500"/>
    <x v="12"/>
    <d v="1899-12-30T13:38:18"/>
    <d v="1899-12-30T13:54:50"/>
    <n v="1"/>
    <n v="0"/>
  </r>
  <r>
    <n v="69273048"/>
    <x v="12"/>
    <d v="1899-12-30T13:38:36"/>
    <d v="1899-12-30T13:52:08"/>
    <n v="0"/>
    <n v="1"/>
  </r>
  <r>
    <n v="1345591"/>
    <x v="12"/>
    <d v="1899-12-30T13:41:15"/>
    <d v="1899-12-30T13:50:56"/>
    <n v="1"/>
    <n v="0"/>
  </r>
  <r>
    <n v="13674393"/>
    <x v="12"/>
    <d v="1899-12-30T13:45:19"/>
    <d v="1899-12-30T13:48:51"/>
    <n v="0"/>
    <n v="1"/>
  </r>
  <r>
    <n v="5273579381"/>
    <x v="12"/>
    <d v="1899-12-30T13:48:22"/>
    <d v="1899-12-30T13:56:28"/>
    <n v="0"/>
    <n v="0"/>
  </r>
  <r>
    <n v="5790304"/>
    <x v="12"/>
    <d v="1899-12-30T13:54:50"/>
    <d v="1899-12-30T14:09:15"/>
    <n v="1"/>
    <n v="0"/>
  </r>
  <r>
    <n v="6551880"/>
    <x v="12"/>
    <d v="1899-12-30T13:56:14"/>
    <d v="1899-12-30T14:09:38"/>
    <n v="1"/>
    <n v="0"/>
  </r>
  <r>
    <n v="2873323"/>
    <x v="12"/>
    <d v="1899-12-30T14:04:10"/>
    <d v="1899-12-30T14:12:43"/>
    <n v="1"/>
    <n v="0"/>
  </r>
  <r>
    <n v="2733008"/>
    <x v="12"/>
    <d v="1899-12-30T14:06:42"/>
    <d v="1899-12-30T14:11:05"/>
    <n v="1"/>
    <n v="0"/>
  </r>
  <r>
    <n v="7292887"/>
    <x v="12"/>
    <d v="1899-12-30T14:06:52"/>
    <d v="1899-12-30T14:12:31"/>
    <n v="1"/>
    <n v="0"/>
  </r>
  <r>
    <n v="6855900"/>
    <x v="12"/>
    <d v="1899-12-30T14:10:54"/>
    <d v="1899-12-30T14:13:02"/>
    <n v="1"/>
    <n v="0"/>
  </r>
  <r>
    <n v="2402827"/>
    <x v="12"/>
    <d v="1899-12-30T14:19:06"/>
    <d v="1899-12-30T14:28:45"/>
    <n v="1"/>
    <n v="0"/>
  </r>
  <r>
    <n v="6510330"/>
    <x v="12"/>
    <d v="1899-12-30T14:19:55"/>
    <d v="1899-12-30T14:31:45"/>
    <n v="1"/>
    <n v="0"/>
  </r>
  <r>
    <n v="9773176"/>
    <x v="12"/>
    <d v="1899-12-30T14:19:58"/>
    <d v="1899-12-30T14:31:02"/>
    <n v="1"/>
    <n v="0"/>
  </r>
  <r>
    <n v="4065787"/>
    <x v="12"/>
    <d v="1899-12-30T14:27:07"/>
    <d v="1899-12-30T14:43:10"/>
    <n v="1"/>
    <n v="0"/>
  </r>
  <r>
    <n v="4303543625"/>
    <x v="12"/>
    <d v="1899-12-30T14:28:12"/>
    <d v="1899-12-30T14:39:39"/>
    <n v="0"/>
    <n v="0"/>
  </r>
  <r>
    <n v="3858766"/>
    <x v="12"/>
    <d v="1899-12-30T14:33:00"/>
    <d v="1899-12-30T14:36:05"/>
    <n v="1"/>
    <n v="0"/>
  </r>
  <r>
    <n v="41852472"/>
    <x v="12"/>
    <d v="1899-12-30T14:36:30"/>
    <d v="1899-12-30T14:38:41"/>
    <n v="0"/>
    <n v="1"/>
  </r>
  <r>
    <n v="25574074"/>
    <x v="12"/>
    <d v="1899-12-30T14:39:34"/>
    <d v="1899-12-30T14:54:30"/>
    <n v="0"/>
    <n v="1"/>
  </r>
  <r>
    <n v="8690793"/>
    <x v="12"/>
    <d v="1899-12-30T14:41:23"/>
    <d v="1899-12-30T14:47:14"/>
    <n v="1"/>
    <n v="0"/>
  </r>
  <r>
    <n v="8487003"/>
    <x v="12"/>
    <d v="1899-12-30T14:47:44"/>
    <d v="1899-12-30T15:01:17"/>
    <n v="1"/>
    <n v="0"/>
  </r>
  <r>
    <n v="50583407"/>
    <x v="12"/>
    <d v="1899-12-30T14:54:47"/>
    <d v="1899-12-30T15:10:21"/>
    <n v="0"/>
    <n v="1"/>
  </r>
  <r>
    <n v="4983193"/>
    <x v="12"/>
    <d v="1899-12-30T14:56:57"/>
    <d v="1899-12-30T15:11:53"/>
    <n v="1"/>
    <n v="0"/>
  </r>
  <r>
    <n v="1316116"/>
    <x v="12"/>
    <d v="1899-12-30T14:58:29"/>
    <d v="1899-12-30T14:59:27"/>
    <n v="1"/>
    <n v="0"/>
  </r>
  <r>
    <n v="5696056"/>
    <x v="12"/>
    <d v="1899-12-30T15:06:44"/>
    <d v="1899-12-30T15:11:12"/>
    <n v="1"/>
    <n v="0"/>
  </r>
  <r>
    <n v="3574623"/>
    <x v="13"/>
    <d v="1899-12-30T08:01:39"/>
    <d v="1899-12-30T08:05:35"/>
    <n v="1"/>
    <n v="0"/>
  </r>
  <r>
    <n v="71218936"/>
    <x v="13"/>
    <d v="1899-12-30T08:09:47"/>
    <d v="1899-12-30T08:12:22"/>
    <n v="0"/>
    <n v="1"/>
  </r>
  <r>
    <n v="55621633"/>
    <x v="13"/>
    <d v="1899-12-30T08:11:15"/>
    <d v="1899-12-30T08:27:41"/>
    <n v="0"/>
    <n v="1"/>
  </r>
  <r>
    <n v="1898174"/>
    <x v="13"/>
    <d v="1899-12-30T08:14:57"/>
    <d v="1899-12-30T08:18:23"/>
    <n v="1"/>
    <n v="0"/>
  </r>
  <r>
    <n v="4844054"/>
    <x v="13"/>
    <d v="1899-12-30T08:21:57"/>
    <d v="1899-12-30T08:23:59"/>
    <n v="1"/>
    <n v="0"/>
  </r>
  <r>
    <n v="7701901"/>
    <x v="13"/>
    <d v="1899-12-30T08:28:46"/>
    <d v="1899-12-30T08:32:02"/>
    <n v="1"/>
    <n v="0"/>
  </r>
  <r>
    <n v="5900664"/>
    <x v="13"/>
    <d v="1899-12-30T08:32:29"/>
    <d v="1899-12-30T08:46:20"/>
    <n v="1"/>
    <n v="0"/>
  </r>
  <r>
    <n v="4698731"/>
    <x v="13"/>
    <d v="1899-12-30T08:36:53"/>
    <d v="1899-12-30T08:51:16"/>
    <n v="1"/>
    <n v="0"/>
  </r>
  <r>
    <n v="4606501"/>
    <x v="13"/>
    <d v="1899-12-30T08:41:36"/>
    <d v="1899-12-30T08:46:18"/>
    <n v="1"/>
    <n v="0"/>
  </r>
  <r>
    <n v="3851940"/>
    <x v="13"/>
    <d v="1899-12-30T08:45:13"/>
    <d v="1899-12-30T08:47:29"/>
    <n v="1"/>
    <n v="0"/>
  </r>
  <r>
    <n v="7972076"/>
    <x v="13"/>
    <d v="1899-12-30T08:52:58"/>
    <d v="1899-12-30T09:06:10"/>
    <n v="1"/>
    <n v="0"/>
  </r>
  <r>
    <n v="1911796"/>
    <x v="13"/>
    <d v="1899-12-30T09:00:06"/>
    <d v="1899-12-30T09:09:15"/>
    <n v="1"/>
    <n v="0"/>
  </r>
  <r>
    <n v="7362963"/>
    <x v="13"/>
    <d v="1899-12-30T09:02:17"/>
    <d v="1899-12-30T09:06:17"/>
    <n v="1"/>
    <n v="0"/>
  </r>
  <r>
    <n v="24290062"/>
    <x v="13"/>
    <d v="1899-12-30T09:07:53"/>
    <d v="1899-12-30T09:23:39"/>
    <n v="0"/>
    <n v="1"/>
  </r>
  <r>
    <n v="3086185"/>
    <x v="13"/>
    <d v="1899-12-30T09:12:53"/>
    <d v="1899-12-30T09:29:29"/>
    <n v="1"/>
    <n v="0"/>
  </r>
  <r>
    <n v="7622819"/>
    <x v="13"/>
    <d v="1899-12-30T09:15:50"/>
    <d v="1899-12-30T09:27:55"/>
    <n v="1"/>
    <n v="0"/>
  </r>
  <r>
    <n v="5610335"/>
    <x v="13"/>
    <d v="1899-12-30T09:22:24"/>
    <d v="1899-12-30T09:23:04"/>
    <n v="1"/>
    <n v="0"/>
  </r>
  <r>
    <n v="97953696"/>
    <x v="13"/>
    <d v="1899-12-30T09:26:59"/>
    <d v="1899-12-30T09:40:13"/>
    <n v="0"/>
    <n v="1"/>
  </r>
  <r>
    <n v="7432767"/>
    <x v="13"/>
    <d v="1899-12-30T09:28:02"/>
    <d v="1899-12-30T09:33:43"/>
    <n v="1"/>
    <n v="0"/>
  </r>
  <r>
    <n v="2089993"/>
    <x v="13"/>
    <d v="1899-12-30T09:33:16"/>
    <d v="1899-12-30T09:34:13"/>
    <n v="1"/>
    <n v="0"/>
  </r>
  <r>
    <n v="2635121"/>
    <x v="13"/>
    <d v="1899-12-30T09:34:39"/>
    <d v="1899-12-30T09:43:01"/>
    <n v="1"/>
    <n v="0"/>
  </r>
  <r>
    <n v="6725216"/>
    <x v="13"/>
    <d v="1899-12-30T09:38:45"/>
    <d v="1899-12-30T09:46:18"/>
    <n v="1"/>
    <n v="0"/>
  </r>
  <r>
    <n v="6530661"/>
    <x v="13"/>
    <d v="1899-12-30T09:46:13"/>
    <d v="1899-12-30T09:47:27"/>
    <n v="1"/>
    <n v="0"/>
  </r>
  <r>
    <n v="8691743"/>
    <x v="13"/>
    <d v="1899-12-30T09:53:41"/>
    <d v="1899-12-30T10:07:53"/>
    <n v="1"/>
    <n v="0"/>
  </r>
  <r>
    <n v="2771511"/>
    <x v="13"/>
    <d v="1899-12-30T09:54:19"/>
    <d v="1899-12-30T09:57:25"/>
    <n v="1"/>
    <n v="0"/>
  </r>
  <r>
    <n v="7471152"/>
    <x v="13"/>
    <d v="1899-12-30T09:56:58"/>
    <d v="1899-12-30T09:57:32"/>
    <n v="1"/>
    <n v="0"/>
  </r>
  <r>
    <n v="89691426"/>
    <x v="13"/>
    <d v="1899-12-30T10:00:09"/>
    <d v="1899-12-30T10:07:34"/>
    <n v="0"/>
    <n v="1"/>
  </r>
  <r>
    <n v="5305478"/>
    <x v="13"/>
    <d v="1899-12-30T10:04:31"/>
    <d v="1899-12-30T10:18:35"/>
    <n v="1"/>
    <n v="0"/>
  </r>
  <r>
    <n v="4305632"/>
    <x v="13"/>
    <d v="1899-12-30T10:12:30"/>
    <d v="1899-12-30T10:28:20"/>
    <n v="1"/>
    <n v="0"/>
  </r>
  <r>
    <n v="9526179"/>
    <x v="13"/>
    <d v="1899-12-30T10:15:46"/>
    <d v="1899-12-30T10:21:15"/>
    <n v="1"/>
    <n v="0"/>
  </r>
  <r>
    <n v="1268336"/>
    <x v="13"/>
    <d v="1899-12-30T10:21:41"/>
    <d v="1899-12-30T10:35:49"/>
    <n v="1"/>
    <n v="0"/>
  </r>
  <r>
    <n v="7288626"/>
    <x v="13"/>
    <d v="1899-12-30T10:27:56"/>
    <d v="1899-12-30T10:42:23"/>
    <n v="1"/>
    <n v="0"/>
  </r>
  <r>
    <n v="53117702"/>
    <x v="13"/>
    <d v="1899-12-30T10:36:03"/>
    <d v="1899-12-30T10:46:37"/>
    <n v="0"/>
    <n v="1"/>
  </r>
  <r>
    <n v="10201038"/>
    <x v="13"/>
    <d v="1899-12-30T10:42:28"/>
    <d v="1899-12-30T10:48:17"/>
    <n v="0"/>
    <n v="1"/>
  </r>
  <r>
    <n v="4738129"/>
    <x v="13"/>
    <d v="1899-12-30T10:48:34"/>
    <d v="1899-12-30T11:02:56"/>
    <n v="1"/>
    <n v="0"/>
  </r>
  <r>
    <n v="3153023"/>
    <x v="13"/>
    <d v="1899-12-30T10:55:15"/>
    <d v="1899-12-30T11:00:37"/>
    <n v="1"/>
    <n v="0"/>
  </r>
  <r>
    <n v="1747389"/>
    <x v="13"/>
    <d v="1899-12-30T10:59:27"/>
    <d v="1899-12-30T11:02:28"/>
    <n v="1"/>
    <n v="0"/>
  </r>
  <r>
    <n v="5526425146"/>
    <x v="13"/>
    <d v="1899-12-30T11:04:46"/>
    <d v="1899-12-30T11:05:15"/>
    <n v="0"/>
    <n v="0"/>
  </r>
  <r>
    <n v="93050839"/>
    <x v="13"/>
    <d v="1899-12-30T11:05:39"/>
    <d v="1899-12-30T11:10:55"/>
    <n v="0"/>
    <n v="1"/>
  </r>
  <r>
    <n v="1288318920"/>
    <x v="13"/>
    <d v="1899-12-30T11:11:08"/>
    <d v="1899-12-30T11:22:12"/>
    <n v="0"/>
    <n v="0"/>
  </r>
  <r>
    <n v="5613566"/>
    <x v="13"/>
    <d v="1899-12-30T11:18:19"/>
    <d v="1899-12-30T11:18:55"/>
    <n v="1"/>
    <n v="0"/>
  </r>
  <r>
    <n v="2406196"/>
    <x v="13"/>
    <d v="1899-12-30T11:20:19"/>
    <d v="1899-12-30T11:33:02"/>
    <n v="1"/>
    <n v="0"/>
  </r>
  <r>
    <n v="9046365"/>
    <x v="13"/>
    <d v="1899-12-30T11:24:27"/>
    <d v="1899-12-30T11:26:39"/>
    <n v="1"/>
    <n v="0"/>
  </r>
  <r>
    <n v="5019634"/>
    <x v="13"/>
    <d v="1899-12-30T11:31:40"/>
    <d v="1899-12-30T11:47:59"/>
    <n v="1"/>
    <n v="0"/>
  </r>
  <r>
    <n v="90993861"/>
    <x v="13"/>
    <d v="1899-12-30T11:35:14"/>
    <d v="1899-12-30T11:42:42"/>
    <n v="0"/>
    <n v="1"/>
  </r>
  <r>
    <n v="4034491"/>
    <x v="13"/>
    <d v="1899-12-30T11:42:55"/>
    <d v="1899-12-30T11:47:17"/>
    <n v="1"/>
    <n v="0"/>
  </r>
  <r>
    <n v="57395204"/>
    <x v="13"/>
    <d v="1899-12-30T11:45:49"/>
    <d v="1899-12-30T11:52:10"/>
    <n v="0"/>
    <n v="1"/>
  </r>
  <r>
    <n v="9156106"/>
    <x v="13"/>
    <d v="1899-12-30T11:47:05"/>
    <d v="1899-12-30T11:50:56"/>
    <n v="1"/>
    <n v="0"/>
  </r>
  <r>
    <n v="7076463"/>
    <x v="13"/>
    <d v="1899-12-30T11:53:05"/>
    <d v="1899-12-30T11:53:16"/>
    <n v="1"/>
    <n v="0"/>
  </r>
  <r>
    <n v="3136675"/>
    <x v="13"/>
    <d v="1899-12-30T11:57:36"/>
    <d v="1899-12-30T12:13:34"/>
    <n v="1"/>
    <n v="0"/>
  </r>
  <r>
    <n v="7826456"/>
    <x v="13"/>
    <d v="1899-12-30T12:04:18"/>
    <d v="1899-12-30T12:04:30"/>
    <n v="1"/>
    <n v="0"/>
  </r>
  <r>
    <n v="4094662"/>
    <x v="13"/>
    <d v="1899-12-30T12:08:22"/>
    <d v="1899-12-30T12:20:46"/>
    <n v="1"/>
    <n v="0"/>
  </r>
  <r>
    <n v="3134379"/>
    <x v="13"/>
    <d v="1899-12-30T12:11:55"/>
    <d v="1899-12-30T12:23:48"/>
    <n v="1"/>
    <n v="0"/>
  </r>
  <r>
    <n v="1119016"/>
    <x v="13"/>
    <d v="1899-12-30T12:12:41"/>
    <d v="1899-12-30T12:20:18"/>
    <n v="1"/>
    <n v="0"/>
  </r>
  <r>
    <n v="3539762"/>
    <x v="13"/>
    <d v="1899-12-30T12:14:49"/>
    <d v="1899-12-30T12:30:05"/>
    <n v="1"/>
    <n v="0"/>
  </r>
  <r>
    <n v="28601187"/>
    <x v="13"/>
    <d v="1899-12-30T12:21:46"/>
    <d v="1899-12-30T12:25:44"/>
    <n v="0"/>
    <n v="1"/>
  </r>
  <r>
    <n v="2841969"/>
    <x v="13"/>
    <d v="1899-12-30T12:21:47"/>
    <d v="1899-12-30T12:22:25"/>
    <n v="1"/>
    <n v="0"/>
  </r>
  <r>
    <n v="57957786"/>
    <x v="13"/>
    <d v="1899-12-30T12:27:46"/>
    <d v="1899-12-30T12:43:38"/>
    <n v="0"/>
    <n v="1"/>
  </r>
  <r>
    <n v="6068132"/>
    <x v="13"/>
    <d v="1899-12-30T12:32:03"/>
    <d v="1899-12-30T12:34:04"/>
    <n v="1"/>
    <n v="0"/>
  </r>
  <r>
    <n v="8195842"/>
    <x v="13"/>
    <d v="1899-12-30T12:32:16"/>
    <d v="1899-12-30T12:44:16"/>
    <n v="1"/>
    <n v="0"/>
  </r>
  <r>
    <n v="98737794"/>
    <x v="13"/>
    <d v="1899-12-30T12:34:16"/>
    <d v="1899-12-30T12:41:31"/>
    <n v="0"/>
    <n v="1"/>
  </r>
  <r>
    <n v="6523054"/>
    <x v="13"/>
    <d v="1899-12-30T12:40:31"/>
    <d v="1899-12-30T12:55:50"/>
    <n v="1"/>
    <n v="0"/>
  </r>
  <r>
    <n v="26895957"/>
    <x v="13"/>
    <d v="1899-12-30T12:44:24"/>
    <d v="1899-12-30T12:50:34"/>
    <n v="0"/>
    <n v="1"/>
  </r>
  <r>
    <n v="5254694"/>
    <x v="13"/>
    <d v="1899-12-30T12:47:36"/>
    <d v="1899-12-30T12:58:19"/>
    <n v="1"/>
    <n v="0"/>
  </r>
  <r>
    <n v="3979680"/>
    <x v="13"/>
    <d v="1899-12-30T12:55:01"/>
    <d v="1899-12-30T13:02:55"/>
    <n v="1"/>
    <n v="0"/>
  </r>
  <r>
    <n v="96424596"/>
    <x v="13"/>
    <d v="1899-12-30T12:57:05"/>
    <d v="1899-12-30T13:03:42"/>
    <n v="0"/>
    <n v="1"/>
  </r>
  <r>
    <n v="4923459"/>
    <x v="13"/>
    <d v="1899-12-30T13:04:05"/>
    <d v="1899-12-30T13:17:51"/>
    <n v="1"/>
    <n v="0"/>
  </r>
  <r>
    <n v="6719542"/>
    <x v="13"/>
    <d v="1899-12-30T13:05:37"/>
    <d v="1899-12-30T13:10:29"/>
    <n v="1"/>
    <n v="0"/>
  </r>
  <r>
    <n v="81218024"/>
    <x v="13"/>
    <d v="1899-12-30T13:11:14"/>
    <d v="1899-12-30T13:20:24"/>
    <n v="0"/>
    <n v="1"/>
  </r>
  <r>
    <n v="6552755"/>
    <x v="13"/>
    <d v="1899-12-30T13:16:25"/>
    <d v="1899-12-30T13:30:47"/>
    <n v="1"/>
    <n v="0"/>
  </r>
  <r>
    <n v="44017210"/>
    <x v="13"/>
    <d v="1899-12-30T13:18:52"/>
    <d v="1899-12-30T13:34:59"/>
    <n v="0"/>
    <n v="1"/>
  </r>
  <r>
    <n v="8679036"/>
    <x v="13"/>
    <d v="1899-12-30T13:23:55"/>
    <d v="1899-12-30T13:24:27"/>
    <n v="1"/>
    <n v="0"/>
  </r>
  <r>
    <n v="64733982"/>
    <x v="13"/>
    <d v="1899-12-30T13:29:00"/>
    <d v="1899-12-30T13:32:10"/>
    <n v="0"/>
    <n v="1"/>
  </r>
  <r>
    <n v="2289072"/>
    <x v="13"/>
    <d v="1899-12-30T13:31:01"/>
    <d v="1899-12-30T13:41:06"/>
    <n v="1"/>
    <n v="0"/>
  </r>
  <r>
    <n v="71730854"/>
    <x v="13"/>
    <d v="1899-12-30T13:34:08"/>
    <d v="1899-12-30T13:49:36"/>
    <n v="0"/>
    <n v="1"/>
  </r>
  <r>
    <n v="3757504"/>
    <x v="13"/>
    <d v="1899-12-30T13:42:19"/>
    <d v="1899-12-30T13:47:30"/>
    <n v="1"/>
    <n v="0"/>
  </r>
  <r>
    <n v="8501225"/>
    <x v="13"/>
    <d v="1899-12-30T13:48:15"/>
    <d v="1899-12-30T13:52:06"/>
    <n v="1"/>
    <n v="0"/>
  </r>
  <r>
    <n v="3704193"/>
    <x v="13"/>
    <d v="1899-12-30T13:50:28"/>
    <d v="1899-12-30T14:02:58"/>
    <n v="1"/>
    <n v="0"/>
  </r>
  <r>
    <n v="4577789"/>
    <x v="13"/>
    <d v="1899-12-30T13:52:03"/>
    <d v="1899-12-30T13:54:32"/>
    <n v="1"/>
    <n v="0"/>
  </r>
  <r>
    <n v="5730350"/>
    <x v="13"/>
    <d v="1899-12-30T13:58:10"/>
    <d v="1899-12-30T14:10:08"/>
    <n v="1"/>
    <n v="0"/>
  </r>
  <r>
    <n v="8953850"/>
    <x v="13"/>
    <d v="1899-12-30T13:59:56"/>
    <d v="1899-12-30T14:12:29"/>
    <n v="1"/>
    <n v="0"/>
  </r>
  <r>
    <n v="3109133"/>
    <x v="13"/>
    <d v="1899-12-30T14:03:20"/>
    <d v="1899-12-30T14:09:05"/>
    <n v="1"/>
    <n v="0"/>
  </r>
  <r>
    <n v="3382699"/>
    <x v="13"/>
    <d v="1899-12-30T14:10:22"/>
    <d v="1899-12-30T14:14:11"/>
    <n v="1"/>
    <n v="0"/>
  </r>
  <r>
    <n v="9132555"/>
    <x v="13"/>
    <d v="1899-12-30T14:18:33"/>
    <d v="1899-12-30T14:22:39"/>
    <n v="1"/>
    <n v="0"/>
  </r>
  <r>
    <n v="5016981"/>
    <x v="13"/>
    <d v="1899-12-30T14:19:35"/>
    <d v="1899-12-30T14:20:18"/>
    <n v="1"/>
    <n v="0"/>
  </r>
  <r>
    <n v="1294973"/>
    <x v="13"/>
    <d v="1899-12-30T14:20:53"/>
    <d v="1899-12-30T14:34:18"/>
    <n v="1"/>
    <n v="0"/>
  </r>
  <r>
    <n v="7769531"/>
    <x v="13"/>
    <d v="1899-12-30T14:24:42"/>
    <d v="1899-12-30T14:29:21"/>
    <n v="1"/>
    <n v="0"/>
  </r>
  <r>
    <n v="1068000"/>
    <x v="13"/>
    <d v="1899-12-30T14:27:37"/>
    <d v="1899-12-30T14:32:46"/>
    <n v="1"/>
    <n v="0"/>
  </r>
  <r>
    <n v="1467591"/>
    <x v="13"/>
    <d v="1899-12-30T14:28:00"/>
    <d v="1899-12-30T14:41:36"/>
    <n v="1"/>
    <n v="0"/>
  </r>
  <r>
    <n v="5980925"/>
    <x v="13"/>
    <d v="1899-12-30T14:28:04"/>
    <d v="1899-12-30T14:39:00"/>
    <n v="1"/>
    <n v="0"/>
  </r>
  <r>
    <n v="9905075"/>
    <x v="13"/>
    <d v="1899-12-30T14:33:59"/>
    <d v="1899-12-30T14:38:25"/>
    <n v="1"/>
    <n v="0"/>
  </r>
  <r>
    <n v="1043289"/>
    <x v="13"/>
    <d v="1899-12-30T14:38:16"/>
    <d v="1899-12-30T14:43:55"/>
    <n v="1"/>
    <n v="0"/>
  </r>
  <r>
    <n v="8252939"/>
    <x v="13"/>
    <d v="1899-12-30T14:43:01"/>
    <d v="1899-12-30T14:54:28"/>
    <n v="1"/>
    <n v="0"/>
  </r>
  <r>
    <n v="67748426"/>
    <x v="13"/>
    <d v="1899-12-30T14:46:07"/>
    <d v="1899-12-30T15:00:03"/>
    <n v="0"/>
    <n v="1"/>
  </r>
  <r>
    <n v="4376637"/>
    <x v="13"/>
    <d v="1899-12-30T14:46:27"/>
    <d v="1899-12-30T15:00:28"/>
    <n v="1"/>
    <n v="0"/>
  </r>
  <r>
    <n v="6426011"/>
    <x v="13"/>
    <d v="1899-12-30T14:53:56"/>
    <d v="1899-12-30T15:05:14"/>
    <n v="1"/>
    <n v="0"/>
  </r>
  <r>
    <n v="9137235"/>
    <x v="13"/>
    <d v="1899-12-30T15:00:21"/>
    <d v="1899-12-30T15:04:59"/>
    <n v="1"/>
    <n v="0"/>
  </r>
  <r>
    <n v="6735390"/>
    <x v="14"/>
    <d v="1899-12-30T08:01:16"/>
    <d v="1899-12-30T08:04:55"/>
    <n v="1"/>
    <n v="0"/>
  </r>
  <r>
    <n v="7151490"/>
    <x v="14"/>
    <d v="1899-12-30T08:02:36"/>
    <d v="1899-12-30T08:06:32"/>
    <n v="1"/>
    <n v="0"/>
  </r>
  <r>
    <n v="5138547"/>
    <x v="14"/>
    <d v="1899-12-30T08:04:27"/>
    <d v="1899-12-30T08:06:25"/>
    <n v="1"/>
    <n v="0"/>
  </r>
  <r>
    <n v="79212542"/>
    <x v="14"/>
    <d v="1899-12-30T08:11:52"/>
    <d v="1899-12-30T08:19:27"/>
    <n v="0"/>
    <n v="1"/>
  </r>
  <r>
    <n v="1507196"/>
    <x v="14"/>
    <d v="1899-12-30T08:12:27"/>
    <d v="1899-12-30T08:18:17"/>
    <n v="1"/>
    <n v="0"/>
  </r>
  <r>
    <n v="8362094"/>
    <x v="14"/>
    <d v="1899-12-30T08:17:46"/>
    <d v="1899-12-30T08:20:20"/>
    <n v="1"/>
    <n v="0"/>
  </r>
  <r>
    <n v="5379981"/>
    <x v="14"/>
    <d v="1899-12-30T08:19:33"/>
    <d v="1899-12-30T08:26:58"/>
    <n v="1"/>
    <n v="0"/>
  </r>
  <r>
    <n v="4960672"/>
    <x v="14"/>
    <d v="1899-12-30T08:20:20"/>
    <d v="1899-12-30T08:27:47"/>
    <n v="1"/>
    <n v="0"/>
  </r>
  <r>
    <n v="9052582"/>
    <x v="14"/>
    <d v="1899-12-30T08:23:27"/>
    <d v="1899-12-30T08:29:05"/>
    <n v="1"/>
    <n v="0"/>
  </r>
  <r>
    <n v="2054346"/>
    <x v="14"/>
    <d v="1899-12-30T08:24:03"/>
    <d v="1899-12-30T08:31:47"/>
    <n v="1"/>
    <n v="0"/>
  </r>
  <r>
    <n v="6070136"/>
    <x v="14"/>
    <d v="1899-12-30T08:26:15"/>
    <d v="1899-12-30T08:28:19"/>
    <n v="1"/>
    <n v="0"/>
  </r>
  <r>
    <n v="3086185"/>
    <x v="14"/>
    <d v="1899-12-30T08:29:47"/>
    <d v="1899-12-30T08:37:36"/>
    <n v="1"/>
    <n v="0"/>
  </r>
  <r>
    <n v="6949463"/>
    <x v="14"/>
    <d v="1899-12-30T08:37:08"/>
    <d v="1899-12-30T08:42:59"/>
    <n v="1"/>
    <n v="0"/>
  </r>
  <r>
    <n v="1626862"/>
    <x v="14"/>
    <d v="1899-12-30T08:40:38"/>
    <d v="1899-12-30T08:43:31"/>
    <n v="1"/>
    <n v="0"/>
  </r>
  <r>
    <n v="99905503"/>
    <x v="14"/>
    <d v="1899-12-30T08:47:30"/>
    <d v="1899-12-30T08:58:13"/>
    <n v="0"/>
    <n v="1"/>
  </r>
  <r>
    <n v="2753778"/>
    <x v="14"/>
    <d v="1899-12-30T08:54:43"/>
    <d v="1899-12-30T09:08:17"/>
    <n v="1"/>
    <n v="0"/>
  </r>
  <r>
    <n v="3508755"/>
    <x v="14"/>
    <d v="1899-12-30T09:01:00"/>
    <d v="1899-12-30T09:16:00"/>
    <n v="1"/>
    <n v="0"/>
  </r>
  <r>
    <n v="14783929"/>
    <x v="14"/>
    <d v="1899-12-30T09:05:38"/>
    <d v="1899-12-30T09:13:35"/>
    <n v="0"/>
    <n v="1"/>
  </r>
  <r>
    <n v="1409543"/>
    <x v="14"/>
    <d v="1899-12-30T09:08:27"/>
    <d v="1899-12-30T09:20:26"/>
    <n v="1"/>
    <n v="0"/>
  </r>
  <r>
    <n v="6891636"/>
    <x v="14"/>
    <d v="1899-12-30T09:16:19"/>
    <d v="1899-12-30T09:20:30"/>
    <n v="1"/>
    <n v="0"/>
  </r>
  <r>
    <n v="8541151"/>
    <x v="14"/>
    <d v="1899-12-30T09:19:25"/>
    <d v="1899-12-30T09:34:12"/>
    <n v="1"/>
    <n v="0"/>
  </r>
  <r>
    <n v="8322802"/>
    <x v="14"/>
    <d v="1899-12-30T09:22:53"/>
    <d v="1899-12-30T09:30:32"/>
    <n v="1"/>
    <n v="0"/>
  </r>
  <r>
    <n v="30678431"/>
    <x v="14"/>
    <d v="1899-12-30T09:28:22"/>
    <d v="1899-12-30T09:38:02"/>
    <n v="0"/>
    <n v="1"/>
  </r>
  <r>
    <n v="41837828"/>
    <x v="14"/>
    <d v="1899-12-30T09:35:20"/>
    <d v="1899-12-30T09:36:33"/>
    <n v="0"/>
    <n v="1"/>
  </r>
  <r>
    <n v="13639748"/>
    <x v="14"/>
    <d v="1899-12-30T09:41:28"/>
    <d v="1899-12-30T09:47:51"/>
    <n v="0"/>
    <n v="1"/>
  </r>
  <r>
    <n v="8972366"/>
    <x v="14"/>
    <d v="1899-12-30T09:42:40"/>
    <d v="1899-12-30T09:48:36"/>
    <n v="1"/>
    <n v="0"/>
  </r>
  <r>
    <n v="5233531"/>
    <x v="14"/>
    <d v="1899-12-30T09:42:42"/>
    <d v="1899-12-30T09:48:47"/>
    <n v="1"/>
    <n v="0"/>
  </r>
  <r>
    <n v="3691176"/>
    <x v="14"/>
    <d v="1899-12-30T09:43:17"/>
    <d v="1899-12-30T09:44:05"/>
    <n v="1"/>
    <n v="0"/>
  </r>
  <r>
    <n v="66377806"/>
    <x v="14"/>
    <d v="1899-12-30T09:46:00"/>
    <d v="1899-12-30T09:50:17"/>
    <n v="0"/>
    <n v="1"/>
  </r>
  <r>
    <n v="6357818"/>
    <x v="14"/>
    <d v="1899-12-30T09:53:41"/>
    <d v="1899-12-30T09:59:44"/>
    <n v="1"/>
    <n v="0"/>
  </r>
  <r>
    <n v="7123731"/>
    <x v="14"/>
    <d v="1899-12-30T09:57:31"/>
    <d v="1899-12-30T09:59:38"/>
    <n v="1"/>
    <n v="0"/>
  </r>
  <r>
    <n v="91907883"/>
    <x v="14"/>
    <d v="1899-12-30T10:05:35"/>
    <d v="1899-12-30T10:15:11"/>
    <n v="0"/>
    <n v="1"/>
  </r>
  <r>
    <n v="69734527"/>
    <x v="14"/>
    <d v="1899-12-30T10:06:01"/>
    <d v="1899-12-30T10:21:37"/>
    <n v="0"/>
    <n v="1"/>
  </r>
  <r>
    <n v="7536096"/>
    <x v="14"/>
    <d v="1899-12-30T10:09:57"/>
    <d v="1899-12-30T10:22:28"/>
    <n v="1"/>
    <n v="0"/>
  </r>
  <r>
    <n v="60158843"/>
    <x v="14"/>
    <d v="1899-12-30T10:16:32"/>
    <d v="1899-12-30T10:30:30"/>
    <n v="0"/>
    <n v="1"/>
  </r>
  <r>
    <n v="6942059"/>
    <x v="14"/>
    <d v="1899-12-30T10:19:14"/>
    <d v="1899-12-30T10:19:38"/>
    <n v="1"/>
    <n v="0"/>
  </r>
  <r>
    <n v="28282891"/>
    <x v="14"/>
    <d v="1899-12-30T10:20:17"/>
    <d v="1899-12-30T10:35:27"/>
    <n v="0"/>
    <n v="1"/>
  </r>
  <r>
    <n v="1617146"/>
    <x v="14"/>
    <d v="1899-12-30T10:24:58"/>
    <d v="1899-12-30T10:34:12"/>
    <n v="1"/>
    <n v="0"/>
  </r>
  <r>
    <n v="2186880"/>
    <x v="14"/>
    <d v="1899-12-30T10:27:35"/>
    <d v="1899-12-30T10:41:32"/>
    <n v="1"/>
    <n v="0"/>
  </r>
  <r>
    <n v="92461001"/>
    <x v="14"/>
    <d v="1899-12-30T10:29:43"/>
    <d v="1899-12-30T10:46:07"/>
    <n v="0"/>
    <n v="1"/>
  </r>
  <r>
    <n v="4657345"/>
    <x v="14"/>
    <d v="1899-12-30T10:37:48"/>
    <d v="1899-12-30T10:51:42"/>
    <n v="1"/>
    <n v="0"/>
  </r>
  <r>
    <n v="16775888"/>
    <x v="14"/>
    <d v="1899-12-30T10:44:52"/>
    <d v="1899-12-30T10:55:54"/>
    <n v="0"/>
    <n v="1"/>
  </r>
  <r>
    <n v="97953696"/>
    <x v="14"/>
    <d v="1899-12-30T10:50:42"/>
    <d v="1899-12-30T11:01:20"/>
    <n v="0"/>
    <n v="1"/>
  </r>
  <r>
    <n v="1166111"/>
    <x v="14"/>
    <d v="1899-12-30T10:54:36"/>
    <d v="1899-12-30T11:06:39"/>
    <n v="1"/>
    <n v="0"/>
  </r>
  <r>
    <n v="91907883"/>
    <x v="14"/>
    <d v="1899-12-30T10:57:56"/>
    <d v="1899-12-30T10:58:44"/>
    <n v="0"/>
    <n v="1"/>
  </r>
  <r>
    <n v="9225043"/>
    <x v="14"/>
    <d v="1899-12-30T11:04:11"/>
    <d v="1899-12-30T11:06:31"/>
    <n v="1"/>
    <n v="0"/>
  </r>
  <r>
    <n v="6408952"/>
    <x v="14"/>
    <d v="1899-12-30T11:10:22"/>
    <d v="1899-12-30T11:20:11"/>
    <n v="1"/>
    <n v="0"/>
  </r>
  <r>
    <n v="81010250"/>
    <x v="14"/>
    <d v="1899-12-30T11:17:53"/>
    <d v="1899-12-30T11:20:15"/>
    <n v="0"/>
    <n v="1"/>
  </r>
  <r>
    <n v="8596442"/>
    <x v="14"/>
    <d v="1899-12-30T11:18:19"/>
    <d v="1899-12-30T11:31:22"/>
    <n v="1"/>
    <n v="0"/>
  </r>
  <r>
    <n v="79890857"/>
    <x v="14"/>
    <d v="1899-12-30T11:20:55"/>
    <d v="1899-12-30T11:28:59"/>
    <n v="0"/>
    <n v="1"/>
  </r>
  <r>
    <n v="3804078"/>
    <x v="14"/>
    <d v="1899-12-30T11:21:07"/>
    <d v="1899-12-30T11:34:42"/>
    <n v="1"/>
    <n v="0"/>
  </r>
  <r>
    <n v="6312012"/>
    <x v="14"/>
    <d v="1899-12-30T11:26:51"/>
    <d v="1899-12-30T11:40:58"/>
    <n v="1"/>
    <n v="0"/>
  </r>
  <r>
    <n v="7322741"/>
    <x v="14"/>
    <d v="1899-12-30T11:28:48"/>
    <d v="1899-12-30T11:45:27"/>
    <n v="1"/>
    <n v="0"/>
  </r>
  <r>
    <n v="2354992"/>
    <x v="14"/>
    <d v="1899-12-30T11:35:19"/>
    <d v="1899-12-30T11:35:27"/>
    <n v="1"/>
    <n v="0"/>
  </r>
  <r>
    <n v="1766133"/>
    <x v="14"/>
    <d v="1899-12-30T11:37:32"/>
    <d v="1899-12-30T11:42:31"/>
    <n v="1"/>
    <n v="0"/>
  </r>
  <r>
    <n v="2922327"/>
    <x v="14"/>
    <d v="1899-12-30T11:41:09"/>
    <d v="1899-12-30T11:55:11"/>
    <n v="1"/>
    <n v="0"/>
  </r>
  <r>
    <n v="8679036"/>
    <x v="14"/>
    <d v="1899-12-30T11:49:05"/>
    <d v="1899-12-30T11:51:06"/>
    <n v="1"/>
    <n v="0"/>
  </r>
  <r>
    <n v="1469705"/>
    <x v="14"/>
    <d v="1899-12-30T11:50:19"/>
    <d v="1899-12-30T12:05:04"/>
    <n v="1"/>
    <n v="0"/>
  </r>
  <r>
    <n v="8079505"/>
    <x v="14"/>
    <d v="1899-12-30T11:57:17"/>
    <d v="1899-12-30T12:09:24"/>
    <n v="1"/>
    <n v="0"/>
  </r>
  <r>
    <n v="4661635"/>
    <x v="14"/>
    <d v="1899-12-30T12:00:14"/>
    <d v="1899-12-30T12:07:18"/>
    <n v="1"/>
    <n v="0"/>
  </r>
  <r>
    <n v="4497624"/>
    <x v="14"/>
    <d v="1899-12-30T12:04:06"/>
    <d v="1899-12-30T12:20:38"/>
    <n v="1"/>
    <n v="0"/>
  </r>
  <r>
    <n v="52468382"/>
    <x v="14"/>
    <d v="1899-12-30T12:12:06"/>
    <d v="1899-12-30T12:13:57"/>
    <n v="0"/>
    <n v="1"/>
  </r>
  <r>
    <n v="5687077"/>
    <x v="14"/>
    <d v="1899-12-30T12:17:17"/>
    <d v="1899-12-30T12:32:27"/>
    <n v="1"/>
    <n v="0"/>
  </r>
  <r>
    <n v="3914070"/>
    <x v="14"/>
    <d v="1899-12-30T12:18:00"/>
    <d v="1899-12-30T12:20:14"/>
    <n v="1"/>
    <n v="0"/>
  </r>
  <r>
    <n v="84684423"/>
    <x v="14"/>
    <d v="1899-12-30T12:21:54"/>
    <d v="1899-12-30T12:27:38"/>
    <n v="0"/>
    <n v="1"/>
  </r>
  <r>
    <n v="6493406"/>
    <x v="14"/>
    <d v="1899-12-30T12:27:53"/>
    <d v="1899-12-30T12:36:51"/>
    <n v="1"/>
    <n v="0"/>
  </r>
  <r>
    <n v="1563816"/>
    <x v="14"/>
    <d v="1899-12-30T12:32:18"/>
    <d v="1899-12-30T12:38:37"/>
    <n v="1"/>
    <n v="0"/>
  </r>
  <r>
    <n v="7779935"/>
    <x v="14"/>
    <d v="1899-12-30T12:35:34"/>
    <d v="1899-12-30T12:46:21"/>
    <n v="1"/>
    <n v="0"/>
  </r>
  <r>
    <n v="4429479"/>
    <x v="14"/>
    <d v="1899-12-30T12:39:36"/>
    <d v="1899-12-30T12:43:42"/>
    <n v="1"/>
    <n v="0"/>
  </r>
  <r>
    <n v="2963652"/>
    <x v="14"/>
    <d v="1899-12-30T12:46:40"/>
    <d v="1899-12-30T12:54:31"/>
    <n v="1"/>
    <n v="0"/>
  </r>
  <r>
    <n v="91032395"/>
    <x v="14"/>
    <d v="1899-12-30T12:54:53"/>
    <d v="1899-12-30T13:02:52"/>
    <n v="0"/>
    <n v="1"/>
  </r>
  <r>
    <n v="6999348"/>
    <x v="14"/>
    <d v="1899-12-30T12:55:10"/>
    <d v="1899-12-30T12:57:35"/>
    <n v="1"/>
    <n v="0"/>
  </r>
  <r>
    <n v="4424322"/>
    <x v="14"/>
    <d v="1899-12-30T13:00:58"/>
    <d v="1899-12-30T13:14:08"/>
    <n v="1"/>
    <n v="0"/>
  </r>
  <r>
    <n v="9500083"/>
    <x v="14"/>
    <d v="1899-12-30T13:06:42"/>
    <d v="1899-12-30T13:21:24"/>
    <n v="1"/>
    <n v="0"/>
  </r>
  <r>
    <n v="2912297"/>
    <x v="14"/>
    <d v="1899-12-30T13:08:34"/>
    <d v="1899-12-30T13:18:23"/>
    <n v="1"/>
    <n v="0"/>
  </r>
  <r>
    <n v="4303945"/>
    <x v="14"/>
    <d v="1899-12-30T13:11:20"/>
    <d v="1899-12-30T13:23:17"/>
    <n v="1"/>
    <n v="0"/>
  </r>
  <r>
    <n v="3264546470"/>
    <x v="14"/>
    <d v="1899-12-30T13:16:29"/>
    <d v="1899-12-30T13:18:46"/>
    <n v="0"/>
    <n v="0"/>
  </r>
  <r>
    <n v="7275091"/>
    <x v="14"/>
    <d v="1899-12-30T13:21:24"/>
    <d v="1899-12-30T13:35:52"/>
    <n v="1"/>
    <n v="0"/>
  </r>
  <r>
    <n v="9021766"/>
    <x v="14"/>
    <d v="1899-12-30T13:22:48"/>
    <d v="1899-12-30T13:32:26"/>
    <n v="1"/>
    <n v="0"/>
  </r>
  <r>
    <n v="1500342"/>
    <x v="14"/>
    <d v="1899-12-30T13:30:41"/>
    <d v="1899-12-30T13:37:14"/>
    <n v="1"/>
    <n v="0"/>
  </r>
  <r>
    <n v="7295667"/>
    <x v="14"/>
    <d v="1899-12-30T13:34:44"/>
    <d v="1899-12-30T13:48:16"/>
    <n v="1"/>
    <n v="0"/>
  </r>
  <r>
    <n v="5512237"/>
    <x v="14"/>
    <d v="1899-12-30T13:42:47"/>
    <d v="1899-12-30T13:56:45"/>
    <n v="1"/>
    <n v="0"/>
  </r>
  <r>
    <n v="22266436"/>
    <x v="14"/>
    <d v="1899-12-30T13:48:43"/>
    <d v="1899-12-30T13:54:08"/>
    <n v="0"/>
    <n v="1"/>
  </r>
  <r>
    <n v="60885211"/>
    <x v="14"/>
    <d v="1899-12-30T13:52:44"/>
    <d v="1899-12-30T14:08:45"/>
    <n v="0"/>
    <n v="1"/>
  </r>
  <r>
    <n v="4379415"/>
    <x v="14"/>
    <d v="1899-12-30T13:54:58"/>
    <d v="1899-12-30T14:06:06"/>
    <n v="1"/>
    <n v="0"/>
  </r>
  <r>
    <n v="22747425"/>
    <x v="14"/>
    <d v="1899-12-30T14:02:42"/>
    <d v="1899-12-30T14:18:55"/>
    <n v="0"/>
    <n v="1"/>
  </r>
  <r>
    <n v="3858766"/>
    <x v="14"/>
    <d v="1899-12-30T14:09:59"/>
    <d v="1899-12-30T14:19:00"/>
    <n v="1"/>
    <n v="0"/>
  </r>
  <r>
    <n v="6231537"/>
    <x v="14"/>
    <d v="1899-12-30T14:15:23"/>
    <d v="1899-12-30T14:24:11"/>
    <n v="1"/>
    <n v="0"/>
  </r>
  <r>
    <n v="1296262"/>
    <x v="14"/>
    <d v="1899-12-30T14:19:52"/>
    <d v="1899-12-30T14:27:47"/>
    <n v="1"/>
    <n v="0"/>
  </r>
  <r>
    <n v="6175467"/>
    <x v="14"/>
    <d v="1899-12-30T14:26:40"/>
    <d v="1899-12-30T14:38:43"/>
    <n v="1"/>
    <n v="0"/>
  </r>
  <r>
    <n v="6434255"/>
    <x v="14"/>
    <d v="1899-12-30T14:26:50"/>
    <d v="1899-12-30T14:29:08"/>
    <n v="1"/>
    <n v="0"/>
  </r>
  <r>
    <n v="2723614"/>
    <x v="14"/>
    <d v="1899-12-30T14:30:42"/>
    <d v="1899-12-30T14:36:46"/>
    <n v="1"/>
    <n v="0"/>
  </r>
  <r>
    <n v="92326393"/>
    <x v="14"/>
    <d v="1899-12-30T14:35:16"/>
    <d v="1899-12-30T14:43:10"/>
    <n v="0"/>
    <n v="1"/>
  </r>
  <r>
    <n v="5039266"/>
    <x v="14"/>
    <d v="1899-12-30T14:41:33"/>
    <d v="1899-12-30T14:50:10"/>
    <n v="1"/>
    <n v="0"/>
  </r>
  <r>
    <n v="3861280"/>
    <x v="14"/>
    <d v="1899-12-30T14:45:15"/>
    <d v="1899-12-30T14:58:51"/>
    <n v="1"/>
    <n v="0"/>
  </r>
  <r>
    <n v="3982833"/>
    <x v="14"/>
    <d v="1899-12-30T14:48:21"/>
    <d v="1899-12-30T14:56:59"/>
    <n v="1"/>
    <n v="0"/>
  </r>
  <r>
    <n v="5835972"/>
    <x v="14"/>
    <d v="1899-12-30T14:53:47"/>
    <d v="1899-12-30T14:57:00"/>
    <n v="1"/>
    <n v="0"/>
  </r>
  <r>
    <n v="98382147"/>
    <x v="14"/>
    <d v="1899-12-30T14:59:47"/>
    <d v="1899-12-30T15:05:01"/>
    <n v="0"/>
    <n v="1"/>
  </r>
  <r>
    <n v="9427353"/>
    <x v="14"/>
    <d v="1899-12-30T15:01:37"/>
    <d v="1899-12-30T15:04:50"/>
    <n v="1"/>
    <n v="0"/>
  </r>
  <r>
    <n v="11274735"/>
    <x v="15"/>
    <d v="1899-12-30T08:04:12"/>
    <d v="1899-12-30T08:19:15"/>
    <n v="0"/>
    <n v="1"/>
  </r>
  <r>
    <n v="9727873"/>
    <x v="15"/>
    <d v="1899-12-30T08:05:41"/>
    <d v="1899-12-30T08:13:48"/>
    <n v="1"/>
    <n v="0"/>
  </r>
  <r>
    <n v="4804872"/>
    <x v="15"/>
    <d v="1899-12-30T08:09:59"/>
    <d v="1899-12-30T08:13:12"/>
    <n v="1"/>
    <n v="0"/>
  </r>
  <r>
    <n v="22583033"/>
    <x v="15"/>
    <d v="1899-12-30T08:16:44"/>
    <d v="1899-12-30T08:19:22"/>
    <n v="0"/>
    <n v="1"/>
  </r>
  <r>
    <n v="4056070"/>
    <x v="15"/>
    <d v="1899-12-30T08:21:14"/>
    <d v="1899-12-30T08:29:57"/>
    <n v="1"/>
    <n v="0"/>
  </r>
  <r>
    <n v="2701816"/>
    <x v="15"/>
    <d v="1899-12-30T08:22:16"/>
    <d v="1899-12-30T08:34:04"/>
    <n v="1"/>
    <n v="0"/>
  </r>
  <r>
    <n v="20735440"/>
    <x v="15"/>
    <d v="1899-12-30T08:24:36"/>
    <d v="1899-12-30T08:36:01"/>
    <n v="0"/>
    <n v="1"/>
  </r>
  <r>
    <n v="9076015"/>
    <x v="15"/>
    <d v="1899-12-30T08:25:52"/>
    <d v="1899-12-30T08:33:01"/>
    <n v="1"/>
    <n v="0"/>
  </r>
  <r>
    <n v="11070759"/>
    <x v="15"/>
    <d v="1899-12-30T08:33:25"/>
    <d v="1899-12-30T08:36:27"/>
    <n v="0"/>
    <n v="1"/>
  </r>
  <r>
    <n v="22176115"/>
    <x v="15"/>
    <d v="1899-12-30T08:38:17"/>
    <d v="1899-12-30T08:51:05"/>
    <n v="0"/>
    <n v="1"/>
  </r>
  <r>
    <n v="7456918"/>
    <x v="15"/>
    <d v="1899-12-30T08:39:17"/>
    <d v="1899-12-30T08:48:01"/>
    <n v="1"/>
    <n v="0"/>
  </r>
  <r>
    <n v="6896787"/>
    <x v="15"/>
    <d v="1899-12-30T08:41:54"/>
    <d v="1899-12-30T08:52:42"/>
    <n v="1"/>
    <n v="0"/>
  </r>
  <r>
    <n v="6561564994"/>
    <x v="15"/>
    <d v="1899-12-30T08:43:13"/>
    <d v="1899-12-30T08:52:21"/>
    <n v="0"/>
    <n v="0"/>
  </r>
  <r>
    <n v="8414788"/>
    <x v="15"/>
    <d v="1899-12-30T08:51:11"/>
    <d v="1899-12-30T08:59:11"/>
    <n v="1"/>
    <n v="0"/>
  </r>
  <r>
    <n v="7896629"/>
    <x v="15"/>
    <d v="1899-12-30T08:53:10"/>
    <d v="1899-12-30T09:05:08"/>
    <n v="1"/>
    <n v="0"/>
  </r>
  <r>
    <n v="5970183"/>
    <x v="15"/>
    <d v="1899-12-30T08:54:58"/>
    <d v="1899-12-30T08:56:21"/>
    <n v="1"/>
    <n v="0"/>
  </r>
  <r>
    <n v="57891628"/>
    <x v="15"/>
    <d v="1899-12-30T08:57:04"/>
    <d v="1899-12-30T09:13:09"/>
    <n v="0"/>
    <n v="1"/>
  </r>
  <r>
    <n v="53378457"/>
    <x v="15"/>
    <d v="1899-12-30T09:03:56"/>
    <d v="1899-12-30T09:17:00"/>
    <n v="0"/>
    <n v="1"/>
  </r>
  <r>
    <n v="88666908"/>
    <x v="15"/>
    <d v="1899-12-30T09:06:58"/>
    <d v="1899-12-30T09:20:35"/>
    <n v="0"/>
    <n v="1"/>
  </r>
  <r>
    <n v="9279730"/>
    <x v="15"/>
    <d v="1899-12-30T09:07:52"/>
    <d v="1899-12-30T09:19:15"/>
    <n v="1"/>
    <n v="0"/>
  </r>
  <r>
    <n v="2928766"/>
    <x v="15"/>
    <d v="1899-12-30T09:09:27"/>
    <d v="1899-12-30T09:20:39"/>
    <n v="1"/>
    <n v="0"/>
  </r>
  <r>
    <n v="4334364"/>
    <x v="15"/>
    <d v="1899-12-30T09:12:40"/>
    <d v="1899-12-30T09:27:09"/>
    <n v="1"/>
    <n v="0"/>
  </r>
  <r>
    <n v="8405292"/>
    <x v="15"/>
    <d v="1899-12-30T09:16:21"/>
    <d v="1899-12-30T09:27:03"/>
    <n v="1"/>
    <n v="0"/>
  </r>
  <r>
    <n v="9870841"/>
    <x v="15"/>
    <d v="1899-12-30T09:24:37"/>
    <d v="1899-12-30T09:31:17"/>
    <n v="1"/>
    <n v="0"/>
  </r>
  <r>
    <n v="9722484"/>
    <x v="15"/>
    <d v="1899-12-30T09:27:07"/>
    <d v="1899-12-30T09:30:41"/>
    <n v="1"/>
    <n v="0"/>
  </r>
  <r>
    <n v="1159432"/>
    <x v="15"/>
    <d v="1899-12-30T09:27:14"/>
    <d v="1899-12-30T09:28:29"/>
    <n v="1"/>
    <n v="0"/>
  </r>
  <r>
    <n v="25194612"/>
    <x v="15"/>
    <d v="1899-12-30T09:29:02"/>
    <d v="1899-12-30T09:44:21"/>
    <n v="0"/>
    <n v="1"/>
  </r>
  <r>
    <n v="1117628"/>
    <x v="15"/>
    <d v="1899-12-30T09:30:27"/>
    <d v="1899-12-30T09:35:40"/>
    <n v="1"/>
    <n v="0"/>
  </r>
  <r>
    <n v="3624713"/>
    <x v="15"/>
    <d v="1899-12-30T09:34:03"/>
    <d v="1899-12-30T09:42:21"/>
    <n v="1"/>
    <n v="0"/>
  </r>
  <r>
    <n v="5616210"/>
    <x v="15"/>
    <d v="1899-12-30T09:35:22"/>
    <d v="1899-12-30T09:47:34"/>
    <n v="1"/>
    <n v="0"/>
  </r>
  <r>
    <n v="6772052"/>
    <x v="15"/>
    <d v="1899-12-30T09:39:48"/>
    <d v="1899-12-30T09:47:53"/>
    <n v="1"/>
    <n v="0"/>
  </r>
  <r>
    <n v="3305212"/>
    <x v="15"/>
    <d v="1899-12-30T09:45:14"/>
    <d v="1899-12-30T09:53:06"/>
    <n v="1"/>
    <n v="0"/>
  </r>
  <r>
    <n v="72701808"/>
    <x v="15"/>
    <d v="1899-12-30T09:49:24"/>
    <d v="1899-12-30T10:04:21"/>
    <n v="0"/>
    <n v="1"/>
  </r>
  <r>
    <n v="4285095"/>
    <x v="15"/>
    <d v="1899-12-30T09:55:28"/>
    <d v="1899-12-30T10:01:47"/>
    <n v="1"/>
    <n v="0"/>
  </r>
  <r>
    <n v="2585298"/>
    <x v="15"/>
    <d v="1899-12-30T10:02:41"/>
    <d v="1899-12-30T10:08:26"/>
    <n v="1"/>
    <n v="0"/>
  </r>
  <r>
    <n v="2947035"/>
    <x v="15"/>
    <d v="1899-12-30T10:08:17"/>
    <d v="1899-12-30T10:17:14"/>
    <n v="1"/>
    <n v="0"/>
  </r>
  <r>
    <n v="6615729"/>
    <x v="15"/>
    <d v="1899-12-30T10:12:53"/>
    <d v="1899-12-30T10:16:19"/>
    <n v="1"/>
    <n v="0"/>
  </r>
  <r>
    <n v="2135609"/>
    <x v="15"/>
    <d v="1899-12-30T10:12:55"/>
    <d v="1899-12-30T10:14:27"/>
    <n v="1"/>
    <n v="0"/>
  </r>
  <r>
    <n v="2697566"/>
    <x v="15"/>
    <d v="1899-12-30T10:18:30"/>
    <d v="1899-12-30T10:34:27"/>
    <n v="1"/>
    <n v="0"/>
  </r>
  <r>
    <n v="2569721"/>
    <x v="15"/>
    <d v="1899-12-30T10:21:07"/>
    <d v="1899-12-30T10:30:11"/>
    <n v="1"/>
    <n v="0"/>
  </r>
  <r>
    <n v="96375379"/>
    <x v="15"/>
    <d v="1899-12-30T10:28:23"/>
    <d v="1899-12-30T10:41:11"/>
    <n v="0"/>
    <n v="1"/>
  </r>
  <r>
    <n v="3968528766"/>
    <x v="15"/>
    <d v="1899-12-30T10:34:46"/>
    <d v="1899-12-30T10:44:39"/>
    <n v="0"/>
    <n v="0"/>
  </r>
  <r>
    <n v="8133585"/>
    <x v="15"/>
    <d v="1899-12-30T10:36:16"/>
    <d v="1899-12-30T10:42:44"/>
    <n v="1"/>
    <n v="0"/>
  </r>
  <r>
    <n v="45232967"/>
    <x v="15"/>
    <d v="1899-12-30T10:42:40"/>
    <d v="1899-12-30T10:44:27"/>
    <n v="0"/>
    <n v="1"/>
  </r>
  <r>
    <n v="8900603"/>
    <x v="15"/>
    <d v="1899-12-30T10:43:24"/>
    <d v="1899-12-30T10:55:28"/>
    <n v="1"/>
    <n v="0"/>
  </r>
  <r>
    <n v="9413315"/>
    <x v="15"/>
    <d v="1899-12-30T10:46:36"/>
    <d v="1899-12-30T11:02:11"/>
    <n v="1"/>
    <n v="0"/>
  </r>
  <r>
    <n v="9781981"/>
    <x v="15"/>
    <d v="1899-12-30T10:53:39"/>
    <d v="1899-12-30T10:59:49"/>
    <n v="1"/>
    <n v="0"/>
  </r>
  <r>
    <n v="9527543"/>
    <x v="15"/>
    <d v="1899-12-30T10:54:56"/>
    <d v="1899-12-30T11:00:26"/>
    <n v="1"/>
    <n v="0"/>
  </r>
  <r>
    <n v="91626903"/>
    <x v="15"/>
    <d v="1899-12-30T11:01:24"/>
    <d v="1899-12-30T11:15:09"/>
    <n v="0"/>
    <n v="1"/>
  </r>
  <r>
    <n v="1475008"/>
    <x v="15"/>
    <d v="1899-12-30T11:09:27"/>
    <d v="1899-12-30T11:24:26"/>
    <n v="1"/>
    <n v="0"/>
  </r>
  <r>
    <n v="4767842"/>
    <x v="15"/>
    <d v="1899-12-30T11:16:23"/>
    <d v="1899-12-30T11:18:29"/>
    <n v="1"/>
    <n v="0"/>
  </r>
  <r>
    <n v="64586869"/>
    <x v="15"/>
    <d v="1899-12-30T11:19:31"/>
    <d v="1899-12-30T11:20:33"/>
    <n v="0"/>
    <n v="1"/>
  </r>
  <r>
    <n v="7066389"/>
    <x v="15"/>
    <d v="1899-12-30T11:25:18"/>
    <d v="1899-12-30T11:25:45"/>
    <n v="1"/>
    <n v="0"/>
  </r>
  <r>
    <n v="28791070"/>
    <x v="15"/>
    <d v="1899-12-30T11:32:23"/>
    <d v="1899-12-30T11:47:33"/>
    <n v="0"/>
    <n v="1"/>
  </r>
  <r>
    <n v="5094248"/>
    <x v="15"/>
    <d v="1899-12-30T11:36:22"/>
    <d v="1899-12-30T11:45:06"/>
    <n v="1"/>
    <n v="0"/>
  </r>
  <r>
    <n v="44882393"/>
    <x v="15"/>
    <d v="1899-12-30T11:40:47"/>
    <d v="1899-12-30T11:53:13"/>
    <n v="0"/>
    <n v="1"/>
  </r>
  <r>
    <n v="29391132"/>
    <x v="15"/>
    <d v="1899-12-30T11:42:18"/>
    <d v="1899-12-30T11:54:26"/>
    <n v="0"/>
    <n v="1"/>
  </r>
  <r>
    <n v="9892639"/>
    <x v="15"/>
    <d v="1899-12-30T11:43:15"/>
    <d v="1899-12-30T11:44:04"/>
    <n v="1"/>
    <n v="0"/>
  </r>
  <r>
    <n v="3979295"/>
    <x v="15"/>
    <d v="1899-12-30T11:46:30"/>
    <d v="1899-12-30T11:56:39"/>
    <n v="1"/>
    <n v="0"/>
  </r>
  <r>
    <n v="8471219"/>
    <x v="15"/>
    <d v="1899-12-30T11:48:54"/>
    <d v="1899-12-30T11:53:35"/>
    <n v="1"/>
    <n v="0"/>
  </r>
  <r>
    <n v="5631380"/>
    <x v="15"/>
    <d v="1899-12-30T11:49:33"/>
    <d v="1899-12-30T12:04:33"/>
    <n v="1"/>
    <n v="0"/>
  </r>
  <r>
    <n v="6309138"/>
    <x v="15"/>
    <d v="1899-12-30T11:51:36"/>
    <d v="1899-12-30T11:52:18"/>
    <n v="1"/>
    <n v="0"/>
  </r>
  <r>
    <n v="72287838"/>
    <x v="15"/>
    <d v="1899-12-30T11:54:43"/>
    <d v="1899-12-30T12:03:01"/>
    <n v="0"/>
    <n v="1"/>
  </r>
  <r>
    <n v="2515441"/>
    <x v="15"/>
    <d v="1899-12-30T11:57:57"/>
    <d v="1899-12-30T12:02:49"/>
    <n v="1"/>
    <n v="0"/>
  </r>
  <r>
    <n v="8056387"/>
    <x v="15"/>
    <d v="1899-12-30T12:04:25"/>
    <d v="1899-12-30T12:19:12"/>
    <n v="1"/>
    <n v="0"/>
  </r>
  <r>
    <n v="5489867"/>
    <x v="15"/>
    <d v="1899-12-30T12:08:24"/>
    <d v="1899-12-30T12:20:16"/>
    <n v="1"/>
    <n v="0"/>
  </r>
  <r>
    <n v="5528648"/>
    <x v="15"/>
    <d v="1899-12-30T12:08:48"/>
    <d v="1899-12-30T12:19:30"/>
    <n v="1"/>
    <n v="0"/>
  </r>
  <r>
    <n v="4293872"/>
    <x v="15"/>
    <d v="1899-12-30T12:10:17"/>
    <d v="1899-12-30T12:17:45"/>
    <n v="1"/>
    <n v="0"/>
  </r>
  <r>
    <n v="99625946"/>
    <x v="15"/>
    <d v="1899-12-30T12:18:18"/>
    <d v="1899-12-30T12:34:40"/>
    <n v="0"/>
    <n v="1"/>
  </r>
  <r>
    <n v="9827875"/>
    <x v="15"/>
    <d v="1899-12-30T12:21:47"/>
    <d v="1899-12-30T12:28:09"/>
    <n v="1"/>
    <n v="0"/>
  </r>
  <r>
    <n v="40120881"/>
    <x v="15"/>
    <d v="1899-12-30T12:25:09"/>
    <d v="1899-12-30T12:38:41"/>
    <n v="0"/>
    <n v="1"/>
  </r>
  <r>
    <n v="42373338"/>
    <x v="15"/>
    <d v="1899-12-30T12:28:16"/>
    <d v="1899-12-30T12:43:38"/>
    <n v="0"/>
    <n v="1"/>
  </r>
  <r>
    <n v="39697250"/>
    <x v="15"/>
    <d v="1899-12-30T12:36:18"/>
    <d v="1899-12-30T12:41:17"/>
    <n v="0"/>
    <n v="1"/>
  </r>
  <r>
    <n v="55464931"/>
    <x v="15"/>
    <d v="1899-12-30T12:41:04"/>
    <d v="1899-12-30T12:48:14"/>
    <n v="0"/>
    <n v="1"/>
  </r>
  <r>
    <n v="3616291"/>
    <x v="15"/>
    <d v="1899-12-30T12:49:01"/>
    <d v="1899-12-30T13:05:21"/>
    <n v="1"/>
    <n v="0"/>
  </r>
  <r>
    <n v="3473734"/>
    <x v="15"/>
    <d v="1899-12-30T12:56:52"/>
    <d v="1899-12-30T13:09:46"/>
    <n v="1"/>
    <n v="0"/>
  </r>
  <r>
    <n v="63492662"/>
    <x v="15"/>
    <d v="1899-12-30T12:58:28"/>
    <d v="1899-12-30T13:01:04"/>
    <n v="0"/>
    <n v="1"/>
  </r>
  <r>
    <n v="2104331"/>
    <x v="15"/>
    <d v="1899-12-30T13:03:31"/>
    <d v="1899-12-30T13:14:59"/>
    <n v="1"/>
    <n v="0"/>
  </r>
  <r>
    <n v="9555643"/>
    <x v="15"/>
    <d v="1899-12-30T13:04:29"/>
    <d v="1899-12-30T13:13:32"/>
    <n v="1"/>
    <n v="0"/>
  </r>
  <r>
    <n v="5220235"/>
    <x v="15"/>
    <d v="1899-12-30T13:08:17"/>
    <d v="1899-12-30T13:10:47"/>
    <n v="1"/>
    <n v="0"/>
  </r>
  <r>
    <n v="26254490"/>
    <x v="15"/>
    <d v="1899-12-30T13:08:44"/>
    <d v="1899-12-30T13:13:04"/>
    <n v="0"/>
    <n v="1"/>
  </r>
  <r>
    <n v="26463662"/>
    <x v="15"/>
    <d v="1899-12-30T13:14:13"/>
    <d v="1899-12-30T13:27:42"/>
    <n v="0"/>
    <n v="1"/>
  </r>
  <r>
    <n v="2853860"/>
    <x v="15"/>
    <d v="1899-12-30T13:19:05"/>
    <d v="1899-12-30T13:23:20"/>
    <n v="1"/>
    <n v="0"/>
  </r>
  <r>
    <n v="1829028"/>
    <x v="15"/>
    <d v="1899-12-30T13:26:49"/>
    <d v="1899-12-30T13:42:39"/>
    <n v="1"/>
    <n v="0"/>
  </r>
  <r>
    <n v="1365581"/>
    <x v="15"/>
    <d v="1899-12-30T13:29:14"/>
    <d v="1899-12-30T13:41:05"/>
    <n v="1"/>
    <n v="0"/>
  </r>
  <r>
    <n v="66800387"/>
    <x v="15"/>
    <d v="1899-12-30T13:31:25"/>
    <d v="1899-12-30T13:37:24"/>
    <n v="0"/>
    <n v="1"/>
  </r>
  <r>
    <n v="9282666"/>
    <x v="15"/>
    <d v="1899-12-30T13:39:04"/>
    <d v="1899-12-30T13:39:51"/>
    <n v="1"/>
    <n v="0"/>
  </r>
  <r>
    <n v="7994769"/>
    <x v="15"/>
    <d v="1899-12-30T13:40:31"/>
    <d v="1899-12-30T13:52:42"/>
    <n v="1"/>
    <n v="0"/>
  </r>
  <r>
    <n v="3638038"/>
    <x v="15"/>
    <d v="1899-12-30T13:44:35"/>
    <d v="1899-12-30T13:52:59"/>
    <n v="1"/>
    <n v="0"/>
  </r>
  <r>
    <n v="5221005"/>
    <x v="15"/>
    <d v="1899-12-30T13:45:26"/>
    <d v="1899-12-30T13:47:27"/>
    <n v="1"/>
    <n v="0"/>
  </r>
  <r>
    <n v="3150344"/>
    <x v="15"/>
    <d v="1899-12-30T13:45:27"/>
    <d v="1899-12-30T13:56:29"/>
    <n v="1"/>
    <n v="0"/>
  </r>
  <r>
    <n v="2780765"/>
    <x v="15"/>
    <d v="1899-12-30T13:49:11"/>
    <d v="1899-12-30T13:50:47"/>
    <n v="1"/>
    <n v="0"/>
  </r>
  <r>
    <n v="3720500"/>
    <x v="15"/>
    <d v="1899-12-30T13:50:19"/>
    <d v="1899-12-30T13:58:48"/>
    <n v="1"/>
    <n v="0"/>
  </r>
  <r>
    <n v="89419064"/>
    <x v="15"/>
    <d v="1899-12-30T13:53:03"/>
    <d v="1899-12-30T14:01:46"/>
    <n v="0"/>
    <n v="1"/>
  </r>
  <r>
    <n v="9961121"/>
    <x v="15"/>
    <d v="1899-12-30T13:59:35"/>
    <d v="1899-12-30T14:02:40"/>
    <n v="1"/>
    <n v="0"/>
  </r>
  <r>
    <n v="5303411"/>
    <x v="15"/>
    <d v="1899-12-30T14:04:36"/>
    <d v="1899-12-30T14:12:10"/>
    <n v="1"/>
    <n v="0"/>
  </r>
  <r>
    <n v="4657345"/>
    <x v="15"/>
    <d v="1899-12-30T14:09:20"/>
    <d v="1899-12-30T14:10:08"/>
    <n v="1"/>
    <n v="0"/>
  </r>
  <r>
    <n v="5850216"/>
    <x v="15"/>
    <d v="1899-12-30T14:14:17"/>
    <d v="1899-12-30T14:22:05"/>
    <n v="1"/>
    <n v="0"/>
  </r>
  <r>
    <n v="4927402"/>
    <x v="15"/>
    <d v="1899-12-30T14:14:40"/>
    <d v="1899-12-30T14:26:21"/>
    <n v="1"/>
    <n v="0"/>
  </r>
  <r>
    <n v="60113139"/>
    <x v="15"/>
    <d v="1899-12-30T14:19:09"/>
    <d v="1899-12-30T14:29:11"/>
    <n v="0"/>
    <n v="1"/>
  </r>
  <r>
    <n v="2644526"/>
    <x v="15"/>
    <d v="1899-12-30T14:22:03"/>
    <d v="1899-12-30T14:32:09"/>
    <n v="1"/>
    <n v="0"/>
  </r>
  <r>
    <n v="7226610"/>
    <x v="15"/>
    <d v="1899-12-30T14:24:50"/>
    <d v="1899-12-30T14:39:28"/>
    <n v="1"/>
    <n v="0"/>
  </r>
  <r>
    <n v="9328179"/>
    <x v="15"/>
    <d v="1899-12-30T14:27:03"/>
    <d v="1899-12-30T14:28:04"/>
    <n v="1"/>
    <n v="0"/>
  </r>
  <r>
    <n v="7457716"/>
    <x v="15"/>
    <d v="1899-12-30T14:33:53"/>
    <d v="1899-12-30T14:40:36"/>
    <n v="1"/>
    <n v="0"/>
  </r>
  <r>
    <n v="1739364"/>
    <x v="15"/>
    <d v="1899-12-30T14:39:51"/>
    <d v="1899-12-30T14:53:50"/>
    <n v="1"/>
    <n v="0"/>
  </r>
  <r>
    <n v="1677537"/>
    <x v="15"/>
    <d v="1899-12-30T14:45:11"/>
    <d v="1899-12-30T14:56:09"/>
    <n v="1"/>
    <n v="0"/>
  </r>
  <r>
    <n v="55614678"/>
    <x v="15"/>
    <d v="1899-12-30T14:50:18"/>
    <d v="1899-12-30T14:54:07"/>
    <n v="0"/>
    <n v="1"/>
  </r>
  <r>
    <n v="4272221"/>
    <x v="15"/>
    <d v="1899-12-30T14:55:00"/>
    <d v="1899-12-30T15:01:03"/>
    <n v="1"/>
    <n v="0"/>
  </r>
  <r>
    <n v="1740380"/>
    <x v="15"/>
    <d v="1899-12-30T15:01:31"/>
    <d v="1899-12-30T15:16:38"/>
    <n v="1"/>
    <n v="0"/>
  </r>
  <r>
    <n v="6005355"/>
    <x v="16"/>
    <d v="1899-12-30T08:05:07"/>
    <d v="1899-12-30T08:16:07"/>
    <n v="1"/>
    <n v="0"/>
  </r>
  <r>
    <n v="2400590"/>
    <x v="16"/>
    <d v="1899-12-30T08:11:42"/>
    <d v="1899-12-30T08:18:54"/>
    <n v="1"/>
    <n v="0"/>
  </r>
  <r>
    <n v="7918038"/>
    <x v="16"/>
    <d v="1899-12-30T08:13:37"/>
    <d v="1899-12-30T08:14:56"/>
    <n v="1"/>
    <n v="0"/>
  </r>
  <r>
    <n v="7969038"/>
    <x v="16"/>
    <d v="1899-12-30T08:18:19"/>
    <d v="1899-12-30T08:34:43"/>
    <n v="1"/>
    <n v="0"/>
  </r>
  <r>
    <n v="5833452"/>
    <x v="16"/>
    <d v="1899-12-30T08:23:51"/>
    <d v="1899-12-30T08:27:05"/>
    <n v="1"/>
    <n v="0"/>
  </r>
  <r>
    <n v="11425383"/>
    <x v="16"/>
    <d v="1899-12-30T08:27:51"/>
    <d v="1899-12-30T08:40:52"/>
    <n v="0"/>
    <n v="1"/>
  </r>
  <r>
    <n v="2900584"/>
    <x v="16"/>
    <d v="1899-12-30T08:28:50"/>
    <d v="1899-12-30T08:43:09"/>
    <n v="1"/>
    <n v="0"/>
  </r>
  <r>
    <n v="77705897"/>
    <x v="16"/>
    <d v="1899-12-30T08:32:41"/>
    <d v="1899-12-30T08:37:22"/>
    <n v="0"/>
    <n v="1"/>
  </r>
  <r>
    <n v="48497496"/>
    <x v="16"/>
    <d v="1899-12-30T08:36:42"/>
    <d v="1899-12-30T08:43:52"/>
    <n v="0"/>
    <n v="1"/>
  </r>
  <r>
    <n v="98695684"/>
    <x v="16"/>
    <d v="1899-12-30T08:43:24"/>
    <d v="1899-12-30T08:59:59"/>
    <n v="0"/>
    <n v="1"/>
  </r>
  <r>
    <n v="7712618"/>
    <x v="16"/>
    <d v="1899-12-30T08:49:32"/>
    <d v="1899-12-30T08:54:30"/>
    <n v="1"/>
    <n v="0"/>
  </r>
  <r>
    <n v="8872311"/>
    <x v="16"/>
    <d v="1899-12-30T08:50:42"/>
    <d v="1899-12-30T08:53:51"/>
    <n v="1"/>
    <n v="0"/>
  </r>
  <r>
    <n v="6056372"/>
    <x v="16"/>
    <d v="1899-12-30T08:51:48"/>
    <d v="1899-12-30T09:01:40"/>
    <n v="1"/>
    <n v="0"/>
  </r>
  <r>
    <n v="8936656"/>
    <x v="16"/>
    <d v="1899-12-30T08:56:00"/>
    <d v="1899-12-30T09:05:31"/>
    <n v="1"/>
    <n v="0"/>
  </r>
  <r>
    <n v="22966872"/>
    <x v="16"/>
    <d v="1899-12-30T08:56:48"/>
    <d v="1899-12-30T09:04:12"/>
    <n v="0"/>
    <n v="1"/>
  </r>
  <r>
    <n v="3908162"/>
    <x v="16"/>
    <d v="1899-12-30T09:04:24"/>
    <d v="1899-12-30T09:18:18"/>
    <n v="1"/>
    <n v="0"/>
  </r>
  <r>
    <n v="20485333"/>
    <x v="16"/>
    <d v="1899-12-30T09:10:31"/>
    <d v="1899-12-30T09:25:50"/>
    <n v="0"/>
    <n v="1"/>
  </r>
  <r>
    <n v="78709747"/>
    <x v="16"/>
    <d v="1899-12-30T09:16:24"/>
    <d v="1899-12-30T09:21:22"/>
    <n v="0"/>
    <n v="1"/>
  </r>
  <r>
    <n v="1859884"/>
    <x v="16"/>
    <d v="1899-12-30T09:16:50"/>
    <d v="1899-12-30T09:23:35"/>
    <n v="1"/>
    <n v="0"/>
  </r>
  <r>
    <n v="2866546"/>
    <x v="16"/>
    <d v="1899-12-30T09:22:09"/>
    <d v="1899-12-30T09:33:05"/>
    <n v="1"/>
    <n v="0"/>
  </r>
  <r>
    <n v="23715237"/>
    <x v="16"/>
    <d v="1899-12-30T09:23:48"/>
    <d v="1899-12-30T09:29:39"/>
    <n v="0"/>
    <n v="1"/>
  </r>
  <r>
    <n v="6013508"/>
    <x v="16"/>
    <d v="1899-12-30T09:24:25"/>
    <d v="1899-12-30T09:27:23"/>
    <n v="1"/>
    <n v="0"/>
  </r>
  <r>
    <n v="6175467"/>
    <x v="16"/>
    <d v="1899-12-30T09:32:27"/>
    <d v="1899-12-30T09:42:07"/>
    <n v="1"/>
    <n v="0"/>
  </r>
  <r>
    <n v="22416837"/>
    <x v="16"/>
    <d v="1899-12-30T09:34:18"/>
    <d v="1899-12-30T09:39:31"/>
    <n v="0"/>
    <n v="1"/>
  </r>
  <r>
    <n v="9065927"/>
    <x v="16"/>
    <d v="1899-12-30T09:34:50"/>
    <d v="1899-12-30T09:49:27"/>
    <n v="1"/>
    <n v="0"/>
  </r>
  <r>
    <n v="8849918"/>
    <x v="16"/>
    <d v="1899-12-30T09:39:48"/>
    <d v="1899-12-30T09:45:10"/>
    <n v="1"/>
    <n v="0"/>
  </r>
  <r>
    <n v="8250018"/>
    <x v="16"/>
    <d v="1899-12-30T09:43:57"/>
    <d v="1899-12-30T09:51:54"/>
    <n v="1"/>
    <n v="0"/>
  </r>
  <r>
    <n v="20349502"/>
    <x v="16"/>
    <d v="1899-12-30T09:50:06"/>
    <d v="1899-12-30T09:54:02"/>
    <n v="0"/>
    <n v="1"/>
  </r>
  <r>
    <n v="9894723"/>
    <x v="16"/>
    <d v="1899-12-30T09:50:14"/>
    <d v="1899-12-30T09:52:40"/>
    <n v="1"/>
    <n v="0"/>
  </r>
  <r>
    <n v="9458504"/>
    <x v="16"/>
    <d v="1899-12-30T09:51:11"/>
    <d v="1899-12-30T09:59:20"/>
    <n v="1"/>
    <n v="0"/>
  </r>
  <r>
    <n v="6741642"/>
    <x v="16"/>
    <d v="1899-12-30T09:56:52"/>
    <d v="1899-12-30T10:10:09"/>
    <n v="1"/>
    <n v="0"/>
  </r>
  <r>
    <n v="4824710"/>
    <x v="16"/>
    <d v="1899-12-30T10:04:55"/>
    <d v="1899-12-30T10:05:45"/>
    <n v="1"/>
    <n v="0"/>
  </r>
  <r>
    <n v="6465122"/>
    <x v="16"/>
    <d v="1899-12-30T10:07:31"/>
    <d v="1899-12-30T10:21:12"/>
    <n v="1"/>
    <n v="0"/>
  </r>
  <r>
    <n v="6940373"/>
    <x v="16"/>
    <d v="1899-12-30T10:15:03"/>
    <d v="1899-12-30T10:25:41"/>
    <n v="1"/>
    <n v="0"/>
  </r>
  <r>
    <n v="81613163"/>
    <x v="16"/>
    <d v="1899-12-30T10:19:16"/>
    <d v="1899-12-30T10:31:31"/>
    <n v="0"/>
    <n v="1"/>
  </r>
  <r>
    <n v="9894998"/>
    <x v="16"/>
    <d v="1899-12-30T10:25:38"/>
    <d v="1899-12-30T10:39:58"/>
    <n v="1"/>
    <n v="0"/>
  </r>
  <r>
    <n v="7663988"/>
    <x v="16"/>
    <d v="1899-12-30T10:31:56"/>
    <d v="1899-12-30T10:40:17"/>
    <n v="1"/>
    <n v="0"/>
  </r>
  <r>
    <n v="29555837"/>
    <x v="16"/>
    <d v="1899-12-30T10:36:56"/>
    <d v="1899-12-30T10:50:40"/>
    <n v="0"/>
    <n v="1"/>
  </r>
  <r>
    <n v="6890486"/>
    <x v="16"/>
    <d v="1899-12-30T10:42:10"/>
    <d v="1899-12-30T10:49:26"/>
    <n v="1"/>
    <n v="0"/>
  </r>
  <r>
    <n v="1992079"/>
    <x v="16"/>
    <d v="1899-12-30T10:48:04"/>
    <d v="1899-12-30T10:56:11"/>
    <n v="1"/>
    <n v="0"/>
  </r>
  <r>
    <n v="7599611"/>
    <x v="16"/>
    <d v="1899-12-30T10:51:08"/>
    <d v="1899-12-30T10:57:51"/>
    <n v="1"/>
    <n v="0"/>
  </r>
  <r>
    <n v="1418351"/>
    <x v="16"/>
    <d v="1899-12-30T10:53:26"/>
    <d v="1899-12-30T10:53:54"/>
    <n v="1"/>
    <n v="0"/>
  </r>
  <r>
    <n v="5883714"/>
    <x v="16"/>
    <d v="1899-12-30T11:00:46"/>
    <d v="1899-12-30T11:11:29"/>
    <n v="1"/>
    <n v="0"/>
  </r>
  <r>
    <n v="1457083"/>
    <x v="16"/>
    <d v="1899-12-30T11:07:54"/>
    <d v="1899-12-30T11:24:18"/>
    <n v="1"/>
    <n v="0"/>
  </r>
  <r>
    <n v="9948096"/>
    <x v="16"/>
    <d v="1899-12-30T11:10:32"/>
    <d v="1899-12-30T11:17:13"/>
    <n v="1"/>
    <n v="0"/>
  </r>
  <r>
    <n v="2567031"/>
    <x v="16"/>
    <d v="1899-12-30T11:17:55"/>
    <d v="1899-12-30T11:24:33"/>
    <n v="1"/>
    <n v="0"/>
  </r>
  <r>
    <n v="5952625"/>
    <x v="16"/>
    <d v="1899-12-30T11:21:07"/>
    <d v="1899-12-30T11:24:46"/>
    <n v="1"/>
    <n v="0"/>
  </r>
  <r>
    <n v="8284495"/>
    <x v="16"/>
    <d v="1899-12-30T11:22:21"/>
    <d v="1899-12-30T11:24:05"/>
    <n v="1"/>
    <n v="0"/>
  </r>
  <r>
    <n v="5354141"/>
    <x v="16"/>
    <d v="1899-12-30T11:25:19"/>
    <d v="1899-12-30T11:27:23"/>
    <n v="1"/>
    <n v="0"/>
  </r>
  <r>
    <n v="5713477"/>
    <x v="16"/>
    <d v="1899-12-30T11:26:54"/>
    <d v="1899-12-30T11:41:04"/>
    <n v="1"/>
    <n v="0"/>
  </r>
  <r>
    <n v="6865322"/>
    <x v="16"/>
    <d v="1899-12-30T11:28:03"/>
    <d v="1899-12-30T11:37:20"/>
    <n v="1"/>
    <n v="0"/>
  </r>
  <r>
    <n v="9007177570"/>
    <x v="16"/>
    <d v="1899-12-30T11:30:35"/>
    <d v="1899-12-30T11:34:52"/>
    <n v="0"/>
    <n v="0"/>
  </r>
  <r>
    <n v="49920930"/>
    <x v="16"/>
    <d v="1899-12-30T11:37:47"/>
    <d v="1899-12-30T11:43:28"/>
    <n v="0"/>
    <n v="1"/>
  </r>
  <r>
    <n v="3624713"/>
    <x v="16"/>
    <d v="1899-12-30T11:39:19"/>
    <d v="1899-12-30T11:55:30"/>
    <n v="1"/>
    <n v="0"/>
  </r>
  <r>
    <n v="39848401"/>
    <x v="16"/>
    <d v="1899-12-30T11:40:04"/>
    <d v="1899-12-30T11:52:29"/>
    <n v="0"/>
    <n v="1"/>
  </r>
  <r>
    <n v="4131448"/>
    <x v="16"/>
    <d v="1899-12-30T11:45:15"/>
    <d v="1899-12-30T11:53:14"/>
    <n v="1"/>
    <n v="0"/>
  </r>
  <r>
    <n v="2239958"/>
    <x v="16"/>
    <d v="1899-12-30T11:53:08"/>
    <d v="1899-12-30T11:59:28"/>
    <n v="1"/>
    <n v="0"/>
  </r>
  <r>
    <n v="3680149"/>
    <x v="16"/>
    <d v="1899-12-30T11:53:37"/>
    <d v="1899-12-30T11:58:57"/>
    <n v="1"/>
    <n v="0"/>
  </r>
  <r>
    <n v="3654212"/>
    <x v="16"/>
    <d v="1899-12-30T11:56:15"/>
    <d v="1899-12-30T11:56:56"/>
    <n v="1"/>
    <n v="0"/>
  </r>
  <r>
    <n v="3192053"/>
    <x v="16"/>
    <d v="1899-12-30T11:57:04"/>
    <d v="1899-12-30T12:07:38"/>
    <n v="1"/>
    <n v="0"/>
  </r>
  <r>
    <n v="2355456"/>
    <x v="16"/>
    <d v="1899-12-30T12:00:24"/>
    <d v="1899-12-30T12:14:10"/>
    <n v="1"/>
    <n v="0"/>
  </r>
  <r>
    <n v="64932677"/>
    <x v="16"/>
    <d v="1899-12-30T12:06:17"/>
    <d v="1899-12-30T12:19:17"/>
    <n v="0"/>
    <n v="1"/>
  </r>
  <r>
    <n v="9419117"/>
    <x v="16"/>
    <d v="1899-12-30T12:07:51"/>
    <d v="1899-12-30T12:10:58"/>
    <n v="1"/>
    <n v="0"/>
  </r>
  <r>
    <n v="2509631"/>
    <x v="16"/>
    <d v="1899-12-30T12:14:46"/>
    <d v="1899-12-30T12:30:44"/>
    <n v="1"/>
    <n v="0"/>
  </r>
  <r>
    <n v="4505950"/>
    <x v="16"/>
    <d v="1899-12-30T12:19:47"/>
    <d v="1899-12-30T12:33:11"/>
    <n v="1"/>
    <n v="0"/>
  </r>
  <r>
    <n v="39663331"/>
    <x v="16"/>
    <d v="1899-12-30T12:20:51"/>
    <d v="1899-12-30T12:25:56"/>
    <n v="0"/>
    <n v="1"/>
  </r>
  <r>
    <n v="73350537"/>
    <x v="16"/>
    <d v="1899-12-30T12:26:36"/>
    <d v="1899-12-30T12:38:33"/>
    <n v="0"/>
    <n v="1"/>
  </r>
  <r>
    <n v="36929553"/>
    <x v="16"/>
    <d v="1899-12-30T12:31:02"/>
    <d v="1899-12-30T12:38:25"/>
    <n v="0"/>
    <n v="1"/>
  </r>
  <r>
    <n v="74135093"/>
    <x v="16"/>
    <d v="1899-12-30T12:32:09"/>
    <d v="1899-12-30T12:38:24"/>
    <n v="0"/>
    <n v="1"/>
  </r>
  <r>
    <n v="3505978"/>
    <x v="16"/>
    <d v="1899-12-30T12:34:28"/>
    <d v="1899-12-30T12:50:06"/>
    <n v="1"/>
    <n v="0"/>
  </r>
  <r>
    <n v="4483996"/>
    <x v="16"/>
    <d v="1899-12-30T12:37:13"/>
    <d v="1899-12-30T12:52:43"/>
    <n v="1"/>
    <n v="0"/>
  </r>
  <r>
    <n v="6264844"/>
    <x v="16"/>
    <d v="1899-12-30T12:38:14"/>
    <d v="1899-12-30T12:38:56"/>
    <n v="1"/>
    <n v="0"/>
  </r>
  <r>
    <n v="92127966"/>
    <x v="16"/>
    <d v="1899-12-30T12:45:45"/>
    <d v="1899-12-30T12:53:38"/>
    <n v="0"/>
    <n v="1"/>
  </r>
  <r>
    <n v="7353916"/>
    <x v="16"/>
    <d v="1899-12-30T12:49:46"/>
    <d v="1899-12-30T12:53:33"/>
    <n v="1"/>
    <n v="0"/>
  </r>
  <r>
    <n v="5440420"/>
    <x v="16"/>
    <d v="1899-12-30T12:50:55"/>
    <d v="1899-12-30T13:00:46"/>
    <n v="1"/>
    <n v="0"/>
  </r>
  <r>
    <n v="8840288"/>
    <x v="16"/>
    <d v="1899-12-30T12:57:05"/>
    <d v="1899-12-30T12:59:04"/>
    <n v="1"/>
    <n v="0"/>
  </r>
  <r>
    <n v="9007177570"/>
    <x v="16"/>
    <d v="1899-12-30T13:02:16"/>
    <d v="1899-12-30T13:11:22"/>
    <n v="0"/>
    <n v="0"/>
  </r>
  <r>
    <n v="24850212"/>
    <x v="16"/>
    <d v="1899-12-30T13:02:39"/>
    <d v="1899-12-30T13:08:39"/>
    <n v="0"/>
    <n v="1"/>
  </r>
  <r>
    <n v="7857206"/>
    <x v="16"/>
    <d v="1899-12-30T13:09:58"/>
    <d v="1899-12-30T13:13:07"/>
    <n v="1"/>
    <n v="0"/>
  </r>
  <r>
    <n v="9007177570"/>
    <x v="16"/>
    <d v="1899-12-30T13:14:49"/>
    <d v="1899-12-30T13:21:00"/>
    <n v="0"/>
    <n v="0"/>
  </r>
  <r>
    <n v="96375379"/>
    <x v="16"/>
    <d v="1899-12-30T13:16:37"/>
    <d v="1899-12-30T13:20:12"/>
    <n v="0"/>
    <n v="1"/>
  </r>
  <r>
    <n v="6146223"/>
    <x v="16"/>
    <d v="1899-12-30T13:19:27"/>
    <d v="1899-12-30T13:26:36"/>
    <n v="1"/>
    <n v="0"/>
  </r>
  <r>
    <n v="7119239917"/>
    <x v="16"/>
    <d v="1899-12-30T13:26:53"/>
    <d v="1899-12-30T13:34:37"/>
    <n v="0"/>
    <n v="0"/>
  </r>
  <r>
    <n v="8622421"/>
    <x v="16"/>
    <d v="1899-12-30T13:33:01"/>
    <d v="1899-12-30T13:35:36"/>
    <n v="1"/>
    <n v="0"/>
  </r>
  <r>
    <n v="2304726"/>
    <x v="16"/>
    <d v="1899-12-30T13:35:20"/>
    <d v="1899-12-30T13:44:04"/>
    <n v="1"/>
    <n v="0"/>
  </r>
  <r>
    <n v="9183185"/>
    <x v="16"/>
    <d v="1899-12-30T13:35:40"/>
    <d v="1899-12-30T13:38:58"/>
    <n v="1"/>
    <n v="0"/>
  </r>
  <r>
    <n v="2185216"/>
    <x v="16"/>
    <d v="1899-12-30T13:40:13"/>
    <d v="1899-12-30T13:54:09"/>
    <n v="1"/>
    <n v="0"/>
  </r>
  <r>
    <n v="9664191"/>
    <x v="16"/>
    <d v="1899-12-30T13:40:26"/>
    <d v="1899-12-30T13:41:01"/>
    <n v="1"/>
    <n v="0"/>
  </r>
  <r>
    <n v="8743781"/>
    <x v="16"/>
    <d v="1899-12-30T13:44:54"/>
    <d v="1899-12-30T13:57:21"/>
    <n v="1"/>
    <n v="0"/>
  </r>
  <r>
    <n v="97997759"/>
    <x v="16"/>
    <d v="1899-12-30T13:45:38"/>
    <d v="1899-12-30T13:45:51"/>
    <n v="0"/>
    <n v="1"/>
  </r>
  <r>
    <n v="4100331"/>
    <x v="16"/>
    <d v="1899-12-30T13:53:14"/>
    <d v="1899-12-30T13:55:38"/>
    <n v="1"/>
    <n v="0"/>
  </r>
  <r>
    <n v="7215284"/>
    <x v="16"/>
    <d v="1899-12-30T13:54:50"/>
    <d v="1899-12-30T14:10:48"/>
    <n v="1"/>
    <n v="0"/>
  </r>
  <r>
    <n v="9474267"/>
    <x v="16"/>
    <d v="1899-12-30T14:01:18"/>
    <d v="1899-12-30T14:15:15"/>
    <n v="1"/>
    <n v="0"/>
  </r>
  <r>
    <n v="3200206"/>
    <x v="16"/>
    <d v="1899-12-30T14:06:30"/>
    <d v="1899-12-30T14:22:29"/>
    <n v="1"/>
    <n v="0"/>
  </r>
  <r>
    <n v="72014227"/>
    <x v="16"/>
    <d v="1899-12-30T14:08:09"/>
    <d v="1899-12-30T14:11:17"/>
    <n v="0"/>
    <n v="1"/>
  </r>
  <r>
    <n v="3976931"/>
    <x v="16"/>
    <d v="1899-12-30T14:14:39"/>
    <d v="1899-12-30T14:21:17"/>
    <n v="1"/>
    <n v="0"/>
  </r>
  <r>
    <n v="6717763"/>
    <x v="16"/>
    <d v="1899-12-30T14:18:23"/>
    <d v="1899-12-30T14:25:00"/>
    <n v="1"/>
    <n v="0"/>
  </r>
  <r>
    <n v="2117176"/>
    <x v="16"/>
    <d v="1899-12-30T14:23:18"/>
    <d v="1899-12-30T14:28:39"/>
    <n v="1"/>
    <n v="0"/>
  </r>
  <r>
    <n v="67688044"/>
    <x v="16"/>
    <d v="1899-12-30T14:28:55"/>
    <d v="1899-12-30T14:30:06"/>
    <n v="0"/>
    <n v="1"/>
  </r>
  <r>
    <n v="3824371"/>
    <x v="16"/>
    <d v="1899-12-30T14:30:22"/>
    <d v="1899-12-30T14:42:14"/>
    <n v="1"/>
    <n v="0"/>
  </r>
  <r>
    <n v="3025855"/>
    <x v="16"/>
    <d v="1899-12-30T14:32:40"/>
    <d v="1899-12-30T14:35:16"/>
    <n v="1"/>
    <n v="0"/>
  </r>
  <r>
    <n v="8773356"/>
    <x v="16"/>
    <d v="1899-12-30T14:36:40"/>
    <d v="1899-12-30T14:39:56"/>
    <n v="1"/>
    <n v="0"/>
  </r>
  <r>
    <n v="1211446"/>
    <x v="16"/>
    <d v="1899-12-30T14:41:19"/>
    <d v="1899-12-30T14:54:45"/>
    <n v="1"/>
    <n v="0"/>
  </r>
  <r>
    <n v="3607585"/>
    <x v="16"/>
    <d v="1899-12-30T14:45:02"/>
    <d v="1899-12-30T14:54:29"/>
    <n v="1"/>
    <n v="0"/>
  </r>
  <r>
    <n v="5492379"/>
    <x v="16"/>
    <d v="1899-12-30T14:51:18"/>
    <d v="1899-12-30T14:52:23"/>
    <n v="1"/>
    <n v="0"/>
  </r>
  <r>
    <n v="84589848"/>
    <x v="16"/>
    <d v="1899-12-30T14:52:23"/>
    <d v="1899-12-30T14:57:37"/>
    <n v="0"/>
    <n v="1"/>
  </r>
  <r>
    <n v="7622848"/>
    <x v="16"/>
    <d v="1899-12-30T14:52:55"/>
    <d v="1899-12-30T15:03:59"/>
    <n v="1"/>
    <n v="0"/>
  </r>
  <r>
    <n v="7883595"/>
    <x v="16"/>
    <d v="1899-12-30T14:54:57"/>
    <d v="1899-12-30T14:59:20"/>
    <n v="1"/>
    <n v="0"/>
  </r>
  <r>
    <n v="4804872"/>
    <x v="16"/>
    <d v="1899-12-30T14:59:36"/>
    <d v="1899-12-30T15:15:51"/>
    <n v="1"/>
    <n v="0"/>
  </r>
  <r>
    <n v="61812355"/>
    <x v="16"/>
    <d v="1899-12-30T15:06:08"/>
    <d v="1899-12-30T15:18:49"/>
    <n v="0"/>
    <n v="1"/>
  </r>
  <r>
    <n v="6493766"/>
    <x v="17"/>
    <d v="1899-12-30T08:03:37"/>
    <d v="1899-12-30T08:04:57"/>
    <n v="1"/>
    <n v="0"/>
  </r>
  <r>
    <n v="4965118"/>
    <x v="17"/>
    <d v="1899-12-30T08:05:26"/>
    <d v="1899-12-30T08:20:32"/>
    <n v="1"/>
    <n v="0"/>
  </r>
  <r>
    <n v="7973476"/>
    <x v="17"/>
    <d v="1899-12-30T08:13:12"/>
    <d v="1899-12-30T08:24:03"/>
    <n v="1"/>
    <n v="0"/>
  </r>
  <r>
    <n v="6642574"/>
    <x v="17"/>
    <d v="1899-12-30T08:17:53"/>
    <d v="1899-12-30T08:33:18"/>
    <n v="1"/>
    <n v="0"/>
  </r>
  <r>
    <n v="2325155"/>
    <x v="17"/>
    <d v="1899-12-30T08:20:32"/>
    <d v="1899-12-30T08:31:22"/>
    <n v="1"/>
    <n v="0"/>
  </r>
  <r>
    <n v="1340323"/>
    <x v="17"/>
    <d v="1899-12-30T08:23:55"/>
    <d v="1899-12-30T08:35:15"/>
    <n v="1"/>
    <n v="0"/>
  </r>
  <r>
    <n v="8957203"/>
    <x v="17"/>
    <d v="1899-12-30T08:30:33"/>
    <d v="1899-12-30T08:42:38"/>
    <n v="1"/>
    <n v="0"/>
  </r>
  <r>
    <n v="8276893"/>
    <x v="17"/>
    <d v="1899-12-30T08:37:04"/>
    <d v="1899-12-30T08:47:03"/>
    <n v="1"/>
    <n v="0"/>
  </r>
  <r>
    <n v="7894591002"/>
    <x v="17"/>
    <d v="1899-12-30T08:45:16"/>
    <d v="1899-12-30T09:00:05"/>
    <n v="0"/>
    <n v="0"/>
  </r>
  <r>
    <n v="26891502"/>
    <x v="17"/>
    <d v="1899-12-30T08:52:28"/>
    <d v="1899-12-30T09:02:15"/>
    <n v="0"/>
    <n v="1"/>
  </r>
  <r>
    <n v="71021004"/>
    <x v="17"/>
    <d v="1899-12-30T08:57:12"/>
    <d v="1899-12-30T09:08:30"/>
    <n v="0"/>
    <n v="1"/>
  </r>
  <r>
    <n v="17314583"/>
    <x v="17"/>
    <d v="1899-12-30T09:04:57"/>
    <d v="1899-12-30T09:19:52"/>
    <n v="0"/>
    <n v="1"/>
  </r>
  <r>
    <n v="3972159"/>
    <x v="17"/>
    <d v="1899-12-30T09:05:42"/>
    <d v="1899-12-30T09:11:00"/>
    <n v="1"/>
    <n v="0"/>
  </r>
  <r>
    <n v="94989369"/>
    <x v="17"/>
    <d v="1899-12-30T09:06:42"/>
    <d v="1899-12-30T09:22:35"/>
    <n v="0"/>
    <n v="1"/>
  </r>
  <r>
    <n v="4857453"/>
    <x v="17"/>
    <d v="1899-12-30T09:07:24"/>
    <d v="1899-12-30T09:15:18"/>
    <n v="1"/>
    <n v="0"/>
  </r>
  <r>
    <n v="7980513"/>
    <x v="17"/>
    <d v="1899-12-30T09:10:03"/>
    <d v="1899-12-30T09:11:21"/>
    <n v="1"/>
    <n v="0"/>
  </r>
  <r>
    <n v="6896175"/>
    <x v="17"/>
    <d v="1899-12-30T09:11:39"/>
    <d v="1899-12-30T09:13:20"/>
    <n v="1"/>
    <n v="0"/>
  </r>
  <r>
    <n v="1689993"/>
    <x v="17"/>
    <d v="1899-12-30T09:12:04"/>
    <d v="1899-12-30T09:17:59"/>
    <n v="1"/>
    <n v="0"/>
  </r>
  <r>
    <n v="1183006"/>
    <x v="17"/>
    <d v="1899-12-30T09:15:52"/>
    <d v="1899-12-30T09:25:41"/>
    <n v="1"/>
    <n v="0"/>
  </r>
  <r>
    <n v="9446278"/>
    <x v="17"/>
    <d v="1899-12-30T09:19:45"/>
    <d v="1899-12-30T09:21:21"/>
    <n v="1"/>
    <n v="0"/>
  </r>
  <r>
    <n v="2445944"/>
    <x v="17"/>
    <d v="1899-12-30T09:20:58"/>
    <d v="1899-12-30T09:29:30"/>
    <n v="1"/>
    <n v="0"/>
  </r>
  <r>
    <n v="4404713"/>
    <x v="17"/>
    <d v="1899-12-30T09:29:17"/>
    <d v="1899-12-30T09:30:14"/>
    <n v="1"/>
    <n v="0"/>
  </r>
  <r>
    <n v="6495153"/>
    <x v="17"/>
    <d v="1899-12-30T09:36:15"/>
    <d v="1899-12-30T09:41:51"/>
    <n v="1"/>
    <n v="0"/>
  </r>
  <r>
    <n v="2684831"/>
    <x v="17"/>
    <d v="1899-12-30T09:37:53"/>
    <d v="1899-12-30T09:45:29"/>
    <n v="1"/>
    <n v="0"/>
  </r>
  <r>
    <n v="8748493"/>
    <x v="17"/>
    <d v="1899-12-30T09:41:59"/>
    <d v="1899-12-30T09:42:23"/>
    <n v="1"/>
    <n v="0"/>
  </r>
  <r>
    <n v="7230252"/>
    <x v="17"/>
    <d v="1899-12-30T09:47:07"/>
    <d v="1899-12-30T09:54:35"/>
    <n v="1"/>
    <n v="0"/>
  </r>
  <r>
    <n v="5082463"/>
    <x v="17"/>
    <d v="1899-12-30T09:54:17"/>
    <d v="1899-12-30T10:05:28"/>
    <n v="1"/>
    <n v="0"/>
  </r>
  <r>
    <n v="1830054"/>
    <x v="17"/>
    <d v="1899-12-30T09:56:01"/>
    <d v="1899-12-30T10:05:02"/>
    <n v="1"/>
    <n v="0"/>
  </r>
  <r>
    <n v="5223970"/>
    <x v="17"/>
    <d v="1899-12-30T09:56:21"/>
    <d v="1899-12-30T10:00:15"/>
    <n v="1"/>
    <n v="0"/>
  </r>
  <r>
    <n v="8369071681"/>
    <x v="17"/>
    <d v="1899-12-30T10:03:52"/>
    <d v="1899-12-30T10:06:43"/>
    <n v="0"/>
    <n v="0"/>
  </r>
  <r>
    <n v="5582631"/>
    <x v="17"/>
    <d v="1899-12-30T10:08:06"/>
    <d v="1899-12-30T10:08:43"/>
    <n v="1"/>
    <n v="0"/>
  </r>
  <r>
    <n v="68043713"/>
    <x v="17"/>
    <d v="1899-12-30T10:10:05"/>
    <d v="1899-12-30T10:16:13"/>
    <n v="0"/>
    <n v="1"/>
  </r>
  <r>
    <n v="89263578"/>
    <x v="17"/>
    <d v="1899-12-30T10:17:56"/>
    <d v="1899-12-30T10:30:03"/>
    <n v="0"/>
    <n v="1"/>
  </r>
  <r>
    <n v="7511410"/>
    <x v="17"/>
    <d v="1899-12-30T10:23:35"/>
    <d v="1899-12-30T10:30:10"/>
    <n v="1"/>
    <n v="0"/>
  </r>
  <r>
    <n v="2128803"/>
    <x v="17"/>
    <d v="1899-12-30T10:30:57"/>
    <d v="1899-12-30T10:41:51"/>
    <n v="1"/>
    <n v="0"/>
  </r>
  <r>
    <n v="3135285"/>
    <x v="17"/>
    <d v="1899-12-30T10:32:07"/>
    <d v="1899-12-30T10:46:02"/>
    <n v="1"/>
    <n v="0"/>
  </r>
  <r>
    <n v="5231877"/>
    <x v="17"/>
    <d v="1899-12-30T10:37:25"/>
    <d v="1899-12-30T10:52:52"/>
    <n v="1"/>
    <n v="0"/>
  </r>
  <r>
    <n v="98391891"/>
    <x v="17"/>
    <d v="1899-12-30T10:37:46"/>
    <d v="1899-12-30T10:38:51"/>
    <n v="0"/>
    <n v="1"/>
  </r>
  <r>
    <n v="9865524"/>
    <x v="17"/>
    <d v="1899-12-30T10:37:54"/>
    <d v="1899-12-30T10:48:20"/>
    <n v="1"/>
    <n v="0"/>
  </r>
  <r>
    <n v="7988607"/>
    <x v="17"/>
    <d v="1899-12-30T10:37:56"/>
    <d v="1899-12-30T10:49:59"/>
    <n v="1"/>
    <n v="0"/>
  </r>
  <r>
    <n v="4599598"/>
    <x v="17"/>
    <d v="1899-12-30T10:43:50"/>
    <d v="1899-12-30T10:57:29"/>
    <n v="1"/>
    <n v="0"/>
  </r>
  <r>
    <n v="59984179"/>
    <x v="17"/>
    <d v="1899-12-30T10:45:21"/>
    <d v="1899-12-30T10:54:16"/>
    <n v="0"/>
    <n v="1"/>
  </r>
  <r>
    <n v="9763924"/>
    <x v="17"/>
    <d v="1899-12-30T10:47:36"/>
    <d v="1899-12-30T10:56:03"/>
    <n v="1"/>
    <n v="0"/>
  </r>
  <r>
    <n v="1531672"/>
    <x v="17"/>
    <d v="1899-12-30T10:48:19"/>
    <d v="1899-12-30T11:03:33"/>
    <n v="1"/>
    <n v="0"/>
  </r>
  <r>
    <n v="59723258"/>
    <x v="17"/>
    <d v="1899-12-30T10:48:27"/>
    <d v="1899-12-30T11:02:39"/>
    <n v="0"/>
    <n v="1"/>
  </r>
  <r>
    <n v="6878722"/>
    <x v="17"/>
    <d v="1899-12-30T10:52:48"/>
    <d v="1899-12-30T10:54:23"/>
    <n v="1"/>
    <n v="0"/>
  </r>
  <r>
    <n v="49278984"/>
    <x v="17"/>
    <d v="1899-12-30T10:55:39"/>
    <d v="1899-12-30T10:58:20"/>
    <n v="0"/>
    <n v="1"/>
  </r>
  <r>
    <n v="5672312"/>
    <x v="17"/>
    <d v="1899-12-30T10:55:59"/>
    <d v="1899-12-30T11:01:09"/>
    <n v="1"/>
    <n v="0"/>
  </r>
  <r>
    <n v="9716545"/>
    <x v="17"/>
    <d v="1899-12-30T10:58:28"/>
    <d v="1899-12-30T11:13:13"/>
    <n v="1"/>
    <n v="0"/>
  </r>
  <r>
    <n v="97953696"/>
    <x v="17"/>
    <d v="1899-12-30T11:06:41"/>
    <d v="1899-12-30T11:18:40"/>
    <n v="0"/>
    <n v="1"/>
  </r>
  <r>
    <n v="18636086"/>
    <x v="17"/>
    <d v="1899-12-30T11:08:37"/>
    <d v="1899-12-30T11:17:40"/>
    <n v="0"/>
    <n v="1"/>
  </r>
  <r>
    <n v="2071691"/>
    <x v="17"/>
    <d v="1899-12-30T11:12:32"/>
    <d v="1899-12-30T11:20:35"/>
    <n v="1"/>
    <n v="0"/>
  </r>
  <r>
    <n v="8023179"/>
    <x v="17"/>
    <d v="1899-12-30T11:12:32"/>
    <d v="1899-12-30T11:24:59"/>
    <n v="1"/>
    <n v="0"/>
  </r>
  <r>
    <n v="3533421"/>
    <x v="17"/>
    <d v="1899-12-30T11:20:38"/>
    <d v="1899-12-30T11:35:29"/>
    <n v="1"/>
    <n v="0"/>
  </r>
  <r>
    <n v="1160932"/>
    <x v="17"/>
    <d v="1899-12-30T11:24:13"/>
    <d v="1899-12-30T11:24:45"/>
    <n v="1"/>
    <n v="0"/>
  </r>
  <r>
    <n v="6320579"/>
    <x v="17"/>
    <d v="1899-12-30T11:32:23"/>
    <d v="1899-12-30T11:39:38"/>
    <n v="1"/>
    <n v="0"/>
  </r>
  <r>
    <n v="6021417"/>
    <x v="17"/>
    <d v="1899-12-30T11:38:54"/>
    <d v="1899-12-30T11:42:56"/>
    <n v="1"/>
    <n v="0"/>
  </r>
  <r>
    <n v="3638658"/>
    <x v="17"/>
    <d v="1899-12-30T11:41:17"/>
    <d v="1899-12-30T11:50:00"/>
    <n v="1"/>
    <n v="0"/>
  </r>
  <r>
    <n v="7595348"/>
    <x v="17"/>
    <d v="1899-12-30T11:43:26"/>
    <d v="1899-12-30T11:55:11"/>
    <n v="1"/>
    <n v="0"/>
  </r>
  <r>
    <n v="6637746981"/>
    <x v="17"/>
    <d v="1899-12-30T11:45:54"/>
    <d v="1899-12-30T11:59:02"/>
    <n v="0"/>
    <n v="0"/>
  </r>
  <r>
    <n v="8501947"/>
    <x v="17"/>
    <d v="1899-12-30T11:47:33"/>
    <d v="1899-12-30T11:52:24"/>
    <n v="1"/>
    <n v="0"/>
  </r>
  <r>
    <n v="85666950"/>
    <x v="17"/>
    <d v="1899-12-30T11:51:37"/>
    <d v="1899-12-30T12:04:30"/>
    <n v="0"/>
    <n v="1"/>
  </r>
  <r>
    <n v="72289518"/>
    <x v="17"/>
    <d v="1899-12-30T11:53:24"/>
    <d v="1899-12-30T11:59:15"/>
    <n v="0"/>
    <n v="1"/>
  </r>
  <r>
    <n v="4419123"/>
    <x v="17"/>
    <d v="1899-12-30T11:59:19"/>
    <d v="1899-12-30T12:02:59"/>
    <n v="1"/>
    <n v="0"/>
  </r>
  <r>
    <n v="75645195"/>
    <x v="17"/>
    <d v="1899-12-30T12:06:39"/>
    <d v="1899-12-30T12:07:05"/>
    <n v="0"/>
    <n v="1"/>
  </r>
  <r>
    <n v="4305960"/>
    <x v="17"/>
    <d v="1899-12-30T12:09:40"/>
    <d v="1899-12-30T12:17:46"/>
    <n v="1"/>
    <n v="0"/>
  </r>
  <r>
    <n v="21681406"/>
    <x v="17"/>
    <d v="1899-12-30T12:12:37"/>
    <d v="1899-12-30T12:21:12"/>
    <n v="0"/>
    <n v="1"/>
  </r>
  <r>
    <n v="6401011"/>
    <x v="17"/>
    <d v="1899-12-30T12:16:25"/>
    <d v="1899-12-30T12:26:52"/>
    <n v="1"/>
    <n v="0"/>
  </r>
  <r>
    <n v="1879412"/>
    <x v="17"/>
    <d v="1899-12-30T12:22:16"/>
    <d v="1899-12-30T12:35:44"/>
    <n v="1"/>
    <n v="0"/>
  </r>
  <r>
    <n v="6218089"/>
    <x v="17"/>
    <d v="1899-12-30T12:24:40"/>
    <d v="1899-12-30T12:31:21"/>
    <n v="1"/>
    <n v="0"/>
  </r>
  <r>
    <n v="3408462348"/>
    <x v="17"/>
    <d v="1899-12-30T12:31:18"/>
    <d v="1899-12-30T12:43:11"/>
    <n v="0"/>
    <n v="0"/>
  </r>
  <r>
    <n v="9535780"/>
    <x v="17"/>
    <d v="1899-12-30T12:32:37"/>
    <d v="1899-12-30T12:44:31"/>
    <n v="1"/>
    <n v="0"/>
  </r>
  <r>
    <n v="4945889"/>
    <x v="17"/>
    <d v="1899-12-30T12:40:11"/>
    <d v="1899-12-30T12:51:34"/>
    <n v="1"/>
    <n v="0"/>
  </r>
  <r>
    <n v="8985437"/>
    <x v="17"/>
    <d v="1899-12-30T12:42:18"/>
    <d v="1899-12-30T12:51:59"/>
    <n v="1"/>
    <n v="0"/>
  </r>
  <r>
    <n v="57891628"/>
    <x v="17"/>
    <d v="1899-12-30T12:47:16"/>
    <d v="1899-12-30T12:50:25"/>
    <n v="0"/>
    <n v="1"/>
  </r>
  <r>
    <n v="9772824"/>
    <x v="17"/>
    <d v="1899-12-30T12:48:10"/>
    <d v="1899-12-30T13:03:10"/>
    <n v="1"/>
    <n v="0"/>
  </r>
  <r>
    <n v="4154521"/>
    <x v="17"/>
    <d v="1899-12-30T12:49:32"/>
    <d v="1899-12-30T12:54:55"/>
    <n v="1"/>
    <n v="0"/>
  </r>
  <r>
    <n v="96977805"/>
    <x v="17"/>
    <d v="1899-12-30T12:51:52"/>
    <d v="1899-12-30T13:03:17"/>
    <n v="0"/>
    <n v="1"/>
  </r>
  <r>
    <n v="24665933"/>
    <x v="17"/>
    <d v="1899-12-30T12:52:48"/>
    <d v="1899-12-30T12:53:25"/>
    <n v="0"/>
    <n v="1"/>
  </r>
  <r>
    <n v="5465004"/>
    <x v="17"/>
    <d v="1899-12-30T12:57:51"/>
    <d v="1899-12-30T13:10:47"/>
    <n v="1"/>
    <n v="0"/>
  </r>
  <r>
    <n v="9560827"/>
    <x v="17"/>
    <d v="1899-12-30T12:58:36"/>
    <d v="1899-12-30T13:13:29"/>
    <n v="1"/>
    <n v="0"/>
  </r>
  <r>
    <n v="3443287"/>
    <x v="17"/>
    <d v="1899-12-30T13:06:09"/>
    <d v="1899-12-30T13:20:58"/>
    <n v="1"/>
    <n v="0"/>
  </r>
  <r>
    <n v="7551668"/>
    <x v="17"/>
    <d v="1899-12-30T13:12:46"/>
    <d v="1899-12-30T13:21:41"/>
    <n v="1"/>
    <n v="0"/>
  </r>
  <r>
    <n v="3189059"/>
    <x v="17"/>
    <d v="1899-12-30T13:18:40"/>
    <d v="1899-12-30T13:27:52"/>
    <n v="1"/>
    <n v="0"/>
  </r>
  <r>
    <n v="9061957"/>
    <x v="17"/>
    <d v="1899-12-30T13:20:42"/>
    <d v="1899-12-30T13:31:54"/>
    <n v="1"/>
    <n v="0"/>
  </r>
  <r>
    <n v="2109147679"/>
    <x v="17"/>
    <d v="1899-12-30T13:27:49"/>
    <d v="1899-12-30T13:37:15"/>
    <n v="0"/>
    <n v="0"/>
  </r>
  <r>
    <n v="59508384"/>
    <x v="17"/>
    <d v="1899-12-30T13:29:45"/>
    <d v="1899-12-30T13:34:58"/>
    <n v="0"/>
    <n v="1"/>
  </r>
  <r>
    <n v="48529464"/>
    <x v="17"/>
    <d v="1899-12-30T13:30:29"/>
    <d v="1899-12-30T13:32:33"/>
    <n v="0"/>
    <n v="1"/>
  </r>
  <r>
    <n v="4082744"/>
    <x v="17"/>
    <d v="1899-12-30T13:33:20"/>
    <d v="1899-12-30T13:48:57"/>
    <n v="1"/>
    <n v="0"/>
  </r>
  <r>
    <n v="2395447"/>
    <x v="17"/>
    <d v="1899-12-30T13:38:00"/>
    <d v="1899-12-30T13:39:54"/>
    <n v="1"/>
    <n v="0"/>
  </r>
  <r>
    <n v="96620804"/>
    <x v="17"/>
    <d v="1899-12-30T13:40:01"/>
    <d v="1899-12-30T13:51:45"/>
    <n v="0"/>
    <n v="1"/>
  </r>
  <r>
    <n v="9489003225"/>
    <x v="17"/>
    <d v="1899-12-30T13:44:36"/>
    <d v="1899-12-30T13:45:15"/>
    <n v="0"/>
    <n v="0"/>
  </r>
  <r>
    <n v="6897893"/>
    <x v="17"/>
    <d v="1899-12-30T13:50:20"/>
    <d v="1899-12-30T13:58:09"/>
    <n v="1"/>
    <n v="0"/>
  </r>
  <r>
    <n v="9759222"/>
    <x v="17"/>
    <d v="1899-12-30T13:55:31"/>
    <d v="1899-12-30T14:05:40"/>
    <n v="1"/>
    <n v="0"/>
  </r>
  <r>
    <n v="39793981"/>
    <x v="17"/>
    <d v="1899-12-30T13:56:40"/>
    <d v="1899-12-30T13:57:34"/>
    <n v="0"/>
    <n v="1"/>
  </r>
  <r>
    <n v="3759991"/>
    <x v="17"/>
    <d v="1899-12-30T14:01:05"/>
    <d v="1899-12-30T14:04:57"/>
    <n v="1"/>
    <n v="0"/>
  </r>
  <r>
    <n v="37838778"/>
    <x v="17"/>
    <d v="1899-12-30T14:06:18"/>
    <d v="1899-12-30T14:18:07"/>
    <n v="0"/>
    <n v="1"/>
  </r>
  <r>
    <n v="3785540"/>
    <x v="17"/>
    <d v="1899-12-30T14:13:22"/>
    <d v="1899-12-30T14:28:57"/>
    <n v="1"/>
    <n v="0"/>
  </r>
  <r>
    <n v="9689833"/>
    <x v="17"/>
    <d v="1899-12-30T14:14:15"/>
    <d v="1899-12-30T14:23:11"/>
    <n v="1"/>
    <n v="0"/>
  </r>
  <r>
    <n v="8136309"/>
    <x v="17"/>
    <d v="1899-12-30T14:22:13"/>
    <d v="1899-12-30T14:37:42"/>
    <n v="1"/>
    <n v="0"/>
  </r>
  <r>
    <n v="1177203"/>
    <x v="17"/>
    <d v="1899-12-30T14:29:32"/>
    <d v="1899-12-30T14:30:31"/>
    <n v="1"/>
    <n v="0"/>
  </r>
  <r>
    <n v="6060835"/>
    <x v="17"/>
    <d v="1899-12-30T14:32:59"/>
    <d v="1899-12-30T14:39:12"/>
    <n v="1"/>
    <n v="0"/>
  </r>
  <r>
    <n v="8534481"/>
    <x v="17"/>
    <d v="1899-12-30T14:37:41"/>
    <d v="1899-12-30T14:51:57"/>
    <n v="1"/>
    <n v="0"/>
  </r>
  <r>
    <n v="4959594"/>
    <x v="17"/>
    <d v="1899-12-30T14:43:45"/>
    <d v="1899-12-30T14:57:55"/>
    <n v="1"/>
    <n v="0"/>
  </r>
  <r>
    <n v="1047809"/>
    <x v="17"/>
    <d v="1899-12-30T14:48:50"/>
    <d v="1899-12-30T15:05:17"/>
    <n v="1"/>
    <n v="0"/>
  </r>
  <r>
    <n v="3437033"/>
    <x v="17"/>
    <d v="1899-12-30T14:54:05"/>
    <d v="1899-12-30T14:55:06"/>
    <n v="1"/>
    <n v="0"/>
  </r>
  <r>
    <n v="6801890"/>
    <x v="17"/>
    <d v="1899-12-30T14:59:32"/>
    <d v="1899-12-30T15:02:45"/>
    <n v="1"/>
    <n v="0"/>
  </r>
  <r>
    <n v="2604004"/>
    <x v="17"/>
    <d v="1899-12-30T15:03:56"/>
    <d v="1899-12-30T15:13:18"/>
    <n v="1"/>
    <n v="0"/>
  </r>
  <r>
    <n v="4379524"/>
    <x v="18"/>
    <d v="1899-12-30T08:06:01"/>
    <d v="1899-12-30T08:06:04"/>
    <n v="1"/>
    <n v="0"/>
  </r>
  <r>
    <n v="12377650"/>
    <x v="18"/>
    <d v="1899-12-30T08:08:47"/>
    <d v="1899-12-30T08:13:49"/>
    <n v="0"/>
    <n v="1"/>
  </r>
  <r>
    <n v="77869622"/>
    <x v="18"/>
    <d v="1899-12-30T08:12:46"/>
    <d v="1899-12-30T08:26:27"/>
    <n v="0"/>
    <n v="1"/>
  </r>
  <r>
    <n v="3414247278"/>
    <x v="18"/>
    <d v="1899-12-30T08:19:05"/>
    <d v="1899-12-30T08:19:12"/>
    <n v="0"/>
    <n v="0"/>
  </r>
  <r>
    <n v="5839324907"/>
    <x v="18"/>
    <d v="1899-12-30T08:22:38"/>
    <d v="1899-12-30T08:30:56"/>
    <n v="0"/>
    <n v="0"/>
  </r>
  <r>
    <n v="4852863"/>
    <x v="18"/>
    <d v="1899-12-30T08:23:39"/>
    <d v="1899-12-30T08:37:59"/>
    <n v="1"/>
    <n v="0"/>
  </r>
  <r>
    <n v="3245936"/>
    <x v="18"/>
    <d v="1899-12-30T08:25:41"/>
    <d v="1899-12-30T08:29:53"/>
    <n v="1"/>
    <n v="0"/>
  </r>
  <r>
    <n v="6674505"/>
    <x v="18"/>
    <d v="1899-12-30T08:25:58"/>
    <d v="1899-12-30T08:29:37"/>
    <n v="1"/>
    <n v="0"/>
  </r>
  <r>
    <n v="9591892"/>
    <x v="18"/>
    <d v="1899-12-30T08:31:01"/>
    <d v="1899-12-30T08:42:01"/>
    <n v="1"/>
    <n v="0"/>
  </r>
  <r>
    <n v="96404523"/>
    <x v="18"/>
    <d v="1899-12-30T08:32:32"/>
    <d v="1899-12-30T08:43:41"/>
    <n v="0"/>
    <n v="1"/>
  </r>
  <r>
    <n v="1405478"/>
    <x v="18"/>
    <d v="1899-12-30T08:37:33"/>
    <d v="1899-12-30T08:44:20"/>
    <n v="1"/>
    <n v="0"/>
  </r>
  <r>
    <n v="5900506"/>
    <x v="18"/>
    <d v="1899-12-30T08:38:47"/>
    <d v="1899-12-30T08:43:00"/>
    <n v="1"/>
    <n v="0"/>
  </r>
  <r>
    <n v="6060835"/>
    <x v="18"/>
    <d v="1899-12-30T08:40:32"/>
    <d v="1899-12-30T08:55:58"/>
    <n v="1"/>
    <n v="0"/>
  </r>
  <r>
    <n v="8880275"/>
    <x v="18"/>
    <d v="1899-12-30T08:47:01"/>
    <d v="1899-12-30T08:59:38"/>
    <n v="1"/>
    <n v="0"/>
  </r>
  <r>
    <n v="57101974"/>
    <x v="18"/>
    <d v="1899-12-30T08:54:43"/>
    <d v="1899-12-30T09:06:06"/>
    <n v="0"/>
    <n v="1"/>
  </r>
  <r>
    <n v="2096100"/>
    <x v="18"/>
    <d v="1899-12-30T08:55:18"/>
    <d v="1899-12-30T08:56:27"/>
    <n v="1"/>
    <n v="0"/>
  </r>
  <r>
    <n v="2366545"/>
    <x v="18"/>
    <d v="1899-12-30T08:58:09"/>
    <d v="1899-12-30T09:06:44"/>
    <n v="1"/>
    <n v="0"/>
  </r>
  <r>
    <n v="2260131"/>
    <x v="18"/>
    <d v="1899-12-30T09:02:22"/>
    <d v="1899-12-30T09:13:34"/>
    <n v="1"/>
    <n v="0"/>
  </r>
  <r>
    <n v="75818182"/>
    <x v="18"/>
    <d v="1899-12-30T09:06:49"/>
    <d v="1899-12-30T09:12:54"/>
    <n v="0"/>
    <n v="1"/>
  </r>
  <r>
    <n v="1247125"/>
    <x v="18"/>
    <d v="1899-12-30T09:13:51"/>
    <d v="1899-12-30T09:26:29"/>
    <n v="1"/>
    <n v="0"/>
  </r>
  <r>
    <n v="3733011"/>
    <x v="18"/>
    <d v="1899-12-30T09:15:26"/>
    <d v="1899-12-30T09:29:37"/>
    <n v="1"/>
    <n v="0"/>
  </r>
  <r>
    <n v="6615729"/>
    <x v="18"/>
    <d v="1899-12-30T09:21:34"/>
    <d v="1899-12-30T09:32:18"/>
    <n v="1"/>
    <n v="0"/>
  </r>
  <r>
    <n v="6844342"/>
    <x v="18"/>
    <d v="1899-12-30T09:28:06"/>
    <d v="1899-12-30T09:30:23"/>
    <n v="1"/>
    <n v="0"/>
  </r>
  <r>
    <n v="8369815"/>
    <x v="18"/>
    <d v="1899-12-30T09:31:15"/>
    <d v="1899-12-30T09:38:38"/>
    <n v="1"/>
    <n v="0"/>
  </r>
  <r>
    <n v="9304830"/>
    <x v="18"/>
    <d v="1899-12-30T09:33:18"/>
    <d v="1899-12-30T09:34:30"/>
    <n v="1"/>
    <n v="0"/>
  </r>
  <r>
    <n v="1117708"/>
    <x v="18"/>
    <d v="1899-12-30T09:39:50"/>
    <d v="1899-12-30T09:46:32"/>
    <n v="1"/>
    <n v="0"/>
  </r>
  <r>
    <n v="6055986"/>
    <x v="18"/>
    <d v="1899-12-30T09:46:14"/>
    <d v="1899-12-30T09:46:40"/>
    <n v="1"/>
    <n v="0"/>
  </r>
  <r>
    <n v="4569864426"/>
    <x v="18"/>
    <d v="1899-12-30T09:46:49"/>
    <d v="1899-12-30T10:00:51"/>
    <n v="0"/>
    <n v="0"/>
  </r>
  <r>
    <n v="2781512"/>
    <x v="18"/>
    <d v="1899-12-30T09:53:55"/>
    <d v="1899-12-30T09:59:19"/>
    <n v="1"/>
    <n v="0"/>
  </r>
  <r>
    <n v="3093964"/>
    <x v="18"/>
    <d v="1899-12-30T09:55:38"/>
    <d v="1899-12-30T10:03:24"/>
    <n v="1"/>
    <n v="0"/>
  </r>
  <r>
    <n v="9413315"/>
    <x v="18"/>
    <d v="1899-12-30T10:01:41"/>
    <d v="1899-12-30T10:10:19"/>
    <n v="1"/>
    <n v="0"/>
  </r>
  <r>
    <n v="1890121"/>
    <x v="18"/>
    <d v="1899-12-30T10:09:57"/>
    <d v="1899-12-30T10:19:12"/>
    <n v="1"/>
    <n v="0"/>
  </r>
  <r>
    <n v="9906846123"/>
    <x v="18"/>
    <d v="1899-12-30T10:11:06"/>
    <d v="1899-12-30T10:12:05"/>
    <n v="0"/>
    <n v="0"/>
  </r>
  <r>
    <n v="12063341"/>
    <x v="18"/>
    <d v="1899-12-30T10:17:02"/>
    <d v="1899-12-30T10:29:41"/>
    <n v="0"/>
    <n v="1"/>
  </r>
  <r>
    <n v="27798660"/>
    <x v="18"/>
    <d v="1899-12-30T10:18:08"/>
    <d v="1899-12-30T10:22:39"/>
    <n v="0"/>
    <n v="1"/>
  </r>
  <r>
    <n v="37077953"/>
    <x v="18"/>
    <d v="1899-12-30T10:22:59"/>
    <d v="1899-12-30T10:32:35"/>
    <n v="0"/>
    <n v="1"/>
  </r>
  <r>
    <n v="70606958"/>
    <x v="18"/>
    <d v="1899-12-30T10:24:47"/>
    <d v="1899-12-30T10:37:14"/>
    <n v="0"/>
    <n v="1"/>
  </r>
  <r>
    <n v="21303266"/>
    <x v="18"/>
    <d v="1899-12-30T10:31:26"/>
    <d v="1899-12-30T10:36:37"/>
    <n v="0"/>
    <n v="1"/>
  </r>
  <r>
    <n v="66871690"/>
    <x v="18"/>
    <d v="1899-12-30T10:33:39"/>
    <d v="1899-12-30T10:36:46"/>
    <n v="0"/>
    <n v="1"/>
  </r>
  <r>
    <n v="88366261"/>
    <x v="18"/>
    <d v="1899-12-30T10:33:42"/>
    <d v="1899-12-30T10:36:36"/>
    <n v="0"/>
    <n v="1"/>
  </r>
  <r>
    <n v="9506446"/>
    <x v="18"/>
    <d v="1899-12-30T10:40:40"/>
    <d v="1899-12-30T10:49:02"/>
    <n v="1"/>
    <n v="0"/>
  </r>
  <r>
    <n v="9225807"/>
    <x v="18"/>
    <d v="1899-12-30T10:47:57"/>
    <d v="1899-12-30T11:01:43"/>
    <n v="1"/>
    <n v="0"/>
  </r>
  <r>
    <n v="6956143"/>
    <x v="18"/>
    <d v="1899-12-30T10:50:16"/>
    <d v="1899-12-30T10:56:06"/>
    <n v="1"/>
    <n v="0"/>
  </r>
  <r>
    <n v="1472253"/>
    <x v="18"/>
    <d v="1899-12-30T10:58:30"/>
    <d v="1899-12-30T11:03:00"/>
    <n v="1"/>
    <n v="0"/>
  </r>
  <r>
    <n v="4025325"/>
    <x v="18"/>
    <d v="1899-12-30T11:04:35"/>
    <d v="1899-12-30T11:11:06"/>
    <n v="1"/>
    <n v="0"/>
  </r>
  <r>
    <n v="6220398"/>
    <x v="18"/>
    <d v="1899-12-30T11:04:56"/>
    <d v="1899-12-30T11:06:12"/>
    <n v="1"/>
    <n v="0"/>
  </r>
  <r>
    <n v="6326108"/>
    <x v="18"/>
    <d v="1899-12-30T11:09:14"/>
    <d v="1899-12-30T11:23:48"/>
    <n v="1"/>
    <n v="0"/>
  </r>
  <r>
    <n v="88929709"/>
    <x v="18"/>
    <d v="1899-12-30T11:12:18"/>
    <d v="1899-12-30T11:24:09"/>
    <n v="0"/>
    <n v="1"/>
  </r>
  <r>
    <n v="3004967"/>
    <x v="18"/>
    <d v="1899-12-30T11:17:50"/>
    <d v="1899-12-30T11:24:41"/>
    <n v="1"/>
    <n v="0"/>
  </r>
  <r>
    <n v="1721264"/>
    <x v="18"/>
    <d v="1899-12-30T11:22:29"/>
    <d v="1899-12-30T11:30:05"/>
    <n v="1"/>
    <n v="0"/>
  </r>
  <r>
    <n v="5231877"/>
    <x v="18"/>
    <d v="1899-12-30T11:24:44"/>
    <d v="1899-12-30T11:30:12"/>
    <n v="1"/>
    <n v="0"/>
  </r>
  <r>
    <n v="92414932"/>
    <x v="18"/>
    <d v="1899-12-30T11:32:26"/>
    <d v="1899-12-30T11:44:04"/>
    <n v="0"/>
    <n v="1"/>
  </r>
  <r>
    <n v="3202610"/>
    <x v="18"/>
    <d v="1899-12-30T11:38:49"/>
    <d v="1899-12-30T11:41:12"/>
    <n v="1"/>
    <n v="0"/>
  </r>
  <r>
    <n v="2825289"/>
    <x v="18"/>
    <d v="1899-12-30T11:39:15"/>
    <d v="1899-12-30T11:55:50"/>
    <n v="1"/>
    <n v="0"/>
  </r>
  <r>
    <n v="7915936"/>
    <x v="18"/>
    <d v="1899-12-30T11:46:41"/>
    <d v="1899-12-30T11:57:39"/>
    <n v="1"/>
    <n v="0"/>
  </r>
  <r>
    <n v="3680072"/>
    <x v="18"/>
    <d v="1899-12-30T11:53:41"/>
    <d v="1899-12-30T11:55:55"/>
    <n v="1"/>
    <n v="0"/>
  </r>
  <r>
    <n v="6980867"/>
    <x v="18"/>
    <d v="1899-12-30T11:55:55"/>
    <d v="1899-12-30T12:03:54"/>
    <n v="1"/>
    <n v="0"/>
  </r>
  <r>
    <n v="3656681"/>
    <x v="18"/>
    <d v="1899-12-30T12:01:47"/>
    <d v="1899-12-30T12:12:07"/>
    <n v="1"/>
    <n v="0"/>
  </r>
  <r>
    <n v="4445684"/>
    <x v="18"/>
    <d v="1899-12-30T12:05:12"/>
    <d v="1899-12-30T12:18:31"/>
    <n v="1"/>
    <n v="0"/>
  </r>
  <r>
    <n v="9864502"/>
    <x v="18"/>
    <d v="1899-12-30T12:10:24"/>
    <d v="1899-12-30T12:10:59"/>
    <n v="1"/>
    <n v="0"/>
  </r>
  <r>
    <n v="5881130"/>
    <x v="18"/>
    <d v="1899-12-30T12:15:39"/>
    <d v="1899-12-30T12:23:10"/>
    <n v="1"/>
    <n v="0"/>
  </r>
  <r>
    <n v="2056567"/>
    <x v="18"/>
    <d v="1899-12-30T12:22:31"/>
    <d v="1899-12-30T12:34:31"/>
    <n v="1"/>
    <n v="0"/>
  </r>
  <r>
    <n v="62150310"/>
    <x v="18"/>
    <d v="1899-12-30T12:28:51"/>
    <d v="1899-12-30T12:42:09"/>
    <n v="0"/>
    <n v="1"/>
  </r>
  <r>
    <n v="9340299"/>
    <x v="18"/>
    <d v="1899-12-30T12:29:18"/>
    <d v="1899-12-30T12:30:47"/>
    <n v="1"/>
    <n v="0"/>
  </r>
  <r>
    <n v="3912924"/>
    <x v="18"/>
    <d v="1899-12-30T12:34:06"/>
    <d v="1899-12-30T12:37:50"/>
    <n v="1"/>
    <n v="0"/>
  </r>
  <r>
    <n v="8159466"/>
    <x v="18"/>
    <d v="1899-12-30T12:35:26"/>
    <d v="1899-12-30T12:42:47"/>
    <n v="1"/>
    <n v="0"/>
  </r>
  <r>
    <n v="7467198"/>
    <x v="18"/>
    <d v="1899-12-30T12:43:06"/>
    <d v="1899-12-30T12:53:51"/>
    <n v="1"/>
    <n v="0"/>
  </r>
  <r>
    <n v="4703748"/>
    <x v="18"/>
    <d v="1899-12-30T12:47:45"/>
    <d v="1899-12-30T12:49:45"/>
    <n v="1"/>
    <n v="0"/>
  </r>
  <r>
    <n v="1165705"/>
    <x v="18"/>
    <d v="1899-12-30T12:52:48"/>
    <d v="1899-12-30T12:59:03"/>
    <n v="1"/>
    <n v="0"/>
  </r>
  <r>
    <n v="90762334"/>
    <x v="18"/>
    <d v="1899-12-30T12:59:41"/>
    <d v="1899-12-30T13:02:07"/>
    <n v="0"/>
    <n v="1"/>
  </r>
  <r>
    <n v="16527855"/>
    <x v="18"/>
    <d v="1899-12-30T13:00:24"/>
    <d v="1899-12-30T13:13:57"/>
    <n v="0"/>
    <n v="1"/>
  </r>
  <r>
    <n v="1055495"/>
    <x v="18"/>
    <d v="1899-12-30T13:06:15"/>
    <d v="1899-12-30T13:10:05"/>
    <n v="1"/>
    <n v="0"/>
  </r>
  <r>
    <n v="9120318"/>
    <x v="18"/>
    <d v="1899-12-30T13:07:33"/>
    <d v="1899-12-30T13:07:47"/>
    <n v="1"/>
    <n v="0"/>
  </r>
  <r>
    <n v="4030817"/>
    <x v="18"/>
    <d v="1899-12-30T13:13:20"/>
    <d v="1899-12-30T13:26:50"/>
    <n v="1"/>
    <n v="0"/>
  </r>
  <r>
    <n v="1025756"/>
    <x v="18"/>
    <d v="1899-12-30T13:13:41"/>
    <d v="1899-12-30T13:27:05"/>
    <n v="1"/>
    <n v="0"/>
  </r>
  <r>
    <n v="29880225"/>
    <x v="18"/>
    <d v="1899-12-30T13:14:31"/>
    <d v="1899-12-30T13:25:15"/>
    <n v="0"/>
    <n v="1"/>
  </r>
  <r>
    <n v="4791902"/>
    <x v="18"/>
    <d v="1899-12-30T13:22:21"/>
    <d v="1899-12-30T13:22:51"/>
    <n v="1"/>
    <n v="0"/>
  </r>
  <r>
    <n v="5228419"/>
    <x v="18"/>
    <d v="1899-12-30T13:26:20"/>
    <d v="1899-12-30T13:32:14"/>
    <n v="1"/>
    <n v="0"/>
  </r>
  <r>
    <n v="8991671"/>
    <x v="18"/>
    <d v="1899-12-30T13:30:16"/>
    <d v="1899-12-30T13:33:51"/>
    <n v="1"/>
    <n v="0"/>
  </r>
  <r>
    <n v="8045338707"/>
    <x v="18"/>
    <d v="1899-12-30T13:36:12"/>
    <d v="1899-12-30T13:39:02"/>
    <n v="0"/>
    <n v="0"/>
  </r>
  <r>
    <n v="9192546"/>
    <x v="18"/>
    <d v="1899-12-30T13:44:10"/>
    <d v="1899-12-30T13:49:44"/>
    <n v="1"/>
    <n v="0"/>
  </r>
  <r>
    <n v="9664752"/>
    <x v="18"/>
    <d v="1899-12-30T13:48:55"/>
    <d v="1899-12-30T13:54:52"/>
    <n v="1"/>
    <n v="0"/>
  </r>
  <r>
    <n v="62653835"/>
    <x v="18"/>
    <d v="1899-12-30T13:55:42"/>
    <d v="1899-12-30T14:06:46"/>
    <n v="0"/>
    <n v="1"/>
  </r>
  <r>
    <n v="6087301"/>
    <x v="18"/>
    <d v="1899-12-30T14:03:41"/>
    <d v="1899-12-30T14:19:46"/>
    <n v="1"/>
    <n v="0"/>
  </r>
  <r>
    <n v="3864488"/>
    <x v="18"/>
    <d v="1899-12-30T14:03:52"/>
    <d v="1899-12-30T14:09:11"/>
    <n v="1"/>
    <n v="0"/>
  </r>
  <r>
    <n v="5604405"/>
    <x v="18"/>
    <d v="1899-12-30T14:04:38"/>
    <d v="1899-12-30T14:20:34"/>
    <n v="1"/>
    <n v="0"/>
  </r>
  <r>
    <n v="4774889"/>
    <x v="18"/>
    <d v="1899-12-30T14:05:46"/>
    <d v="1899-12-30T14:16:27"/>
    <n v="1"/>
    <n v="0"/>
  </r>
  <r>
    <n v="4017213"/>
    <x v="18"/>
    <d v="1899-12-30T14:12:53"/>
    <d v="1899-12-30T14:24:30"/>
    <n v="1"/>
    <n v="0"/>
  </r>
  <r>
    <n v="4720934"/>
    <x v="18"/>
    <d v="1899-12-30T14:18:36"/>
    <d v="1899-12-30T14:21:16"/>
    <n v="1"/>
    <n v="0"/>
  </r>
  <r>
    <n v="13494237"/>
    <x v="18"/>
    <d v="1899-12-30T14:26:19"/>
    <d v="1899-12-30T14:41:47"/>
    <n v="0"/>
    <n v="1"/>
  </r>
  <r>
    <n v="71807686"/>
    <x v="18"/>
    <d v="1899-12-30T14:28:53"/>
    <d v="1899-12-30T14:44:19"/>
    <n v="0"/>
    <n v="1"/>
  </r>
  <r>
    <n v="7865609"/>
    <x v="18"/>
    <d v="1899-12-30T14:35:54"/>
    <d v="1899-12-30T14:39:26"/>
    <n v="1"/>
    <n v="0"/>
  </r>
  <r>
    <n v="5318850"/>
    <x v="18"/>
    <d v="1899-12-30T14:39:10"/>
    <d v="1899-12-30T14:44:15"/>
    <n v="1"/>
    <n v="0"/>
  </r>
  <r>
    <n v="63613334"/>
    <x v="18"/>
    <d v="1899-12-30T14:44:04"/>
    <d v="1899-12-30T14:50:22"/>
    <n v="0"/>
    <n v="1"/>
  </r>
  <r>
    <n v="2256093"/>
    <x v="18"/>
    <d v="1899-12-30T14:52:12"/>
    <d v="1899-12-30T14:56:46"/>
    <n v="1"/>
    <n v="0"/>
  </r>
  <r>
    <n v="7421094"/>
    <x v="18"/>
    <d v="1899-12-30T14:55:46"/>
    <d v="1899-12-30T15:00:47"/>
    <n v="1"/>
    <n v="0"/>
  </r>
  <r>
    <n v="5376362"/>
    <x v="18"/>
    <d v="1899-12-30T15:00:45"/>
    <d v="1899-12-30T15:07:35"/>
    <n v="1"/>
    <n v="0"/>
  </r>
  <r>
    <n v="8967842"/>
    <x v="19"/>
    <d v="1899-12-30T08:05:11"/>
    <d v="1899-12-30T08:15:22"/>
    <n v="1"/>
    <n v="0"/>
  </r>
  <r>
    <n v="76644634"/>
    <x v="19"/>
    <d v="1899-12-30T08:05:14"/>
    <d v="1899-12-30T08:06:51"/>
    <n v="0"/>
    <n v="1"/>
  </r>
  <r>
    <n v="7622819"/>
    <x v="19"/>
    <d v="1899-12-30T08:07:10"/>
    <d v="1899-12-30T08:20:31"/>
    <n v="1"/>
    <n v="0"/>
  </r>
  <r>
    <n v="3524259"/>
    <x v="19"/>
    <d v="1899-12-30T08:08:33"/>
    <d v="1899-12-30T08:22:00"/>
    <n v="1"/>
    <n v="0"/>
  </r>
  <r>
    <n v="5550678"/>
    <x v="19"/>
    <d v="1899-12-30T08:16:46"/>
    <d v="1899-12-30T08:31:01"/>
    <n v="1"/>
    <n v="0"/>
  </r>
  <r>
    <n v="41852472"/>
    <x v="19"/>
    <d v="1899-12-30T08:21:30"/>
    <d v="1899-12-30T08:22:09"/>
    <n v="0"/>
    <n v="1"/>
  </r>
  <r>
    <n v="8799570155"/>
    <x v="19"/>
    <d v="1899-12-30T08:23:02"/>
    <d v="1899-12-30T08:29:16"/>
    <n v="0"/>
    <n v="0"/>
  </r>
  <r>
    <n v="9329226"/>
    <x v="19"/>
    <d v="1899-12-30T08:23:46"/>
    <d v="1899-12-30T08:31:17"/>
    <n v="1"/>
    <n v="0"/>
  </r>
  <r>
    <n v="9219408"/>
    <x v="19"/>
    <d v="1899-12-30T08:31:29"/>
    <d v="1899-12-30T08:39:27"/>
    <n v="1"/>
    <n v="0"/>
  </r>
  <r>
    <n v="2163209"/>
    <x v="19"/>
    <d v="1899-12-30T08:34:48"/>
    <d v="1899-12-30T08:49:48"/>
    <n v="1"/>
    <n v="0"/>
  </r>
  <r>
    <n v="98021540"/>
    <x v="19"/>
    <d v="1899-12-30T08:35:37"/>
    <d v="1899-12-30T08:50:26"/>
    <n v="0"/>
    <n v="1"/>
  </r>
  <r>
    <n v="58420185"/>
    <x v="19"/>
    <d v="1899-12-30T08:37:47"/>
    <d v="1899-12-30T08:40:46"/>
    <n v="0"/>
    <n v="1"/>
  </r>
  <r>
    <n v="2188847"/>
    <x v="19"/>
    <d v="1899-12-30T08:43:02"/>
    <d v="1899-12-30T08:48:20"/>
    <n v="1"/>
    <n v="0"/>
  </r>
  <r>
    <n v="2419817"/>
    <x v="19"/>
    <d v="1899-12-30T08:49:28"/>
    <d v="1899-12-30T08:58:55"/>
    <n v="1"/>
    <n v="0"/>
  </r>
  <r>
    <n v="8938444"/>
    <x v="19"/>
    <d v="1899-12-30T08:55:08"/>
    <d v="1899-12-30T08:56:46"/>
    <n v="1"/>
    <n v="0"/>
  </r>
  <r>
    <n v="8512255"/>
    <x v="19"/>
    <d v="1899-12-30T08:57:31"/>
    <d v="1899-12-30T09:06:40"/>
    <n v="1"/>
    <n v="0"/>
  </r>
  <r>
    <n v="7488966"/>
    <x v="19"/>
    <d v="1899-12-30T09:00:12"/>
    <d v="1899-12-30T09:03:36"/>
    <n v="1"/>
    <n v="0"/>
  </r>
  <r>
    <n v="6068132"/>
    <x v="19"/>
    <d v="1899-12-30T09:04:14"/>
    <d v="1899-12-30T09:17:48"/>
    <n v="1"/>
    <n v="0"/>
  </r>
  <r>
    <n v="6131743"/>
    <x v="19"/>
    <d v="1899-12-30T09:11:36"/>
    <d v="1899-12-30T09:17:33"/>
    <n v="1"/>
    <n v="0"/>
  </r>
  <r>
    <n v="71564278"/>
    <x v="19"/>
    <d v="1899-12-30T09:19:26"/>
    <d v="1899-12-30T09:31:48"/>
    <n v="0"/>
    <n v="1"/>
  </r>
  <r>
    <n v="4529192"/>
    <x v="19"/>
    <d v="1899-12-30T09:21:41"/>
    <d v="1899-12-30T09:29:41"/>
    <n v="1"/>
    <n v="0"/>
  </r>
  <r>
    <n v="2193730"/>
    <x v="19"/>
    <d v="1899-12-30T09:25:29"/>
    <d v="1899-12-30T09:37:49"/>
    <n v="1"/>
    <n v="0"/>
  </r>
  <r>
    <n v="3120387"/>
    <x v="19"/>
    <d v="1899-12-30T09:25:58"/>
    <d v="1899-12-30T09:31:04"/>
    <n v="1"/>
    <n v="0"/>
  </r>
  <r>
    <n v="5726531"/>
    <x v="19"/>
    <d v="1899-12-30T09:33:29"/>
    <d v="1899-12-30T09:33:55"/>
    <n v="1"/>
    <n v="0"/>
  </r>
  <r>
    <n v="5076649"/>
    <x v="19"/>
    <d v="1899-12-30T09:34:53"/>
    <d v="1899-12-30T09:42:57"/>
    <n v="1"/>
    <n v="0"/>
  </r>
  <r>
    <n v="98939809"/>
    <x v="19"/>
    <d v="1899-12-30T09:40:00"/>
    <d v="1899-12-30T09:44:38"/>
    <n v="0"/>
    <n v="1"/>
  </r>
  <r>
    <n v="2005653"/>
    <x v="19"/>
    <d v="1899-12-30T09:48:08"/>
    <d v="1899-12-30T10:02:53"/>
    <n v="1"/>
    <n v="0"/>
  </r>
  <r>
    <n v="4659808"/>
    <x v="19"/>
    <d v="1899-12-30T09:49:46"/>
    <d v="1899-12-30T09:54:25"/>
    <n v="1"/>
    <n v="0"/>
  </r>
  <r>
    <n v="60113139"/>
    <x v="19"/>
    <d v="1899-12-30T09:53:41"/>
    <d v="1899-12-30T10:00:45"/>
    <n v="0"/>
    <n v="1"/>
  </r>
  <r>
    <n v="55896338"/>
    <x v="19"/>
    <d v="1899-12-30T09:57:55"/>
    <d v="1899-12-30T10:03:16"/>
    <n v="0"/>
    <n v="1"/>
  </r>
  <r>
    <n v="9747403"/>
    <x v="19"/>
    <d v="1899-12-30T10:06:09"/>
    <d v="1899-12-30T10:16:41"/>
    <n v="1"/>
    <n v="0"/>
  </r>
  <r>
    <n v="5687447"/>
    <x v="19"/>
    <d v="1899-12-30T10:09:03"/>
    <d v="1899-12-30T10:10:54"/>
    <n v="1"/>
    <n v="0"/>
  </r>
  <r>
    <n v="78940032"/>
    <x v="19"/>
    <d v="1899-12-30T10:11:41"/>
    <d v="1899-12-30T10:20:54"/>
    <n v="0"/>
    <n v="1"/>
  </r>
  <r>
    <n v="1094486764"/>
    <x v="19"/>
    <d v="1899-12-30T10:16:03"/>
    <d v="1899-12-30T10:30:12"/>
    <n v="0"/>
    <n v="0"/>
  </r>
  <r>
    <n v="2611045"/>
    <x v="19"/>
    <d v="1899-12-30T10:21:06"/>
    <d v="1899-12-30T10:31:45"/>
    <n v="1"/>
    <n v="0"/>
  </r>
  <r>
    <n v="6047761"/>
    <x v="19"/>
    <d v="1899-12-30T10:24:16"/>
    <d v="1899-12-30T10:35:21"/>
    <n v="1"/>
    <n v="0"/>
  </r>
  <r>
    <n v="4154521"/>
    <x v="19"/>
    <d v="1899-12-30T10:27:09"/>
    <d v="1899-12-30T10:42:04"/>
    <n v="1"/>
    <n v="0"/>
  </r>
  <r>
    <n v="8895257"/>
    <x v="19"/>
    <d v="1899-12-30T10:33:15"/>
    <d v="1899-12-30T10:44:05"/>
    <n v="1"/>
    <n v="0"/>
  </r>
  <r>
    <n v="2199311"/>
    <x v="19"/>
    <d v="1899-12-30T10:40:40"/>
    <d v="1899-12-30T10:41:56"/>
    <n v="1"/>
    <n v="0"/>
  </r>
  <r>
    <n v="17864361"/>
    <x v="19"/>
    <d v="1899-12-30T10:42:19"/>
    <d v="1899-12-30T10:51:39"/>
    <n v="0"/>
    <n v="1"/>
  </r>
  <r>
    <n v="6943996503"/>
    <x v="19"/>
    <d v="1899-12-30T10:48:53"/>
    <d v="1899-12-30T10:57:43"/>
    <n v="0"/>
    <n v="0"/>
  </r>
  <r>
    <n v="9547712"/>
    <x v="19"/>
    <d v="1899-12-30T10:55:52"/>
    <d v="1899-12-30T11:06:08"/>
    <n v="1"/>
    <n v="0"/>
  </r>
  <r>
    <n v="3925701"/>
    <x v="19"/>
    <d v="1899-12-30T10:58:54"/>
    <d v="1899-12-30T11:04:26"/>
    <n v="1"/>
    <n v="0"/>
  </r>
  <r>
    <n v="97317489"/>
    <x v="19"/>
    <d v="1899-12-30T11:06:17"/>
    <d v="1899-12-30T11:11:20"/>
    <n v="0"/>
    <n v="1"/>
  </r>
  <r>
    <n v="78009874"/>
    <x v="19"/>
    <d v="1899-12-30T11:08:10"/>
    <d v="1899-12-30T11:10:15"/>
    <n v="0"/>
    <n v="1"/>
  </r>
  <r>
    <n v="8590206"/>
    <x v="19"/>
    <d v="1899-12-30T11:13:24"/>
    <d v="1899-12-30T11:21:59"/>
    <n v="1"/>
    <n v="0"/>
  </r>
  <r>
    <n v="7273239"/>
    <x v="19"/>
    <d v="1899-12-30T11:18:24"/>
    <d v="1899-12-30T11:31:27"/>
    <n v="1"/>
    <n v="0"/>
  </r>
  <r>
    <n v="9975967"/>
    <x v="19"/>
    <d v="1899-12-30T11:23:21"/>
    <d v="1899-12-30T11:24:54"/>
    <n v="1"/>
    <n v="0"/>
  </r>
  <r>
    <n v="2134315"/>
    <x v="19"/>
    <d v="1899-12-30T11:27:22"/>
    <d v="1899-12-30T11:31:15"/>
    <n v="1"/>
    <n v="0"/>
  </r>
  <r>
    <n v="6919928"/>
    <x v="19"/>
    <d v="1899-12-30T11:28:46"/>
    <d v="1899-12-30T11:42:18"/>
    <n v="1"/>
    <n v="0"/>
  </r>
  <r>
    <n v="45081794"/>
    <x v="19"/>
    <d v="1899-12-30T11:30:10"/>
    <d v="1899-12-30T11:33:54"/>
    <n v="0"/>
    <n v="1"/>
  </r>
  <r>
    <n v="1661633"/>
    <x v="19"/>
    <d v="1899-12-30T11:31:49"/>
    <d v="1899-12-30T11:37:17"/>
    <n v="1"/>
    <n v="0"/>
  </r>
  <r>
    <n v="1639829"/>
    <x v="19"/>
    <d v="1899-12-30T11:33:28"/>
    <d v="1899-12-30T11:42:45"/>
    <n v="1"/>
    <n v="0"/>
  </r>
  <r>
    <n v="8585321"/>
    <x v="19"/>
    <d v="1899-12-30T11:36:24"/>
    <d v="1899-12-30T11:45:33"/>
    <n v="1"/>
    <n v="0"/>
  </r>
  <r>
    <n v="1661643168"/>
    <x v="19"/>
    <d v="1899-12-30T11:39:59"/>
    <d v="1899-12-30T11:43:27"/>
    <n v="0"/>
    <n v="0"/>
  </r>
  <r>
    <n v="5136126"/>
    <x v="19"/>
    <d v="1899-12-30T11:46:18"/>
    <d v="1899-12-30T11:55:28"/>
    <n v="1"/>
    <n v="0"/>
  </r>
  <r>
    <n v="9747700"/>
    <x v="19"/>
    <d v="1899-12-30T11:50:00"/>
    <d v="1899-12-30T12:06:16"/>
    <n v="1"/>
    <n v="0"/>
  </r>
  <r>
    <n v="8387594"/>
    <x v="19"/>
    <d v="1899-12-30T11:51:23"/>
    <d v="1899-12-30T11:55:26"/>
    <n v="1"/>
    <n v="0"/>
  </r>
  <r>
    <n v="65166542"/>
    <x v="19"/>
    <d v="1899-12-30T11:53:35"/>
    <d v="1899-12-30T11:55:13"/>
    <n v="0"/>
    <n v="1"/>
  </r>
  <r>
    <n v="77607017"/>
    <x v="19"/>
    <d v="1899-12-30T11:57:58"/>
    <d v="1899-12-30T12:12:50"/>
    <n v="0"/>
    <n v="1"/>
  </r>
  <r>
    <n v="9028434625"/>
    <x v="19"/>
    <d v="1899-12-30T12:03:00"/>
    <d v="1899-12-30T12:15:51"/>
    <n v="0"/>
    <n v="0"/>
  </r>
  <r>
    <n v="7503173"/>
    <x v="19"/>
    <d v="1899-12-30T12:05:37"/>
    <d v="1899-12-30T12:08:55"/>
    <n v="1"/>
    <n v="0"/>
  </r>
  <r>
    <n v="9039872"/>
    <x v="19"/>
    <d v="1899-12-30T12:11:53"/>
    <d v="1899-12-30T12:24:16"/>
    <n v="1"/>
    <n v="0"/>
  </r>
  <r>
    <n v="45940361"/>
    <x v="19"/>
    <d v="1899-12-30T12:14:09"/>
    <d v="1899-12-30T12:22:08"/>
    <n v="0"/>
    <n v="1"/>
  </r>
  <r>
    <n v="6242177"/>
    <x v="19"/>
    <d v="1899-12-30T12:19:59"/>
    <d v="1899-12-30T12:30:11"/>
    <n v="1"/>
    <n v="0"/>
  </r>
  <r>
    <n v="60454232"/>
    <x v="19"/>
    <d v="1899-12-30T12:21:31"/>
    <d v="1899-12-30T12:35:43"/>
    <n v="0"/>
    <n v="1"/>
  </r>
  <r>
    <n v="4060894"/>
    <x v="19"/>
    <d v="1899-12-30T12:24:55"/>
    <d v="1899-12-30T12:26:37"/>
    <n v="1"/>
    <n v="0"/>
  </r>
  <r>
    <n v="8223406"/>
    <x v="19"/>
    <d v="1899-12-30T12:27:29"/>
    <d v="1899-12-30T12:27:47"/>
    <n v="1"/>
    <n v="0"/>
  </r>
  <r>
    <n v="43109897"/>
    <x v="19"/>
    <d v="1899-12-30T12:35:32"/>
    <d v="1899-12-30T12:45:46"/>
    <n v="0"/>
    <n v="1"/>
  </r>
  <r>
    <n v="95805020"/>
    <x v="19"/>
    <d v="1899-12-30T12:37:29"/>
    <d v="1899-12-30T12:47:35"/>
    <n v="0"/>
    <n v="1"/>
  </r>
  <r>
    <n v="2849439"/>
    <x v="19"/>
    <d v="1899-12-30T12:40:31"/>
    <d v="1899-12-30T12:43:46"/>
    <n v="1"/>
    <n v="0"/>
  </r>
  <r>
    <n v="9589060"/>
    <x v="19"/>
    <d v="1899-12-30T12:47:40"/>
    <d v="1899-12-30T12:55:45"/>
    <n v="1"/>
    <n v="0"/>
  </r>
  <r>
    <n v="2603125"/>
    <x v="19"/>
    <d v="1899-12-30T12:51:00"/>
    <d v="1899-12-30T12:52:48"/>
    <n v="1"/>
    <n v="0"/>
  </r>
  <r>
    <n v="8770898"/>
    <x v="19"/>
    <d v="1899-12-30T12:54:20"/>
    <d v="1899-12-30T13:06:39"/>
    <n v="1"/>
    <n v="0"/>
  </r>
  <r>
    <n v="3224960"/>
    <x v="19"/>
    <d v="1899-12-30T13:00:47"/>
    <d v="1899-12-30T13:11:15"/>
    <n v="1"/>
    <n v="0"/>
  </r>
  <r>
    <n v="4150421"/>
    <x v="19"/>
    <d v="1899-12-30T13:06:14"/>
    <d v="1899-12-30T13:08:32"/>
    <n v="1"/>
    <n v="0"/>
  </r>
  <r>
    <n v="44302763"/>
    <x v="19"/>
    <d v="1899-12-30T13:10:38"/>
    <d v="1899-12-30T13:16:57"/>
    <n v="0"/>
    <n v="1"/>
  </r>
  <r>
    <n v="1922212"/>
    <x v="19"/>
    <d v="1899-12-30T13:16:49"/>
    <d v="1899-12-30T13:31:17"/>
    <n v="1"/>
    <n v="0"/>
  </r>
  <r>
    <n v="9603024"/>
    <x v="19"/>
    <d v="1899-12-30T13:23:37"/>
    <d v="1899-12-30T13:25:18"/>
    <n v="1"/>
    <n v="0"/>
  </r>
  <r>
    <n v="1640513"/>
    <x v="19"/>
    <d v="1899-12-30T13:28:44"/>
    <d v="1899-12-30T13:39:01"/>
    <n v="1"/>
    <n v="0"/>
  </r>
  <r>
    <n v="16592072"/>
    <x v="19"/>
    <d v="1899-12-30T13:36:06"/>
    <d v="1899-12-30T13:51:15"/>
    <n v="0"/>
    <n v="1"/>
  </r>
  <r>
    <n v="4895290"/>
    <x v="19"/>
    <d v="1899-12-30T13:38:14"/>
    <d v="1899-12-30T13:51:24"/>
    <n v="1"/>
    <n v="0"/>
  </r>
  <r>
    <n v="5277660"/>
    <x v="19"/>
    <d v="1899-12-30T13:41:32"/>
    <d v="1899-12-30T13:55:55"/>
    <n v="1"/>
    <n v="0"/>
  </r>
  <r>
    <n v="8715278"/>
    <x v="19"/>
    <d v="1899-12-30T13:42:55"/>
    <d v="1899-12-30T13:50:03"/>
    <n v="1"/>
    <n v="0"/>
  </r>
  <r>
    <n v="1462418"/>
    <x v="19"/>
    <d v="1899-12-30T13:43:29"/>
    <d v="1899-12-30T13:46:16"/>
    <n v="1"/>
    <n v="0"/>
  </r>
  <r>
    <n v="8077806"/>
    <x v="19"/>
    <d v="1899-12-30T13:49:52"/>
    <d v="1899-12-30T14:04:15"/>
    <n v="1"/>
    <n v="0"/>
  </r>
  <r>
    <n v="5759409"/>
    <x v="19"/>
    <d v="1899-12-30T13:52:50"/>
    <d v="1899-12-30T14:04:29"/>
    <n v="1"/>
    <n v="0"/>
  </r>
  <r>
    <n v="6257971"/>
    <x v="19"/>
    <d v="1899-12-30T13:59:58"/>
    <d v="1899-12-30T14:02:58"/>
    <n v="1"/>
    <n v="0"/>
  </r>
  <r>
    <n v="91129571"/>
    <x v="19"/>
    <d v="1899-12-30T14:00:17"/>
    <d v="1899-12-30T14:08:53"/>
    <n v="0"/>
    <n v="1"/>
  </r>
  <r>
    <n v="6884037"/>
    <x v="19"/>
    <d v="1899-12-30T14:08:03"/>
    <d v="1899-12-30T14:15:06"/>
    <n v="1"/>
    <n v="0"/>
  </r>
  <r>
    <n v="6657074"/>
    <x v="19"/>
    <d v="1899-12-30T14:10:07"/>
    <d v="1899-12-30T14:22:59"/>
    <n v="1"/>
    <n v="0"/>
  </r>
  <r>
    <n v="2211277198"/>
    <x v="19"/>
    <d v="1899-12-30T14:15:56"/>
    <d v="1899-12-30T14:24:42"/>
    <n v="0"/>
    <n v="0"/>
  </r>
  <r>
    <n v="26766818"/>
    <x v="19"/>
    <d v="1899-12-30T14:20:57"/>
    <d v="1899-12-30T14:32:18"/>
    <n v="0"/>
    <n v="1"/>
  </r>
  <r>
    <n v="4473835"/>
    <x v="19"/>
    <d v="1899-12-30T14:28:39"/>
    <d v="1899-12-30T14:33:03"/>
    <n v="1"/>
    <n v="0"/>
  </r>
  <r>
    <n v="9941776"/>
    <x v="19"/>
    <d v="1899-12-30T14:34:44"/>
    <d v="1899-12-30T14:38:39"/>
    <n v="1"/>
    <n v="0"/>
  </r>
  <r>
    <n v="9045402"/>
    <x v="19"/>
    <d v="1899-12-30T14:43:03"/>
    <d v="1899-12-30T14:55:01"/>
    <n v="1"/>
    <n v="0"/>
  </r>
  <r>
    <n v="7662302259"/>
    <x v="19"/>
    <d v="1899-12-30T14:46:37"/>
    <d v="1899-12-30T14:58:59"/>
    <n v="0"/>
    <n v="0"/>
  </r>
  <r>
    <n v="2756059784"/>
    <x v="19"/>
    <d v="1899-12-30T14:52:16"/>
    <d v="1899-12-30T14:58:33"/>
    <n v="0"/>
    <n v="0"/>
  </r>
  <r>
    <n v="8667012"/>
    <x v="19"/>
    <d v="1899-12-30T14:55:45"/>
    <d v="1899-12-30T14:59:09"/>
    <n v="1"/>
    <n v="0"/>
  </r>
  <r>
    <n v="34964547"/>
    <x v="19"/>
    <d v="1899-12-30T15:00:02"/>
    <d v="1899-12-30T15:15:28"/>
    <n v="0"/>
    <n v="1"/>
  </r>
  <r>
    <n v="9357185"/>
    <x v="20"/>
    <d v="1899-12-30T08:01:15"/>
    <d v="1899-12-30T08:11:54"/>
    <n v="1"/>
    <n v="0"/>
  </r>
  <r>
    <n v="12471534"/>
    <x v="20"/>
    <d v="1899-12-30T08:08:35"/>
    <d v="1899-12-30T08:14:38"/>
    <n v="0"/>
    <n v="1"/>
  </r>
  <r>
    <n v="1003402"/>
    <x v="20"/>
    <d v="1899-12-30T08:15:03"/>
    <d v="1899-12-30T08:19:21"/>
    <n v="1"/>
    <n v="0"/>
  </r>
  <r>
    <n v="4509550"/>
    <x v="20"/>
    <d v="1899-12-30T08:18:23"/>
    <d v="1899-12-30T08:25:42"/>
    <n v="1"/>
    <n v="0"/>
  </r>
  <r>
    <n v="5356824"/>
    <x v="20"/>
    <d v="1899-12-30T08:26:25"/>
    <d v="1899-12-30T08:31:45"/>
    <n v="1"/>
    <n v="0"/>
  </r>
  <r>
    <n v="4293872"/>
    <x v="20"/>
    <d v="1899-12-30T08:28:48"/>
    <d v="1899-12-30T08:36:10"/>
    <n v="1"/>
    <n v="0"/>
  </r>
  <r>
    <n v="5086182"/>
    <x v="20"/>
    <d v="1899-12-30T08:35:26"/>
    <d v="1899-12-30T08:46:38"/>
    <n v="1"/>
    <n v="0"/>
  </r>
  <r>
    <n v="6175467"/>
    <x v="20"/>
    <d v="1899-12-30T08:38:04"/>
    <d v="1899-12-30T08:51:07"/>
    <n v="1"/>
    <n v="0"/>
  </r>
  <r>
    <n v="2107985"/>
    <x v="20"/>
    <d v="1899-12-30T08:44:05"/>
    <d v="1899-12-30T08:58:11"/>
    <n v="1"/>
    <n v="0"/>
  </r>
  <r>
    <n v="9388066"/>
    <x v="20"/>
    <d v="1899-12-30T08:46:21"/>
    <d v="1899-12-30T08:52:22"/>
    <n v="1"/>
    <n v="0"/>
  </r>
  <r>
    <n v="4614100"/>
    <x v="20"/>
    <d v="1899-12-30T08:49:35"/>
    <d v="1899-12-30T09:01:13"/>
    <n v="1"/>
    <n v="0"/>
  </r>
  <r>
    <n v="8279741"/>
    <x v="20"/>
    <d v="1899-12-30T08:55:15"/>
    <d v="1899-12-30T09:11:36"/>
    <n v="1"/>
    <n v="0"/>
  </r>
  <r>
    <n v="9564752674"/>
    <x v="20"/>
    <d v="1899-12-30T08:56:15"/>
    <d v="1899-12-30T09:02:36"/>
    <n v="0"/>
    <n v="0"/>
  </r>
  <r>
    <n v="1451455"/>
    <x v="20"/>
    <d v="1899-12-30T09:03:05"/>
    <d v="1899-12-30T09:08:55"/>
    <n v="1"/>
    <n v="0"/>
  </r>
  <r>
    <n v="8156713"/>
    <x v="20"/>
    <d v="1899-12-30T09:09:05"/>
    <d v="1899-12-30T09:11:14"/>
    <n v="1"/>
    <n v="0"/>
  </r>
  <r>
    <n v="24024164"/>
    <x v="20"/>
    <d v="1899-12-30T09:09:09"/>
    <d v="1899-12-30T09:10:14"/>
    <n v="0"/>
    <n v="1"/>
  </r>
  <r>
    <n v="75122204"/>
    <x v="20"/>
    <d v="1899-12-30T09:16:26"/>
    <d v="1899-12-30T09:29:31"/>
    <n v="0"/>
    <n v="1"/>
  </r>
  <r>
    <n v="33166727"/>
    <x v="20"/>
    <d v="1899-12-30T09:20:33"/>
    <d v="1899-12-30T09:31:59"/>
    <n v="0"/>
    <n v="1"/>
  </r>
  <r>
    <n v="4293872"/>
    <x v="20"/>
    <d v="1899-12-30T09:21:56"/>
    <d v="1899-12-30T09:32:23"/>
    <n v="1"/>
    <n v="0"/>
  </r>
  <r>
    <n v="3017523"/>
    <x v="20"/>
    <d v="1899-12-30T09:26:32"/>
    <d v="1899-12-30T09:38:37"/>
    <n v="1"/>
    <n v="0"/>
  </r>
  <r>
    <n v="5087484"/>
    <x v="20"/>
    <d v="1899-12-30T09:32:38"/>
    <d v="1899-12-30T09:35:23"/>
    <n v="1"/>
    <n v="0"/>
  </r>
  <r>
    <n v="47615054"/>
    <x v="20"/>
    <d v="1899-12-30T09:34:15"/>
    <d v="1899-12-30T09:36:36"/>
    <n v="0"/>
    <n v="1"/>
  </r>
  <r>
    <n v="7775602353"/>
    <x v="20"/>
    <d v="1899-12-30T09:40:31"/>
    <d v="1899-12-30T09:47:08"/>
    <n v="0"/>
    <n v="0"/>
  </r>
  <r>
    <n v="9533304954"/>
    <x v="20"/>
    <d v="1899-12-30T09:40:44"/>
    <d v="1899-12-30T09:56:14"/>
    <n v="0"/>
    <n v="0"/>
  </r>
  <r>
    <n v="5147651"/>
    <x v="20"/>
    <d v="1899-12-30T09:43:10"/>
    <d v="1899-12-30T09:52:49"/>
    <n v="1"/>
    <n v="0"/>
  </r>
  <r>
    <n v="7564861"/>
    <x v="20"/>
    <d v="1899-12-30T09:46:27"/>
    <d v="1899-12-30T10:02:12"/>
    <n v="1"/>
    <n v="0"/>
  </r>
  <r>
    <n v="8163790"/>
    <x v="20"/>
    <d v="1899-12-30T09:47:20"/>
    <d v="1899-12-30T09:48:11"/>
    <n v="1"/>
    <n v="0"/>
  </r>
  <r>
    <n v="37930610"/>
    <x v="20"/>
    <d v="1899-12-30T09:55:13"/>
    <d v="1899-12-30T10:10:27"/>
    <n v="0"/>
    <n v="1"/>
  </r>
  <r>
    <n v="7518300"/>
    <x v="20"/>
    <d v="1899-12-30T09:55:16"/>
    <d v="1899-12-30T10:01:06"/>
    <n v="1"/>
    <n v="0"/>
  </r>
  <r>
    <n v="9233918039"/>
    <x v="20"/>
    <d v="1899-12-30T09:57:56"/>
    <d v="1899-12-30T10:09:27"/>
    <n v="0"/>
    <n v="0"/>
  </r>
  <r>
    <n v="5744555"/>
    <x v="20"/>
    <d v="1899-12-30T10:02:31"/>
    <d v="1899-12-30T10:14:33"/>
    <n v="1"/>
    <n v="0"/>
  </r>
  <r>
    <n v="17005785"/>
    <x v="20"/>
    <d v="1899-12-30T10:02:59"/>
    <d v="1899-12-30T10:12:02"/>
    <n v="0"/>
    <n v="1"/>
  </r>
  <r>
    <n v="35281950"/>
    <x v="20"/>
    <d v="1899-12-30T10:04:07"/>
    <d v="1899-12-30T10:06:19"/>
    <n v="0"/>
    <n v="1"/>
  </r>
  <r>
    <n v="54840810"/>
    <x v="20"/>
    <d v="1899-12-30T10:06:24"/>
    <d v="1899-12-30T10:11:10"/>
    <n v="0"/>
    <n v="1"/>
  </r>
  <r>
    <n v="3236046"/>
    <x v="20"/>
    <d v="1899-12-30T10:08:22"/>
    <d v="1899-12-30T10:14:43"/>
    <n v="1"/>
    <n v="0"/>
  </r>
  <r>
    <n v="20149106"/>
    <x v="20"/>
    <d v="1899-12-30T10:13:15"/>
    <d v="1899-12-30T10:15:03"/>
    <n v="0"/>
    <n v="1"/>
  </r>
  <r>
    <n v="6124638"/>
    <x v="20"/>
    <d v="1899-12-30T10:21:32"/>
    <d v="1899-12-30T10:35:49"/>
    <n v="1"/>
    <n v="0"/>
  </r>
  <r>
    <n v="1090396060"/>
    <x v="20"/>
    <d v="1899-12-30T10:28:45"/>
    <d v="1899-12-30T10:33:30"/>
    <n v="0"/>
    <n v="0"/>
  </r>
  <r>
    <n v="9355422"/>
    <x v="20"/>
    <d v="1899-12-30T10:29:05"/>
    <d v="1899-12-30T10:39:16"/>
    <n v="1"/>
    <n v="0"/>
  </r>
  <r>
    <n v="9950462"/>
    <x v="20"/>
    <d v="1899-12-30T10:37:06"/>
    <d v="1899-12-30T10:53:02"/>
    <n v="1"/>
    <n v="0"/>
  </r>
  <r>
    <n v="2474506"/>
    <x v="20"/>
    <d v="1899-12-30T10:45:09"/>
    <d v="1899-12-30T11:00:51"/>
    <n v="1"/>
    <n v="0"/>
  </r>
  <r>
    <n v="2462682"/>
    <x v="20"/>
    <d v="1899-12-30T10:51:30"/>
    <d v="1899-12-30T10:51:58"/>
    <n v="1"/>
    <n v="0"/>
  </r>
  <r>
    <n v="8159788"/>
    <x v="20"/>
    <d v="1899-12-30T10:53:45"/>
    <d v="1899-12-30T11:08:03"/>
    <n v="1"/>
    <n v="0"/>
  </r>
  <r>
    <n v="8802222"/>
    <x v="20"/>
    <d v="1899-12-30T10:58:24"/>
    <d v="1899-12-30T11:01:07"/>
    <n v="1"/>
    <n v="0"/>
  </r>
  <r>
    <n v="6384230"/>
    <x v="20"/>
    <d v="1899-12-30T11:00:11"/>
    <d v="1899-12-30T11:15:22"/>
    <n v="1"/>
    <n v="0"/>
  </r>
  <r>
    <n v="48676568"/>
    <x v="20"/>
    <d v="1899-12-30T11:01:37"/>
    <d v="1899-12-30T11:09:58"/>
    <n v="0"/>
    <n v="1"/>
  </r>
  <r>
    <n v="3691457"/>
    <x v="20"/>
    <d v="1899-12-30T11:04:07"/>
    <d v="1899-12-30T11:20:27"/>
    <n v="1"/>
    <n v="0"/>
  </r>
  <r>
    <n v="3263854"/>
    <x v="20"/>
    <d v="1899-12-30T11:06:53"/>
    <d v="1899-12-30T11:08:05"/>
    <n v="1"/>
    <n v="0"/>
  </r>
  <r>
    <n v="8489588"/>
    <x v="20"/>
    <d v="1899-12-30T11:13:58"/>
    <d v="1899-12-30T11:22:54"/>
    <n v="1"/>
    <n v="0"/>
  </r>
  <r>
    <n v="57211290"/>
    <x v="20"/>
    <d v="1899-12-30T11:16:37"/>
    <d v="1899-12-30T11:26:22"/>
    <n v="0"/>
    <n v="1"/>
  </r>
  <r>
    <n v="67748426"/>
    <x v="20"/>
    <d v="1899-12-30T11:19:05"/>
    <d v="1899-12-30T11:23:35"/>
    <n v="0"/>
    <n v="1"/>
  </r>
  <r>
    <n v="7225111"/>
    <x v="20"/>
    <d v="1899-12-30T11:21:20"/>
    <d v="1899-12-30T11:26:04"/>
    <n v="1"/>
    <n v="0"/>
  </r>
  <r>
    <n v="5418543"/>
    <x v="20"/>
    <d v="1899-12-30T11:21:21"/>
    <d v="1899-12-30T11:26:42"/>
    <n v="1"/>
    <n v="0"/>
  </r>
  <r>
    <n v="6439414"/>
    <x v="20"/>
    <d v="1899-12-30T11:21:50"/>
    <d v="1899-12-30T11:29:30"/>
    <n v="1"/>
    <n v="0"/>
  </r>
  <r>
    <n v="3478173"/>
    <x v="20"/>
    <d v="1899-12-30T11:21:57"/>
    <d v="1899-12-30T11:24:56"/>
    <n v="1"/>
    <n v="0"/>
  </r>
  <r>
    <n v="3691457"/>
    <x v="20"/>
    <d v="1899-12-30T11:22:05"/>
    <d v="1899-12-30T11:31:30"/>
    <n v="1"/>
    <n v="0"/>
  </r>
  <r>
    <n v="6717763"/>
    <x v="20"/>
    <d v="1899-12-30T11:29:04"/>
    <d v="1899-12-30T11:38:39"/>
    <n v="1"/>
    <n v="0"/>
  </r>
  <r>
    <n v="61228399"/>
    <x v="20"/>
    <d v="1899-12-30T11:31:58"/>
    <d v="1899-12-30T11:43:08"/>
    <n v="0"/>
    <n v="1"/>
  </r>
  <r>
    <n v="9282166"/>
    <x v="20"/>
    <d v="1899-12-30T11:33:14"/>
    <d v="1899-12-30T11:46:31"/>
    <n v="1"/>
    <n v="0"/>
  </r>
  <r>
    <n v="6426246"/>
    <x v="20"/>
    <d v="1899-12-30T11:33:43"/>
    <d v="1899-12-30T11:41:02"/>
    <n v="1"/>
    <n v="0"/>
  </r>
  <r>
    <n v="8585321"/>
    <x v="20"/>
    <d v="1899-12-30T11:37:19"/>
    <d v="1899-12-30T11:43:47"/>
    <n v="1"/>
    <n v="0"/>
  </r>
  <r>
    <n v="9791237"/>
    <x v="20"/>
    <d v="1899-12-30T11:40:21"/>
    <d v="1899-12-30T11:45:58"/>
    <n v="1"/>
    <n v="0"/>
  </r>
  <r>
    <n v="1830251"/>
    <x v="20"/>
    <d v="1899-12-30T11:44:04"/>
    <d v="1899-12-30T11:56:56"/>
    <n v="1"/>
    <n v="0"/>
  </r>
  <r>
    <n v="42603700"/>
    <x v="20"/>
    <d v="1899-12-30T11:51:30"/>
    <d v="1899-12-30T12:07:31"/>
    <n v="0"/>
    <n v="1"/>
  </r>
  <r>
    <n v="3983714"/>
    <x v="20"/>
    <d v="1899-12-30T11:57:50"/>
    <d v="1899-12-30T12:13:20"/>
    <n v="1"/>
    <n v="0"/>
  </r>
  <r>
    <n v="4520226"/>
    <x v="20"/>
    <d v="1899-12-30T11:58:37"/>
    <d v="1899-12-30T12:15:15"/>
    <n v="1"/>
    <n v="0"/>
  </r>
  <r>
    <n v="6999348"/>
    <x v="20"/>
    <d v="1899-12-30T12:00:57"/>
    <d v="1899-12-30T12:12:56"/>
    <n v="1"/>
    <n v="0"/>
  </r>
  <r>
    <n v="3767866"/>
    <x v="20"/>
    <d v="1899-12-30T12:05:54"/>
    <d v="1899-12-30T12:13:59"/>
    <n v="1"/>
    <n v="0"/>
  </r>
  <r>
    <n v="49342013"/>
    <x v="20"/>
    <d v="1899-12-30T12:05:55"/>
    <d v="1899-12-30T12:07:46"/>
    <n v="0"/>
    <n v="1"/>
  </r>
  <r>
    <n v="6051341"/>
    <x v="20"/>
    <d v="1899-12-30T12:14:07"/>
    <d v="1899-12-30T12:16:11"/>
    <n v="1"/>
    <n v="0"/>
  </r>
  <r>
    <n v="4326245"/>
    <x v="20"/>
    <d v="1899-12-30T12:19:10"/>
    <d v="1899-12-30T12:21:28"/>
    <n v="1"/>
    <n v="0"/>
  </r>
  <r>
    <n v="5356378"/>
    <x v="20"/>
    <d v="1899-12-30T12:26:05"/>
    <d v="1899-12-30T12:28:18"/>
    <n v="1"/>
    <n v="0"/>
  </r>
  <r>
    <n v="1302842"/>
    <x v="20"/>
    <d v="1899-12-30T12:31:44"/>
    <d v="1899-12-30T12:45:32"/>
    <n v="1"/>
    <n v="0"/>
  </r>
  <r>
    <n v="2025194"/>
    <x v="20"/>
    <d v="1899-12-30T12:32:14"/>
    <d v="1899-12-30T12:39:36"/>
    <n v="1"/>
    <n v="0"/>
  </r>
  <r>
    <n v="6703754"/>
    <x v="20"/>
    <d v="1899-12-30T12:34:11"/>
    <d v="1899-12-30T12:35:01"/>
    <n v="1"/>
    <n v="0"/>
  </r>
  <r>
    <n v="86965710"/>
    <x v="20"/>
    <d v="1899-12-30T12:36:14"/>
    <d v="1899-12-30T12:40:41"/>
    <n v="0"/>
    <n v="1"/>
  </r>
  <r>
    <n v="9797571"/>
    <x v="20"/>
    <d v="1899-12-30T12:43:22"/>
    <d v="1899-12-30T12:49:22"/>
    <n v="1"/>
    <n v="0"/>
  </r>
  <r>
    <n v="34628061"/>
    <x v="20"/>
    <d v="1899-12-30T12:46:10"/>
    <d v="1899-12-30T12:48:55"/>
    <n v="0"/>
    <n v="1"/>
  </r>
  <r>
    <n v="6716140"/>
    <x v="20"/>
    <d v="1899-12-30T12:49:42"/>
    <d v="1899-12-30T12:58:52"/>
    <n v="1"/>
    <n v="0"/>
  </r>
  <r>
    <n v="9709339"/>
    <x v="20"/>
    <d v="1899-12-30T12:52:10"/>
    <d v="1899-12-30T13:03:21"/>
    <n v="1"/>
    <n v="0"/>
  </r>
  <r>
    <n v="1331802"/>
    <x v="20"/>
    <d v="1899-12-30T12:54:17"/>
    <d v="1899-12-30T12:59:14"/>
    <n v="1"/>
    <n v="0"/>
  </r>
  <r>
    <n v="9413315"/>
    <x v="20"/>
    <d v="1899-12-30T12:57:03"/>
    <d v="1899-12-30T13:10:08"/>
    <n v="1"/>
    <n v="0"/>
  </r>
  <r>
    <n v="9555643"/>
    <x v="20"/>
    <d v="1899-12-30T12:59:52"/>
    <d v="1899-12-30T13:00:55"/>
    <n v="1"/>
    <n v="0"/>
  </r>
  <r>
    <n v="4824250"/>
    <x v="20"/>
    <d v="1899-12-30T13:07:15"/>
    <d v="1899-12-30T13:18:21"/>
    <n v="1"/>
    <n v="0"/>
  </r>
  <r>
    <n v="3931914"/>
    <x v="20"/>
    <d v="1899-12-30T13:12:55"/>
    <d v="1899-12-30T13:18:30"/>
    <n v="1"/>
    <n v="0"/>
  </r>
  <r>
    <n v="79698655"/>
    <x v="20"/>
    <d v="1899-12-30T13:14:38"/>
    <d v="1899-12-30T13:23:10"/>
    <n v="0"/>
    <n v="1"/>
  </r>
  <r>
    <n v="5387521845"/>
    <x v="20"/>
    <d v="1899-12-30T13:22:20"/>
    <d v="1899-12-30T13:26:24"/>
    <n v="0"/>
    <n v="0"/>
  </r>
  <r>
    <n v="84589848"/>
    <x v="20"/>
    <d v="1899-12-30T13:28:07"/>
    <d v="1899-12-30T13:29:35"/>
    <n v="0"/>
    <n v="1"/>
  </r>
  <r>
    <n v="1927908"/>
    <x v="20"/>
    <d v="1899-12-30T13:32:55"/>
    <d v="1899-12-30T13:44:26"/>
    <n v="1"/>
    <n v="0"/>
  </r>
  <r>
    <n v="7975900"/>
    <x v="20"/>
    <d v="1899-12-30T13:34:47"/>
    <d v="1899-12-30T13:45:20"/>
    <n v="1"/>
    <n v="0"/>
  </r>
  <r>
    <n v="1731500345"/>
    <x v="20"/>
    <d v="1899-12-30T13:39:36"/>
    <d v="1899-12-30T13:53:04"/>
    <n v="0"/>
    <n v="0"/>
  </r>
  <r>
    <n v="5926011"/>
    <x v="20"/>
    <d v="1899-12-30T13:44:40"/>
    <d v="1899-12-30T13:57:39"/>
    <n v="1"/>
    <n v="0"/>
  </r>
  <r>
    <n v="6408952"/>
    <x v="20"/>
    <d v="1899-12-30T13:51:28"/>
    <d v="1899-12-30T14:08:06"/>
    <n v="1"/>
    <n v="0"/>
  </r>
  <r>
    <n v="53370610"/>
    <x v="20"/>
    <d v="1899-12-30T13:52:39"/>
    <d v="1899-12-30T13:55:07"/>
    <n v="0"/>
    <n v="1"/>
  </r>
  <r>
    <n v="8060169"/>
    <x v="20"/>
    <d v="1899-12-30T13:53:24"/>
    <d v="1899-12-30T13:59:38"/>
    <n v="1"/>
    <n v="0"/>
  </r>
  <r>
    <n v="9147613"/>
    <x v="20"/>
    <d v="1899-12-30T13:54:31"/>
    <d v="1899-12-30T13:56:30"/>
    <n v="1"/>
    <n v="0"/>
  </r>
  <r>
    <n v="4505950"/>
    <x v="20"/>
    <d v="1899-12-30T13:57:33"/>
    <d v="1899-12-30T14:05:36"/>
    <n v="1"/>
    <n v="0"/>
  </r>
  <r>
    <n v="3537655"/>
    <x v="20"/>
    <d v="1899-12-30T13:59:20"/>
    <d v="1899-12-30T14:00:12"/>
    <n v="1"/>
    <n v="0"/>
  </r>
  <r>
    <n v="1583683"/>
    <x v="20"/>
    <d v="1899-12-30T14:06:30"/>
    <d v="1899-12-30T14:08:45"/>
    <n v="1"/>
    <n v="0"/>
  </r>
  <r>
    <n v="96302157"/>
    <x v="20"/>
    <d v="1899-12-30T14:10:21"/>
    <d v="1899-12-30T14:19:43"/>
    <n v="0"/>
    <n v="1"/>
  </r>
  <r>
    <n v="1809111"/>
    <x v="20"/>
    <d v="1899-12-30T14:13:47"/>
    <d v="1899-12-30T14:28:39"/>
    <n v="1"/>
    <n v="0"/>
  </r>
  <r>
    <n v="8493652"/>
    <x v="20"/>
    <d v="1899-12-30T14:17:48"/>
    <d v="1899-12-30T14:29:22"/>
    <n v="1"/>
    <n v="0"/>
  </r>
  <r>
    <n v="1026326"/>
    <x v="20"/>
    <d v="1899-12-30T14:20:12"/>
    <d v="1899-12-30T14:24:40"/>
    <n v="1"/>
    <n v="0"/>
  </r>
  <r>
    <n v="1475165"/>
    <x v="20"/>
    <d v="1899-12-30T14:26:51"/>
    <d v="1899-12-30T14:36:20"/>
    <n v="1"/>
    <n v="0"/>
  </r>
  <r>
    <n v="6264844"/>
    <x v="20"/>
    <d v="1899-12-30T14:29:01"/>
    <d v="1899-12-30T14:43:40"/>
    <n v="1"/>
    <n v="0"/>
  </r>
  <r>
    <n v="9861652"/>
    <x v="20"/>
    <d v="1899-12-30T14:31:29"/>
    <d v="1899-12-30T14:41:35"/>
    <n v="1"/>
    <n v="0"/>
  </r>
  <r>
    <n v="5446203"/>
    <x v="20"/>
    <d v="1899-12-30T14:35:53"/>
    <d v="1899-12-30T14:39:06"/>
    <n v="1"/>
    <n v="0"/>
  </r>
  <r>
    <n v="7762020"/>
    <x v="20"/>
    <d v="1899-12-30T14:40:42"/>
    <d v="1899-12-30T14:44:39"/>
    <n v="1"/>
    <n v="0"/>
  </r>
  <r>
    <n v="4045129075"/>
    <x v="20"/>
    <d v="1899-12-30T14:43:08"/>
    <d v="1899-12-30T14:50:20"/>
    <n v="0"/>
    <n v="0"/>
  </r>
  <r>
    <n v="96736796"/>
    <x v="20"/>
    <d v="1899-12-30T14:45:57"/>
    <d v="1899-12-30T14:59:02"/>
    <n v="0"/>
    <n v="1"/>
  </r>
  <r>
    <n v="1035023"/>
    <x v="20"/>
    <d v="1899-12-30T14:50:14"/>
    <d v="1899-12-30T15:02:58"/>
    <n v="1"/>
    <n v="0"/>
  </r>
  <r>
    <n v="9941776"/>
    <x v="20"/>
    <d v="1899-12-30T14:57:07"/>
    <d v="1899-12-30T14:57:17"/>
    <n v="1"/>
    <n v="0"/>
  </r>
  <r>
    <n v="6401011"/>
    <x v="20"/>
    <d v="1899-12-30T15:02:47"/>
    <d v="1899-12-30T15:04:52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0F628-9883-436E-B640-53A937D42412}" name="Tabela przestawna2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5:H1840" firstHeaderRow="1" firstDataRow="1" firstDataCol="1" rowPageCount="1" colPageCount="1"/>
  <pivotFields count="5">
    <pivotField axis="axisRow" showAll="0" sortType="descending">
      <items count="1835">
        <item x="1749"/>
        <item x="913"/>
        <item x="1641"/>
        <item x="1826"/>
        <item x="1833"/>
        <item x="1211"/>
        <item x="1578"/>
        <item x="1638"/>
        <item x="1208"/>
        <item x="228"/>
        <item x="783"/>
        <item x="908"/>
        <item x="70"/>
        <item x="978"/>
        <item x="1599"/>
        <item x="1177"/>
        <item x="239"/>
        <item x="622"/>
        <item x="955"/>
        <item x="266"/>
        <item x="1323"/>
        <item x="1534"/>
        <item x="1635"/>
        <item x="1254"/>
        <item x="1574"/>
        <item x="1501"/>
        <item x="989"/>
        <item x="832"/>
        <item x="942"/>
        <item x="543"/>
        <item x="1479"/>
        <item x="650"/>
        <item x="494"/>
        <item x="440"/>
        <item x="967"/>
        <item x="668"/>
        <item x="200"/>
        <item x="318"/>
        <item x="519"/>
        <item x="953"/>
        <item x="1155"/>
        <item x="112"/>
        <item x="632"/>
        <item x="524"/>
        <item x="1206"/>
        <item x="1289"/>
        <item x="148"/>
        <item x="902"/>
        <item x="1802"/>
        <item x="825"/>
        <item x="1127"/>
        <item x="329"/>
        <item x="1810"/>
        <item x="579"/>
        <item x="929"/>
        <item x="439"/>
        <item x="1489"/>
        <item x="1109"/>
        <item x="795"/>
        <item x="1375"/>
        <item x="540"/>
        <item x="285"/>
        <item x="1078"/>
        <item x="1589"/>
        <item x="1232"/>
        <item x="876"/>
        <item x="1430"/>
        <item x="948"/>
        <item x="31"/>
        <item x="258"/>
        <item x="1758"/>
        <item x="634"/>
        <item x="1432"/>
        <item x="201"/>
        <item x="1734"/>
        <item x="1059"/>
        <item x="1265"/>
        <item x="1612"/>
        <item x="980"/>
        <item x="1343"/>
        <item x="1827"/>
        <item x="60"/>
        <item x="891"/>
        <item x="20"/>
        <item x="1284"/>
        <item x="1220"/>
        <item x="87"/>
        <item x="904"/>
        <item x="1524"/>
        <item x="836"/>
        <item x="1006"/>
        <item x="1273"/>
        <item x="213"/>
        <item x="161"/>
        <item x="968"/>
        <item x="1068"/>
        <item x="469"/>
        <item x="988"/>
        <item x="95"/>
        <item x="685"/>
        <item x="882"/>
        <item x="1228"/>
        <item x="1704"/>
        <item x="411"/>
        <item x="1730"/>
        <item x="852"/>
        <item x="272"/>
        <item x="899"/>
        <item x="1393"/>
        <item x="889"/>
        <item x="1500"/>
        <item x="716"/>
        <item x="964"/>
        <item x="881"/>
        <item x="72"/>
        <item x="115"/>
        <item x="182"/>
        <item x="1618"/>
        <item x="428"/>
        <item x="1392"/>
        <item x="1396"/>
        <item x="1160"/>
        <item x="131"/>
        <item x="1263"/>
        <item x="788"/>
        <item x="446"/>
        <item x="17"/>
        <item x="216"/>
        <item x="851"/>
        <item x="1824"/>
        <item x="620"/>
        <item x="417"/>
        <item x="737"/>
        <item x="1374"/>
        <item x="1510"/>
        <item x="1794"/>
        <item x="142"/>
        <item x="1413"/>
        <item x="46"/>
        <item x="1548"/>
        <item x="219"/>
        <item x="1603"/>
        <item x="1131"/>
        <item x="198"/>
        <item x="572"/>
        <item x="1139"/>
        <item x="1728"/>
        <item x="33"/>
        <item x="1815"/>
        <item x="249"/>
        <item x="307"/>
        <item x="1428"/>
        <item x="773"/>
        <item x="1022"/>
        <item x="1803"/>
        <item x="61"/>
        <item x="1225"/>
        <item x="1628"/>
        <item x="1531"/>
        <item x="834"/>
        <item x="995"/>
        <item x="1144"/>
        <item x="800"/>
        <item x="1593"/>
        <item x="281"/>
        <item x="1368"/>
        <item x="1753"/>
        <item x="533"/>
        <item x="623"/>
        <item x="1475"/>
        <item x="694"/>
        <item x="1516"/>
        <item x="1702"/>
        <item x="1333"/>
        <item x="819"/>
        <item x="1047"/>
        <item x="104"/>
        <item x="209"/>
        <item x="1671"/>
        <item x="252"/>
        <item x="1465"/>
        <item x="1251"/>
        <item x="1673"/>
        <item x="1681"/>
        <item x="1693"/>
        <item x="324"/>
        <item x="627"/>
        <item x="94"/>
        <item x="1442"/>
        <item x="661"/>
        <item x="546"/>
        <item x="140"/>
        <item x="1661"/>
        <item x="1595"/>
        <item x="1194"/>
        <item x="1091"/>
        <item x="504"/>
        <item x="1045"/>
        <item x="1488"/>
        <item x="389"/>
        <item x="814"/>
        <item x="817"/>
        <item x="1262"/>
        <item x="1446"/>
        <item x="1594"/>
        <item x="340"/>
        <item x="346"/>
        <item x="1565"/>
        <item x="1398"/>
        <item x="1116"/>
        <item x="1165"/>
        <item x="688"/>
        <item x="1020"/>
        <item x="1674"/>
        <item x="638"/>
        <item x="300"/>
        <item x="970"/>
        <item x="1503"/>
        <item x="1040"/>
        <item x="1781"/>
        <item x="306"/>
        <item x="1780"/>
        <item x="1060"/>
        <item x="514"/>
        <item x="541"/>
        <item x="698"/>
        <item x="189"/>
        <item x="1449"/>
        <item x="159"/>
        <item x="1356"/>
        <item x="874"/>
        <item x="407"/>
        <item x="1434"/>
        <item x="1335"/>
        <item x="633"/>
        <item x="880"/>
        <item x="996"/>
        <item x="1330"/>
        <item x="983"/>
        <item x="1723"/>
        <item x="1579"/>
        <item x="1690"/>
        <item x="422"/>
        <item x="21"/>
        <item x="1145"/>
        <item x="79"/>
        <item x="1388"/>
        <item x="946"/>
        <item x="936"/>
        <item x="958"/>
        <item x="43"/>
        <item x="969"/>
        <item x="180"/>
        <item x="1506"/>
        <item x="1334"/>
        <item x="1304"/>
        <item x="392"/>
        <item x="1292"/>
        <item x="503"/>
        <item x="1113"/>
        <item x="907"/>
        <item x="196"/>
        <item x="1230"/>
        <item x="1149"/>
        <item x="1380"/>
        <item x="594"/>
        <item x="261"/>
        <item x="283"/>
        <item x="370"/>
        <item x="1621"/>
        <item x="435"/>
        <item x="538"/>
        <item x="721"/>
        <item x="515"/>
        <item x="1179"/>
        <item x="985"/>
        <item x="1721"/>
        <item x="1373"/>
        <item x="824"/>
        <item x="1414"/>
        <item x="1112"/>
        <item x="237"/>
        <item x="1402"/>
        <item x="1280"/>
        <item x="69"/>
        <item x="583"/>
        <item x="1264"/>
        <item x="1318"/>
        <item x="1331"/>
        <item x="551"/>
        <item x="508"/>
        <item x="1276"/>
        <item x="815"/>
        <item x="517"/>
        <item x="658"/>
        <item x="227"/>
        <item x="1617"/>
        <item x="748"/>
        <item x="393"/>
        <item x="1477"/>
        <item x="614"/>
        <item x="338"/>
        <item x="333"/>
        <item x="571"/>
        <item x="1042"/>
        <item x="1141"/>
        <item x="175"/>
        <item x="1602"/>
        <item x="53"/>
        <item x="166"/>
        <item x="1056"/>
        <item x="1202"/>
        <item x="1682"/>
        <item x="1028"/>
        <item x="157"/>
        <item x="114"/>
        <item x="835"/>
        <item x="1176"/>
        <item x="1517"/>
        <item x="1173"/>
        <item x="741"/>
        <item x="1159"/>
        <item x="474"/>
        <item x="205"/>
        <item x="122"/>
        <item x="609"/>
        <item x="1560"/>
        <item x="1445"/>
        <item x="750"/>
        <item x="567"/>
        <item x="1471"/>
        <item x="1620"/>
        <item x="769"/>
        <item x="326"/>
        <item x="1725"/>
        <item x="804"/>
        <item x="1774"/>
        <item x="1586"/>
        <item x="641"/>
        <item x="511"/>
        <item x="1784"/>
        <item x="909"/>
        <item x="1014"/>
        <item x="841"/>
        <item x="1327"/>
        <item x="871"/>
        <item x="128"/>
        <item x="744"/>
        <item x="926"/>
        <item x="12"/>
        <item x="1009"/>
        <item x="779"/>
        <item x="293"/>
        <item x="57"/>
        <item x="1203"/>
        <item x="677"/>
        <item x="670"/>
        <item x="218"/>
        <item x="1075"/>
        <item x="768"/>
        <item x="169"/>
        <item x="693"/>
        <item x="1558"/>
        <item x="359"/>
        <item x="692"/>
        <item x="828"/>
        <item x="397"/>
        <item x="1366"/>
        <item x="872"/>
        <item x="792"/>
        <item x="625"/>
        <item x="530"/>
        <item x="64"/>
        <item x="1231"/>
        <item x="44"/>
        <item x="1666"/>
        <item x="441"/>
        <item x="55"/>
        <item x="1533"/>
        <item x="1822"/>
        <item x="0"/>
        <item x="774"/>
        <item x="1090"/>
        <item x="1128"/>
        <item x="1087"/>
        <item x="315"/>
        <item x="599"/>
        <item x="433"/>
        <item x="1480"/>
        <item x="564"/>
        <item x="1365"/>
        <item x="1325"/>
        <item x="1378"/>
        <item x="1537"/>
        <item x="862"/>
        <item x="1444"/>
        <item x="759"/>
        <item x="1623"/>
        <item x="1443"/>
        <item x="1241"/>
        <item x="863"/>
        <item x="42"/>
        <item x="1198"/>
        <item x="596"/>
        <item x="1381"/>
        <item x="1597"/>
        <item x="1196"/>
        <item x="1571"/>
        <item x="733"/>
        <item x="394"/>
        <item x="1798"/>
        <item x="78"/>
        <item x="894"/>
        <item x="240"/>
        <item x="1259"/>
        <item x="375"/>
        <item x="649"/>
        <item x="558"/>
        <item x="1137"/>
        <item x="1120"/>
        <item x="1295"/>
        <item x="993"/>
        <item x="1651"/>
        <item x="45"/>
        <item x="415"/>
        <item x="1410"/>
        <item x="1631"/>
        <item x="1270"/>
        <item x="421"/>
        <item x="1697"/>
        <item x="160"/>
        <item x="1812"/>
        <item x="532"/>
        <item x="549"/>
        <item x="464"/>
        <item x="15"/>
        <item x="1495"/>
        <item x="1473"/>
        <item x="1351"/>
        <item x="1187"/>
        <item x="1296"/>
        <item x="1796"/>
        <item x="726"/>
        <item x="108"/>
        <item x="793"/>
        <item x="345"/>
        <item x="628"/>
        <item x="1654"/>
        <item x="1613"/>
        <item x="1640"/>
        <item x="1169"/>
        <item x="204"/>
        <item x="943"/>
        <item x="1303"/>
        <item x="554"/>
        <item x="1718"/>
        <item x="720"/>
        <item x="1118"/>
        <item x="1018"/>
        <item x="1065"/>
        <item x="1564"/>
        <item x="25"/>
        <item x="1175"/>
        <item x="1469"/>
        <item x="372"/>
        <item x="675"/>
        <item x="270"/>
        <item x="419"/>
        <item x="294"/>
        <item x="738"/>
        <item x="497"/>
        <item x="39"/>
        <item x="481"/>
        <item x="1726"/>
        <item x="1554"/>
        <item x="77"/>
        <item x="119"/>
        <item x="192"/>
        <item x="937"/>
        <item x="822"/>
        <item x="624"/>
        <item x="1039"/>
        <item x="451"/>
        <item x="763"/>
        <item x="893"/>
        <item x="93"/>
        <item x="109"/>
        <item x="3"/>
        <item x="491"/>
        <item x="1395"/>
        <item x="595"/>
        <item x="63"/>
        <item x="784"/>
        <item x="321"/>
        <item x="1329"/>
        <item x="1359"/>
        <item x="1281"/>
        <item x="1153"/>
        <item x="1545"/>
        <item x="1800"/>
        <item x="251"/>
        <item x="1319"/>
        <item x="194"/>
        <item x="938"/>
        <item x="117"/>
        <item x="1214"/>
        <item x="1288"/>
        <item x="1580"/>
        <item x="172"/>
        <item x="1504"/>
        <item x="388"/>
        <item x="645"/>
        <item x="1543"/>
        <item x="1278"/>
        <item x="1275"/>
        <item x="1625"/>
        <item x="914"/>
        <item x="1025"/>
        <item x="1054"/>
        <item x="408"/>
        <item x="257"/>
        <item x="830"/>
        <item x="714"/>
        <item x="1454"/>
        <item x="1267"/>
        <item x="875"/>
        <item x="562"/>
        <item x="1450"/>
        <item x="1750"/>
        <item x="1797"/>
        <item x="1024"/>
        <item x="186"/>
        <item x="1680"/>
        <item x="998"/>
        <item x="1"/>
        <item x="80"/>
        <item x="556"/>
        <item x="850"/>
        <item x="1199"/>
        <item x="712"/>
        <item x="1522"/>
        <item x="1136"/>
        <item x="1755"/>
        <item x="113"/>
        <item x="463"/>
        <item x="427"/>
        <item x="41"/>
        <item x="1684"/>
        <item x="1266"/>
        <item x="314"/>
        <item x="99"/>
        <item x="1135"/>
        <item x="384"/>
        <item x="1634"/>
        <item x="1050"/>
        <item x="1655"/>
        <item x="310"/>
        <item x="327"/>
        <item x="124"/>
        <item x="488"/>
        <item x="1344"/>
        <item x="1653"/>
        <item x="1055"/>
        <item x="37"/>
        <item x="1643"/>
        <item x="1301"/>
        <item x="1811"/>
        <item x="207"/>
        <item x="1423"/>
        <item x="525"/>
        <item x="254"/>
        <item x="1132"/>
        <item x="973"/>
        <item x="505"/>
        <item x="1585"/>
        <item x="516"/>
        <item x="1497"/>
        <item x="351"/>
        <item x="709"/>
        <item x="1732"/>
        <item x="457"/>
        <item x="1077"/>
        <item x="1189"/>
        <item x="547"/>
        <item x="1386"/>
        <item x="648"/>
        <item x="639"/>
        <item x="1552"/>
        <item x="454"/>
        <item x="1577"/>
        <item x="1223"/>
        <item x="460"/>
        <item x="170"/>
        <item x="1485"/>
        <item x="1126"/>
        <item x="734"/>
        <item x="280"/>
        <item x="263"/>
        <item x="467"/>
        <item x="725"/>
        <item x="912"/>
        <item x="1205"/>
        <item x="1167"/>
        <item x="582"/>
        <item x="330"/>
        <item x="1079"/>
        <item x="654"/>
        <item x="320"/>
        <item x="1294"/>
        <item x="975"/>
        <item x="246"/>
        <item x="1509"/>
        <item x="1752"/>
        <item x="462"/>
        <item x="1763"/>
        <item x="591"/>
        <item x="663"/>
        <item x="442"/>
        <item x="643"/>
        <item x="156"/>
        <item x="1707"/>
        <item x="1218"/>
        <item x="858"/>
        <item x="437"/>
        <item x="577"/>
        <item x="447"/>
        <item x="947"/>
        <item x="390"/>
        <item x="138"/>
        <item x="1370"/>
        <item x="1379"/>
        <item x="588"/>
        <item x="1644"/>
        <item x="1518"/>
        <item x="1240"/>
        <item x="1021"/>
        <item x="597"/>
        <item x="671"/>
        <item x="86"/>
        <item x="1186"/>
        <item x="826"/>
        <item x="752"/>
        <item x="865"/>
        <item x="1384"/>
        <item x="1152"/>
        <item x="224"/>
        <item x="1659"/>
        <item x="570"/>
        <item x="526"/>
        <item x="1437"/>
        <item x="1801"/>
        <item x="1751"/>
        <item x="860"/>
        <item x="957"/>
        <item x="1663"/>
        <item x="1222"/>
        <item x="782"/>
        <item x="412"/>
        <item x="1788"/>
        <item x="1457"/>
        <item x="1829"/>
        <item x="484"/>
        <item x="927"/>
        <item x="1556"/>
        <item x="979"/>
        <item x="1358"/>
        <item x="823"/>
        <item x="356"/>
        <item x="165"/>
        <item x="406"/>
        <item x="811"/>
        <item x="103"/>
        <item x="855"/>
        <item x="780"/>
        <item x="982"/>
        <item x="1667"/>
        <item x="1512"/>
        <item x="1073"/>
        <item x="1652"/>
        <item x="1143"/>
        <item x="1164"/>
        <item x="1326"/>
        <item x="1353"/>
        <item x="373"/>
        <item x="234"/>
        <item x="1528"/>
        <item x="1269"/>
        <item x="1687"/>
        <item x="264"/>
        <item x="1438"/>
        <item x="939"/>
        <item x="1683"/>
        <item x="1200"/>
        <item x="760"/>
        <item x="1771"/>
        <item x="928"/>
        <item x="878"/>
        <item x="565"/>
        <item x="920"/>
        <item x="1736"/>
        <item x="100"/>
        <item x="868"/>
        <item x="589"/>
        <item x="900"/>
        <item x="559"/>
        <item x="8"/>
        <item x="259"/>
        <item x="776"/>
        <item x="575"/>
        <item x="1297"/>
        <item x="1385"/>
        <item x="791"/>
        <item x="322"/>
        <item x="287"/>
        <item x="1627"/>
        <item x="1431"/>
        <item x="527"/>
        <item x="276"/>
        <item x="1590"/>
        <item x="1134"/>
        <item x="1029"/>
        <item x="67"/>
        <item x="838"/>
        <item x="1818"/>
        <item x="1435"/>
        <item x="465"/>
        <item x="1313"/>
        <item x="1209"/>
        <item x="884"/>
        <item x="336"/>
        <item x="317"/>
        <item x="146"/>
        <item x="626"/>
        <item x="1397"/>
        <item x="801"/>
        <item x="267"/>
        <item x="1416"/>
        <item x="809"/>
        <item x="1536"/>
        <item x="1061"/>
        <item x="1012"/>
        <item x="806"/>
        <item x="260"/>
        <item x="269"/>
        <item x="1691"/>
        <item x="49"/>
        <item x="987"/>
        <item x="1799"/>
        <item x="1600"/>
        <item x="1407"/>
        <item x="1575"/>
        <item x="537"/>
        <item x="1181"/>
        <item x="1226"/>
        <item x="972"/>
        <item x="1650"/>
        <item x="85"/>
        <item x="485"/>
        <item x="1776"/>
        <item x="1678"/>
        <item x="1461"/>
        <item x="895"/>
        <item x="279"/>
        <item x="691"/>
        <item x="75"/>
        <item x="1290"/>
        <item x="762"/>
        <item x="603"/>
        <item x="1103"/>
        <item x="1549"/>
        <item x="1614"/>
        <item x="152"/>
        <item x="1716"/>
        <item x="522"/>
        <item x="1737"/>
        <item x="1455"/>
        <item x="590"/>
        <item x="890"/>
        <item x="352"/>
        <item x="718"/>
        <item x="680"/>
        <item x="1070"/>
        <item x="1354"/>
        <item x="1260"/>
        <item x="26"/>
        <item x="1535"/>
        <item x="1615"/>
        <item x="974"/>
        <item x="400"/>
        <item x="1089"/>
        <item x="475"/>
        <item x="940"/>
        <item x="1243"/>
        <item x="619"/>
        <item x="477"/>
        <item x="1783"/>
        <item x="1086"/>
        <item x="1547"/>
        <item x="1256"/>
        <item x="302"/>
        <item x="1215"/>
        <item x="1792"/>
        <item x="1291"/>
        <item x="1789"/>
        <item x="898"/>
        <item x="604"/>
        <item x="1424"/>
        <item x="529"/>
        <item x="534"/>
        <item x="552"/>
        <item x="1272"/>
        <item x="1484"/>
        <item x="1505"/>
        <item x="144"/>
        <item x="1117"/>
        <item x="309"/>
        <item x="831"/>
        <item x="1184"/>
        <item x="1147"/>
        <item x="1093"/>
        <item x="1191"/>
        <item x="1052"/>
        <item x="358"/>
        <item x="854"/>
        <item x="569"/>
        <item x="1332"/>
        <item x="1094"/>
        <item x="1487"/>
        <item x="215"/>
        <item x="304"/>
        <item x="73"/>
        <item x="206"/>
        <item x="301"/>
        <item x="1804"/>
        <item x="506"/>
        <item x="233"/>
        <item x="1808"/>
        <item x="1474"/>
        <item x="141"/>
        <item x="1146"/>
        <item x="859"/>
        <item x="127"/>
        <item x="923"/>
        <item x="802"/>
        <item x="429"/>
        <item x="704"/>
        <item x="1044"/>
        <item x="449"/>
        <item x="143"/>
        <item x="846"/>
        <item x="742"/>
        <item x="466"/>
        <item x="915"/>
        <item x="424"/>
        <item x="296"/>
        <item x="640"/>
        <item x="601"/>
        <item x="1598"/>
        <item x="1115"/>
        <item x="91"/>
        <item x="106"/>
        <item x="1439"/>
        <item x="1526"/>
        <item x="1739"/>
        <item x="1427"/>
        <item x="1233"/>
        <item x="1096"/>
        <item x="52"/>
        <item x="1499"/>
        <item x="1310"/>
        <item x="1568"/>
        <item x="2"/>
        <item x="158"/>
        <item x="1703"/>
        <item x="74"/>
        <item x="866"/>
        <item x="211"/>
        <item x="729"/>
        <item x="1425"/>
        <item x="1249"/>
        <item x="1227"/>
        <item x="452"/>
        <item x="1611"/>
        <item x="24"/>
        <item x="208"/>
        <item x="751"/>
        <item x="1624"/>
        <item x="520"/>
        <item x="592"/>
        <item x="1026"/>
        <item x="867"/>
        <item x="1346"/>
        <item x="747"/>
        <item x="1172"/>
        <item x="236"/>
        <item x="901"/>
        <item x="630"/>
        <item x="232"/>
        <item x="225"/>
        <item x="723"/>
        <item x="1244"/>
        <item x="584"/>
        <item x="1217"/>
        <item x="931"/>
        <item x="971"/>
        <item x="89"/>
        <item x="1023"/>
        <item x="92"/>
        <item x="767"/>
        <item x="539"/>
        <item x="349"/>
        <item x="888"/>
        <item x="1787"/>
        <item x="1389"/>
        <item x="1508"/>
        <item x="179"/>
        <item x="665"/>
        <item x="1700"/>
        <item x="443"/>
        <item x="557"/>
        <item x="1156"/>
        <item x="803"/>
        <item x="1114"/>
        <item x="1285"/>
        <item x="456"/>
        <item x="961"/>
        <item x="1261"/>
        <item x="1057"/>
        <item x="644"/>
        <item x="1140"/>
        <item x="1107"/>
        <item x="616"/>
        <item x="799"/>
        <item x="740"/>
        <item x="711"/>
        <item x="856"/>
        <item x="22"/>
        <item x="1662"/>
        <item x="155"/>
        <item x="432"/>
        <item x="887"/>
        <item x="277"/>
        <item x="1309"/>
        <item x="1391"/>
        <item x="1633"/>
        <item x="1150"/>
        <item x="598"/>
        <item x="736"/>
        <item x="1677"/>
        <item x="1713"/>
        <item x="312"/>
        <item x="941"/>
        <item x="790"/>
        <item x="1515"/>
        <item x="962"/>
        <item x="1769"/>
        <item x="1247"/>
        <item x="1559"/>
        <item x="1767"/>
        <item x="1098"/>
        <item x="1072"/>
        <item x="226"/>
        <item x="1538"/>
        <item x="1429"/>
        <item x="1142"/>
        <item x="1481"/>
        <item x="1019"/>
        <item x="820"/>
        <item x="1100"/>
        <item x="378"/>
        <item x="354"/>
        <item x="1102"/>
        <item x="1133"/>
        <item x="1405"/>
        <item x="374"/>
        <item x="473"/>
        <item x="50"/>
        <item x="715"/>
        <item x="810"/>
        <item x="580"/>
        <item x="105"/>
        <item x="1066"/>
        <item x="1830"/>
        <item x="732"/>
        <item x="667"/>
        <item x="116"/>
        <item x="1207"/>
        <item x="409"/>
        <item x="1274"/>
        <item x="1033"/>
        <item x="771"/>
        <item x="512"/>
        <item x="71"/>
        <item x="1174"/>
        <item x="18"/>
        <item x="984"/>
        <item x="405"/>
        <item x="696"/>
        <item x="1460"/>
        <item x="1058"/>
        <item x="1658"/>
        <item x="965"/>
        <item x="323"/>
        <item x="861"/>
        <item x="1482"/>
        <item x="646"/>
        <item x="1312"/>
        <item x="171"/>
        <item x="414"/>
        <item x="1622"/>
        <item x="1399"/>
        <item x="755"/>
        <item x="664"/>
        <item x="1400"/>
        <item x="1138"/>
        <item x="197"/>
        <item x="1486"/>
        <item x="1816"/>
        <item x="348"/>
        <item x="700"/>
        <item x="1498"/>
        <item x="951"/>
        <item x="1521"/>
        <item x="1377"/>
        <item x="789"/>
        <item x="241"/>
        <item x="1532"/>
        <item x="844"/>
        <item x="699"/>
        <item x="922"/>
        <item x="476"/>
        <item x="1357"/>
        <item x="1820"/>
        <item x="328"/>
        <item x="381"/>
        <item x="1735"/>
        <item x="925"/>
        <item x="137"/>
        <item x="483"/>
        <item x="1337"/>
        <item x="1037"/>
        <item x="121"/>
        <item x="531"/>
        <item x="1759"/>
        <item x="1632"/>
        <item x="945"/>
        <item x="1782"/>
        <item x="363"/>
        <item x="376"/>
        <item x="510"/>
        <item x="191"/>
        <item x="1182"/>
        <item x="66"/>
        <item x="1719"/>
        <item x="164"/>
        <item x="681"/>
        <item x="687"/>
        <item x="51"/>
        <item x="1083"/>
        <item x="434"/>
        <item x="1212"/>
        <item x="918"/>
        <item x="960"/>
        <item x="509"/>
        <item x="785"/>
        <item x="1756"/>
        <item x="1436"/>
        <item x="903"/>
        <item x="14"/>
        <item x="490"/>
        <item x="1235"/>
        <item x="857"/>
        <item x="1221"/>
        <item x="292"/>
        <item x="238"/>
        <item x="101"/>
        <item x="136"/>
        <item x="1709"/>
        <item x="342"/>
        <item x="1320"/>
        <item x="334"/>
        <item x="1311"/>
        <item x="401"/>
        <item x="636"/>
        <item x="383"/>
        <item x="147"/>
        <item x="174"/>
        <item x="203"/>
        <item x="1352"/>
        <item x="273"/>
        <item x="1124"/>
        <item x="1785"/>
        <item x="1825"/>
        <item x="76"/>
        <item x="816"/>
        <item x="1197"/>
        <item x="1540"/>
        <item x="65"/>
        <item x="1676"/>
        <item x="29"/>
        <item x="1576"/>
        <item x="1234"/>
        <item x="445"/>
        <item x="1705"/>
        <item x="1699"/>
        <item x="1258"/>
        <item x="6"/>
        <item x="313"/>
        <item x="1463"/>
        <item x="455"/>
        <item x="869"/>
        <item x="652"/>
        <item x="1745"/>
        <item x="992"/>
        <item x="586"/>
        <item x="523"/>
        <item x="1123"/>
        <item x="1148"/>
        <item x="1733"/>
        <item x="999"/>
        <item x="1467"/>
        <item x="1507"/>
        <item x="933"/>
        <item x="833"/>
        <item x="770"/>
        <item x="289"/>
        <item x="1724"/>
        <item x="1478"/>
        <item x="1005"/>
        <item x="107"/>
        <item x="655"/>
        <item x="154"/>
        <item x="697"/>
        <item x="1458"/>
        <item x="798"/>
        <item x="1419"/>
        <item x="368"/>
        <item x="499"/>
        <item x="507"/>
        <item x="1406"/>
        <item x="1591"/>
        <item x="126"/>
        <item x="1692"/>
        <item x="1339"/>
        <item x="735"/>
        <item x="1408"/>
        <item x="1675"/>
        <item x="1201"/>
        <item x="1490"/>
        <item x="1664"/>
        <item x="1239"/>
        <item x="605"/>
        <item x="1035"/>
        <item x="1553"/>
        <item x="1645"/>
        <item x="731"/>
        <item x="1283"/>
        <item x="1714"/>
        <item x="1742"/>
        <item x="1166"/>
        <item x="1224"/>
        <item x="96"/>
        <item x="1561"/>
        <item x="1418"/>
        <item x="1306"/>
        <item x="470"/>
        <item x="290"/>
        <item x="56"/>
        <item x="678"/>
        <item x="1030"/>
        <item x="1639"/>
        <item x="480"/>
        <item x="1204"/>
        <item x="1216"/>
        <item x="1821"/>
        <item x="1171"/>
        <item x="88"/>
        <item x="758"/>
        <item x="416"/>
        <item x="821"/>
        <item x="1464"/>
        <item x="163"/>
        <item x="1647"/>
        <item x="489"/>
        <item x="1670"/>
        <item x="1255"/>
        <item x="950"/>
        <item x="1088"/>
        <item x="827"/>
        <item x="717"/>
        <item x="1317"/>
        <item x="1791"/>
        <item x="1376"/>
        <item x="722"/>
        <item x="772"/>
        <item x="617"/>
        <item x="332"/>
        <item x="1076"/>
        <item x="325"/>
        <item x="176"/>
        <item x="1390"/>
        <item x="1669"/>
        <item x="764"/>
        <item x="1630"/>
        <item x="1778"/>
        <item x="706"/>
        <item x="298"/>
        <item x="1747"/>
        <item x="1003"/>
        <item x="1754"/>
        <item x="669"/>
        <item x="28"/>
        <item x="1105"/>
        <item x="1448"/>
        <item x="83"/>
        <item x="1299"/>
        <item x="1502"/>
        <item x="1422"/>
        <item x="361"/>
        <item x="1470"/>
        <item x="1053"/>
        <item x="468"/>
        <item x="1279"/>
        <item x="450"/>
        <item x="1610"/>
        <item x="410"/>
        <item x="487"/>
        <item x="1154"/>
        <item x="1341"/>
        <item x="1551"/>
        <item x="753"/>
        <item x="1696"/>
        <item x="1369"/>
        <item x="1557"/>
        <item x="574"/>
        <item x="1099"/>
        <item x="1722"/>
        <item x="1587"/>
        <item x="214"/>
        <item x="911"/>
        <item x="438"/>
        <item x="1729"/>
        <item x="178"/>
        <item x="190"/>
        <item x="600"/>
        <item x="1011"/>
        <item x="986"/>
        <item x="1074"/>
        <item x="1466"/>
        <item x="1648"/>
        <item x="705"/>
        <item x="282"/>
        <item x="311"/>
        <item x="1573"/>
        <item x="256"/>
        <item x="1809"/>
        <item x="1529"/>
        <item x="1322"/>
        <item x="1300"/>
        <item x="479"/>
        <item x="380"/>
        <item x="1686"/>
        <item x="1708"/>
        <item x="1569"/>
        <item x="347"/>
        <item x="954"/>
        <item x="686"/>
        <item x="1043"/>
        <item x="271"/>
        <item x="1340"/>
        <item x="248"/>
        <item x="1793"/>
        <item x="1806"/>
        <item x="223"/>
        <item x="118"/>
        <item x="676"/>
        <item x="399"/>
        <item x="337"/>
        <item x="991"/>
        <item x="637"/>
        <item x="1361"/>
        <item x="659"/>
        <item x="702"/>
        <item x="781"/>
        <item x="1828"/>
        <item x="1626"/>
        <item x="1520"/>
        <item x="129"/>
        <item x="1002"/>
        <item x="185"/>
        <item x="1321"/>
        <item x="291"/>
        <item x="188"/>
        <item x="316"/>
        <item x="1350"/>
        <item x="1421"/>
        <item x="797"/>
        <item x="1210"/>
        <item x="896"/>
        <item x="536"/>
        <item x="193"/>
        <item x="1741"/>
        <item x="1433"/>
        <item x="1779"/>
        <item x="1015"/>
        <item x="1383"/>
        <item x="550"/>
        <item x="1701"/>
        <item x="1004"/>
        <item x="849"/>
        <item x="220"/>
        <item x="1038"/>
        <item x="1158"/>
        <item x="576"/>
        <item x="1307"/>
        <item x="521"/>
        <item x="265"/>
        <item x="1401"/>
        <item x="1001"/>
        <item x="1581"/>
        <item x="1748"/>
        <item x="250"/>
        <item x="555"/>
        <item x="1013"/>
        <item x="935"/>
        <item x="40"/>
        <item x="1656"/>
        <item x="840"/>
        <item x="1238"/>
        <item x="1110"/>
        <item x="808"/>
        <item x="353"/>
        <item x="612"/>
        <item x="68"/>
        <item x="757"/>
        <item x="672"/>
        <item x="404"/>
        <item x="498"/>
        <item x="1637"/>
        <item x="994"/>
        <item x="1731"/>
        <item x="885"/>
        <item x="1253"/>
        <item x="593"/>
        <item x="934"/>
        <item x="135"/>
        <item x="1772"/>
        <item x="1494"/>
        <item x="398"/>
        <item x="1694"/>
        <item x="133"/>
        <item x="364"/>
        <item x="284"/>
        <item x="495"/>
        <item x="1530"/>
        <item x="761"/>
        <item x="199"/>
        <item x="886"/>
        <item x="916"/>
        <item x="303"/>
        <item x="1775"/>
        <item x="229"/>
        <item x="1420"/>
        <item x="502"/>
        <item x="1082"/>
        <item x="1411"/>
        <item x="84"/>
        <item x="1305"/>
        <item x="1608"/>
        <item x="496"/>
        <item x="1546"/>
        <item x="635"/>
        <item x="1308"/>
        <item x="1286"/>
        <item x="1417"/>
        <item x="1302"/>
        <item x="11"/>
        <item x="1409"/>
        <item x="701"/>
        <item x="1049"/>
        <item x="877"/>
        <item x="413"/>
        <item x="787"/>
        <item x="1415"/>
        <item x="1760"/>
        <item x="845"/>
        <item x="1092"/>
        <item x="870"/>
        <item x="786"/>
        <item x="253"/>
        <item x="1459"/>
        <item x="319"/>
        <item x="431"/>
        <item x="1324"/>
        <item x="775"/>
        <item x="548"/>
        <item x="829"/>
        <item x="1122"/>
        <item x="1031"/>
        <item x="5"/>
        <item x="1371"/>
        <item x="1372"/>
        <item x="749"/>
        <item x="1740"/>
        <item x="1492"/>
        <item x="1185"/>
        <item x="703"/>
        <item x="615"/>
        <item x="1041"/>
        <item x="1067"/>
        <item x="123"/>
        <item x="1605"/>
        <item x="245"/>
        <item x="707"/>
        <item x="892"/>
        <item x="1250"/>
        <item x="1178"/>
        <item x="1347"/>
        <item x="743"/>
        <item x="369"/>
        <item x="1349"/>
        <item x="1426"/>
        <item x="905"/>
        <item x="1642"/>
        <item x="724"/>
        <item x="818"/>
        <item x="1236"/>
        <item x="262"/>
        <item x="362"/>
        <item x="959"/>
        <item x="1762"/>
        <item x="19"/>
        <item x="837"/>
        <item x="386"/>
        <item x="1807"/>
        <item x="1746"/>
        <item x="1773"/>
        <item x="13"/>
        <item x="812"/>
        <item x="1452"/>
        <item x="308"/>
        <item x="1606"/>
        <item x="1572"/>
        <item x="379"/>
        <item x="1768"/>
        <item x="608"/>
        <item x="134"/>
        <item x="563"/>
        <item x="27"/>
        <item x="930"/>
        <item x="1062"/>
        <item x="1451"/>
        <item x="458"/>
        <item x="842"/>
        <item x="1570"/>
        <item x="949"/>
        <item x="673"/>
        <item x="1362"/>
        <item x="746"/>
        <item x="1036"/>
        <item x="30"/>
        <item x="578"/>
        <item x="461"/>
        <item x="402"/>
        <item x="1237"/>
        <item x="1121"/>
        <item x="341"/>
        <item x="919"/>
        <item x="1363"/>
        <item x="1795"/>
        <item x="255"/>
        <item x="710"/>
        <item x="395"/>
        <item x="932"/>
        <item x="981"/>
        <item x="917"/>
        <item x="1192"/>
        <item x="286"/>
        <item x="1727"/>
        <item x="305"/>
        <item x="1348"/>
        <item x="7"/>
        <item x="1081"/>
        <item x="54"/>
        <item x="944"/>
        <item x="1338"/>
        <item x="1071"/>
        <item x="430"/>
        <item x="1715"/>
        <item x="167"/>
        <item x="242"/>
        <item x="765"/>
        <item x="660"/>
        <item x="10"/>
        <item x="1051"/>
        <item x="1764"/>
        <item x="606"/>
        <item x="653"/>
        <item x="754"/>
        <item x="1403"/>
        <item x="1563"/>
        <item x="132"/>
        <item x="631"/>
        <item x="331"/>
        <item x="387"/>
        <item x="459"/>
        <item x="545"/>
        <item x="151"/>
        <item x="1527"/>
        <item x="813"/>
        <item x="278"/>
        <item x="501"/>
        <item x="1441"/>
        <item x="1125"/>
        <item x="377"/>
        <item x="288"/>
        <item x="1097"/>
        <item x="150"/>
        <item x="382"/>
        <item x="611"/>
        <item x="1268"/>
        <item x="1157"/>
        <item x="1819"/>
        <item x="1315"/>
        <item x="727"/>
        <item x="778"/>
        <item x="585"/>
        <item x="587"/>
        <item x="423"/>
        <item x="952"/>
        <item x="4"/>
        <item x="629"/>
        <item x="756"/>
        <item x="125"/>
        <item x="482"/>
        <item x="1364"/>
        <item x="1394"/>
        <item x="1130"/>
        <item x="1685"/>
        <item x="448"/>
        <item x="453"/>
        <item x="1592"/>
        <item x="1786"/>
        <item x="1170"/>
        <item x="1314"/>
        <item x="1180"/>
        <item x="168"/>
        <item x="221"/>
        <item x="713"/>
        <item x="1562"/>
        <item x="1525"/>
        <item x="906"/>
        <item x="1523"/>
        <item x="1387"/>
        <item x="1248"/>
        <item x="1717"/>
        <item x="1287"/>
        <item x="1790"/>
        <item x="745"/>
        <item x="708"/>
        <item x="1483"/>
        <item x="344"/>
        <item x="618"/>
        <item x="1629"/>
        <item x="1649"/>
        <item x="573"/>
        <item x="739"/>
        <item x="566"/>
        <item x="1367"/>
        <item x="1660"/>
        <item x="1345"/>
        <item x="1193"/>
        <item x="1080"/>
        <item x="1447"/>
        <item x="1710"/>
        <item x="807"/>
        <item x="217"/>
        <item x="297"/>
        <item x="1242"/>
        <item x="1085"/>
        <item x="295"/>
        <item x="544"/>
        <item x="235"/>
        <item x="719"/>
        <item x="1476"/>
        <item x="1213"/>
        <item x="1104"/>
        <item x="366"/>
        <item x="1513"/>
        <item x="173"/>
        <item x="1008"/>
        <item x="689"/>
        <item x="98"/>
        <item x="1046"/>
        <item x="1108"/>
        <item x="1246"/>
        <item x="247"/>
        <item x="1607"/>
        <item x="357"/>
        <item x="553"/>
        <item x="187"/>
        <item x="1493"/>
        <item x="657"/>
        <item x="396"/>
        <item x="1129"/>
        <item x="1679"/>
        <item x="1195"/>
        <item x="1657"/>
        <item x="1472"/>
        <item x="1355"/>
        <item x="1542"/>
        <item x="425"/>
        <item x="1328"/>
        <item x="444"/>
        <item x="130"/>
        <item x="58"/>
        <item x="883"/>
        <item x="35"/>
        <item x="210"/>
        <item x="1453"/>
        <item x="847"/>
        <item x="1761"/>
        <item x="1544"/>
        <item x="1596"/>
        <item x="335"/>
        <item x="436"/>
        <item x="607"/>
        <item x="730"/>
        <item x="1665"/>
        <item x="656"/>
        <item x="1000"/>
        <item x="963"/>
        <item x="921"/>
        <item x="1711"/>
        <item x="275"/>
        <item x="1582"/>
        <item x="560"/>
        <item x="1698"/>
        <item x="1412"/>
        <item x="1688"/>
        <item x="1032"/>
        <item x="1219"/>
        <item x="38"/>
        <item x="1813"/>
        <item x="230"/>
        <item x="471"/>
        <item x="81"/>
        <item x="403"/>
        <item x="1257"/>
        <item x="1190"/>
        <item x="1101"/>
        <item x="48"/>
        <item x="62"/>
        <item x="873"/>
        <item x="34"/>
        <item x="794"/>
        <item x="59"/>
        <item x="966"/>
        <item x="561"/>
        <item x="1271"/>
        <item x="602"/>
        <item x="32"/>
        <item x="1541"/>
        <item x="684"/>
        <item x="110"/>
        <item x="1805"/>
        <item x="418"/>
        <item x="1609"/>
        <item x="674"/>
        <item x="1316"/>
        <item x="1616"/>
        <item x="513"/>
        <item x="897"/>
        <item x="1514"/>
        <item x="1382"/>
        <item x="1151"/>
        <item x="493"/>
        <item x="120"/>
        <item x="647"/>
        <item x="355"/>
        <item x="90"/>
        <item x="1636"/>
        <item x="1063"/>
        <item x="1027"/>
        <item x="1168"/>
        <item x="1277"/>
        <item x="1738"/>
        <item x="766"/>
        <item x="1342"/>
        <item x="642"/>
        <item x="1245"/>
        <item x="1456"/>
        <item x="1293"/>
        <item x="1619"/>
        <item x="1252"/>
        <item x="500"/>
        <item x="1162"/>
        <item x="97"/>
        <item x="111"/>
        <item x="683"/>
        <item x="924"/>
        <item x="651"/>
        <item x="365"/>
        <item x="1496"/>
        <item x="360"/>
        <item x="1720"/>
        <item x="9"/>
        <item x="1823"/>
        <item x="195"/>
        <item x="23"/>
        <item x="1095"/>
        <item x="1588"/>
        <item x="1188"/>
        <item x="1566"/>
        <item x="1832"/>
        <item x="47"/>
        <item x="1555"/>
        <item x="777"/>
        <item x="848"/>
        <item x="1016"/>
        <item x="518"/>
        <item x="535"/>
        <item x="682"/>
        <item x="420"/>
        <item x="1017"/>
        <item x="839"/>
        <item x="1468"/>
        <item x="1672"/>
        <item x="486"/>
        <item x="1298"/>
        <item x="1519"/>
        <item x="1404"/>
        <item x="1183"/>
        <item x="666"/>
        <item x="181"/>
        <item x="82"/>
        <item x="478"/>
        <item x="1360"/>
        <item x="1229"/>
        <item x="343"/>
        <item x="1777"/>
        <item x="1689"/>
        <item x="1084"/>
        <item x="1163"/>
        <item x="385"/>
        <item x="162"/>
        <item x="1706"/>
        <item x="1817"/>
        <item x="149"/>
        <item x="910"/>
        <item x="102"/>
        <item x="391"/>
        <item x="613"/>
        <item x="139"/>
        <item x="472"/>
        <item x="977"/>
        <item x="16"/>
        <item x="184"/>
        <item x="1744"/>
        <item x="244"/>
        <item x="1282"/>
        <item x="1106"/>
        <item x="997"/>
        <item x="243"/>
        <item x="1550"/>
        <item x="1583"/>
        <item x="796"/>
        <item x="202"/>
        <item x="843"/>
        <item x="879"/>
        <item x="1064"/>
        <item x="1336"/>
        <item x="679"/>
        <item x="1831"/>
        <item x="1119"/>
        <item x="864"/>
        <item x="1601"/>
        <item x="231"/>
        <item x="976"/>
        <item x="177"/>
        <item x="990"/>
        <item x="36"/>
        <item x="299"/>
        <item x="1111"/>
        <item x="1069"/>
        <item x="371"/>
        <item x="1814"/>
        <item x="1161"/>
        <item x="492"/>
        <item x="1584"/>
        <item x="274"/>
        <item x="853"/>
        <item x="568"/>
        <item x="145"/>
        <item x="662"/>
        <item x="1007"/>
        <item x="542"/>
        <item x="1539"/>
        <item x="268"/>
        <item x="183"/>
        <item x="222"/>
        <item x="690"/>
        <item x="1695"/>
        <item x="153"/>
        <item x="1462"/>
        <item x="528"/>
        <item x="212"/>
        <item x="581"/>
        <item x="805"/>
        <item x="1743"/>
        <item x="1765"/>
        <item x="1491"/>
        <item x="1646"/>
        <item x="610"/>
        <item x="350"/>
        <item x="1511"/>
        <item x="1034"/>
        <item x="367"/>
        <item x="728"/>
        <item x="1668"/>
        <item x="956"/>
        <item x="1440"/>
        <item x="1712"/>
        <item x="1010"/>
        <item x="1770"/>
        <item x="695"/>
        <item x="621"/>
        <item x="339"/>
        <item x="1567"/>
        <item x="426"/>
        <item x="1766"/>
        <item x="1757"/>
        <item x="1604"/>
        <item x="10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64" showAll="0"/>
    <pivotField numFmtId="164" showAll="0"/>
    <pivotField axis="axisPage" dataField="1" showAll="0">
      <items count="2">
        <item x="0"/>
        <item t="default"/>
      </items>
    </pivotField>
  </pivotFields>
  <rowFields count="1">
    <field x="0"/>
  </rowFields>
  <rowItems count="1835">
    <i>
      <x v="534"/>
    </i>
    <i>
      <x v="372"/>
    </i>
    <i>
      <x v="546"/>
    </i>
    <i>
      <x v="1756"/>
    </i>
    <i>
      <x v="1725"/>
    </i>
    <i>
      <x v="1709"/>
    </i>
    <i>
      <x v="1698"/>
    </i>
    <i>
      <x v="1325"/>
    </i>
    <i>
      <x v="1211"/>
    </i>
    <i>
      <x v="702"/>
    </i>
    <i>
      <x v="617"/>
    </i>
    <i>
      <x v="535"/>
    </i>
    <i>
      <x v="610"/>
    </i>
    <i>
      <x v="308"/>
    </i>
    <i>
      <x v="324"/>
    </i>
    <i>
      <x v="1706"/>
    </i>
    <i>
      <x v="1781"/>
    </i>
    <i>
      <x v="1723"/>
    </i>
    <i>
      <x v="1581"/>
    </i>
    <i>
      <x v="1821"/>
    </i>
    <i>
      <x v="1658"/>
    </i>
    <i>
      <x v="1489"/>
    </i>
    <i>
      <x v="1448"/>
    </i>
    <i>
      <x v="1530"/>
    </i>
    <i>
      <x v="1447"/>
    </i>
    <i>
      <x v="1366"/>
    </i>
    <i>
      <x v="1399"/>
    </i>
    <i>
      <x v="1410"/>
    </i>
    <i>
      <x v="1115"/>
    </i>
    <i>
      <x v="1138"/>
    </i>
    <i>
      <x v="889"/>
    </i>
    <i>
      <x v="992"/>
    </i>
    <i>
      <x v="936"/>
    </i>
    <i>
      <x v="831"/>
    </i>
    <i>
      <x v="848"/>
    </i>
    <i>
      <x v="915"/>
    </i>
    <i>
      <x v="613"/>
    </i>
    <i>
      <x v="705"/>
    </i>
    <i>
      <x v="765"/>
    </i>
    <i>
      <x v="495"/>
    </i>
    <i>
      <x v="380"/>
    </i>
    <i>
      <x v="297"/>
    </i>
    <i>
      <x v="400"/>
    </i>
    <i>
      <x v="270"/>
    </i>
    <i>
      <x v="360"/>
    </i>
    <i>
      <x v="361"/>
    </i>
    <i>
      <x v="187"/>
    </i>
    <i>
      <x v="33"/>
    </i>
    <i>
      <x v="16"/>
    </i>
    <i>
      <x v="83"/>
    </i>
    <i>
      <x v="1717"/>
    </i>
    <i>
      <x v="1777"/>
    </i>
    <i>
      <x v="1739"/>
    </i>
    <i>
      <x v="1615"/>
    </i>
    <i>
      <x v="1583"/>
    </i>
    <i>
      <x v="1617"/>
    </i>
    <i>
      <x v="1733"/>
    </i>
    <i>
      <x v="1634"/>
    </i>
    <i>
      <x v="1757"/>
    </i>
    <i>
      <x v="1642"/>
    </i>
    <i>
      <x v="1782"/>
    </i>
    <i>
      <x v="1644"/>
    </i>
    <i>
      <x v="1715"/>
    </i>
    <i>
      <x v="1645"/>
    </i>
    <i>
      <x v="1585"/>
    </i>
    <i>
      <x v="1651"/>
    </i>
    <i>
      <x v="1735"/>
    </i>
    <i>
      <x v="1655"/>
    </i>
    <i>
      <x v="1753"/>
    </i>
    <i>
      <x v="1785"/>
    </i>
    <i>
      <x v="1759"/>
    </i>
    <i>
      <x v="1793"/>
    </i>
    <i>
      <x v="1587"/>
    </i>
    <i>
      <x v="1690"/>
    </i>
    <i>
      <x v="1599"/>
    </i>
    <i>
      <x v="1582"/>
    </i>
    <i>
      <x v="1796"/>
    </i>
    <i>
      <x v="1666"/>
    </i>
    <i>
      <x v="1697"/>
    </i>
    <i>
      <x v="1465"/>
    </i>
    <i>
      <x v="1376"/>
    </i>
    <i>
      <x v="1548"/>
    </i>
    <i>
      <x v="1385"/>
    </i>
    <i>
      <x v="1453"/>
    </i>
    <i>
      <x v="1387"/>
    </i>
    <i>
      <x v="1483"/>
    </i>
    <i>
      <x v="1316"/>
    </i>
    <i>
      <x v="1318"/>
    </i>
    <i>
      <x v="1333"/>
    </i>
    <i>
      <x v="1452"/>
    </i>
    <i>
      <x v="1504"/>
    </i>
    <i>
      <x v="1455"/>
    </i>
    <i>
      <x v="1517"/>
    </i>
    <i>
      <x v="1472"/>
    </i>
    <i>
      <x v="1350"/>
    </i>
    <i>
      <x v="1378"/>
    </i>
    <i>
      <x v="1533"/>
    </i>
    <i>
      <x v="1509"/>
    </i>
    <i>
      <x v="1418"/>
    </i>
    <i>
      <x v="1527"/>
    </i>
    <i>
      <x v="1424"/>
    </i>
    <i>
      <x v="1532"/>
    </i>
    <i>
      <x v="1427"/>
    </i>
    <i>
      <x v="1544"/>
    </i>
    <i>
      <x v="1561"/>
    </i>
    <i>
      <x v="1553"/>
    </i>
    <i>
      <x v="1446"/>
    </i>
    <i>
      <x v="1562"/>
    </i>
    <i>
      <x v="1196"/>
    </i>
    <i>
      <x v="1259"/>
    </i>
    <i>
      <x v="1232"/>
    </i>
    <i>
      <x v="1064"/>
    </i>
    <i>
      <x v="1301"/>
    </i>
    <i>
      <x v="1068"/>
    </i>
    <i>
      <x v="1058"/>
    </i>
    <i>
      <x v="1073"/>
    </i>
    <i>
      <x v="1240"/>
    </i>
    <i>
      <x v="1086"/>
    </i>
    <i>
      <x v="1063"/>
    </i>
    <i>
      <x v="1093"/>
    </i>
    <i>
      <x v="1186"/>
    </i>
    <i>
      <x v="1103"/>
    </i>
    <i>
      <x v="1199"/>
    </i>
    <i>
      <x v="1052"/>
    </i>
    <i>
      <x v="1214"/>
    </i>
    <i>
      <x v="1125"/>
    </i>
    <i>
      <x v="1234"/>
    </i>
    <i>
      <x v="1128"/>
    </i>
    <i>
      <x v="1252"/>
    </i>
    <i>
      <x v="1265"/>
    </i>
    <i>
      <x v="1264"/>
    </i>
    <i>
      <x v="1266"/>
    </i>
    <i>
      <x v="1281"/>
    </i>
    <i>
      <x v="1279"/>
    </i>
    <i>
      <x v="1166"/>
    </i>
    <i>
      <x v="1287"/>
    </i>
    <i>
      <x v="1167"/>
    </i>
    <i>
      <x v="1296"/>
    </i>
    <i>
      <x v="1041"/>
    </i>
    <i>
      <x v="947"/>
    </i>
    <i>
      <x v="928"/>
    </i>
    <i>
      <x v="797"/>
    </i>
    <i>
      <x v="1008"/>
    </i>
    <i>
      <x v="798"/>
    </i>
    <i>
      <x v="909"/>
    </i>
    <i>
      <x v="819"/>
    </i>
    <i>
      <x v="938"/>
    </i>
    <i>
      <x v="825"/>
    </i>
    <i>
      <x v="970"/>
    </i>
    <i>
      <x v="828"/>
    </i>
    <i>
      <x v="1033"/>
    </i>
    <i>
      <x v="830"/>
    </i>
    <i>
      <x v="899"/>
    </i>
    <i>
      <x v="834"/>
    </i>
    <i>
      <x v="1047"/>
    </i>
    <i>
      <x v="837"/>
    </i>
    <i>
      <x v="931"/>
    </i>
    <i>
      <x v="838"/>
    </i>
    <i>
      <x v="939"/>
    </i>
    <i>
      <x v="842"/>
    </i>
    <i>
      <x v="964"/>
    </i>
    <i>
      <x v="844"/>
    </i>
    <i>
      <x v="976"/>
    </i>
    <i>
      <x v="852"/>
    </i>
    <i>
      <x v="1012"/>
    </i>
    <i>
      <x v="860"/>
    </i>
    <i>
      <x v="1036"/>
    </i>
    <i>
      <x v="872"/>
    </i>
    <i>
      <x v="894"/>
    </i>
    <i>
      <x v="918"/>
    </i>
    <i>
      <x v="565"/>
    </i>
    <i>
      <x v="669"/>
    </i>
    <i>
      <x v="666"/>
    </i>
    <i>
      <x v="543"/>
    </i>
    <i>
      <x v="688"/>
    </i>
    <i>
      <x v="545"/>
    </i>
    <i>
      <x v="750"/>
    </i>
    <i>
      <x v="527"/>
    </i>
    <i>
      <x v="667"/>
    </i>
    <i>
      <x v="752"/>
    </i>
    <i>
      <x v="671"/>
    </i>
    <i>
      <x v="771"/>
    </i>
    <i>
      <x v="558"/>
    </i>
    <i>
      <x v="631"/>
    </i>
    <i>
      <x v="708"/>
    </i>
    <i>
      <x v="633"/>
    </i>
    <i>
      <x v="592"/>
    </i>
    <i>
      <x v="641"/>
    </i>
    <i>
      <x v="619"/>
    </i>
    <i>
      <x v="775"/>
    </i>
    <i>
      <x v="624"/>
    </i>
    <i>
      <x v="784"/>
    </i>
    <i>
      <x v="419"/>
    </i>
    <i>
      <x v="488"/>
    </i>
    <i>
      <x v="467"/>
    </i>
    <i>
      <x v="320"/>
    </i>
    <i>
      <x v="412"/>
    </i>
    <i>
      <x v="278"/>
    </i>
    <i>
      <x v="451"/>
    </i>
    <i>
      <x v="353"/>
    </i>
    <i>
      <x v="482"/>
    </i>
    <i>
      <x v="357"/>
    </i>
    <i>
      <x v="265"/>
    </i>
    <i>
      <x v="284"/>
    </i>
    <i>
      <x v="416"/>
    </i>
    <i>
      <x v="290"/>
    </i>
    <i>
      <x v="442"/>
    </i>
    <i>
      <x v="519"/>
    </i>
    <i>
      <x v="465"/>
    </i>
    <i>
      <x v="266"/>
    </i>
    <i>
      <x v="474"/>
    </i>
    <i>
      <x v="305"/>
    </i>
    <i>
      <x v="487"/>
    </i>
    <i>
      <x v="522"/>
    </i>
    <i>
      <x v="316"/>
    </i>
    <i>
      <x v="396"/>
    </i>
    <i>
      <x v="520"/>
    </i>
    <i>
      <x v="369"/>
    </i>
    <i>
      <x v="391"/>
    </i>
    <i>
      <x v="100"/>
    </i>
    <i>
      <x v="140"/>
    </i>
    <i>
      <x v="125"/>
    </i>
    <i>
      <x v="13"/>
    </i>
    <i>
      <x v="153"/>
    </i>
    <i>
      <x v="38"/>
    </i>
    <i>
      <x v="107"/>
    </i>
    <i>
      <x v="75"/>
    </i>
    <i>
      <x v="126"/>
    </i>
    <i>
      <x v="9"/>
    </i>
    <i>
      <x v="147"/>
    </i>
    <i>
      <x v="196"/>
    </i>
    <i>
      <x v="29"/>
    </i>
    <i>
      <x v="242"/>
    </i>
    <i>
      <x v="226"/>
    </i>
    <i>
      <x v="92"/>
    </i>
    <i>
      <x v="250"/>
    </i>
    <i>
      <x v="93"/>
    </i>
    <i>
      <x v="256"/>
    </i>
    <i>
      <x v="1738"/>
    </i>
    <i>
      <x v="1802"/>
    </i>
    <i>
      <x v="1770"/>
    </i>
    <i>
      <x v="1612"/>
    </i>
    <i>
      <x v="1722"/>
    </i>
    <i>
      <x v="1613"/>
    </i>
    <i>
      <x v="1754"/>
    </i>
    <i>
      <x v="1614"/>
    </i>
    <i>
      <x v="1786"/>
    </i>
    <i>
      <x v="1579"/>
    </i>
    <i>
      <x v="1818"/>
    </i>
    <i>
      <x v="1616"/>
    </i>
    <i>
      <x v="1730"/>
    </i>
    <i>
      <x v="1584"/>
    </i>
    <i>
      <x v="1746"/>
    </i>
    <i>
      <x v="1618"/>
    </i>
    <i>
      <x v="1762"/>
    </i>
    <i>
      <x v="1619"/>
    </i>
    <i>
      <x v="1778"/>
    </i>
    <i>
      <x v="1620"/>
    </i>
    <i>
      <x v="1794"/>
    </i>
    <i>
      <x v="1621"/>
    </i>
    <i>
      <x v="1810"/>
    </i>
    <i>
      <x v="1622"/>
    </i>
    <i>
      <x v="1718"/>
    </i>
    <i>
      <x v="1623"/>
    </i>
    <i>
      <x v="1726"/>
    </i>
    <i>
      <x v="1624"/>
    </i>
    <i>
      <x v="1734"/>
    </i>
    <i>
      <x v="1625"/>
    </i>
    <i>
      <x v="1742"/>
    </i>
    <i>
      <x v="1626"/>
    </i>
    <i>
      <x v="1750"/>
    </i>
    <i>
      <x v="1627"/>
    </i>
    <i>
      <x v="1758"/>
    </i>
    <i>
      <x v="1628"/>
    </i>
    <i>
      <x v="1766"/>
    </i>
    <i>
      <x v="1629"/>
    </i>
    <i>
      <x v="1774"/>
    </i>
    <i>
      <x v="1630"/>
    </i>
    <i>
      <x v="1607"/>
    </i>
    <i>
      <x v="1631"/>
    </i>
    <i>
      <x v="1790"/>
    </i>
    <i>
      <x v="1632"/>
    </i>
    <i>
      <x v="1798"/>
    </i>
    <i>
      <x v="1633"/>
    </i>
    <i>
      <x v="1806"/>
    </i>
    <i>
      <x v="1580"/>
    </i>
    <i>
      <x v="1814"/>
    </i>
    <i>
      <x v="1635"/>
    </i>
    <i>
      <x v="1716"/>
    </i>
    <i>
      <x v="1636"/>
    </i>
    <i>
      <x v="1720"/>
    </i>
    <i>
      <x v="1637"/>
    </i>
    <i>
      <x v="1724"/>
    </i>
    <i>
      <x v="1638"/>
    </i>
    <i>
      <x v="1728"/>
    </i>
    <i>
      <x v="1639"/>
    </i>
    <i>
      <x v="1732"/>
    </i>
    <i>
      <x v="1640"/>
    </i>
    <i>
      <x v="1736"/>
    </i>
    <i>
      <x v="1641"/>
    </i>
    <i>
      <x v="1740"/>
    </i>
    <i>
      <x v="1586"/>
    </i>
    <i>
      <x v="1744"/>
    </i>
    <i>
      <x v="1643"/>
    </i>
    <i>
      <x v="1748"/>
    </i>
    <i>
      <x v="1577"/>
    </i>
    <i>
      <x v="1752"/>
    </i>
    <i>
      <x v="1588"/>
    </i>
    <i>
      <x v="1575"/>
    </i>
    <i>
      <x v="1646"/>
    </i>
    <i>
      <x v="1760"/>
    </i>
    <i>
      <x v="1647"/>
    </i>
    <i>
      <x v="1764"/>
    </i>
    <i>
      <x v="1648"/>
    </i>
    <i>
      <x v="1768"/>
    </i>
    <i>
      <x v="1649"/>
    </i>
    <i>
      <x v="1772"/>
    </i>
    <i>
      <x v="1650"/>
    </i>
    <i>
      <x v="1776"/>
    </i>
    <i>
      <x v="1589"/>
    </i>
    <i>
      <x v="1780"/>
    </i>
    <i>
      <x v="1652"/>
    </i>
    <i>
      <x v="1784"/>
    </i>
    <i>
      <x v="1653"/>
    </i>
    <i>
      <x v="1788"/>
    </i>
    <i>
      <x v="1654"/>
    </i>
    <i>
      <x v="1792"/>
    </i>
    <i>
      <x v="1590"/>
    </i>
    <i>
      <x v="1610"/>
    </i>
    <i>
      <x v="1656"/>
    </i>
    <i>
      <x v="1800"/>
    </i>
    <i>
      <x v="1657"/>
    </i>
    <i>
      <x v="1804"/>
    </i>
    <i>
      <x v="1591"/>
    </i>
    <i>
      <x v="1808"/>
    </i>
    <i>
      <x v="1659"/>
    </i>
    <i>
      <x v="1812"/>
    </i>
    <i>
      <x v="1660"/>
    </i>
    <i>
      <x v="1816"/>
    </i>
    <i>
      <x v="1661"/>
    </i>
    <i>
      <x v="1611"/>
    </i>
    <i>
      <x v="1662"/>
    </i>
    <i>
      <x v="1597"/>
    </i>
    <i>
      <x v="1663"/>
    </i>
    <i>
      <x v="1719"/>
    </i>
    <i>
      <x v="1664"/>
    </i>
    <i>
      <x v="1721"/>
    </i>
    <i>
      <x v="1665"/>
    </i>
    <i>
      <x v="1598"/>
    </i>
    <i>
      <x v="1592"/>
    </i>
    <i>
      <x v="1574"/>
    </i>
    <i>
      <x v="1667"/>
    </i>
    <i>
      <x v="1727"/>
    </i>
    <i>
      <x v="1668"/>
    </i>
    <i>
      <x v="1729"/>
    </i>
    <i>
      <x v="1669"/>
    </i>
    <i>
      <x v="1731"/>
    </i>
    <i>
      <x v="1670"/>
    </i>
    <i>
      <x v="1578"/>
    </i>
    <i>
      <x v="1671"/>
    </i>
    <i>
      <x v="1600"/>
    </i>
    <i>
      <x v="1672"/>
    </i>
    <i>
      <x v="1737"/>
    </i>
    <i>
      <x v="1673"/>
    </i>
    <i>
      <x v="1601"/>
    </i>
    <i>
      <x v="1674"/>
    </i>
    <i>
      <x v="1741"/>
    </i>
    <i>
      <x v="1675"/>
    </i>
    <i>
      <x v="1743"/>
    </i>
    <i>
      <x v="1676"/>
    </i>
    <i>
      <x v="1745"/>
    </i>
    <i>
      <x v="1677"/>
    </i>
    <i>
      <x v="1747"/>
    </i>
    <i>
      <x v="1678"/>
    </i>
    <i>
      <x v="1749"/>
    </i>
    <i>
      <x v="1679"/>
    </i>
    <i>
      <x v="1751"/>
    </i>
    <i>
      <x v="1680"/>
    </i>
    <i>
      <x v="1602"/>
    </i>
    <i>
      <x v="1681"/>
    </i>
    <i>
      <x v="1755"/>
    </i>
    <i>
      <x v="1682"/>
    </i>
    <i>
      <x v="1603"/>
    </i>
    <i>
      <x v="1683"/>
    </i>
    <i>
      <x v="1604"/>
    </i>
    <i>
      <x v="1684"/>
    </i>
    <i>
      <x v="1761"/>
    </i>
    <i>
      <x v="1685"/>
    </i>
    <i>
      <x v="1763"/>
    </i>
    <i>
      <x v="1686"/>
    </i>
    <i>
      <x v="1765"/>
    </i>
    <i>
      <x v="1687"/>
    </i>
    <i>
      <x v="1767"/>
    </i>
    <i>
      <x v="1688"/>
    </i>
    <i>
      <x v="1769"/>
    </i>
    <i>
      <x v="1689"/>
    </i>
    <i>
      <x v="1771"/>
    </i>
    <i>
      <x v="1593"/>
    </i>
    <i>
      <x v="1773"/>
    </i>
    <i>
      <x v="1691"/>
    </i>
    <i>
      <x v="1775"/>
    </i>
    <i>
      <x v="1692"/>
    </i>
    <i>
      <x v="1605"/>
    </i>
    <i>
      <x v="1693"/>
    </i>
    <i>
      <x v="1779"/>
    </i>
    <i>
      <x v="1694"/>
    </i>
    <i>
      <x v="1606"/>
    </i>
    <i>
      <x v="1695"/>
    </i>
    <i>
      <x v="1783"/>
    </i>
    <i>
      <x v="1696"/>
    </i>
    <i>
      <x v="1608"/>
    </i>
    <i>
      <x v="1820"/>
    </i>
    <i>
      <x v="1787"/>
    </i>
    <i>
      <x v="1594"/>
    </i>
    <i>
      <x v="1789"/>
    </i>
    <i>
      <x v="1823"/>
    </i>
    <i>
      <x v="1791"/>
    </i>
    <i>
      <x v="1825"/>
    </i>
    <i>
      <x v="1609"/>
    </i>
    <i>
      <x v="1831"/>
    </i>
    <i>
      <x v="1795"/>
    </i>
    <i>
      <x v="1833"/>
    </i>
    <i>
      <x v="1797"/>
    </i>
    <i>
      <x v="1703"/>
    </i>
    <i>
      <x v="1799"/>
    </i>
    <i>
      <x v="1704"/>
    </i>
    <i>
      <x v="1801"/>
    </i>
    <i>
      <x v="1705"/>
    </i>
    <i>
      <x v="1803"/>
    </i>
    <i>
      <x v="1595"/>
    </i>
    <i>
      <x v="1805"/>
    </i>
    <i>
      <x v="1707"/>
    </i>
    <i>
      <x v="1807"/>
    </i>
    <i>
      <x v="1708"/>
    </i>
    <i>
      <x v="1809"/>
    </i>
    <i>
      <x v="1573"/>
    </i>
    <i>
      <x v="1811"/>
    </i>
    <i>
      <x v="1710"/>
    </i>
    <i>
      <x v="1813"/>
    </i>
    <i>
      <x v="1711"/>
    </i>
    <i>
      <x v="1815"/>
    </i>
    <i>
      <x v="1712"/>
    </i>
    <i>
      <x v="1817"/>
    </i>
    <i>
      <x v="1713"/>
    </i>
    <i>
      <x v="1819"/>
    </i>
    <i>
      <x v="1714"/>
    </i>
    <i>
      <x v="1596"/>
    </i>
    <i>
      <x v="1822"/>
    </i>
    <i>
      <x v="1826"/>
    </i>
    <i>
      <x v="1824"/>
    </i>
    <i>
      <x v="1827"/>
    </i>
    <i>
      <x v="1576"/>
    </i>
    <i>
      <x v="1829"/>
    </i>
    <i>
      <x v="1828"/>
    </i>
    <i>
      <x v="1699"/>
    </i>
    <i>
      <x v="1830"/>
    </i>
    <i>
      <x v="1700"/>
    </i>
    <i>
      <x v="1832"/>
    </i>
    <i>
      <x v="1701"/>
    </i>
    <i>
      <x v="1572"/>
    </i>
    <i>
      <x v="1702"/>
    </i>
    <i>
      <x v="1474"/>
    </i>
    <i>
      <x v="1538"/>
    </i>
    <i>
      <x v="1506"/>
    </i>
    <i>
      <x v="1348"/>
    </i>
    <i>
      <x v="1458"/>
    </i>
    <i>
      <x v="1349"/>
    </i>
    <i>
      <x v="1490"/>
    </i>
    <i>
      <x v="1315"/>
    </i>
    <i>
      <x v="1522"/>
    </i>
    <i>
      <x v="1351"/>
    </i>
    <i>
      <x v="1554"/>
    </i>
    <i>
      <x v="1352"/>
    </i>
    <i>
      <x v="1466"/>
    </i>
    <i>
      <x v="1353"/>
    </i>
    <i>
      <x v="1482"/>
    </i>
    <i>
      <x v="1354"/>
    </i>
    <i>
      <x v="1498"/>
    </i>
    <i>
      <x v="1355"/>
    </i>
    <i>
      <x v="1514"/>
    </i>
    <i>
      <x v="1356"/>
    </i>
    <i>
      <x v="1341"/>
    </i>
    <i>
      <x v="1357"/>
    </i>
    <i>
      <x v="1546"/>
    </i>
    <i>
      <x v="1358"/>
    </i>
    <i>
      <x v="1454"/>
    </i>
    <i>
      <x v="1359"/>
    </i>
    <i>
      <x v="1462"/>
    </i>
    <i>
      <x v="1360"/>
    </i>
    <i>
      <x v="1470"/>
    </i>
    <i>
      <x v="1361"/>
    </i>
    <i>
      <x v="1478"/>
    </i>
    <i>
      <x v="1362"/>
    </i>
    <i>
      <x v="1486"/>
    </i>
    <i>
      <x v="1363"/>
    </i>
    <i>
      <x v="1494"/>
    </i>
    <i>
      <x v="1364"/>
    </i>
    <i>
      <x v="1502"/>
    </i>
    <i>
      <x v="1365"/>
    </i>
    <i>
      <x v="1510"/>
    </i>
    <i>
      <x v="1311"/>
    </i>
    <i>
      <x v="1518"/>
    </i>
    <i>
      <x v="1367"/>
    </i>
    <i>
      <x v="1526"/>
    </i>
    <i>
      <x v="1368"/>
    </i>
    <i>
      <x v="1534"/>
    </i>
    <i>
      <x v="1369"/>
    </i>
    <i>
      <x v="1542"/>
    </i>
    <i>
      <x v="1370"/>
    </i>
    <i>
      <x v="1550"/>
    </i>
    <i>
      <x v="1371"/>
    </i>
    <i>
      <x v="1558"/>
    </i>
    <i>
      <x v="1372"/>
    </i>
    <i>
      <x v="1456"/>
    </i>
    <i>
      <x v="1373"/>
    </i>
    <i>
      <x v="1460"/>
    </i>
    <i>
      <x v="1374"/>
    </i>
    <i>
      <x v="1464"/>
    </i>
    <i>
      <x v="1375"/>
    </i>
    <i>
      <x v="1468"/>
    </i>
    <i>
      <x v="1317"/>
    </i>
    <i>
      <x v="1334"/>
    </i>
    <i>
      <x v="1377"/>
    </i>
    <i>
      <x v="1476"/>
    </i>
    <i>
      <x v="1312"/>
    </i>
    <i>
      <x v="1480"/>
    </i>
    <i>
      <x v="1379"/>
    </i>
    <i>
      <x v="1484"/>
    </i>
    <i>
      <x v="1380"/>
    </i>
    <i>
      <x v="1488"/>
    </i>
    <i>
      <x v="1381"/>
    </i>
    <i>
      <x v="1492"/>
    </i>
    <i>
      <x v="1382"/>
    </i>
    <i>
      <x v="1496"/>
    </i>
    <i>
      <x v="1383"/>
    </i>
    <i>
      <x v="1500"/>
    </i>
    <i>
      <x v="1384"/>
    </i>
    <i>
      <x v="1337"/>
    </i>
    <i>
      <x v="1319"/>
    </i>
    <i>
      <x v="1508"/>
    </i>
    <i>
      <x v="1386"/>
    </i>
    <i>
      <x v="1512"/>
    </i>
    <i>
      <x v="1320"/>
    </i>
    <i>
      <x v="1516"/>
    </i>
    <i>
      <x v="1388"/>
    </i>
    <i>
      <x v="1520"/>
    </i>
    <i>
      <x v="1389"/>
    </i>
    <i>
      <x v="1524"/>
    </i>
    <i>
      <x v="1390"/>
    </i>
    <i>
      <x v="1528"/>
    </i>
    <i>
      <x v="1391"/>
    </i>
    <i>
      <x v="1342"/>
    </i>
    <i>
      <x v="1392"/>
    </i>
    <i>
      <x v="1536"/>
    </i>
    <i>
      <x v="1393"/>
    </i>
    <i>
      <x v="1540"/>
    </i>
    <i>
      <x v="1394"/>
    </i>
    <i>
      <x v="1344"/>
    </i>
    <i>
      <x v="1395"/>
    </i>
    <i>
      <x v="1345"/>
    </i>
    <i>
      <x v="1396"/>
    </i>
    <i>
      <x v="1552"/>
    </i>
    <i>
      <x v="1397"/>
    </i>
    <i>
      <x v="1556"/>
    </i>
    <i>
      <x v="1398"/>
    </i>
    <i>
      <x v="1560"/>
    </i>
    <i>
      <x v="1321"/>
    </i>
    <i>
      <x v="1332"/>
    </i>
    <i>
      <x v="1400"/>
    </i>
    <i>
      <x v="1457"/>
    </i>
    <i>
      <x v="1401"/>
    </i>
    <i>
      <x v="1459"/>
    </i>
    <i>
      <x v="1402"/>
    </i>
    <i>
      <x v="1461"/>
    </i>
    <i>
      <x v="1403"/>
    </i>
    <i>
      <x v="1463"/>
    </i>
    <i>
      <x v="1404"/>
    </i>
    <i>
      <x v="1314"/>
    </i>
    <i>
      <x v="1405"/>
    </i>
    <i>
      <x v="1467"/>
    </i>
    <i>
      <x v="1406"/>
    </i>
    <i>
      <x v="1469"/>
    </i>
    <i>
      <x v="1407"/>
    </i>
    <i>
      <x v="1471"/>
    </i>
    <i>
      <x v="1408"/>
    </i>
    <i>
      <x v="1473"/>
    </i>
    <i>
      <x v="1409"/>
    </i>
    <i>
      <x v="1475"/>
    </i>
    <i>
      <x v="1322"/>
    </i>
    <i>
      <x v="1477"/>
    </i>
    <i>
      <x v="1411"/>
    </i>
    <i>
      <x v="1479"/>
    </i>
    <i>
      <x v="1412"/>
    </i>
    <i>
      <x v="1481"/>
    </i>
    <i>
      <x v="1413"/>
    </i>
    <i>
      <x v="1335"/>
    </i>
    <i>
      <x v="1414"/>
    </i>
    <i>
      <x v="1485"/>
    </i>
    <i>
      <x v="1415"/>
    </i>
    <i>
      <x v="1487"/>
    </i>
    <i>
      <x v="1416"/>
    </i>
    <i>
      <x v="1336"/>
    </i>
    <i>
      <x v="1417"/>
    </i>
    <i>
      <x v="1491"/>
    </i>
    <i>
      <x v="1323"/>
    </i>
    <i>
      <x v="1493"/>
    </i>
    <i>
      <x v="1419"/>
    </i>
    <i>
      <x v="1495"/>
    </i>
    <i>
      <x v="1420"/>
    </i>
    <i>
      <x v="1497"/>
    </i>
    <i>
      <x v="1421"/>
    </i>
    <i>
      <x v="1499"/>
    </i>
    <i>
      <x v="1422"/>
    </i>
    <i>
      <x v="1501"/>
    </i>
    <i>
      <x v="1423"/>
    </i>
    <i>
      <x v="1503"/>
    </i>
    <i>
      <x v="1324"/>
    </i>
    <i>
      <x v="1505"/>
    </i>
    <i>
      <x v="1425"/>
    </i>
    <i>
      <x v="1507"/>
    </i>
    <i>
      <x v="1426"/>
    </i>
    <i>
      <x v="1338"/>
    </i>
    <i>
      <x v="1313"/>
    </i>
    <i>
      <x v="1511"/>
    </i>
    <i>
      <x v="1428"/>
    </i>
    <i>
      <x v="1513"/>
    </i>
    <i>
      <x v="1429"/>
    </i>
    <i>
      <x v="1515"/>
    </i>
    <i>
      <x v="1430"/>
    </i>
    <i>
      <x v="1339"/>
    </i>
    <i>
      <x v="1431"/>
    </i>
    <i>
      <x v="1519"/>
    </i>
    <i>
      <x v="1432"/>
    </i>
    <i>
      <x v="1521"/>
    </i>
    <i>
      <x v="1433"/>
    </i>
    <i>
      <x v="1523"/>
    </i>
    <i>
      <x v="1434"/>
    </i>
    <i>
      <x v="1525"/>
    </i>
    <i>
      <x v="1326"/>
    </i>
    <i>
      <x v="1340"/>
    </i>
    <i>
      <x v="1563"/>
    </i>
    <i>
      <x v="1529"/>
    </i>
    <i>
      <x v="1565"/>
    </i>
    <i>
      <x v="1531"/>
    </i>
    <i>
      <x v="1567"/>
    </i>
    <i>
      <x v="1343"/>
    </i>
    <i>
      <x v="1569"/>
    </i>
    <i>
      <x v="1535"/>
    </i>
    <i>
      <x v="1571"/>
    </i>
    <i>
      <x v="1537"/>
    </i>
    <i>
      <x v="1441"/>
    </i>
    <i>
      <x v="1539"/>
    </i>
    <i>
      <x v="1442"/>
    </i>
    <i>
      <x v="1541"/>
    </i>
    <i>
      <x v="1443"/>
    </i>
    <i>
      <x v="1543"/>
    </i>
    <i>
      <x v="1444"/>
    </i>
    <i>
      <x v="1545"/>
    </i>
    <i>
      <x v="1445"/>
    </i>
    <i>
      <x v="1547"/>
    </i>
    <i>
      <x v="1327"/>
    </i>
    <i>
      <x v="1549"/>
    </i>
    <i>
      <x v="1328"/>
    </i>
    <i>
      <x v="1551"/>
    </i>
    <i>
      <x v="1329"/>
    </i>
    <i>
      <x v="1346"/>
    </i>
    <i>
      <x v="1449"/>
    </i>
    <i>
      <x v="1555"/>
    </i>
    <i>
      <x v="1450"/>
    </i>
    <i>
      <x v="1557"/>
    </i>
    <i>
      <x v="1451"/>
    </i>
    <i>
      <x v="1559"/>
    </i>
    <i>
      <x v="1330"/>
    </i>
    <i>
      <x v="1347"/>
    </i>
    <i>
      <x v="1331"/>
    </i>
    <i>
      <x v="1435"/>
    </i>
    <i>
      <x v="1564"/>
    </i>
    <i>
      <x v="1436"/>
    </i>
    <i>
      <x v="1566"/>
    </i>
    <i>
      <x v="1437"/>
    </i>
    <i>
      <x v="1568"/>
    </i>
    <i>
      <x v="1438"/>
    </i>
    <i>
      <x v="1570"/>
    </i>
    <i>
      <x v="1439"/>
    </i>
    <i>
      <x v="1310"/>
    </i>
    <i>
      <x v="1440"/>
    </i>
    <i>
      <x v="1208"/>
    </i>
    <i>
      <x v="1272"/>
    </i>
    <i>
      <x v="1072"/>
    </i>
    <i>
      <x v="1082"/>
    </i>
    <i>
      <x v="1192"/>
    </i>
    <i>
      <x v="1083"/>
    </i>
    <i>
      <x v="1224"/>
    </i>
    <i>
      <x v="1084"/>
    </i>
    <i>
      <x v="1256"/>
    </i>
    <i>
      <x v="1085"/>
    </i>
    <i>
      <x v="1288"/>
    </i>
    <i>
      <x v="1055"/>
    </i>
    <i>
      <x v="1200"/>
    </i>
    <i>
      <x v="1087"/>
    </i>
    <i>
      <x v="1216"/>
    </i>
    <i>
      <x v="1088"/>
    </i>
    <i>
      <x v="1070"/>
    </i>
    <i>
      <x v="1089"/>
    </i>
    <i>
      <x v="1248"/>
    </i>
    <i>
      <x v="1090"/>
    </i>
    <i>
      <x v="1075"/>
    </i>
    <i>
      <x v="1091"/>
    </i>
    <i>
      <x v="1280"/>
    </i>
    <i>
      <x v="1092"/>
    </i>
    <i>
      <x v="1188"/>
    </i>
    <i>
      <x v="1056"/>
    </i>
    <i>
      <x v="1066"/>
    </i>
    <i>
      <x v="1094"/>
    </i>
    <i>
      <x v="1204"/>
    </i>
    <i>
      <x v="1095"/>
    </i>
    <i>
      <x v="1212"/>
    </i>
    <i>
      <x v="1096"/>
    </i>
    <i>
      <x v="1220"/>
    </i>
    <i>
      <x v="1097"/>
    </i>
    <i>
      <x v="1228"/>
    </i>
    <i>
      <x v="1098"/>
    </i>
    <i>
      <x v="1236"/>
    </i>
    <i>
      <x v="1099"/>
    </i>
    <i>
      <x v="1244"/>
    </i>
    <i>
      <x v="1100"/>
    </i>
    <i>
      <x v="1054"/>
    </i>
    <i>
      <x v="1101"/>
    </i>
    <i>
      <x v="1260"/>
    </i>
    <i>
      <x v="1102"/>
    </i>
    <i>
      <x v="1268"/>
    </i>
    <i>
      <x v="1057"/>
    </i>
    <i>
      <x v="1276"/>
    </i>
    <i>
      <x v="1104"/>
    </i>
    <i>
      <x v="1284"/>
    </i>
    <i>
      <x v="1105"/>
    </i>
    <i>
      <x v="1292"/>
    </i>
    <i>
      <x v="1106"/>
    </i>
    <i>
      <x v="1190"/>
    </i>
    <i>
      <x v="1107"/>
    </i>
    <i>
      <x v="1194"/>
    </i>
    <i>
      <x v="1108"/>
    </i>
    <i>
      <x v="1198"/>
    </i>
    <i>
      <x v="1109"/>
    </i>
    <i>
      <x v="1202"/>
    </i>
    <i>
      <x v="1110"/>
    </i>
    <i>
      <x v="1206"/>
    </i>
    <i>
      <x v="1111"/>
    </i>
    <i>
      <x v="1210"/>
    </i>
    <i>
      <x v="1112"/>
    </i>
    <i>
      <x v="1069"/>
    </i>
    <i>
      <x v="1113"/>
    </i>
    <i>
      <x v="1218"/>
    </i>
    <i>
      <x v="1114"/>
    </i>
    <i>
      <x v="1222"/>
    </i>
    <i>
      <x v="1050"/>
    </i>
    <i>
      <x v="1226"/>
    </i>
    <i>
      <x v="1116"/>
    </i>
    <i>
      <x v="1230"/>
    </i>
    <i>
      <x v="1117"/>
    </i>
    <i>
      <x v="1071"/>
    </i>
    <i>
      <x v="1118"/>
    </i>
    <i>
      <x v="1238"/>
    </i>
    <i>
      <x v="1119"/>
    </i>
    <i>
      <x v="1242"/>
    </i>
    <i>
      <x v="1120"/>
    </i>
    <i>
      <x v="1246"/>
    </i>
    <i>
      <x v="1121"/>
    </i>
    <i>
      <x v="1250"/>
    </i>
    <i>
      <x v="1122"/>
    </i>
    <i>
      <x v="1254"/>
    </i>
    <i>
      <x v="1123"/>
    </i>
    <i>
      <x v="1258"/>
    </i>
    <i>
      <x v="1124"/>
    </i>
    <i>
      <x v="1262"/>
    </i>
    <i>
      <x v="1059"/>
    </i>
    <i>
      <x v="1077"/>
    </i>
    <i>
      <x v="1126"/>
    </i>
    <i>
      <x v="1270"/>
    </i>
    <i>
      <x v="1127"/>
    </i>
    <i>
      <x v="1274"/>
    </i>
    <i>
      <x v="1060"/>
    </i>
    <i>
      <x v="1278"/>
    </i>
    <i>
      <x v="1129"/>
    </i>
    <i>
      <x v="1282"/>
    </i>
    <i>
      <x v="1130"/>
    </i>
    <i>
      <x v="1286"/>
    </i>
    <i>
      <x v="1131"/>
    </i>
    <i>
      <x v="1290"/>
    </i>
    <i>
      <x v="1132"/>
    </i>
    <i>
      <x v="1294"/>
    </i>
    <i>
      <x v="1133"/>
    </i>
    <i>
      <x v="1189"/>
    </i>
    <i>
      <x v="1134"/>
    </i>
    <i>
      <x v="1191"/>
    </i>
    <i>
      <x v="1135"/>
    </i>
    <i>
      <x v="1193"/>
    </i>
    <i>
      <x v="1136"/>
    </i>
    <i>
      <x v="1195"/>
    </i>
    <i>
      <x v="1137"/>
    </i>
    <i>
      <x v="1197"/>
    </i>
    <i>
      <x v="1061"/>
    </i>
    <i>
      <x v="1067"/>
    </i>
    <i>
      <x v="1139"/>
    </i>
    <i>
      <x v="1201"/>
    </i>
    <i>
      <x v="1140"/>
    </i>
    <i>
      <x v="1203"/>
    </i>
    <i>
      <x v="1141"/>
    </i>
    <i>
      <x v="1205"/>
    </i>
    <i>
      <x v="1142"/>
    </i>
    <i>
      <x v="1207"/>
    </i>
    <i>
      <x v="1143"/>
    </i>
    <i>
      <x v="1209"/>
    </i>
    <i>
      <x v="1144"/>
    </i>
    <i>
      <x v="1053"/>
    </i>
    <i>
      <x v="1145"/>
    </i>
    <i>
      <x v="1213"/>
    </i>
    <i>
      <x v="1146"/>
    </i>
    <i>
      <x v="1215"/>
    </i>
    <i>
      <x v="1147"/>
    </i>
    <i>
      <x v="1217"/>
    </i>
    <i>
      <x v="1148"/>
    </i>
    <i>
      <x v="1219"/>
    </i>
    <i>
      <x v="1149"/>
    </i>
    <i>
      <x v="1221"/>
    </i>
    <i>
      <x v="1150"/>
    </i>
    <i>
      <x v="1223"/>
    </i>
    <i>
      <x v="1151"/>
    </i>
    <i>
      <x v="1225"/>
    </i>
    <i>
      <x v="1152"/>
    </i>
    <i>
      <x v="1227"/>
    </i>
    <i>
      <x v="1153"/>
    </i>
    <i>
      <x v="1229"/>
    </i>
    <i>
      <x v="1154"/>
    </i>
    <i>
      <x v="1231"/>
    </i>
    <i>
      <x v="1155"/>
    </i>
    <i>
      <x v="1233"/>
    </i>
    <i>
      <x v="1156"/>
    </i>
    <i>
      <x v="1235"/>
    </i>
    <i>
      <x v="1157"/>
    </i>
    <i>
      <x v="1237"/>
    </i>
    <i>
      <x v="1158"/>
    </i>
    <i>
      <x v="1239"/>
    </i>
    <i>
      <x v="1159"/>
    </i>
    <i>
      <x v="1241"/>
    </i>
    <i>
      <x v="1160"/>
    </i>
    <i>
      <x v="1243"/>
    </i>
    <i>
      <x v="1161"/>
    </i>
    <i>
      <x v="1245"/>
    </i>
    <i>
      <x v="1162"/>
    </i>
    <i>
      <x v="1247"/>
    </i>
    <i>
      <x v="1163"/>
    </i>
    <i>
      <x v="1249"/>
    </i>
    <i>
      <x v="1164"/>
    </i>
    <i>
      <x v="1251"/>
    </i>
    <i>
      <x v="1165"/>
    </i>
    <i>
      <x v="1253"/>
    </i>
    <i>
      <x v="1062"/>
    </i>
    <i>
      <x v="1255"/>
    </i>
    <i>
      <x v="1051"/>
    </i>
    <i>
      <x v="1257"/>
    </i>
    <i>
      <x v="1168"/>
    </i>
    <i>
      <x v="1074"/>
    </i>
    <i>
      <x v="1169"/>
    </i>
    <i>
      <x v="1261"/>
    </i>
    <i>
      <x v="1170"/>
    </i>
    <i>
      <x v="1263"/>
    </i>
    <i>
      <x v="1295"/>
    </i>
    <i>
      <x v="1076"/>
    </i>
    <i>
      <x v="1297"/>
    </i>
    <i>
      <x v="1267"/>
    </i>
    <i>
      <x v="1299"/>
    </i>
    <i>
      <x v="1269"/>
    </i>
    <i>
      <x v="1049"/>
    </i>
    <i>
      <x v="1271"/>
    </i>
    <i>
      <x v="1303"/>
    </i>
    <i>
      <x v="1273"/>
    </i>
    <i>
      <x v="1305"/>
    </i>
    <i>
      <x v="1275"/>
    </i>
    <i>
      <x v="1307"/>
    </i>
    <i>
      <x v="1277"/>
    </i>
    <i>
      <x v="1309"/>
    </i>
    <i>
      <x v="1078"/>
    </i>
    <i>
      <x v="1179"/>
    </i>
    <i>
      <x v="1079"/>
    </i>
    <i>
      <x v="1180"/>
    </i>
    <i>
      <x v="1283"/>
    </i>
    <i>
      <x v="1181"/>
    </i>
    <i>
      <x v="1285"/>
    </i>
    <i>
      <x v="1182"/>
    </i>
    <i>
      <x v="1080"/>
    </i>
    <i>
      <x v="1183"/>
    </i>
    <i>
      <x v="1289"/>
    </i>
    <i>
      <x v="1184"/>
    </i>
    <i>
      <x v="1291"/>
    </i>
    <i>
      <x v="1185"/>
    </i>
    <i>
      <x v="1293"/>
    </i>
    <i>
      <x v="1065"/>
    </i>
    <i>
      <x v="1081"/>
    </i>
    <i>
      <x v="1187"/>
    </i>
    <i>
      <x v="1171"/>
    </i>
    <i>
      <x v="1298"/>
    </i>
    <i>
      <x v="1172"/>
    </i>
    <i>
      <x v="1300"/>
    </i>
    <i>
      <x v="1173"/>
    </i>
    <i>
      <x v="1302"/>
    </i>
    <i>
      <x v="1174"/>
    </i>
    <i>
      <x v="1304"/>
    </i>
    <i>
      <x v="1175"/>
    </i>
    <i>
      <x v="1306"/>
    </i>
    <i>
      <x v="1176"/>
    </i>
    <i>
      <x v="1308"/>
    </i>
    <i>
      <x v="1177"/>
    </i>
    <i>
      <x v="1048"/>
    </i>
    <i>
      <x v="1178"/>
    </i>
    <i>
      <x v="951"/>
    </i>
    <i>
      <x v="1015"/>
    </i>
    <i>
      <x v="983"/>
    </i>
    <i>
      <x v="796"/>
    </i>
    <i>
      <x v="935"/>
    </i>
    <i>
      <x v="826"/>
    </i>
    <i>
      <x v="967"/>
    </i>
    <i>
      <x v="827"/>
    </i>
    <i>
      <x v="999"/>
    </i>
    <i>
      <x v="793"/>
    </i>
    <i>
      <x v="1031"/>
    </i>
    <i>
      <x v="829"/>
    </i>
    <i>
      <x v="943"/>
    </i>
    <i>
      <x v="794"/>
    </i>
    <i>
      <x v="959"/>
    </i>
    <i>
      <x v="787"/>
    </i>
    <i>
      <x v="975"/>
    </i>
    <i>
      <x v="832"/>
    </i>
    <i>
      <x v="991"/>
    </i>
    <i>
      <x v="833"/>
    </i>
    <i>
      <x v="1007"/>
    </i>
    <i>
      <x v="799"/>
    </i>
    <i>
      <x v="1023"/>
    </i>
    <i>
      <x v="835"/>
    </i>
    <i>
      <x v="1039"/>
    </i>
    <i>
      <x v="836"/>
    </i>
    <i>
      <x v="814"/>
    </i>
    <i>
      <x v="800"/>
    </i>
    <i>
      <x v="815"/>
    </i>
    <i>
      <x v="801"/>
    </i>
    <i>
      <x v="955"/>
    </i>
    <i>
      <x v="839"/>
    </i>
    <i>
      <x v="963"/>
    </i>
    <i>
      <x v="840"/>
    </i>
    <i>
      <x v="971"/>
    </i>
    <i>
      <x v="841"/>
    </i>
    <i>
      <x v="979"/>
    </i>
    <i>
      <x v="802"/>
    </i>
    <i>
      <x v="987"/>
    </i>
    <i>
      <x v="843"/>
    </i>
    <i>
      <x v="995"/>
    </i>
    <i>
      <x v="803"/>
    </i>
    <i>
      <x v="1003"/>
    </i>
    <i>
      <x v="845"/>
    </i>
    <i>
      <x v="1011"/>
    </i>
    <i>
      <x v="846"/>
    </i>
    <i>
      <x v="1019"/>
    </i>
    <i>
      <x v="847"/>
    </i>
    <i>
      <x v="1027"/>
    </i>
    <i>
      <x v="788"/>
    </i>
    <i>
      <x v="1035"/>
    </i>
    <i>
      <x v="849"/>
    </i>
    <i>
      <x v="1043"/>
    </i>
    <i>
      <x v="850"/>
    </i>
    <i>
      <x v="937"/>
    </i>
    <i>
      <x v="851"/>
    </i>
    <i>
      <x v="941"/>
    </i>
    <i>
      <x v="804"/>
    </i>
    <i>
      <x v="945"/>
    </i>
    <i>
      <x v="853"/>
    </i>
    <i>
      <x v="949"/>
    </i>
    <i>
      <x v="854"/>
    </i>
    <i>
      <x v="953"/>
    </i>
    <i>
      <x v="855"/>
    </i>
    <i>
      <x v="957"/>
    </i>
    <i>
      <x v="856"/>
    </i>
    <i>
      <x v="961"/>
    </i>
    <i>
      <x v="857"/>
    </i>
    <i>
      <x v="965"/>
    </i>
    <i>
      <x v="858"/>
    </i>
    <i>
      <x v="969"/>
    </i>
    <i>
      <x v="859"/>
    </i>
    <i>
      <x v="973"/>
    </i>
    <i>
      <x v="805"/>
    </i>
    <i>
      <x v="977"/>
    </i>
    <i>
      <x v="861"/>
    </i>
    <i>
      <x v="981"/>
    </i>
    <i>
      <x v="862"/>
    </i>
    <i>
      <x v="985"/>
    </i>
    <i>
      <x v="863"/>
    </i>
    <i>
      <x v="989"/>
    </i>
    <i>
      <x v="864"/>
    </i>
    <i>
      <x v="993"/>
    </i>
    <i>
      <x v="865"/>
    </i>
    <i>
      <x v="997"/>
    </i>
    <i>
      <x v="866"/>
    </i>
    <i>
      <x v="1001"/>
    </i>
    <i>
      <x v="867"/>
    </i>
    <i>
      <x v="1005"/>
    </i>
    <i>
      <x v="868"/>
    </i>
    <i>
      <x v="1009"/>
    </i>
    <i>
      <x v="869"/>
    </i>
    <i>
      <x v="1013"/>
    </i>
    <i>
      <x v="870"/>
    </i>
    <i>
      <x v="1017"/>
    </i>
    <i>
      <x v="871"/>
    </i>
    <i>
      <x v="1021"/>
    </i>
    <i>
      <x v="806"/>
    </i>
    <i>
      <x v="1025"/>
    </i>
    <i>
      <x v="873"/>
    </i>
    <i>
      <x v="1029"/>
    </i>
    <i>
      <x v="874"/>
    </i>
    <i>
      <x v="821"/>
    </i>
    <i>
      <x v="875"/>
    </i>
    <i>
      <x v="1037"/>
    </i>
    <i>
      <x v="876"/>
    </i>
    <i>
      <x v="823"/>
    </i>
    <i>
      <x v="877"/>
    </i>
    <i>
      <x v="1045"/>
    </i>
    <i>
      <x v="878"/>
    </i>
    <i>
      <x v="790"/>
    </i>
    <i>
      <x v="879"/>
    </i>
    <i>
      <x v="813"/>
    </i>
    <i>
      <x v="880"/>
    </i>
    <i>
      <x v="940"/>
    </i>
    <i>
      <x v="881"/>
    </i>
    <i>
      <x v="942"/>
    </i>
    <i>
      <x v="882"/>
    </i>
    <i>
      <x v="944"/>
    </i>
    <i>
      <x v="883"/>
    </i>
    <i>
      <x v="946"/>
    </i>
    <i>
      <x v="884"/>
    </i>
    <i>
      <x v="948"/>
    </i>
    <i>
      <x v="885"/>
    </i>
    <i>
      <x v="950"/>
    </i>
    <i>
      <x v="886"/>
    </i>
    <i>
      <x v="952"/>
    </i>
    <i>
      <x v="887"/>
    </i>
    <i>
      <x v="954"/>
    </i>
    <i>
      <x v="888"/>
    </i>
    <i>
      <x v="956"/>
    </i>
    <i>
      <x v="789"/>
    </i>
    <i>
      <x v="958"/>
    </i>
    <i>
      <x v="890"/>
    </i>
    <i>
      <x v="960"/>
    </i>
    <i>
      <x v="891"/>
    </i>
    <i>
      <x v="962"/>
    </i>
    <i>
      <x v="892"/>
    </i>
    <i>
      <x v="816"/>
    </i>
    <i>
      <x v="893"/>
    </i>
    <i>
      <x v="966"/>
    </i>
    <i>
      <x v="807"/>
    </i>
    <i>
      <x v="968"/>
    </i>
    <i>
      <x v="895"/>
    </i>
    <i>
      <x v="817"/>
    </i>
    <i>
      <x v="896"/>
    </i>
    <i>
      <x v="972"/>
    </i>
    <i>
      <x v="897"/>
    </i>
    <i>
      <x v="974"/>
    </i>
    <i>
      <x v="898"/>
    </i>
    <i>
      <x v="818"/>
    </i>
    <i>
      <x v="808"/>
    </i>
    <i>
      <x v="978"/>
    </i>
    <i>
      <x v="900"/>
    </i>
    <i>
      <x v="980"/>
    </i>
    <i>
      <x v="901"/>
    </i>
    <i>
      <x v="982"/>
    </i>
    <i>
      <x v="902"/>
    </i>
    <i>
      <x v="984"/>
    </i>
    <i>
      <x v="903"/>
    </i>
    <i>
      <x v="986"/>
    </i>
    <i>
      <x v="904"/>
    </i>
    <i>
      <x v="988"/>
    </i>
    <i>
      <x v="905"/>
    </i>
    <i>
      <x v="990"/>
    </i>
    <i>
      <x v="906"/>
    </i>
    <i>
      <x v="791"/>
    </i>
    <i>
      <x v="907"/>
    </i>
    <i>
      <x v="994"/>
    </i>
    <i>
      <x v="908"/>
    </i>
    <i>
      <x v="996"/>
    </i>
    <i>
      <x v="809"/>
    </i>
    <i>
      <x v="998"/>
    </i>
    <i>
      <x v="910"/>
    </i>
    <i>
      <x v="1000"/>
    </i>
    <i>
      <x v="911"/>
    </i>
    <i>
      <x v="1002"/>
    </i>
    <i>
      <x v="912"/>
    </i>
    <i>
      <x v="1004"/>
    </i>
    <i>
      <x v="913"/>
    </i>
    <i>
      <x v="1006"/>
    </i>
    <i>
      <x v="914"/>
    </i>
    <i>
      <x v="795"/>
    </i>
    <i>
      <x v="1046"/>
    </i>
    <i>
      <x v="1010"/>
    </i>
    <i>
      <x v="810"/>
    </i>
    <i>
      <x v="820"/>
    </i>
    <i>
      <x v="917"/>
    </i>
    <i>
      <x v="1014"/>
    </i>
    <i>
      <x v="792"/>
    </i>
    <i>
      <x v="1016"/>
    </i>
    <i>
      <x v="919"/>
    </i>
    <i>
      <x v="1018"/>
    </i>
    <i>
      <x v="920"/>
    </i>
    <i>
      <x v="1020"/>
    </i>
    <i>
      <x v="921"/>
    </i>
    <i>
      <x v="1022"/>
    </i>
    <i>
      <x v="922"/>
    </i>
    <i>
      <x v="1024"/>
    </i>
    <i>
      <x v="923"/>
    </i>
    <i>
      <x v="1026"/>
    </i>
    <i>
      <x v="924"/>
    </i>
    <i>
      <x v="1028"/>
    </i>
    <i>
      <x v="925"/>
    </i>
    <i>
      <x v="1030"/>
    </i>
    <i>
      <x v="926"/>
    </i>
    <i>
      <x v="1032"/>
    </i>
    <i>
      <x v="927"/>
    </i>
    <i>
      <x v="1034"/>
    </i>
    <i>
      <x v="811"/>
    </i>
    <i>
      <x v="822"/>
    </i>
    <i>
      <x v="929"/>
    </i>
    <i>
      <x v="1038"/>
    </i>
    <i>
      <x v="930"/>
    </i>
    <i>
      <x v="1040"/>
    </i>
    <i>
      <x v="812"/>
    </i>
    <i>
      <x v="1042"/>
    </i>
    <i>
      <x v="932"/>
    </i>
    <i>
      <x v="1044"/>
    </i>
    <i>
      <x v="933"/>
    </i>
    <i>
      <x v="824"/>
    </i>
    <i>
      <x v="934"/>
    </i>
    <i>
      <x v="786"/>
    </i>
    <i>
      <x v="916"/>
    </i>
    <i>
      <x v="682"/>
    </i>
    <i>
      <x v="746"/>
    </i>
    <i>
      <x v="714"/>
    </i>
    <i>
      <x v="556"/>
    </i>
    <i>
      <x v="778"/>
    </i>
    <i>
      <x v="557"/>
    </i>
    <i>
      <x v="698"/>
    </i>
    <i>
      <x v="531"/>
    </i>
    <i>
      <x v="730"/>
    </i>
    <i>
      <x v="559"/>
    </i>
    <i>
      <x v="762"/>
    </i>
    <i>
      <x v="560"/>
    </i>
    <i>
      <x v="674"/>
    </i>
    <i>
      <x v="561"/>
    </i>
    <i>
      <x v="690"/>
    </i>
    <i>
      <x v="562"/>
    </i>
    <i>
      <x v="706"/>
    </i>
    <i>
      <x v="563"/>
    </i>
    <i>
      <x v="722"/>
    </i>
    <i>
      <x v="564"/>
    </i>
    <i>
      <x v="738"/>
    </i>
    <i>
      <x v="532"/>
    </i>
    <i>
      <x v="754"/>
    </i>
    <i>
      <x v="566"/>
    </i>
    <i>
      <x v="770"/>
    </i>
    <i>
      <x v="567"/>
    </i>
    <i>
      <x v="670"/>
    </i>
    <i>
      <x v="568"/>
    </i>
    <i>
      <x v="678"/>
    </i>
    <i>
      <x v="569"/>
    </i>
    <i>
      <x v="686"/>
    </i>
    <i>
      <x v="570"/>
    </i>
    <i>
      <x v="694"/>
    </i>
    <i>
      <x v="571"/>
    </i>
    <i>
      <x v="547"/>
    </i>
    <i>
      <x v="572"/>
    </i>
    <i>
      <x v="710"/>
    </i>
    <i>
      <x v="573"/>
    </i>
    <i>
      <x v="718"/>
    </i>
    <i>
      <x v="574"/>
    </i>
    <i>
      <x v="726"/>
    </i>
    <i>
      <x v="575"/>
    </i>
    <i>
      <x v="734"/>
    </i>
    <i>
      <x v="576"/>
    </i>
    <i>
      <x v="742"/>
    </i>
    <i>
      <x v="577"/>
    </i>
    <i>
      <x v="550"/>
    </i>
    <i>
      <x v="578"/>
    </i>
    <i>
      <x v="758"/>
    </i>
    <i>
      <x v="579"/>
    </i>
    <i>
      <x v="766"/>
    </i>
    <i>
      <x v="580"/>
    </i>
    <i>
      <x v="774"/>
    </i>
    <i>
      <x v="581"/>
    </i>
    <i>
      <x v="782"/>
    </i>
    <i>
      <x v="582"/>
    </i>
    <i>
      <x v="672"/>
    </i>
    <i>
      <x v="583"/>
    </i>
    <i>
      <x v="676"/>
    </i>
    <i>
      <x v="584"/>
    </i>
    <i>
      <x v="680"/>
    </i>
    <i>
      <x v="585"/>
    </i>
    <i>
      <x v="684"/>
    </i>
    <i>
      <x v="586"/>
    </i>
    <i>
      <x v="530"/>
    </i>
    <i>
      <x v="587"/>
    </i>
    <i>
      <x v="692"/>
    </i>
    <i>
      <x v="588"/>
    </i>
    <i>
      <x v="696"/>
    </i>
    <i>
      <x v="589"/>
    </i>
    <i>
      <x v="700"/>
    </i>
    <i>
      <x v="590"/>
    </i>
    <i>
      <x v="704"/>
    </i>
    <i>
      <x v="591"/>
    </i>
    <i>
      <x v="549"/>
    </i>
    <i>
      <x v="533"/>
    </i>
    <i>
      <x v="712"/>
    </i>
    <i>
      <x v="593"/>
    </i>
    <i>
      <x v="716"/>
    </i>
    <i>
      <x v="594"/>
    </i>
    <i>
      <x v="720"/>
    </i>
    <i>
      <x v="595"/>
    </i>
    <i>
      <x v="724"/>
    </i>
    <i>
      <x v="596"/>
    </i>
    <i>
      <x v="728"/>
    </i>
    <i>
      <x v="597"/>
    </i>
    <i>
      <x v="732"/>
    </i>
    <i>
      <x v="598"/>
    </i>
    <i>
      <x v="736"/>
    </i>
    <i>
      <x v="599"/>
    </i>
    <i>
      <x v="740"/>
    </i>
    <i>
      <x v="600"/>
    </i>
    <i>
      <x v="744"/>
    </i>
    <i>
      <x v="601"/>
    </i>
    <i>
      <x v="748"/>
    </i>
    <i>
      <x v="602"/>
    </i>
    <i>
      <x v="551"/>
    </i>
    <i>
      <x v="603"/>
    </i>
    <i>
      <x v="756"/>
    </i>
    <i>
      <x v="604"/>
    </i>
    <i>
      <x v="760"/>
    </i>
    <i>
      <x v="605"/>
    </i>
    <i>
      <x v="764"/>
    </i>
    <i>
      <x v="606"/>
    </i>
    <i>
      <x v="768"/>
    </i>
    <i>
      <x v="607"/>
    </i>
    <i>
      <x v="772"/>
    </i>
    <i>
      <x v="608"/>
    </i>
    <i>
      <x v="776"/>
    </i>
    <i>
      <x v="609"/>
    </i>
    <i>
      <x v="780"/>
    </i>
    <i>
      <x v="526"/>
    </i>
    <i>
      <x v="544"/>
    </i>
    <i>
      <x v="611"/>
    </i>
    <i>
      <x v="529"/>
    </i>
    <i>
      <x v="612"/>
    </i>
    <i>
      <x v="673"/>
    </i>
    <i>
      <x v="525"/>
    </i>
    <i>
      <x v="675"/>
    </i>
    <i>
      <x v="614"/>
    </i>
    <i>
      <x v="677"/>
    </i>
    <i>
      <x v="615"/>
    </i>
    <i>
      <x v="679"/>
    </i>
    <i>
      <x v="616"/>
    </i>
    <i>
      <x v="681"/>
    </i>
    <i>
      <x v="536"/>
    </i>
    <i>
      <x v="683"/>
    </i>
    <i>
      <x v="618"/>
    </i>
    <i>
      <x v="685"/>
    </i>
    <i>
      <x v="537"/>
    </i>
    <i>
      <x v="687"/>
    </i>
    <i>
      <x v="620"/>
    </i>
    <i>
      <x v="689"/>
    </i>
    <i>
      <x v="621"/>
    </i>
    <i>
      <x v="691"/>
    </i>
    <i>
      <x v="622"/>
    </i>
    <i>
      <x v="693"/>
    </i>
    <i>
      <x v="623"/>
    </i>
    <i>
      <x v="695"/>
    </i>
    <i>
      <x v="538"/>
    </i>
    <i>
      <x v="697"/>
    </i>
    <i>
      <x v="625"/>
    </i>
    <i>
      <x v="699"/>
    </i>
    <i>
      <x v="626"/>
    </i>
    <i>
      <x v="701"/>
    </i>
    <i>
      <x v="627"/>
    </i>
    <i>
      <x v="703"/>
    </i>
    <i>
      <x v="628"/>
    </i>
    <i>
      <x v="548"/>
    </i>
    <i>
      <x v="629"/>
    </i>
    <i>
      <x v="707"/>
    </i>
    <i>
      <x v="630"/>
    </i>
    <i>
      <x v="709"/>
    </i>
    <i>
      <x v="539"/>
    </i>
    <i>
      <x v="711"/>
    </i>
    <i>
      <x v="632"/>
    </i>
    <i>
      <x v="713"/>
    </i>
    <i>
      <x v="540"/>
    </i>
    <i>
      <x v="715"/>
    </i>
    <i>
      <x v="634"/>
    </i>
    <i>
      <x v="717"/>
    </i>
    <i>
      <x v="635"/>
    </i>
    <i>
      <x v="719"/>
    </i>
    <i>
      <x v="636"/>
    </i>
    <i>
      <x v="721"/>
    </i>
    <i>
      <x v="637"/>
    </i>
    <i>
      <x v="723"/>
    </i>
    <i>
      <x v="638"/>
    </i>
    <i>
      <x v="725"/>
    </i>
    <i>
      <x v="639"/>
    </i>
    <i>
      <x v="727"/>
    </i>
    <i>
      <x v="640"/>
    </i>
    <i>
      <x v="729"/>
    </i>
    <i>
      <x v="541"/>
    </i>
    <i>
      <x v="731"/>
    </i>
    <i>
      <x v="642"/>
    </i>
    <i>
      <x v="733"/>
    </i>
    <i>
      <x v="643"/>
    </i>
    <i>
      <x v="735"/>
    </i>
    <i>
      <x v="644"/>
    </i>
    <i>
      <x v="737"/>
    </i>
    <i>
      <x v="645"/>
    </i>
    <i>
      <x v="739"/>
    </i>
    <i>
      <x v="646"/>
    </i>
    <i>
      <x v="741"/>
    </i>
    <i>
      <x v="647"/>
    </i>
    <i>
      <x v="743"/>
    </i>
    <i>
      <x v="648"/>
    </i>
    <i>
      <x v="745"/>
    </i>
    <i>
      <x v="649"/>
    </i>
    <i>
      <x v="747"/>
    </i>
    <i>
      <x v="650"/>
    </i>
    <i>
      <x v="749"/>
    </i>
    <i>
      <x v="651"/>
    </i>
    <i>
      <x v="751"/>
    </i>
    <i>
      <x v="652"/>
    </i>
    <i>
      <x v="753"/>
    </i>
    <i>
      <x v="783"/>
    </i>
    <i>
      <x v="755"/>
    </i>
    <i>
      <x v="785"/>
    </i>
    <i>
      <x v="757"/>
    </i>
    <i>
      <x v="655"/>
    </i>
    <i>
      <x v="759"/>
    </i>
    <i>
      <x v="656"/>
    </i>
    <i>
      <x v="761"/>
    </i>
    <i>
      <x v="657"/>
    </i>
    <i>
      <x v="763"/>
    </i>
    <i>
      <x v="658"/>
    </i>
    <i>
      <x v="552"/>
    </i>
    <i>
      <x v="659"/>
    </i>
    <i>
      <x v="767"/>
    </i>
    <i>
      <x v="660"/>
    </i>
    <i>
      <x v="769"/>
    </i>
    <i>
      <x v="661"/>
    </i>
    <i>
      <x v="553"/>
    </i>
    <i>
      <x v="662"/>
    </i>
    <i>
      <x v="773"/>
    </i>
    <i>
      <x v="663"/>
    </i>
    <i>
      <x v="554"/>
    </i>
    <i>
      <x v="664"/>
    </i>
    <i>
      <x v="777"/>
    </i>
    <i>
      <x v="665"/>
    </i>
    <i>
      <x v="779"/>
    </i>
    <i>
      <x v="542"/>
    </i>
    <i>
      <x v="781"/>
    </i>
    <i>
      <x v="528"/>
    </i>
    <i>
      <x v="555"/>
    </i>
    <i>
      <x v="668"/>
    </i>
    <i>
      <x v="653"/>
    </i>
    <i>
      <x v="524"/>
    </i>
    <i>
      <x v="654"/>
    </i>
    <i>
      <x v="426"/>
    </i>
    <i>
      <x v="490"/>
    </i>
    <i>
      <x v="458"/>
    </i>
    <i>
      <x v="300"/>
    </i>
    <i>
      <x v="299"/>
    </i>
    <i>
      <x v="301"/>
    </i>
    <i>
      <x v="288"/>
    </i>
    <i>
      <x v="302"/>
    </i>
    <i>
      <x v="292"/>
    </i>
    <i>
      <x v="303"/>
    </i>
    <i>
      <x v="506"/>
    </i>
    <i>
      <x v="304"/>
    </i>
    <i>
      <x v="418"/>
    </i>
    <i>
      <x v="263"/>
    </i>
    <i>
      <x v="434"/>
    </i>
    <i>
      <x v="306"/>
    </i>
    <i>
      <x v="450"/>
    </i>
    <i>
      <x v="307"/>
    </i>
    <i>
      <x v="466"/>
    </i>
    <i>
      <x v="271"/>
    </i>
    <i>
      <x v="293"/>
    </i>
    <i>
      <x v="309"/>
    </i>
    <i>
      <x v="498"/>
    </i>
    <i>
      <x v="310"/>
    </i>
    <i>
      <x v="514"/>
    </i>
    <i>
      <x v="311"/>
    </i>
    <i>
      <x v="414"/>
    </i>
    <i>
      <x v="312"/>
    </i>
    <i>
      <x v="422"/>
    </i>
    <i>
      <x v="313"/>
    </i>
    <i>
      <x v="430"/>
    </i>
    <i>
      <x v="314"/>
    </i>
    <i>
      <x v="438"/>
    </i>
    <i>
      <x v="315"/>
    </i>
    <i>
      <x v="446"/>
    </i>
    <i>
      <x v="272"/>
    </i>
    <i>
      <x v="454"/>
    </i>
    <i>
      <x v="317"/>
    </i>
    <i>
      <x v="462"/>
    </i>
    <i>
      <x v="318"/>
    </i>
    <i>
      <x v="470"/>
    </i>
    <i>
      <x v="319"/>
    </i>
    <i>
      <x v="478"/>
    </i>
    <i>
      <x v="273"/>
    </i>
    <i>
      <x v="486"/>
    </i>
    <i>
      <x v="321"/>
    </i>
    <i>
      <x v="494"/>
    </i>
    <i>
      <x v="322"/>
    </i>
    <i>
      <x v="502"/>
    </i>
    <i>
      <x v="323"/>
    </i>
    <i>
      <x v="510"/>
    </i>
    <i>
      <x v="274"/>
    </i>
    <i>
      <x v="518"/>
    </i>
    <i>
      <x v="325"/>
    </i>
    <i>
      <x v="285"/>
    </i>
    <i>
      <x v="326"/>
    </i>
    <i>
      <x v="286"/>
    </i>
    <i>
      <x v="327"/>
    </i>
    <i>
      <x v="420"/>
    </i>
    <i>
      <x v="328"/>
    </i>
    <i>
      <x v="424"/>
    </i>
    <i>
      <x v="329"/>
    </i>
    <i>
      <x v="428"/>
    </i>
    <i>
      <x v="330"/>
    </i>
    <i>
      <x v="432"/>
    </i>
    <i>
      <x v="331"/>
    </i>
    <i>
      <x v="436"/>
    </i>
    <i>
      <x v="332"/>
    </i>
    <i>
      <x v="440"/>
    </i>
    <i>
      <x v="333"/>
    </i>
    <i>
      <x v="444"/>
    </i>
    <i>
      <x v="334"/>
    </i>
    <i>
      <x v="448"/>
    </i>
    <i>
      <x v="335"/>
    </i>
    <i>
      <x v="452"/>
    </i>
    <i>
      <x v="336"/>
    </i>
    <i>
      <x v="456"/>
    </i>
    <i>
      <x v="337"/>
    </i>
    <i>
      <x v="460"/>
    </i>
    <i>
      <x v="338"/>
    </i>
    <i>
      <x v="464"/>
    </i>
    <i>
      <x v="339"/>
    </i>
    <i>
      <x v="468"/>
    </i>
    <i>
      <x v="340"/>
    </i>
    <i>
      <x v="472"/>
    </i>
    <i>
      <x v="341"/>
    </i>
    <i>
      <x v="476"/>
    </i>
    <i>
      <x v="342"/>
    </i>
    <i>
      <x v="480"/>
    </i>
    <i>
      <x v="343"/>
    </i>
    <i>
      <x v="484"/>
    </i>
    <i>
      <x v="344"/>
    </i>
    <i>
      <x v="295"/>
    </i>
    <i>
      <x v="345"/>
    </i>
    <i>
      <x v="492"/>
    </i>
    <i>
      <x v="346"/>
    </i>
    <i>
      <x v="496"/>
    </i>
    <i>
      <x v="347"/>
    </i>
    <i>
      <x v="500"/>
    </i>
    <i>
      <x v="348"/>
    </i>
    <i>
      <x v="504"/>
    </i>
    <i>
      <x v="349"/>
    </i>
    <i>
      <x v="508"/>
    </i>
    <i>
      <x v="350"/>
    </i>
    <i>
      <x v="512"/>
    </i>
    <i>
      <x v="351"/>
    </i>
    <i>
      <x v="516"/>
    </i>
    <i>
      <x v="352"/>
    </i>
    <i>
      <x v="298"/>
    </i>
    <i>
      <x v="275"/>
    </i>
    <i>
      <x v="411"/>
    </i>
    <i>
      <x v="354"/>
    </i>
    <i>
      <x v="413"/>
    </i>
    <i>
      <x v="355"/>
    </i>
    <i>
      <x v="415"/>
    </i>
    <i>
      <x v="356"/>
    </i>
    <i>
      <x v="417"/>
    </i>
    <i>
      <x v="276"/>
    </i>
    <i>
      <x v="287"/>
    </i>
    <i>
      <x v="358"/>
    </i>
    <i>
      <x v="421"/>
    </i>
    <i>
      <x v="359"/>
    </i>
    <i>
      <x v="423"/>
    </i>
    <i>
      <x v="277"/>
    </i>
    <i>
      <x v="425"/>
    </i>
    <i>
      <x v="264"/>
    </i>
    <i>
      <x v="427"/>
    </i>
    <i>
      <x v="362"/>
    </i>
    <i>
      <x v="429"/>
    </i>
    <i>
      <x v="363"/>
    </i>
    <i>
      <x v="431"/>
    </i>
    <i>
      <x v="364"/>
    </i>
    <i>
      <x v="433"/>
    </i>
    <i>
      <x v="365"/>
    </i>
    <i>
      <x v="435"/>
    </i>
    <i>
      <x v="366"/>
    </i>
    <i>
      <x v="437"/>
    </i>
    <i>
      <x v="367"/>
    </i>
    <i>
      <x v="439"/>
    </i>
    <i>
      <x v="368"/>
    </i>
    <i>
      <x v="441"/>
    </i>
    <i>
      <x v="279"/>
    </i>
    <i>
      <x v="443"/>
    </i>
    <i>
      <x v="370"/>
    </i>
    <i>
      <x v="445"/>
    </i>
    <i>
      <x v="371"/>
    </i>
    <i>
      <x v="447"/>
    </i>
    <i>
      <x v="280"/>
    </i>
    <i>
      <x v="449"/>
    </i>
    <i>
      <x v="373"/>
    </i>
    <i>
      <x v="289"/>
    </i>
    <i>
      <x v="374"/>
    </i>
    <i>
      <x v="453"/>
    </i>
    <i>
      <x v="375"/>
    </i>
    <i>
      <x v="455"/>
    </i>
    <i>
      <x v="376"/>
    </i>
    <i>
      <x v="457"/>
    </i>
    <i>
      <x v="377"/>
    </i>
    <i>
      <x v="459"/>
    </i>
    <i>
      <x v="378"/>
    </i>
    <i>
      <x v="461"/>
    </i>
    <i>
      <x v="379"/>
    </i>
    <i>
      <x v="463"/>
    </i>
    <i>
      <x v="281"/>
    </i>
    <i>
      <x v="268"/>
    </i>
    <i>
      <x v="381"/>
    </i>
    <i>
      <x v="291"/>
    </i>
    <i>
      <x v="382"/>
    </i>
    <i>
      <x v="469"/>
    </i>
    <i>
      <x v="383"/>
    </i>
    <i>
      <x v="471"/>
    </i>
    <i>
      <x v="384"/>
    </i>
    <i>
      <x v="473"/>
    </i>
    <i>
      <x v="385"/>
    </i>
    <i>
      <x v="475"/>
    </i>
    <i>
      <x v="386"/>
    </i>
    <i>
      <x v="477"/>
    </i>
    <i>
      <x v="387"/>
    </i>
    <i>
      <x v="479"/>
    </i>
    <i>
      <x v="388"/>
    </i>
    <i>
      <x v="481"/>
    </i>
    <i>
      <x v="389"/>
    </i>
    <i>
      <x v="483"/>
    </i>
    <i>
      <x v="390"/>
    </i>
    <i>
      <x v="485"/>
    </i>
    <i>
      <x v="282"/>
    </i>
    <i>
      <x v="294"/>
    </i>
    <i>
      <x v="523"/>
    </i>
    <i>
      <x v="489"/>
    </i>
    <i>
      <x v="393"/>
    </i>
    <i>
      <x v="491"/>
    </i>
    <i>
      <x v="394"/>
    </i>
    <i>
      <x v="493"/>
    </i>
    <i>
      <x v="395"/>
    </i>
    <i>
      <x v="296"/>
    </i>
    <i>
      <x v="283"/>
    </i>
    <i>
      <x v="497"/>
    </i>
    <i>
      <x v="397"/>
    </i>
    <i>
      <x v="499"/>
    </i>
    <i>
      <x v="398"/>
    </i>
    <i>
      <x v="501"/>
    </i>
    <i>
      <x v="399"/>
    </i>
    <i>
      <x v="503"/>
    </i>
    <i>
      <x v="267"/>
    </i>
    <i>
      <x v="505"/>
    </i>
    <i>
      <x v="401"/>
    </i>
    <i>
      <x v="507"/>
    </i>
    <i>
      <x v="402"/>
    </i>
    <i>
      <x v="509"/>
    </i>
    <i>
      <x v="403"/>
    </i>
    <i>
      <x v="511"/>
    </i>
    <i>
      <x v="404"/>
    </i>
    <i>
      <x v="513"/>
    </i>
    <i>
      <x v="405"/>
    </i>
    <i>
      <x v="515"/>
    </i>
    <i>
      <x v="406"/>
    </i>
    <i>
      <x v="517"/>
    </i>
    <i>
      <x v="407"/>
    </i>
    <i>
      <x v="269"/>
    </i>
    <i>
      <x v="408"/>
    </i>
    <i>
      <x v="521"/>
    </i>
    <i>
      <x v="409"/>
    </i>
    <i>
      <x v="410"/>
    </i>
    <i>
      <x v="262"/>
    </i>
    <i>
      <x v="392"/>
    </i>
    <i>
      <x v="150"/>
    </i>
    <i>
      <x v="214"/>
    </i>
    <i>
      <x v="182"/>
    </i>
    <i>
      <x v="24"/>
    </i>
    <i>
      <x v="246"/>
    </i>
    <i>
      <x v="25"/>
    </i>
    <i>
      <x v="166"/>
    </i>
    <i>
      <x v="26"/>
    </i>
    <i>
      <x v="198"/>
    </i>
    <i>
      <x v="27"/>
    </i>
    <i>
      <x v="230"/>
    </i>
    <i>
      <x v="28"/>
    </i>
    <i>
      <x v="142"/>
    </i>
    <i>
      <x v="4"/>
    </i>
    <i>
      <x v="158"/>
    </i>
    <i>
      <x v="30"/>
    </i>
    <i>
      <x v="174"/>
    </i>
    <i>
      <x v="31"/>
    </i>
    <i>
      <x v="190"/>
    </i>
    <i>
      <x v="32"/>
    </i>
    <i>
      <x v="206"/>
    </i>
    <i>
      <x v="5"/>
    </i>
    <i>
      <x v="222"/>
    </i>
    <i>
      <x v="34"/>
    </i>
    <i>
      <x v="238"/>
    </i>
    <i>
      <x v="35"/>
    </i>
    <i>
      <x v="254"/>
    </i>
    <i>
      <x v="36"/>
    </i>
    <i>
      <x v="146"/>
    </i>
    <i>
      <x v="37"/>
    </i>
    <i>
      <x v="154"/>
    </i>
    <i>
      <x v="6"/>
    </i>
    <i>
      <x v="162"/>
    </i>
    <i>
      <x v="39"/>
    </i>
    <i>
      <x v="170"/>
    </i>
    <i>
      <x v="40"/>
    </i>
    <i>
      <x v="178"/>
    </i>
    <i>
      <x v="41"/>
    </i>
    <i>
      <x v="186"/>
    </i>
    <i>
      <x v="42"/>
    </i>
    <i>
      <x v="194"/>
    </i>
    <i>
      <x v="43"/>
    </i>
    <i>
      <x v="202"/>
    </i>
    <i>
      <x v="44"/>
    </i>
    <i>
      <x v="210"/>
    </i>
    <i>
      <x v="45"/>
    </i>
    <i>
      <x v="218"/>
    </i>
    <i>
      <x v="46"/>
    </i>
    <i>
      <x v="20"/>
    </i>
    <i>
      <x v="47"/>
    </i>
    <i>
      <x v="234"/>
    </i>
    <i>
      <x v="48"/>
    </i>
    <i>
      <x v="21"/>
    </i>
    <i>
      <x v="49"/>
    </i>
    <i>
      <x v="22"/>
    </i>
    <i>
      <x v="50"/>
    </i>
    <i>
      <x v="15"/>
    </i>
    <i>
      <x v="51"/>
    </i>
    <i>
      <x v="144"/>
    </i>
    <i>
      <x v="52"/>
    </i>
    <i>
      <x v="148"/>
    </i>
    <i>
      <x v="53"/>
    </i>
    <i>
      <x v="152"/>
    </i>
    <i>
      <x v="54"/>
    </i>
    <i>
      <x v="156"/>
    </i>
    <i>
      <x v="55"/>
    </i>
    <i>
      <x v="160"/>
    </i>
    <i>
      <x v="56"/>
    </i>
    <i>
      <x v="164"/>
    </i>
    <i>
      <x v="57"/>
    </i>
    <i>
      <x v="168"/>
    </i>
    <i>
      <x v="58"/>
    </i>
    <i>
      <x v="172"/>
    </i>
    <i>
      <x v="59"/>
    </i>
    <i>
      <x v="176"/>
    </i>
    <i>
      <x v="60"/>
    </i>
    <i>
      <x v="180"/>
    </i>
    <i>
      <x v="61"/>
    </i>
    <i>
      <x v="184"/>
    </i>
    <i>
      <x v="62"/>
    </i>
    <i>
      <x v="188"/>
    </i>
    <i>
      <x v="63"/>
    </i>
    <i>
      <x v="192"/>
    </i>
    <i>
      <x v="64"/>
    </i>
    <i>
      <x v="19"/>
    </i>
    <i>
      <x v="65"/>
    </i>
    <i>
      <x v="200"/>
    </i>
    <i>
      <x v="66"/>
    </i>
    <i>
      <x v="204"/>
    </i>
    <i>
      <x v="67"/>
    </i>
    <i>
      <x v="208"/>
    </i>
    <i>
      <x v="68"/>
    </i>
    <i>
      <x v="212"/>
    </i>
    <i>
      <x v="69"/>
    </i>
    <i>
      <x v="216"/>
    </i>
    <i>
      <x v="70"/>
    </i>
    <i>
      <x v="220"/>
    </i>
    <i>
      <x v="71"/>
    </i>
    <i>
      <x v="224"/>
    </i>
    <i>
      <x v="72"/>
    </i>
    <i>
      <x v="228"/>
    </i>
    <i>
      <x v="73"/>
    </i>
    <i>
      <x v="232"/>
    </i>
    <i>
      <x v="74"/>
    </i>
    <i>
      <x v="236"/>
    </i>
    <i>
      <x v="7"/>
    </i>
    <i>
      <x v="240"/>
    </i>
    <i>
      <x v="76"/>
    </i>
    <i>
      <x v="244"/>
    </i>
    <i>
      <x v="77"/>
    </i>
    <i>
      <x v="248"/>
    </i>
    <i>
      <x v="78"/>
    </i>
    <i>
      <x v="252"/>
    </i>
    <i>
      <x v="79"/>
    </i>
    <i>
      <x v="139"/>
    </i>
    <i>
      <x v="80"/>
    </i>
    <i>
      <x v="141"/>
    </i>
    <i>
      <x v="81"/>
    </i>
    <i>
      <x v="143"/>
    </i>
    <i>
      <x v="82"/>
    </i>
    <i>
      <x v="145"/>
    </i>
    <i>
      <x v="8"/>
    </i>
    <i>
      <x v="3"/>
    </i>
    <i>
      <x v="84"/>
    </i>
    <i>
      <x v="149"/>
    </i>
    <i>
      <x v="85"/>
    </i>
    <i>
      <x v="151"/>
    </i>
    <i>
      <x v="86"/>
    </i>
    <i>
      <x v="17"/>
    </i>
    <i>
      <x v="87"/>
    </i>
    <i>
      <x v="155"/>
    </i>
    <i>
      <x v="88"/>
    </i>
    <i>
      <x v="157"/>
    </i>
    <i>
      <x v="89"/>
    </i>
    <i>
      <x v="159"/>
    </i>
    <i>
      <x v="90"/>
    </i>
    <i>
      <x v="161"/>
    </i>
    <i>
      <x v="91"/>
    </i>
    <i>
      <x v="163"/>
    </i>
    <i>
      <x v="1"/>
    </i>
    <i>
      <x v="165"/>
    </i>
    <i>
      <x v="10"/>
    </i>
    <i>
      <x v="167"/>
    </i>
    <i>
      <x v="94"/>
    </i>
    <i>
      <x v="169"/>
    </i>
    <i>
      <x v="95"/>
    </i>
    <i>
      <x v="171"/>
    </i>
    <i>
      <x v="96"/>
    </i>
    <i>
      <x v="173"/>
    </i>
    <i>
      <x v="97"/>
    </i>
    <i>
      <x v="175"/>
    </i>
    <i>
      <x v="98"/>
    </i>
    <i>
      <x v="177"/>
    </i>
    <i>
      <x v="99"/>
    </i>
    <i>
      <x v="179"/>
    </i>
    <i>
      <x v="11"/>
    </i>
    <i>
      <x v="181"/>
    </i>
    <i>
      <x v="101"/>
    </i>
    <i>
      <x v="183"/>
    </i>
    <i>
      <x v="102"/>
    </i>
    <i>
      <x v="185"/>
    </i>
    <i>
      <x v="103"/>
    </i>
    <i>
      <x v="18"/>
    </i>
    <i>
      <x v="104"/>
    </i>
    <i>
      <x v="189"/>
    </i>
    <i>
      <x v="105"/>
    </i>
    <i>
      <x v="191"/>
    </i>
    <i>
      <x v="106"/>
    </i>
    <i>
      <x v="193"/>
    </i>
    <i>
      <x v="12"/>
    </i>
    <i>
      <x v="195"/>
    </i>
    <i>
      <x v="108"/>
    </i>
    <i>
      <x v="197"/>
    </i>
    <i>
      <x v="109"/>
    </i>
    <i>
      <x v="199"/>
    </i>
    <i>
      <x v="110"/>
    </i>
    <i>
      <x v="201"/>
    </i>
    <i>
      <x v="111"/>
    </i>
    <i>
      <x v="203"/>
    </i>
    <i>
      <x v="112"/>
    </i>
    <i>
      <x v="205"/>
    </i>
    <i>
      <x v="113"/>
    </i>
    <i>
      <x v="207"/>
    </i>
    <i>
      <x v="114"/>
    </i>
    <i>
      <x v="209"/>
    </i>
    <i>
      <x v="115"/>
    </i>
    <i>
      <x v="211"/>
    </i>
    <i>
      <x v="116"/>
    </i>
    <i>
      <x v="213"/>
    </i>
    <i>
      <x v="117"/>
    </i>
    <i>
      <x v="215"/>
    </i>
    <i>
      <x v="118"/>
    </i>
    <i>
      <x v="217"/>
    </i>
    <i>
      <x v="119"/>
    </i>
    <i>
      <x v="219"/>
    </i>
    <i>
      <x v="120"/>
    </i>
    <i>
      <x v="221"/>
    </i>
    <i>
      <x v="121"/>
    </i>
    <i>
      <x v="223"/>
    </i>
    <i>
      <x v="122"/>
    </i>
    <i>
      <x v="225"/>
    </i>
    <i>
      <x v="123"/>
    </i>
    <i>
      <x v="227"/>
    </i>
    <i>
      <x v="124"/>
    </i>
    <i>
      <x v="229"/>
    </i>
    <i>
      <x v="2"/>
    </i>
    <i>
      <x v="231"/>
    </i>
    <i>
      <x v="14"/>
    </i>
    <i>
      <x v="233"/>
    </i>
    <i>
      <x v="255"/>
    </i>
    <i>
      <x v="235"/>
    </i>
    <i>
      <x v="257"/>
    </i>
    <i>
      <x v="237"/>
    </i>
    <i>
      <x v="259"/>
    </i>
    <i>
      <x v="239"/>
    </i>
    <i>
      <x v="261"/>
    </i>
    <i>
      <x v="241"/>
    </i>
    <i>
      <x v="131"/>
    </i>
    <i>
      <x v="243"/>
    </i>
    <i>
      <x v="132"/>
    </i>
    <i>
      <x v="245"/>
    </i>
    <i>
      <x v="133"/>
    </i>
    <i>
      <x v="247"/>
    </i>
    <i>
      <x v="134"/>
    </i>
    <i>
      <x v="249"/>
    </i>
    <i>
      <x v="135"/>
    </i>
    <i>
      <x v="251"/>
    </i>
    <i>
      <x v="136"/>
    </i>
    <i>
      <x v="253"/>
    </i>
    <i>
      <x v="137"/>
    </i>
    <i>
      <x v="23"/>
    </i>
    <i>
      <x v="138"/>
    </i>
    <i>
      <x v="127"/>
    </i>
    <i>
      <x v="258"/>
    </i>
    <i>
      <x v="128"/>
    </i>
    <i>
      <x v="260"/>
    </i>
    <i>
      <x v="129"/>
    </i>
    <i>
      <x/>
    </i>
    <i>
      <x v="130"/>
    </i>
    <i t="grand">
      <x/>
    </i>
  </rowItems>
  <colItems count="1">
    <i/>
  </colItems>
  <pageFields count="1">
    <pageField fld="4" hier="-1"/>
  </pageFields>
  <dataFields count="1">
    <dataField name="Suma z polaczeni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5FA15-2245-4075-80E9-8D7F355D536D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4" rowHeaderCaption="data">
  <location ref="I5:K27" firstHeaderRow="0" firstDataRow="1" firstDataCol="1"/>
  <pivotFields count="6">
    <pivotField showAll="0"/>
    <pivotField axis="axisRow" numFmtId="14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umFmtId="164" showAll="0"/>
    <pivotField numFmtId="164" showAll="0"/>
    <pivotField dataField="1" showAll="0"/>
    <pivotField dataField="1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tacjonarne" fld="4" baseField="0" baseItem="0"/>
    <dataField name="komórkowe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E5CE-CB5B-4D26-B7C0-0A2B6387A140}">
  <dimension ref="A1:D2149"/>
  <sheetViews>
    <sheetView workbookViewId="0">
      <selection activeCell="E1" sqref="E1"/>
    </sheetView>
  </sheetViews>
  <sheetFormatPr defaultRowHeight="14.5" x14ac:dyDescent="0.35"/>
  <cols>
    <col min="1" max="1" width="10.81640625" bestFit="1" customWidth="1"/>
    <col min="2" max="2" width="9.90625" bestFit="1" customWidth="1"/>
    <col min="3" max="3" width="12.81640625" bestFit="1" customWidth="1"/>
    <col min="4" max="4" width="13.26953125" bestFit="1" customWidth="1"/>
  </cols>
  <sheetData>
    <row r="1" spans="1:4" x14ac:dyDescent="0.35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35">
      <c r="A2" s="5">
        <v>3539762</v>
      </c>
      <c r="B2" s="6">
        <v>42919</v>
      </c>
      <c r="C2" s="7">
        <v>0.33673611111111112</v>
      </c>
      <c r="D2" s="8">
        <v>0.34821759259259261</v>
      </c>
    </row>
    <row r="3" spans="1:4" x14ac:dyDescent="0.35">
      <c r="A3" s="9">
        <v>4546455</v>
      </c>
      <c r="B3" s="10">
        <v>42919</v>
      </c>
      <c r="C3" s="11">
        <v>0.34037037037037038</v>
      </c>
      <c r="D3" s="12">
        <v>0.34983796296296299</v>
      </c>
    </row>
    <row r="4" spans="1:4" x14ac:dyDescent="0.35">
      <c r="A4" s="5">
        <v>4546455</v>
      </c>
      <c r="B4" s="6">
        <v>42919</v>
      </c>
      <c r="C4" s="7">
        <v>0.34042824074074074</v>
      </c>
      <c r="D4" s="8">
        <v>0.35046296296296298</v>
      </c>
    </row>
    <row r="5" spans="1:4" x14ac:dyDescent="0.35">
      <c r="A5" s="9">
        <v>6900303</v>
      </c>
      <c r="B5" s="10">
        <v>42919</v>
      </c>
      <c r="C5" s="11">
        <v>0.34362268518518518</v>
      </c>
      <c r="D5" s="12">
        <v>0.3482986111111111</v>
      </c>
    </row>
    <row r="6" spans="1:4" x14ac:dyDescent="0.35">
      <c r="A6" s="5">
        <v>4250194</v>
      </c>
      <c r="B6" s="6">
        <v>42919</v>
      </c>
      <c r="C6" s="7">
        <v>0.34399305555555554</v>
      </c>
      <c r="D6" s="8">
        <v>0.34872685185185187</v>
      </c>
    </row>
    <row r="7" spans="1:4" x14ac:dyDescent="0.35">
      <c r="A7" s="9">
        <v>54586484</v>
      </c>
      <c r="B7" s="10">
        <v>42919</v>
      </c>
      <c r="C7" s="11">
        <v>0.3460185185185185</v>
      </c>
      <c r="D7" s="12">
        <v>0.34969907407407408</v>
      </c>
    </row>
    <row r="8" spans="1:4" x14ac:dyDescent="0.35">
      <c r="A8" s="5">
        <v>26204415</v>
      </c>
      <c r="B8" s="6">
        <v>42919</v>
      </c>
      <c r="C8" s="7">
        <v>0.34880787037037037</v>
      </c>
      <c r="D8" s="8">
        <v>0.35023148148148148</v>
      </c>
    </row>
    <row r="9" spans="1:4" x14ac:dyDescent="0.35">
      <c r="A9" s="9">
        <v>8596929</v>
      </c>
      <c r="B9" s="10">
        <v>42919</v>
      </c>
      <c r="C9" s="11">
        <v>0.35322916666666665</v>
      </c>
      <c r="D9" s="12">
        <v>0.35968749999999999</v>
      </c>
    </row>
    <row r="10" spans="1:4" x14ac:dyDescent="0.35">
      <c r="A10" s="5">
        <v>4546455</v>
      </c>
      <c r="B10" s="6">
        <v>42919</v>
      </c>
      <c r="C10" s="7">
        <v>0.35723379629629631</v>
      </c>
      <c r="D10" s="8">
        <v>0.36699074074074073</v>
      </c>
    </row>
    <row r="11" spans="1:4" x14ac:dyDescent="0.35">
      <c r="A11" s="9">
        <v>44937926</v>
      </c>
      <c r="B11" s="10">
        <v>42919</v>
      </c>
      <c r="C11" s="11">
        <v>0.36178240740740741</v>
      </c>
      <c r="D11" s="12">
        <v>0.37260416666666668</v>
      </c>
    </row>
    <row r="12" spans="1:4" x14ac:dyDescent="0.35">
      <c r="A12" s="5">
        <v>5816822</v>
      </c>
      <c r="B12" s="6">
        <v>42919</v>
      </c>
      <c r="C12" s="7">
        <v>0.36702546296296296</v>
      </c>
      <c r="D12" s="8">
        <v>0.37568287037037035</v>
      </c>
    </row>
    <row r="13" spans="1:4" x14ac:dyDescent="0.35">
      <c r="A13" s="9">
        <v>96191858</v>
      </c>
      <c r="B13" s="10">
        <v>42919</v>
      </c>
      <c r="C13" s="11">
        <v>0.36861111111111111</v>
      </c>
      <c r="D13" s="12">
        <v>0.37554398148148149</v>
      </c>
    </row>
    <row r="14" spans="1:4" x14ac:dyDescent="0.35">
      <c r="A14" s="5">
        <v>47261256</v>
      </c>
      <c r="B14" s="6">
        <v>42919</v>
      </c>
      <c r="C14" s="7">
        <v>0.37017361111111113</v>
      </c>
      <c r="D14" s="8">
        <v>0.37328703703703703</v>
      </c>
    </row>
    <row r="15" spans="1:4" x14ac:dyDescent="0.35">
      <c r="A15" s="9">
        <v>26204415</v>
      </c>
      <c r="B15" s="10">
        <v>42919</v>
      </c>
      <c r="C15" s="11">
        <v>0.37516203703703704</v>
      </c>
      <c r="D15" s="12">
        <v>0.38424768518518521</v>
      </c>
    </row>
    <row r="16" spans="1:4" x14ac:dyDescent="0.35">
      <c r="A16" s="5">
        <v>22747425</v>
      </c>
      <c r="B16" s="6">
        <v>42919</v>
      </c>
      <c r="C16" s="7">
        <v>0.37719907407407405</v>
      </c>
      <c r="D16" s="8">
        <v>0.38513888888888886</v>
      </c>
    </row>
    <row r="17" spans="1:4" x14ac:dyDescent="0.35">
      <c r="A17" s="9">
        <v>96191858</v>
      </c>
      <c r="B17" s="10">
        <v>42919</v>
      </c>
      <c r="C17" s="11">
        <v>0.37987268518518519</v>
      </c>
      <c r="D17" s="12">
        <v>0.38802083333333331</v>
      </c>
    </row>
    <row r="18" spans="1:4" x14ac:dyDescent="0.35">
      <c r="A18" s="5">
        <v>5816822</v>
      </c>
      <c r="B18" s="6">
        <v>42919</v>
      </c>
      <c r="C18" s="7">
        <v>0.38123842592592594</v>
      </c>
      <c r="D18" s="8">
        <v>0.38390046296296299</v>
      </c>
    </row>
    <row r="19" spans="1:4" x14ac:dyDescent="0.35">
      <c r="A19" s="9">
        <v>3352943</v>
      </c>
      <c r="B19" s="10">
        <v>42919</v>
      </c>
      <c r="C19" s="11">
        <v>0.38701388888888888</v>
      </c>
      <c r="D19" s="12">
        <v>0.3943402777777778</v>
      </c>
    </row>
    <row r="20" spans="1:4" x14ac:dyDescent="0.35">
      <c r="A20" s="5">
        <v>35634368</v>
      </c>
      <c r="B20" s="6">
        <v>42919</v>
      </c>
      <c r="C20" s="7">
        <v>0.39181712962962961</v>
      </c>
      <c r="D20" s="8">
        <v>0.40334490740740742</v>
      </c>
    </row>
    <row r="21" spans="1:4" x14ac:dyDescent="0.35">
      <c r="A21" s="9">
        <v>8313390</v>
      </c>
      <c r="B21" s="10">
        <v>42919</v>
      </c>
      <c r="C21" s="11">
        <v>0.39571759259259259</v>
      </c>
      <c r="D21" s="12">
        <v>0.39844907407407409</v>
      </c>
    </row>
    <row r="22" spans="1:4" x14ac:dyDescent="0.35">
      <c r="A22" s="5">
        <v>3954712</v>
      </c>
      <c r="B22" s="6">
        <v>42919</v>
      </c>
      <c r="C22" s="7">
        <v>0.39876157407407409</v>
      </c>
      <c r="D22" s="8">
        <v>0.40207175925925925</v>
      </c>
    </row>
    <row r="23" spans="1:4" x14ac:dyDescent="0.35">
      <c r="A23" s="9">
        <v>2109147679</v>
      </c>
      <c r="B23" s="10">
        <v>42919</v>
      </c>
      <c r="C23" s="11">
        <v>0.40035879629629628</v>
      </c>
      <c r="D23" s="12">
        <v>0.41166666666666668</v>
      </c>
    </row>
    <row r="24" spans="1:4" x14ac:dyDescent="0.35">
      <c r="A24" s="5">
        <v>1787732</v>
      </c>
      <c r="B24" s="6">
        <v>42919</v>
      </c>
      <c r="C24" s="7">
        <v>0.4052546296296296</v>
      </c>
      <c r="D24" s="8">
        <v>0.41048611111111111</v>
      </c>
    </row>
    <row r="25" spans="1:4" x14ac:dyDescent="0.35">
      <c r="A25" s="9">
        <v>7834807</v>
      </c>
      <c r="B25" s="10">
        <v>42919</v>
      </c>
      <c r="C25" s="11">
        <v>0.40980324074074076</v>
      </c>
      <c r="D25" s="12">
        <v>0.41035879629629629</v>
      </c>
    </row>
    <row r="26" spans="1:4" x14ac:dyDescent="0.35">
      <c r="A26" s="5">
        <v>33320202</v>
      </c>
      <c r="B26" s="6">
        <v>42919</v>
      </c>
      <c r="C26" s="7">
        <v>0.41506944444444444</v>
      </c>
      <c r="D26" s="8">
        <v>0.42621527777777779</v>
      </c>
    </row>
    <row r="27" spans="1:4" x14ac:dyDescent="0.35">
      <c r="A27" s="9">
        <v>1488369</v>
      </c>
      <c r="B27" s="10">
        <v>42919</v>
      </c>
      <c r="C27" s="11">
        <v>0.41612268518518519</v>
      </c>
      <c r="D27" s="12">
        <v>0.41756944444444444</v>
      </c>
    </row>
    <row r="28" spans="1:4" x14ac:dyDescent="0.35">
      <c r="A28" s="5">
        <v>2631285</v>
      </c>
      <c r="B28" s="6">
        <v>42919</v>
      </c>
      <c r="C28" s="7">
        <v>0.4176273148148148</v>
      </c>
      <c r="D28" s="8">
        <v>0.42375000000000002</v>
      </c>
    </row>
    <row r="29" spans="1:4" x14ac:dyDescent="0.35">
      <c r="A29" s="9">
        <v>7415603</v>
      </c>
      <c r="B29" s="10">
        <v>42919</v>
      </c>
      <c r="C29" s="11">
        <v>0.42078703703703701</v>
      </c>
      <c r="D29" s="12">
        <v>0.43216435185185187</v>
      </c>
    </row>
    <row r="30" spans="1:4" x14ac:dyDescent="0.35">
      <c r="A30" s="5">
        <v>96375379</v>
      </c>
      <c r="B30" s="6">
        <v>42919</v>
      </c>
      <c r="C30" s="7">
        <v>0.42447916666666669</v>
      </c>
      <c r="D30" s="8">
        <v>0.42660879629629628</v>
      </c>
    </row>
    <row r="31" spans="1:4" x14ac:dyDescent="0.35">
      <c r="A31" s="9">
        <v>6976431</v>
      </c>
      <c r="B31" s="10">
        <v>42919</v>
      </c>
      <c r="C31" s="11">
        <v>0.4281712962962963</v>
      </c>
      <c r="D31" s="12">
        <v>0.43692129629629628</v>
      </c>
    </row>
    <row r="32" spans="1:4" x14ac:dyDescent="0.35">
      <c r="A32" s="5">
        <v>4093292</v>
      </c>
      <c r="B32" s="6">
        <v>42919</v>
      </c>
      <c r="C32" s="7">
        <v>0.43038194444444444</v>
      </c>
      <c r="D32" s="8">
        <v>0.43494212962962964</v>
      </c>
    </row>
    <row r="33" spans="1:4" x14ac:dyDescent="0.35">
      <c r="A33" s="9">
        <v>6312575</v>
      </c>
      <c r="B33" s="10">
        <v>42919</v>
      </c>
      <c r="C33" s="11">
        <v>0.4309837962962963</v>
      </c>
      <c r="D33" s="12">
        <v>0.43748842592592591</v>
      </c>
    </row>
    <row r="34" spans="1:4" x14ac:dyDescent="0.35">
      <c r="A34" s="5">
        <v>38535407</v>
      </c>
      <c r="B34" s="6">
        <v>42919</v>
      </c>
      <c r="C34" s="7">
        <v>0.43593749999999998</v>
      </c>
      <c r="D34" s="8">
        <v>0.44417824074074075</v>
      </c>
    </row>
    <row r="35" spans="1:4" x14ac:dyDescent="0.35">
      <c r="A35" s="9">
        <v>38535407</v>
      </c>
      <c r="B35" s="10">
        <v>42919</v>
      </c>
      <c r="C35" s="11">
        <v>0.43824074074074076</v>
      </c>
      <c r="D35" s="12">
        <v>0.43913194444444442</v>
      </c>
    </row>
    <row r="36" spans="1:4" x14ac:dyDescent="0.35">
      <c r="A36" s="5">
        <v>9413315</v>
      </c>
      <c r="B36" s="6">
        <v>42919</v>
      </c>
      <c r="C36" s="7">
        <v>0.44313657407407409</v>
      </c>
      <c r="D36" s="8">
        <v>0.45300925925925928</v>
      </c>
    </row>
    <row r="37" spans="1:4" x14ac:dyDescent="0.35">
      <c r="A37" s="9">
        <v>8514016</v>
      </c>
      <c r="B37" s="10">
        <v>42919</v>
      </c>
      <c r="C37" s="11">
        <v>0.44778935185185187</v>
      </c>
      <c r="D37" s="12">
        <v>0.44998842592592592</v>
      </c>
    </row>
    <row r="38" spans="1:4" x14ac:dyDescent="0.35">
      <c r="A38" s="5">
        <v>40965486</v>
      </c>
      <c r="B38" s="6">
        <v>42919</v>
      </c>
      <c r="C38" s="7">
        <v>0.44945601851851852</v>
      </c>
      <c r="D38" s="8">
        <v>0.46011574074074074</v>
      </c>
    </row>
    <row r="39" spans="1:4" x14ac:dyDescent="0.35">
      <c r="A39" s="9">
        <v>4546455</v>
      </c>
      <c r="B39" s="10">
        <v>42919</v>
      </c>
      <c r="C39" s="11">
        <v>0.45270833333333332</v>
      </c>
      <c r="D39" s="12">
        <v>0.45620370370370372</v>
      </c>
    </row>
    <row r="40" spans="1:4" x14ac:dyDescent="0.35">
      <c r="A40" s="5">
        <v>1435049</v>
      </c>
      <c r="B40" s="6">
        <v>42919</v>
      </c>
      <c r="C40" s="7">
        <v>0.45494212962962965</v>
      </c>
      <c r="D40" s="8">
        <v>0.45567129629629627</v>
      </c>
    </row>
    <row r="41" spans="1:4" x14ac:dyDescent="0.35">
      <c r="A41" s="9">
        <v>85598139</v>
      </c>
      <c r="B41" s="10">
        <v>42919</v>
      </c>
      <c r="C41" s="11">
        <v>0.45608796296296295</v>
      </c>
      <c r="D41" s="12">
        <v>0.46314814814814814</v>
      </c>
    </row>
    <row r="42" spans="1:4" x14ac:dyDescent="0.35">
      <c r="A42" s="5">
        <v>1787732</v>
      </c>
      <c r="B42" s="6">
        <v>42919</v>
      </c>
      <c r="C42" s="7">
        <v>0.46151620370370372</v>
      </c>
      <c r="D42" s="8">
        <v>0.46546296296296297</v>
      </c>
    </row>
    <row r="43" spans="1:4" x14ac:dyDescent="0.35">
      <c r="A43" s="9">
        <v>1926053</v>
      </c>
      <c r="B43" s="10">
        <v>42919</v>
      </c>
      <c r="C43" s="11">
        <v>0.46155092592592595</v>
      </c>
      <c r="D43" s="12">
        <v>0.46766203703703701</v>
      </c>
    </row>
    <row r="44" spans="1:4" x14ac:dyDescent="0.35">
      <c r="A44" s="5">
        <v>82949156</v>
      </c>
      <c r="B44" s="6">
        <v>42919</v>
      </c>
      <c r="C44" s="7">
        <v>0.46224537037037039</v>
      </c>
      <c r="D44" s="8">
        <v>0.46390046296296295</v>
      </c>
    </row>
    <row r="45" spans="1:4" x14ac:dyDescent="0.35">
      <c r="A45" s="9">
        <v>73690742</v>
      </c>
      <c r="B45" s="10">
        <v>42919</v>
      </c>
      <c r="C45" s="11">
        <v>0.46766203703703701</v>
      </c>
      <c r="D45" s="12">
        <v>0.4767939814814815</v>
      </c>
    </row>
    <row r="46" spans="1:4" x14ac:dyDescent="0.35">
      <c r="A46" s="5">
        <v>5107477025</v>
      </c>
      <c r="B46" s="6">
        <v>42919</v>
      </c>
      <c r="C46" s="7">
        <v>0.47125</v>
      </c>
      <c r="D46" s="8">
        <v>0.47871527777777778</v>
      </c>
    </row>
    <row r="47" spans="1:4" x14ac:dyDescent="0.35">
      <c r="A47" s="9">
        <v>4787793</v>
      </c>
      <c r="B47" s="10">
        <v>42919</v>
      </c>
      <c r="C47" s="11">
        <v>0.47584490740740742</v>
      </c>
      <c r="D47" s="12">
        <v>0.48518518518518516</v>
      </c>
    </row>
    <row r="48" spans="1:4" x14ac:dyDescent="0.35">
      <c r="A48" s="5">
        <v>79381100</v>
      </c>
      <c r="B48" s="6">
        <v>42919</v>
      </c>
      <c r="C48" s="7">
        <v>0.48078703703703701</v>
      </c>
      <c r="D48" s="8">
        <v>0.48550925925925925</v>
      </c>
    </row>
    <row r="49" spans="1:4" x14ac:dyDescent="0.35">
      <c r="A49" s="9">
        <v>4146159</v>
      </c>
      <c r="B49" s="10">
        <v>42919</v>
      </c>
      <c r="C49" s="11">
        <v>0.48123842592592592</v>
      </c>
      <c r="D49" s="12">
        <v>0.49261574074074072</v>
      </c>
    </row>
    <row r="50" spans="1:4" x14ac:dyDescent="0.35">
      <c r="A50" s="5">
        <v>13484133</v>
      </c>
      <c r="B50" s="6">
        <v>42919</v>
      </c>
      <c r="C50" s="7">
        <v>0.48254629629629631</v>
      </c>
      <c r="D50" s="8">
        <v>0.48739583333333331</v>
      </c>
    </row>
    <row r="51" spans="1:4" x14ac:dyDescent="0.35">
      <c r="A51" s="9">
        <v>4657345</v>
      </c>
      <c r="B51" s="10">
        <v>42919</v>
      </c>
      <c r="C51" s="11">
        <v>0.48489583333333336</v>
      </c>
      <c r="D51" s="12">
        <v>0.48734953703703704</v>
      </c>
    </row>
    <row r="52" spans="1:4" x14ac:dyDescent="0.35">
      <c r="A52" s="5">
        <v>3697935</v>
      </c>
      <c r="B52" s="6">
        <v>42919</v>
      </c>
      <c r="C52" s="7">
        <v>0.49054398148148148</v>
      </c>
      <c r="D52" s="8">
        <v>0.49251157407407409</v>
      </c>
    </row>
    <row r="53" spans="1:4" x14ac:dyDescent="0.35">
      <c r="A53" s="9">
        <v>2668991</v>
      </c>
      <c r="B53" s="10">
        <v>42919</v>
      </c>
      <c r="C53" s="11">
        <v>0.49284722222222221</v>
      </c>
      <c r="D53" s="12">
        <v>0.50354166666666667</v>
      </c>
    </row>
    <row r="54" spans="1:4" x14ac:dyDescent="0.35">
      <c r="A54" s="5">
        <v>3520189</v>
      </c>
      <c r="B54" s="6">
        <v>42919</v>
      </c>
      <c r="C54" s="7">
        <v>0.49862268518518521</v>
      </c>
      <c r="D54" s="8">
        <v>0.50287037037037041</v>
      </c>
    </row>
    <row r="55" spans="1:4" x14ac:dyDescent="0.35">
      <c r="A55" s="9">
        <v>4546455</v>
      </c>
      <c r="B55" s="10">
        <v>42919</v>
      </c>
      <c r="C55" s="11">
        <v>0.50089120370370366</v>
      </c>
      <c r="D55" s="12">
        <v>0.50876157407407407</v>
      </c>
    </row>
    <row r="56" spans="1:4" x14ac:dyDescent="0.35">
      <c r="A56" s="5">
        <v>3897347</v>
      </c>
      <c r="B56" s="6">
        <v>42919</v>
      </c>
      <c r="C56" s="7">
        <v>0.50549768518518523</v>
      </c>
      <c r="D56" s="8">
        <v>0.5100231481481482</v>
      </c>
    </row>
    <row r="57" spans="1:4" x14ac:dyDescent="0.35">
      <c r="A57" s="9">
        <v>1867016</v>
      </c>
      <c r="B57" s="10">
        <v>42919</v>
      </c>
      <c r="C57" s="11">
        <v>0.50910879629629635</v>
      </c>
      <c r="D57" s="12">
        <v>0.50930555555555557</v>
      </c>
    </row>
    <row r="58" spans="1:4" x14ac:dyDescent="0.35">
      <c r="A58" s="5">
        <v>96949751</v>
      </c>
      <c r="B58" s="6">
        <v>42919</v>
      </c>
      <c r="C58" s="7">
        <v>0.51262731481481483</v>
      </c>
      <c r="D58" s="8">
        <v>0.5142592592592593</v>
      </c>
    </row>
    <row r="59" spans="1:4" x14ac:dyDescent="0.35">
      <c r="A59" s="9">
        <v>81613163</v>
      </c>
      <c r="B59" s="10">
        <v>42919</v>
      </c>
      <c r="C59" s="11">
        <v>0.5175925925925926</v>
      </c>
      <c r="D59" s="12">
        <v>0.52021990740740742</v>
      </c>
    </row>
    <row r="60" spans="1:4" x14ac:dyDescent="0.35">
      <c r="A60" s="5">
        <v>4250194</v>
      </c>
      <c r="B60" s="6">
        <v>42919</v>
      </c>
      <c r="C60" s="7">
        <v>0.52217592592592588</v>
      </c>
      <c r="D60" s="8">
        <v>0.52918981481481486</v>
      </c>
    </row>
    <row r="61" spans="1:4" x14ac:dyDescent="0.35">
      <c r="A61" s="9">
        <v>6050344</v>
      </c>
      <c r="B61" s="10">
        <v>42919</v>
      </c>
      <c r="C61" s="11">
        <v>0.52444444444444449</v>
      </c>
      <c r="D61" s="12">
        <v>0.52681712962962968</v>
      </c>
    </row>
    <row r="62" spans="1:4" x14ac:dyDescent="0.35">
      <c r="A62" s="5">
        <v>4546455</v>
      </c>
      <c r="B62" s="6">
        <v>42919</v>
      </c>
      <c r="C62" s="7">
        <v>0.5258680555555556</v>
      </c>
      <c r="D62" s="8">
        <v>0.53531249999999997</v>
      </c>
    </row>
    <row r="63" spans="1:4" x14ac:dyDescent="0.35">
      <c r="A63" s="9">
        <v>7727942</v>
      </c>
      <c r="B63" s="10">
        <v>42919</v>
      </c>
      <c r="C63" s="11">
        <v>0.53013888888888894</v>
      </c>
      <c r="D63" s="12">
        <v>0.53707175925925921</v>
      </c>
    </row>
    <row r="64" spans="1:4" x14ac:dyDescent="0.35">
      <c r="A64" s="5">
        <v>8249721</v>
      </c>
      <c r="B64" s="6">
        <v>42919</v>
      </c>
      <c r="C64" s="7">
        <v>0.53486111111111112</v>
      </c>
      <c r="D64" s="8">
        <v>0.53756944444444443</v>
      </c>
    </row>
    <row r="65" spans="1:4" x14ac:dyDescent="0.35">
      <c r="A65" s="9">
        <v>6894270</v>
      </c>
      <c r="B65" s="10">
        <v>42919</v>
      </c>
      <c r="C65" s="11">
        <v>0.53488425925925931</v>
      </c>
      <c r="D65" s="12">
        <v>0.53523148148148147</v>
      </c>
    </row>
    <row r="66" spans="1:4" x14ac:dyDescent="0.35">
      <c r="A66" s="5">
        <v>3095218</v>
      </c>
      <c r="B66" s="6">
        <v>42919</v>
      </c>
      <c r="C66" s="7">
        <v>0.5358680555555555</v>
      </c>
      <c r="D66" s="8">
        <v>0.54329861111111111</v>
      </c>
    </row>
    <row r="67" spans="1:4" x14ac:dyDescent="0.35">
      <c r="A67" s="9">
        <v>45081794</v>
      </c>
      <c r="B67" s="10">
        <v>42919</v>
      </c>
      <c r="C67" s="11">
        <v>0.54016203703703702</v>
      </c>
      <c r="D67" s="12">
        <v>0.54297453703703702</v>
      </c>
    </row>
    <row r="68" spans="1:4" x14ac:dyDescent="0.35">
      <c r="A68" s="5">
        <v>3533271</v>
      </c>
      <c r="B68" s="6">
        <v>42919</v>
      </c>
      <c r="C68" s="7">
        <v>0.54280092592592588</v>
      </c>
      <c r="D68" s="8">
        <v>0.54478009259259264</v>
      </c>
    </row>
    <row r="69" spans="1:4" x14ac:dyDescent="0.35">
      <c r="A69" s="9">
        <v>7415603</v>
      </c>
      <c r="B69" s="10">
        <v>42919</v>
      </c>
      <c r="C69" s="11">
        <v>0.54848379629629629</v>
      </c>
      <c r="D69" s="12">
        <v>0.5578819444444445</v>
      </c>
    </row>
    <row r="70" spans="1:4" x14ac:dyDescent="0.35">
      <c r="A70" s="5">
        <v>9088452</v>
      </c>
      <c r="B70" s="6">
        <v>42919</v>
      </c>
      <c r="C70" s="7">
        <v>0.55283564814814812</v>
      </c>
      <c r="D70" s="8">
        <v>0.55756944444444445</v>
      </c>
    </row>
    <row r="71" spans="1:4" x14ac:dyDescent="0.35">
      <c r="A71" s="9">
        <v>3379401</v>
      </c>
      <c r="B71" s="10">
        <v>42919</v>
      </c>
      <c r="C71" s="11">
        <v>0.55576388888888884</v>
      </c>
      <c r="D71" s="12">
        <v>0.56342592592592589</v>
      </c>
    </row>
    <row r="72" spans="1:4" x14ac:dyDescent="0.35">
      <c r="A72" s="5">
        <v>73350537</v>
      </c>
      <c r="B72" s="6">
        <v>42919</v>
      </c>
      <c r="C72" s="7">
        <v>0.55722222222222217</v>
      </c>
      <c r="D72" s="8">
        <v>0.55787037037037035</v>
      </c>
    </row>
    <row r="73" spans="1:4" x14ac:dyDescent="0.35">
      <c r="A73" s="9">
        <v>83707586</v>
      </c>
      <c r="B73" s="10">
        <v>42919</v>
      </c>
      <c r="C73" s="11">
        <v>0.55803240740740745</v>
      </c>
      <c r="D73" s="12">
        <v>0.56174768518518514</v>
      </c>
    </row>
    <row r="74" spans="1:4" x14ac:dyDescent="0.35">
      <c r="A74" s="5">
        <v>5107477025</v>
      </c>
      <c r="B74" s="6">
        <v>42919</v>
      </c>
      <c r="C74" s="7">
        <v>0.55888888888888888</v>
      </c>
      <c r="D74" s="8">
        <v>0.56745370370370374</v>
      </c>
    </row>
    <row r="75" spans="1:4" x14ac:dyDescent="0.35">
      <c r="A75" s="9">
        <v>1480206</v>
      </c>
      <c r="B75" s="10">
        <v>42919</v>
      </c>
      <c r="C75" s="11">
        <v>0.5645486111111111</v>
      </c>
      <c r="D75" s="12">
        <v>0.56458333333333333</v>
      </c>
    </row>
    <row r="76" spans="1:4" x14ac:dyDescent="0.35">
      <c r="A76" s="5">
        <v>3095218</v>
      </c>
      <c r="B76" s="6">
        <v>42919</v>
      </c>
      <c r="C76" s="7">
        <v>0.56555555555555559</v>
      </c>
      <c r="D76" s="8">
        <v>0.56557870370370367</v>
      </c>
    </row>
    <row r="77" spans="1:4" x14ac:dyDescent="0.35">
      <c r="A77" s="9">
        <v>2028923</v>
      </c>
      <c r="B77" s="10">
        <v>42919</v>
      </c>
      <c r="C77" s="11">
        <v>0.56800925925925927</v>
      </c>
      <c r="D77" s="12">
        <v>0.57093749999999999</v>
      </c>
    </row>
    <row r="78" spans="1:4" x14ac:dyDescent="0.35">
      <c r="A78" s="5">
        <v>81880891</v>
      </c>
      <c r="B78" s="6">
        <v>42919</v>
      </c>
      <c r="C78" s="7">
        <v>0.57141203703703702</v>
      </c>
      <c r="D78" s="8">
        <v>0.57547453703703699</v>
      </c>
    </row>
    <row r="79" spans="1:4" x14ac:dyDescent="0.35">
      <c r="A79" s="9">
        <v>4274149</v>
      </c>
      <c r="B79" s="10">
        <v>42919</v>
      </c>
      <c r="C79" s="11">
        <v>0.5717592592592593</v>
      </c>
      <c r="D79" s="12">
        <v>0.58065972222222217</v>
      </c>
    </row>
    <row r="80" spans="1:4" x14ac:dyDescent="0.35">
      <c r="A80" s="5">
        <v>3505978</v>
      </c>
      <c r="B80" s="6">
        <v>42919</v>
      </c>
      <c r="C80" s="7">
        <v>0.57642361111111107</v>
      </c>
      <c r="D80" s="8">
        <v>0.5799305555555555</v>
      </c>
    </row>
    <row r="81" spans="1:4" x14ac:dyDescent="0.35">
      <c r="A81" s="9">
        <v>8504601</v>
      </c>
      <c r="B81" s="10">
        <v>42919</v>
      </c>
      <c r="C81" s="11">
        <v>0.57958333333333334</v>
      </c>
      <c r="D81" s="12">
        <v>0.58056712962962964</v>
      </c>
    </row>
    <row r="82" spans="1:4" x14ac:dyDescent="0.35">
      <c r="A82" s="5">
        <v>8214927</v>
      </c>
      <c r="B82" s="6">
        <v>42919</v>
      </c>
      <c r="C82" s="7">
        <v>0.5819212962962963</v>
      </c>
      <c r="D82" s="8">
        <v>0.59106481481481477</v>
      </c>
    </row>
    <row r="83" spans="1:4" x14ac:dyDescent="0.35">
      <c r="A83" s="9">
        <v>5913547</v>
      </c>
      <c r="B83" s="10">
        <v>42919</v>
      </c>
      <c r="C83" s="11">
        <v>0.58414351851851853</v>
      </c>
      <c r="D83" s="12">
        <v>0.5861574074074074</v>
      </c>
    </row>
    <row r="84" spans="1:4" x14ac:dyDescent="0.35">
      <c r="A84" s="5">
        <v>3505978</v>
      </c>
      <c r="B84" s="6">
        <v>42919</v>
      </c>
      <c r="C84" s="7">
        <v>0.58699074074074076</v>
      </c>
      <c r="D84" s="8">
        <v>0.59060185185185188</v>
      </c>
    </row>
    <row r="85" spans="1:4" x14ac:dyDescent="0.35">
      <c r="A85" s="9">
        <v>14783929</v>
      </c>
      <c r="B85" s="10">
        <v>42919</v>
      </c>
      <c r="C85" s="11">
        <v>0.5902546296296296</v>
      </c>
      <c r="D85" s="12">
        <v>0.59516203703703707</v>
      </c>
    </row>
    <row r="86" spans="1:4" x14ac:dyDescent="0.35">
      <c r="A86" s="5">
        <v>2915745</v>
      </c>
      <c r="B86" s="6">
        <v>42919</v>
      </c>
      <c r="C86" s="7">
        <v>0.59324074074074074</v>
      </c>
      <c r="D86" s="8">
        <v>0.6029282407407407</v>
      </c>
    </row>
    <row r="87" spans="1:4" x14ac:dyDescent="0.35">
      <c r="A87" s="9">
        <v>1100142</v>
      </c>
      <c r="B87" s="10">
        <v>42919</v>
      </c>
      <c r="C87" s="11">
        <v>0.59710648148148149</v>
      </c>
      <c r="D87" s="12">
        <v>0.6003356481481481</v>
      </c>
    </row>
    <row r="88" spans="1:4" x14ac:dyDescent="0.35">
      <c r="A88" s="5">
        <v>7795911</v>
      </c>
      <c r="B88" s="6">
        <v>42919</v>
      </c>
      <c r="C88" s="7">
        <v>0.60196759259259258</v>
      </c>
      <c r="D88" s="8">
        <v>0.61259259259259258</v>
      </c>
    </row>
    <row r="89" spans="1:4" x14ac:dyDescent="0.35">
      <c r="A89" s="9">
        <v>1709455</v>
      </c>
      <c r="B89" s="10">
        <v>42919</v>
      </c>
      <c r="C89" s="11">
        <v>0.60313657407407406</v>
      </c>
      <c r="D89" s="12">
        <v>0.60765046296296299</v>
      </c>
    </row>
    <row r="90" spans="1:4" x14ac:dyDescent="0.35">
      <c r="A90" s="5">
        <v>54586484</v>
      </c>
      <c r="B90" s="6">
        <v>42919</v>
      </c>
      <c r="C90" s="7">
        <v>0.60753472222222227</v>
      </c>
      <c r="D90" s="8">
        <v>0.61120370370370369</v>
      </c>
    </row>
    <row r="91" spans="1:4" x14ac:dyDescent="0.35">
      <c r="A91" s="9">
        <v>6674505</v>
      </c>
      <c r="B91" s="10">
        <v>42919</v>
      </c>
      <c r="C91" s="11">
        <v>0.61243055555555559</v>
      </c>
      <c r="D91" s="12">
        <v>0.62267361111111108</v>
      </c>
    </row>
    <row r="92" spans="1:4" x14ac:dyDescent="0.35">
      <c r="A92" s="5">
        <v>6920814</v>
      </c>
      <c r="B92" s="6">
        <v>42919</v>
      </c>
      <c r="C92" s="7">
        <v>0.6141550925925926</v>
      </c>
      <c r="D92" s="8">
        <v>0.61440972222222223</v>
      </c>
    </row>
    <row r="93" spans="1:4" x14ac:dyDescent="0.35">
      <c r="A93" s="9">
        <v>6161675</v>
      </c>
      <c r="B93" s="10">
        <v>42919</v>
      </c>
      <c r="C93" s="11">
        <v>0.61449074074074073</v>
      </c>
      <c r="D93" s="12">
        <v>0.62415509259259261</v>
      </c>
    </row>
    <row r="94" spans="1:4" x14ac:dyDescent="0.35">
      <c r="A94" s="5">
        <v>8498076</v>
      </c>
      <c r="B94" s="6">
        <v>42919</v>
      </c>
      <c r="C94" s="7">
        <v>0.61523148148148143</v>
      </c>
      <c r="D94" s="8">
        <v>0.62223379629629627</v>
      </c>
    </row>
    <row r="95" spans="1:4" x14ac:dyDescent="0.35">
      <c r="A95" s="9">
        <v>4174785</v>
      </c>
      <c r="B95" s="10">
        <v>42919</v>
      </c>
      <c r="C95" s="11">
        <v>0.61624999999999996</v>
      </c>
      <c r="D95" s="12">
        <v>0.62702546296296291</v>
      </c>
    </row>
    <row r="96" spans="1:4" x14ac:dyDescent="0.35">
      <c r="A96" s="5">
        <v>3776937</v>
      </c>
      <c r="B96" s="6">
        <v>42919</v>
      </c>
      <c r="C96" s="7">
        <v>0.61767361111111108</v>
      </c>
      <c r="D96" s="8">
        <v>0.6234143518518519</v>
      </c>
    </row>
    <row r="97" spans="1:4" x14ac:dyDescent="0.35">
      <c r="A97" s="9">
        <v>2636055</v>
      </c>
      <c r="B97" s="10">
        <v>42919</v>
      </c>
      <c r="C97" s="11">
        <v>0.62174768518518519</v>
      </c>
      <c r="D97" s="12">
        <v>0.62206018518518513</v>
      </c>
    </row>
    <row r="98" spans="1:4" x14ac:dyDescent="0.35">
      <c r="A98" s="5">
        <v>4555937</v>
      </c>
      <c r="B98" s="6">
        <v>42919</v>
      </c>
      <c r="C98" s="7">
        <v>0.62645833333333334</v>
      </c>
      <c r="D98" s="8">
        <v>0.63792824074074073</v>
      </c>
    </row>
    <row r="99" spans="1:4" x14ac:dyDescent="0.35">
      <c r="A99" s="9">
        <v>80306197</v>
      </c>
      <c r="B99" s="10">
        <v>42920</v>
      </c>
      <c r="C99" s="11">
        <v>0.33644675925925926</v>
      </c>
      <c r="D99" s="12">
        <v>0.33884259259259258</v>
      </c>
    </row>
    <row r="100" spans="1:4" x14ac:dyDescent="0.35">
      <c r="A100" s="5">
        <v>99162491</v>
      </c>
      <c r="B100" s="6">
        <v>42920</v>
      </c>
      <c r="C100" s="7">
        <v>0.33944444444444444</v>
      </c>
      <c r="D100" s="8">
        <v>0.35085648148148146</v>
      </c>
    </row>
    <row r="101" spans="1:4" x14ac:dyDescent="0.35">
      <c r="A101" s="9">
        <v>2109147679</v>
      </c>
      <c r="B101" s="10">
        <v>42920</v>
      </c>
      <c r="C101" s="11">
        <v>0.34505787037037039</v>
      </c>
      <c r="D101" s="12">
        <v>0.35395833333333332</v>
      </c>
    </row>
    <row r="102" spans="1:4" x14ac:dyDescent="0.35">
      <c r="A102" s="5">
        <v>9422310</v>
      </c>
      <c r="B102" s="6">
        <v>42920</v>
      </c>
      <c r="C102" s="7">
        <v>0.35071759259259261</v>
      </c>
      <c r="D102" s="8">
        <v>0.36206018518518518</v>
      </c>
    </row>
    <row r="103" spans="1:4" x14ac:dyDescent="0.35">
      <c r="A103" s="9">
        <v>20679187</v>
      </c>
      <c r="B103" s="10">
        <v>42920</v>
      </c>
      <c r="C103" s="11">
        <v>0.35372685185185188</v>
      </c>
      <c r="D103" s="12">
        <v>0.3595949074074074</v>
      </c>
    </row>
    <row r="104" spans="1:4" x14ac:dyDescent="0.35">
      <c r="A104" s="5">
        <v>6087997</v>
      </c>
      <c r="B104" s="6">
        <v>42920</v>
      </c>
      <c r="C104" s="7">
        <v>0.35653935185185187</v>
      </c>
      <c r="D104" s="8">
        <v>0.36062499999999997</v>
      </c>
    </row>
    <row r="105" spans="1:4" x14ac:dyDescent="0.35">
      <c r="A105" s="9">
        <v>20679187</v>
      </c>
      <c r="B105" s="10">
        <v>42920</v>
      </c>
      <c r="C105" s="11">
        <v>0.35850694444444442</v>
      </c>
      <c r="D105" s="12">
        <v>0.36371527777777779</v>
      </c>
    </row>
    <row r="106" spans="1:4" x14ac:dyDescent="0.35">
      <c r="A106" s="5">
        <v>5253133</v>
      </c>
      <c r="B106" s="6">
        <v>42920</v>
      </c>
      <c r="C106" s="7">
        <v>0.35986111111111113</v>
      </c>
      <c r="D106" s="8">
        <v>0.36961805555555555</v>
      </c>
    </row>
    <row r="107" spans="1:4" x14ac:dyDescent="0.35">
      <c r="A107" s="9">
        <v>96949751</v>
      </c>
      <c r="B107" s="10">
        <v>42920</v>
      </c>
      <c r="C107" s="11">
        <v>0.36465277777777777</v>
      </c>
      <c r="D107" s="12">
        <v>0.36525462962962962</v>
      </c>
    </row>
    <row r="108" spans="1:4" x14ac:dyDescent="0.35">
      <c r="A108" s="5">
        <v>1508356</v>
      </c>
      <c r="B108" s="6">
        <v>42920</v>
      </c>
      <c r="C108" s="7">
        <v>0.37013888888888891</v>
      </c>
      <c r="D108" s="8">
        <v>0.38033564814814813</v>
      </c>
    </row>
    <row r="109" spans="1:4" x14ac:dyDescent="0.35">
      <c r="A109" s="9">
        <v>9171025</v>
      </c>
      <c r="B109" s="10">
        <v>42920</v>
      </c>
      <c r="C109" s="11">
        <v>0.37292824074074077</v>
      </c>
      <c r="D109" s="12">
        <v>0.38390046296296299</v>
      </c>
    </row>
    <row r="110" spans="1:4" x14ac:dyDescent="0.35">
      <c r="A110" s="5">
        <v>7191598</v>
      </c>
      <c r="B110" s="6">
        <v>42920</v>
      </c>
      <c r="C110" s="7">
        <v>0.37559027777777776</v>
      </c>
      <c r="D110" s="8">
        <v>0.37986111111111109</v>
      </c>
    </row>
    <row r="111" spans="1:4" x14ac:dyDescent="0.35">
      <c r="A111" s="9">
        <v>3505978</v>
      </c>
      <c r="B111" s="10">
        <v>42920</v>
      </c>
      <c r="C111" s="11">
        <v>0.37769675925925927</v>
      </c>
      <c r="D111" s="12">
        <v>0.38211805555555556</v>
      </c>
    </row>
    <row r="112" spans="1:4" x14ac:dyDescent="0.35">
      <c r="A112" s="5">
        <v>90533733</v>
      </c>
      <c r="B112" s="6">
        <v>42920</v>
      </c>
      <c r="C112" s="7">
        <v>0.38092592592592595</v>
      </c>
      <c r="D112" s="8">
        <v>0.38866898148148149</v>
      </c>
    </row>
    <row r="113" spans="1:4" x14ac:dyDescent="0.35">
      <c r="A113" s="9">
        <v>6859181</v>
      </c>
      <c r="B113" s="10">
        <v>42920</v>
      </c>
      <c r="C113" s="11">
        <v>0.38188657407407406</v>
      </c>
      <c r="D113" s="12">
        <v>0.38545138888888891</v>
      </c>
    </row>
    <row r="114" spans="1:4" x14ac:dyDescent="0.35">
      <c r="A114" s="5">
        <v>7207066</v>
      </c>
      <c r="B114" s="6">
        <v>42920</v>
      </c>
      <c r="C114" s="7">
        <v>0.3862962962962963</v>
      </c>
      <c r="D114" s="8">
        <v>0.3883449074074074</v>
      </c>
    </row>
    <row r="115" spans="1:4" x14ac:dyDescent="0.35">
      <c r="A115" s="9">
        <v>4230507</v>
      </c>
      <c r="B115" s="10">
        <v>42920</v>
      </c>
      <c r="C115" s="11">
        <v>0.38763888888888887</v>
      </c>
      <c r="D115" s="12">
        <v>0.39317129629629627</v>
      </c>
    </row>
    <row r="116" spans="1:4" x14ac:dyDescent="0.35">
      <c r="A116" s="5">
        <v>2915745</v>
      </c>
      <c r="B116" s="6">
        <v>42920</v>
      </c>
      <c r="C116" s="7">
        <v>0.39210648148148147</v>
      </c>
      <c r="D116" s="8">
        <v>0.39277777777777778</v>
      </c>
    </row>
    <row r="117" spans="1:4" x14ac:dyDescent="0.35">
      <c r="A117" s="9">
        <v>2235911</v>
      </c>
      <c r="B117" s="10">
        <v>42920</v>
      </c>
      <c r="C117" s="11">
        <v>0.39656249999999998</v>
      </c>
      <c r="D117" s="12">
        <v>0.40236111111111111</v>
      </c>
    </row>
    <row r="118" spans="1:4" x14ac:dyDescent="0.35">
      <c r="A118" s="5">
        <v>1611389</v>
      </c>
      <c r="B118" s="6">
        <v>42920</v>
      </c>
      <c r="C118" s="7">
        <v>0.39879629629629632</v>
      </c>
      <c r="D118" s="8">
        <v>0.41033564814814816</v>
      </c>
    </row>
    <row r="119" spans="1:4" x14ac:dyDescent="0.35">
      <c r="A119" s="9">
        <v>9052652</v>
      </c>
      <c r="B119" s="10">
        <v>42920</v>
      </c>
      <c r="C119" s="11">
        <v>0.3997337962962963</v>
      </c>
      <c r="D119" s="12">
        <v>0.40465277777777775</v>
      </c>
    </row>
    <row r="120" spans="1:4" x14ac:dyDescent="0.35">
      <c r="A120" s="5">
        <v>93611539</v>
      </c>
      <c r="B120" s="6">
        <v>42920</v>
      </c>
      <c r="C120" s="7">
        <v>0.40133101851851855</v>
      </c>
      <c r="D120" s="8">
        <v>0.40964120370370372</v>
      </c>
    </row>
    <row r="121" spans="1:4" x14ac:dyDescent="0.35">
      <c r="A121" s="9">
        <v>68966479</v>
      </c>
      <c r="B121" s="10">
        <v>42920</v>
      </c>
      <c r="C121" s="11">
        <v>0.40493055555555557</v>
      </c>
      <c r="D121" s="12">
        <v>0.40618055555555554</v>
      </c>
    </row>
    <row r="122" spans="1:4" x14ac:dyDescent="0.35">
      <c r="A122" s="5">
        <v>79381100</v>
      </c>
      <c r="B122" s="6">
        <v>42920</v>
      </c>
      <c r="C122" s="7">
        <v>0.40614583333333332</v>
      </c>
      <c r="D122" s="8">
        <v>0.41761574074074076</v>
      </c>
    </row>
    <row r="123" spans="1:4" x14ac:dyDescent="0.35">
      <c r="A123" s="9">
        <v>4697138</v>
      </c>
      <c r="B123" s="10">
        <v>42920</v>
      </c>
      <c r="C123" s="11">
        <v>0.40737268518518521</v>
      </c>
      <c r="D123" s="12">
        <v>0.4102777777777778</v>
      </c>
    </row>
    <row r="124" spans="1:4" x14ac:dyDescent="0.35">
      <c r="A124" s="5">
        <v>5786740</v>
      </c>
      <c r="B124" s="6">
        <v>42920</v>
      </c>
      <c r="C124" s="7">
        <v>0.40796296296296297</v>
      </c>
      <c r="D124" s="8">
        <v>0.41495370370370371</v>
      </c>
    </row>
    <row r="125" spans="1:4" x14ac:dyDescent="0.35">
      <c r="A125" s="9">
        <v>7727942</v>
      </c>
      <c r="B125" s="10">
        <v>42920</v>
      </c>
      <c r="C125" s="11">
        <v>0.41097222222222224</v>
      </c>
      <c r="D125" s="12">
        <v>0.41613425925925923</v>
      </c>
    </row>
    <row r="126" spans="1:4" x14ac:dyDescent="0.35">
      <c r="A126" s="5">
        <v>8384647</v>
      </c>
      <c r="B126" s="6">
        <v>42920</v>
      </c>
      <c r="C126" s="7">
        <v>0.4110300925925926</v>
      </c>
      <c r="D126" s="8">
        <v>0.42162037037037037</v>
      </c>
    </row>
    <row r="127" spans="1:4" x14ac:dyDescent="0.35">
      <c r="A127" s="9">
        <v>1858872516</v>
      </c>
      <c r="B127" s="10">
        <v>42920</v>
      </c>
      <c r="C127" s="11">
        <v>0.41510416666666666</v>
      </c>
      <c r="D127" s="12">
        <v>0.41668981481481482</v>
      </c>
    </row>
    <row r="128" spans="1:4" x14ac:dyDescent="0.35">
      <c r="A128" s="5">
        <v>4546455</v>
      </c>
      <c r="B128" s="6">
        <v>42920</v>
      </c>
      <c r="C128" s="7">
        <v>0.41912037037037037</v>
      </c>
      <c r="D128" s="8">
        <v>0.42031249999999998</v>
      </c>
    </row>
    <row r="129" spans="1:4" x14ac:dyDescent="0.35">
      <c r="A129" s="9">
        <v>2668991</v>
      </c>
      <c r="B129" s="10">
        <v>42920</v>
      </c>
      <c r="C129" s="11">
        <v>0.42249999999999999</v>
      </c>
      <c r="D129" s="12">
        <v>0.42834490740740738</v>
      </c>
    </row>
    <row r="130" spans="1:4" x14ac:dyDescent="0.35">
      <c r="A130" s="5">
        <v>5528648</v>
      </c>
      <c r="B130" s="6">
        <v>42920</v>
      </c>
      <c r="C130" s="7">
        <v>0.42591435185185184</v>
      </c>
      <c r="D130" s="8">
        <v>0.43486111111111109</v>
      </c>
    </row>
    <row r="131" spans="1:4" x14ac:dyDescent="0.35">
      <c r="A131" s="9">
        <v>2157195</v>
      </c>
      <c r="B131" s="10">
        <v>42920</v>
      </c>
      <c r="C131" s="11">
        <v>0.42942129629629627</v>
      </c>
      <c r="D131" s="12">
        <v>0.4349189814814815</v>
      </c>
    </row>
    <row r="132" spans="1:4" x14ac:dyDescent="0.35">
      <c r="A132" s="5">
        <v>7747085</v>
      </c>
      <c r="B132" s="6">
        <v>42920</v>
      </c>
      <c r="C132" s="7">
        <v>0.43247685185185186</v>
      </c>
      <c r="D132" s="8">
        <v>0.43613425925925925</v>
      </c>
    </row>
    <row r="133" spans="1:4" x14ac:dyDescent="0.35">
      <c r="A133" s="9">
        <v>6865106</v>
      </c>
      <c r="B133" s="10">
        <v>42920</v>
      </c>
      <c r="C133" s="11">
        <v>0.43741898148148151</v>
      </c>
      <c r="D133" s="12">
        <v>0.44848379629629631</v>
      </c>
    </row>
    <row r="134" spans="1:4" x14ac:dyDescent="0.35">
      <c r="A134" s="5">
        <v>8819206</v>
      </c>
      <c r="B134" s="6">
        <v>42920</v>
      </c>
      <c r="C134" s="7">
        <v>0.44068287037037035</v>
      </c>
      <c r="D134" s="8">
        <v>0.44912037037037039</v>
      </c>
    </row>
    <row r="135" spans="1:4" x14ac:dyDescent="0.35">
      <c r="A135" s="9">
        <v>3990337</v>
      </c>
      <c r="B135" s="10">
        <v>42920</v>
      </c>
      <c r="C135" s="11">
        <v>0.44158564814814816</v>
      </c>
      <c r="D135" s="12">
        <v>0.4470601851851852</v>
      </c>
    </row>
    <row r="136" spans="1:4" x14ac:dyDescent="0.35">
      <c r="A136" s="5">
        <v>4238684</v>
      </c>
      <c r="B136" s="6">
        <v>42920</v>
      </c>
      <c r="C136" s="7">
        <v>0.44466435185185182</v>
      </c>
      <c r="D136" s="8">
        <v>0.4535763888888889</v>
      </c>
    </row>
    <row r="137" spans="1:4" x14ac:dyDescent="0.35">
      <c r="A137" s="9">
        <v>86774913</v>
      </c>
      <c r="B137" s="10">
        <v>42920</v>
      </c>
      <c r="C137" s="11">
        <v>0.44548611111111114</v>
      </c>
      <c r="D137" s="12">
        <v>0.4541898148148148</v>
      </c>
    </row>
    <row r="138" spans="1:4" x14ac:dyDescent="0.35">
      <c r="A138" s="5">
        <v>93696449</v>
      </c>
      <c r="B138" s="6">
        <v>42920</v>
      </c>
      <c r="C138" s="7">
        <v>0.45063657407407409</v>
      </c>
      <c r="D138" s="8">
        <v>0.45581018518518518</v>
      </c>
    </row>
    <row r="139" spans="1:4" x14ac:dyDescent="0.35">
      <c r="A139" s="9">
        <v>1269611</v>
      </c>
      <c r="B139" s="10">
        <v>42920</v>
      </c>
      <c r="C139" s="11">
        <v>0.45596064814814813</v>
      </c>
      <c r="D139" s="12">
        <v>0.46010416666666665</v>
      </c>
    </row>
    <row r="140" spans="1:4" x14ac:dyDescent="0.35">
      <c r="A140" s="5">
        <v>4623731</v>
      </c>
      <c r="B140" s="6">
        <v>42920</v>
      </c>
      <c r="C140" s="7">
        <v>0.46053240740740742</v>
      </c>
      <c r="D140" s="8">
        <v>0.47131944444444446</v>
      </c>
    </row>
    <row r="141" spans="1:4" x14ac:dyDescent="0.35">
      <c r="A141" s="9">
        <v>4623731</v>
      </c>
      <c r="B141" s="10">
        <v>42920</v>
      </c>
      <c r="C141" s="11">
        <v>0.46423611111111113</v>
      </c>
      <c r="D141" s="12">
        <v>0.46842592592592591</v>
      </c>
    </row>
    <row r="142" spans="1:4" x14ac:dyDescent="0.35">
      <c r="A142" s="5">
        <v>3127402</v>
      </c>
      <c r="B142" s="6">
        <v>42920</v>
      </c>
      <c r="C142" s="7">
        <v>0.46861111111111109</v>
      </c>
      <c r="D142" s="8">
        <v>0.47747685185185185</v>
      </c>
    </row>
    <row r="143" spans="1:4" x14ac:dyDescent="0.35">
      <c r="A143" s="9">
        <v>1714791</v>
      </c>
      <c r="B143" s="10">
        <v>42920</v>
      </c>
      <c r="C143" s="11">
        <v>0.47230324074074076</v>
      </c>
      <c r="D143" s="12">
        <v>0.47288194444444442</v>
      </c>
    </row>
    <row r="144" spans="1:4" x14ac:dyDescent="0.35">
      <c r="A144" s="5">
        <v>7768277</v>
      </c>
      <c r="B144" s="6">
        <v>42920</v>
      </c>
      <c r="C144" s="7">
        <v>0.47453703703703703</v>
      </c>
      <c r="D144" s="8">
        <v>0.4800462962962963</v>
      </c>
    </row>
    <row r="145" spans="1:4" x14ac:dyDescent="0.35">
      <c r="A145" s="9">
        <v>4371394</v>
      </c>
      <c r="B145" s="10">
        <v>42920</v>
      </c>
      <c r="C145" s="11">
        <v>0.47967592592592595</v>
      </c>
      <c r="D145" s="12">
        <v>0.48236111111111113</v>
      </c>
    </row>
    <row r="146" spans="1:4" x14ac:dyDescent="0.35">
      <c r="A146" s="5">
        <v>9803545</v>
      </c>
      <c r="B146" s="6">
        <v>42920</v>
      </c>
      <c r="C146" s="7">
        <v>0.47978009259259258</v>
      </c>
      <c r="D146" s="8">
        <v>0.49125000000000002</v>
      </c>
    </row>
    <row r="147" spans="1:4" x14ac:dyDescent="0.35">
      <c r="A147" s="9">
        <v>4176704</v>
      </c>
      <c r="B147" s="10">
        <v>42920</v>
      </c>
      <c r="C147" s="11">
        <v>0.47983796296296294</v>
      </c>
      <c r="D147" s="12">
        <v>0.48949074074074073</v>
      </c>
    </row>
    <row r="148" spans="1:4" x14ac:dyDescent="0.35">
      <c r="A148" s="5">
        <v>90271112</v>
      </c>
      <c r="B148" s="6">
        <v>42920</v>
      </c>
      <c r="C148" s="7">
        <v>0.4805787037037037</v>
      </c>
      <c r="D148" s="8">
        <v>0.48696759259259259</v>
      </c>
    </row>
    <row r="149" spans="1:4" x14ac:dyDescent="0.35">
      <c r="A149" s="9">
        <v>8136309</v>
      </c>
      <c r="B149" s="10">
        <v>42920</v>
      </c>
      <c r="C149" s="11">
        <v>0.48189814814814813</v>
      </c>
      <c r="D149" s="12">
        <v>0.49115740740740743</v>
      </c>
    </row>
    <row r="150" spans="1:4" x14ac:dyDescent="0.35">
      <c r="A150" s="5">
        <v>3178616</v>
      </c>
      <c r="B150" s="6">
        <v>42920</v>
      </c>
      <c r="C150" s="7">
        <v>0.48312500000000003</v>
      </c>
      <c r="D150" s="8">
        <v>0.49138888888888888</v>
      </c>
    </row>
    <row r="151" spans="1:4" x14ac:dyDescent="0.35">
      <c r="A151" s="9">
        <v>27791497</v>
      </c>
      <c r="B151" s="10">
        <v>42920</v>
      </c>
      <c r="C151" s="11">
        <v>0.48803240740740739</v>
      </c>
      <c r="D151" s="12">
        <v>0.49682870370370369</v>
      </c>
    </row>
    <row r="152" spans="1:4" x14ac:dyDescent="0.35">
      <c r="A152" s="5">
        <v>4738129</v>
      </c>
      <c r="B152" s="6">
        <v>42920</v>
      </c>
      <c r="C152" s="7">
        <v>0.48979166666666668</v>
      </c>
      <c r="D152" s="8">
        <v>0.500462962962963</v>
      </c>
    </row>
    <row r="153" spans="1:4" x14ac:dyDescent="0.35">
      <c r="A153" s="9">
        <v>54840810</v>
      </c>
      <c r="B153" s="10">
        <v>42920</v>
      </c>
      <c r="C153" s="11">
        <v>0.49430555555555555</v>
      </c>
      <c r="D153" s="12">
        <v>0.50231481481481477</v>
      </c>
    </row>
    <row r="154" spans="1:4" x14ac:dyDescent="0.35">
      <c r="A154" s="5">
        <v>8885606</v>
      </c>
      <c r="B154" s="6">
        <v>42920</v>
      </c>
      <c r="C154" s="7">
        <v>0.49984953703703705</v>
      </c>
      <c r="D154" s="8">
        <v>0.50960648148148147</v>
      </c>
    </row>
    <row r="155" spans="1:4" x14ac:dyDescent="0.35">
      <c r="A155" s="9">
        <v>6730442</v>
      </c>
      <c r="B155" s="10">
        <v>42920</v>
      </c>
      <c r="C155" s="11">
        <v>0.50063657407407403</v>
      </c>
      <c r="D155" s="12">
        <v>0.50876157407407407</v>
      </c>
    </row>
    <row r="156" spans="1:4" x14ac:dyDescent="0.35">
      <c r="A156" s="5">
        <v>3326913</v>
      </c>
      <c r="B156" s="6">
        <v>42920</v>
      </c>
      <c r="C156" s="7">
        <v>0.50594907407407408</v>
      </c>
      <c r="D156" s="8">
        <v>0.5154050925925926</v>
      </c>
    </row>
    <row r="157" spans="1:4" x14ac:dyDescent="0.35">
      <c r="A157" s="9">
        <v>9865716</v>
      </c>
      <c r="B157" s="10">
        <v>42920</v>
      </c>
      <c r="C157" s="11">
        <v>0.51076388888888891</v>
      </c>
      <c r="D157" s="12">
        <v>0.51890046296296299</v>
      </c>
    </row>
    <row r="158" spans="1:4" x14ac:dyDescent="0.35">
      <c r="A158" s="5">
        <v>73284745</v>
      </c>
      <c r="B158" s="6">
        <v>42920</v>
      </c>
      <c r="C158" s="7">
        <v>0.51451388888888894</v>
      </c>
      <c r="D158" s="8">
        <v>0.51857638888888891</v>
      </c>
    </row>
    <row r="159" spans="1:4" x14ac:dyDescent="0.35">
      <c r="A159" s="9">
        <v>1761255</v>
      </c>
      <c r="B159" s="10">
        <v>42920</v>
      </c>
      <c r="C159" s="11">
        <v>0.51958333333333329</v>
      </c>
      <c r="D159" s="12">
        <v>0.52266203703703706</v>
      </c>
    </row>
    <row r="160" spans="1:4" x14ac:dyDescent="0.35">
      <c r="A160" s="5">
        <v>48625903</v>
      </c>
      <c r="B160" s="6">
        <v>42920</v>
      </c>
      <c r="C160" s="7">
        <v>0.52303240740740742</v>
      </c>
      <c r="D160" s="8">
        <v>0.523900462962963</v>
      </c>
    </row>
    <row r="161" spans="1:4" x14ac:dyDescent="0.35">
      <c r="A161" s="9">
        <v>2235911</v>
      </c>
      <c r="B161" s="10">
        <v>42920</v>
      </c>
      <c r="C161" s="11">
        <v>0.52454861111111106</v>
      </c>
      <c r="D161" s="12">
        <v>0.53546296296296292</v>
      </c>
    </row>
    <row r="162" spans="1:4" x14ac:dyDescent="0.35">
      <c r="A162" s="5">
        <v>18036364</v>
      </c>
      <c r="B162" s="6">
        <v>42920</v>
      </c>
      <c r="C162" s="7">
        <v>0.53015046296296298</v>
      </c>
      <c r="D162" s="8">
        <v>0.53275462962962961</v>
      </c>
    </row>
    <row r="163" spans="1:4" x14ac:dyDescent="0.35">
      <c r="A163" s="9">
        <v>38063903</v>
      </c>
      <c r="B163" s="10">
        <v>42920</v>
      </c>
      <c r="C163" s="11">
        <v>0.53465277777777775</v>
      </c>
      <c r="D163" s="12">
        <v>0.53925925925925922</v>
      </c>
    </row>
    <row r="164" spans="1:4" x14ac:dyDescent="0.35">
      <c r="A164" s="5">
        <v>4555937</v>
      </c>
      <c r="B164" s="6">
        <v>42920</v>
      </c>
      <c r="C164" s="7">
        <v>0.53748842592592594</v>
      </c>
      <c r="D164" s="8">
        <v>0.54775462962962962</v>
      </c>
    </row>
    <row r="165" spans="1:4" x14ac:dyDescent="0.35">
      <c r="A165" s="9">
        <v>9422310</v>
      </c>
      <c r="B165" s="10">
        <v>42920</v>
      </c>
      <c r="C165" s="11">
        <v>0.54137731481481477</v>
      </c>
      <c r="D165" s="12">
        <v>0.5506712962962963</v>
      </c>
    </row>
    <row r="166" spans="1:4" x14ac:dyDescent="0.35">
      <c r="A166" s="5">
        <v>16999529</v>
      </c>
      <c r="B166" s="6">
        <v>42920</v>
      </c>
      <c r="C166" s="7">
        <v>0.54395833333333332</v>
      </c>
      <c r="D166" s="8">
        <v>0.54451388888888885</v>
      </c>
    </row>
    <row r="167" spans="1:4" x14ac:dyDescent="0.35">
      <c r="A167" s="9">
        <v>8385222</v>
      </c>
      <c r="B167" s="10">
        <v>42920</v>
      </c>
      <c r="C167" s="11">
        <v>0.5455092592592593</v>
      </c>
      <c r="D167" s="12">
        <v>0.54748842592592595</v>
      </c>
    </row>
    <row r="168" spans="1:4" x14ac:dyDescent="0.35">
      <c r="A168" s="5">
        <v>8086847</v>
      </c>
      <c r="B168" s="6">
        <v>42920</v>
      </c>
      <c r="C168" s="7">
        <v>0.54909722222222224</v>
      </c>
      <c r="D168" s="8">
        <v>0.5524768518518518</v>
      </c>
    </row>
    <row r="169" spans="1:4" x14ac:dyDescent="0.35">
      <c r="A169" s="9">
        <v>5215912</v>
      </c>
      <c r="B169" s="10">
        <v>42920</v>
      </c>
      <c r="C169" s="11">
        <v>0.5512731481481481</v>
      </c>
      <c r="D169" s="12">
        <v>0.55435185185185187</v>
      </c>
    </row>
    <row r="170" spans="1:4" x14ac:dyDescent="0.35">
      <c r="A170" s="5">
        <v>1973826522</v>
      </c>
      <c r="B170" s="6">
        <v>42920</v>
      </c>
      <c r="C170" s="7">
        <v>0.5553703703703704</v>
      </c>
      <c r="D170" s="8">
        <v>0.55833333333333335</v>
      </c>
    </row>
    <row r="171" spans="1:4" x14ac:dyDescent="0.35">
      <c r="A171" s="9">
        <v>2255197</v>
      </c>
      <c r="B171" s="10">
        <v>42920</v>
      </c>
      <c r="C171" s="11">
        <v>0.55905092592592598</v>
      </c>
      <c r="D171" s="12">
        <v>0.56342592592592589</v>
      </c>
    </row>
    <row r="172" spans="1:4" x14ac:dyDescent="0.35">
      <c r="A172" s="5">
        <v>6719542</v>
      </c>
      <c r="B172" s="6">
        <v>42920</v>
      </c>
      <c r="C172" s="7">
        <v>0.5638657407407407</v>
      </c>
      <c r="D172" s="8">
        <v>0.56425925925925924</v>
      </c>
    </row>
    <row r="173" spans="1:4" x14ac:dyDescent="0.35">
      <c r="A173" s="9">
        <v>1837797</v>
      </c>
      <c r="B173" s="10">
        <v>42920</v>
      </c>
      <c r="C173" s="11">
        <v>0.5688657407407407</v>
      </c>
      <c r="D173" s="12">
        <v>0.57524305555555555</v>
      </c>
    </row>
    <row r="174" spans="1:4" x14ac:dyDescent="0.35">
      <c r="A174" s="5">
        <v>6772052</v>
      </c>
      <c r="B174" s="6">
        <v>42920</v>
      </c>
      <c r="C174" s="7">
        <v>0.57204861111111116</v>
      </c>
      <c r="D174" s="8">
        <v>0.57371527777777775</v>
      </c>
    </row>
    <row r="175" spans="1:4" x14ac:dyDescent="0.35">
      <c r="A175" s="9">
        <v>6495517</v>
      </c>
      <c r="B175" s="10">
        <v>42920</v>
      </c>
      <c r="C175" s="11">
        <v>0.57347222222222227</v>
      </c>
      <c r="D175" s="12">
        <v>0.58420138888888884</v>
      </c>
    </row>
    <row r="176" spans="1:4" x14ac:dyDescent="0.35">
      <c r="A176" s="5">
        <v>6275284312</v>
      </c>
      <c r="B176" s="6">
        <v>42920</v>
      </c>
      <c r="C176" s="7">
        <v>0.57861111111111108</v>
      </c>
      <c r="D176" s="8">
        <v>0.58296296296296302</v>
      </c>
    </row>
    <row r="177" spans="1:4" x14ac:dyDescent="0.35">
      <c r="A177" s="9">
        <v>5997385</v>
      </c>
      <c r="B177" s="10">
        <v>42920</v>
      </c>
      <c r="C177" s="11">
        <v>0.58136574074074077</v>
      </c>
      <c r="D177" s="12">
        <v>0.58156249999999998</v>
      </c>
    </row>
    <row r="178" spans="1:4" x14ac:dyDescent="0.35">
      <c r="A178" s="5">
        <v>54586484</v>
      </c>
      <c r="B178" s="6">
        <v>42920</v>
      </c>
      <c r="C178" s="7">
        <v>0.58335648148148145</v>
      </c>
      <c r="D178" s="8">
        <v>0.5841319444444445</v>
      </c>
    </row>
    <row r="179" spans="1:4" x14ac:dyDescent="0.35">
      <c r="A179" s="9">
        <v>8449157</v>
      </c>
      <c r="B179" s="10">
        <v>42920</v>
      </c>
      <c r="C179" s="11">
        <v>0.58377314814814818</v>
      </c>
      <c r="D179" s="12">
        <v>0.59186342592592589</v>
      </c>
    </row>
    <row r="180" spans="1:4" x14ac:dyDescent="0.35">
      <c r="A180" s="5">
        <v>1301099</v>
      </c>
      <c r="B180" s="6">
        <v>42920</v>
      </c>
      <c r="C180" s="7">
        <v>0.58452546296296293</v>
      </c>
      <c r="D180" s="8">
        <v>0.58862268518518523</v>
      </c>
    </row>
    <row r="181" spans="1:4" x14ac:dyDescent="0.35">
      <c r="A181" s="9">
        <v>1774304298</v>
      </c>
      <c r="B181" s="10">
        <v>42920</v>
      </c>
      <c r="C181" s="11">
        <v>0.58452546296296293</v>
      </c>
      <c r="D181" s="12">
        <v>0.59087962962962959</v>
      </c>
    </row>
    <row r="182" spans="1:4" x14ac:dyDescent="0.35">
      <c r="A182" s="5">
        <v>52165701</v>
      </c>
      <c r="B182" s="6">
        <v>42920</v>
      </c>
      <c r="C182" s="7">
        <v>0.59018518518518515</v>
      </c>
      <c r="D182" s="8">
        <v>0.60047453703703701</v>
      </c>
    </row>
    <row r="183" spans="1:4" x14ac:dyDescent="0.35">
      <c r="A183" s="9">
        <v>49158974</v>
      </c>
      <c r="B183" s="10">
        <v>42920</v>
      </c>
      <c r="C183" s="11">
        <v>0.59425925925925926</v>
      </c>
      <c r="D183" s="12">
        <v>0.59886574074074073</v>
      </c>
    </row>
    <row r="184" spans="1:4" x14ac:dyDescent="0.35">
      <c r="A184" s="5">
        <v>6231537</v>
      </c>
      <c r="B184" s="6">
        <v>42920</v>
      </c>
      <c r="C184" s="7">
        <v>0.59767361111111106</v>
      </c>
      <c r="D184" s="8">
        <v>0.6026273148148148</v>
      </c>
    </row>
    <row r="185" spans="1:4" x14ac:dyDescent="0.35">
      <c r="A185" s="9">
        <v>6965661375</v>
      </c>
      <c r="B185" s="10">
        <v>42920</v>
      </c>
      <c r="C185" s="11">
        <v>0.59995370370370371</v>
      </c>
      <c r="D185" s="12">
        <v>0.60442129629629626</v>
      </c>
    </row>
    <row r="186" spans="1:4" x14ac:dyDescent="0.35">
      <c r="A186" s="5">
        <v>4555937</v>
      </c>
      <c r="B186" s="6">
        <v>42920</v>
      </c>
      <c r="C186" s="7">
        <v>0.60509259259259263</v>
      </c>
      <c r="D186" s="8">
        <v>0.60509259259259263</v>
      </c>
    </row>
    <row r="187" spans="1:4" x14ac:dyDescent="0.35">
      <c r="A187" s="9">
        <v>8831940</v>
      </c>
      <c r="B187" s="10">
        <v>42920</v>
      </c>
      <c r="C187" s="11">
        <v>0.6066435185185185</v>
      </c>
      <c r="D187" s="12">
        <v>0.61133101851851857</v>
      </c>
    </row>
    <row r="188" spans="1:4" x14ac:dyDescent="0.35">
      <c r="A188" s="5">
        <v>7421868</v>
      </c>
      <c r="B188" s="6">
        <v>42920</v>
      </c>
      <c r="C188" s="7">
        <v>0.61136574074074079</v>
      </c>
      <c r="D188" s="8">
        <v>0.61636574074074069</v>
      </c>
    </row>
    <row r="189" spans="1:4" x14ac:dyDescent="0.35">
      <c r="A189" s="9">
        <v>5131341</v>
      </c>
      <c r="B189" s="10">
        <v>42920</v>
      </c>
      <c r="C189" s="11">
        <v>0.61186342592592591</v>
      </c>
      <c r="D189" s="12">
        <v>0.61896990740740743</v>
      </c>
    </row>
    <row r="190" spans="1:4" x14ac:dyDescent="0.35">
      <c r="A190" s="5">
        <v>3121850</v>
      </c>
      <c r="B190" s="6">
        <v>42920</v>
      </c>
      <c r="C190" s="7">
        <v>0.61410879629629633</v>
      </c>
      <c r="D190" s="8">
        <v>0.6216666666666667</v>
      </c>
    </row>
    <row r="191" spans="1:4" x14ac:dyDescent="0.35">
      <c r="A191" s="9">
        <v>6905863</v>
      </c>
      <c r="B191" s="10">
        <v>42920</v>
      </c>
      <c r="C191" s="11">
        <v>0.6186342592592593</v>
      </c>
      <c r="D191" s="12">
        <v>0.62296296296296294</v>
      </c>
    </row>
    <row r="192" spans="1:4" x14ac:dyDescent="0.35">
      <c r="A192" s="5">
        <v>2514802</v>
      </c>
      <c r="B192" s="6">
        <v>42920</v>
      </c>
      <c r="C192" s="7">
        <v>0.6186342592592593</v>
      </c>
      <c r="D192" s="8">
        <v>0.6265856481481481</v>
      </c>
    </row>
    <row r="193" spans="1:4" x14ac:dyDescent="0.35">
      <c r="A193" s="9">
        <v>93696449</v>
      </c>
      <c r="B193" s="10">
        <v>42920</v>
      </c>
      <c r="C193" s="11">
        <v>0.6227314814814815</v>
      </c>
      <c r="D193" s="12">
        <v>0.63056712962962957</v>
      </c>
    </row>
    <row r="194" spans="1:4" x14ac:dyDescent="0.35">
      <c r="A194" s="5">
        <v>3931464</v>
      </c>
      <c r="B194" s="6">
        <v>42920</v>
      </c>
      <c r="C194" s="7">
        <v>0.62381944444444448</v>
      </c>
      <c r="D194" s="8">
        <v>0.6322106481481482</v>
      </c>
    </row>
    <row r="195" spans="1:4" x14ac:dyDescent="0.35">
      <c r="A195" s="9">
        <v>1583683</v>
      </c>
      <c r="B195" s="10">
        <v>42920</v>
      </c>
      <c r="C195" s="11">
        <v>0.6275694444444444</v>
      </c>
      <c r="D195" s="12">
        <v>0.63215277777777779</v>
      </c>
    </row>
    <row r="196" spans="1:4" x14ac:dyDescent="0.35">
      <c r="A196" s="5">
        <v>52165701</v>
      </c>
      <c r="B196" s="6">
        <v>42921</v>
      </c>
      <c r="C196" s="7">
        <v>0.33545138888888887</v>
      </c>
      <c r="D196" s="8">
        <v>0.3435300925925926</v>
      </c>
    </row>
    <row r="197" spans="1:4" x14ac:dyDescent="0.35">
      <c r="A197" s="9">
        <v>1521041994</v>
      </c>
      <c r="B197" s="10">
        <v>42921</v>
      </c>
      <c r="C197" s="11">
        <v>0.34099537037037037</v>
      </c>
      <c r="D197" s="12">
        <v>0.34749999999999998</v>
      </c>
    </row>
    <row r="198" spans="1:4" x14ac:dyDescent="0.35">
      <c r="A198" s="5">
        <v>9187410</v>
      </c>
      <c r="B198" s="6">
        <v>42921</v>
      </c>
      <c r="C198" s="7">
        <v>0.34662037037037036</v>
      </c>
      <c r="D198" s="8">
        <v>0.34908564814814813</v>
      </c>
    </row>
    <row r="199" spans="1:4" x14ac:dyDescent="0.35">
      <c r="A199" s="9">
        <v>8228350</v>
      </c>
      <c r="B199" s="10">
        <v>42921</v>
      </c>
      <c r="C199" s="11">
        <v>0.34667824074074072</v>
      </c>
      <c r="D199" s="12">
        <v>0.3473148148148148</v>
      </c>
    </row>
    <row r="200" spans="1:4" x14ac:dyDescent="0.35">
      <c r="A200" s="5">
        <v>8313390</v>
      </c>
      <c r="B200" s="6">
        <v>42921</v>
      </c>
      <c r="C200" s="7">
        <v>0.34903935185185186</v>
      </c>
      <c r="D200" s="8">
        <v>0.35381944444444446</v>
      </c>
    </row>
    <row r="201" spans="1:4" x14ac:dyDescent="0.35">
      <c r="A201" s="9">
        <v>5508903</v>
      </c>
      <c r="B201" s="10">
        <v>42921</v>
      </c>
      <c r="C201" s="11">
        <v>0.34915509259259259</v>
      </c>
      <c r="D201" s="12">
        <v>0.3605902777777778</v>
      </c>
    </row>
    <row r="202" spans="1:4" x14ac:dyDescent="0.35">
      <c r="A202" s="5">
        <v>3102910</v>
      </c>
      <c r="B202" s="6">
        <v>42921</v>
      </c>
      <c r="C202" s="7">
        <v>0.35150462962962964</v>
      </c>
      <c r="D202" s="8">
        <v>0.35672453703703705</v>
      </c>
    </row>
    <row r="203" spans="1:4" x14ac:dyDescent="0.35">
      <c r="A203" s="9">
        <v>45948073</v>
      </c>
      <c r="B203" s="10">
        <v>42921</v>
      </c>
      <c r="C203" s="11">
        <v>0.35574074074074075</v>
      </c>
      <c r="D203" s="12">
        <v>0.36162037037037037</v>
      </c>
    </row>
    <row r="204" spans="1:4" x14ac:dyDescent="0.35">
      <c r="A204" s="5">
        <v>73690742</v>
      </c>
      <c r="B204" s="6">
        <v>42921</v>
      </c>
      <c r="C204" s="7">
        <v>0.35829861111111111</v>
      </c>
      <c r="D204" s="8">
        <v>0.36826388888888889</v>
      </c>
    </row>
    <row r="205" spans="1:4" x14ac:dyDescent="0.35">
      <c r="A205" s="9">
        <v>58037769</v>
      </c>
      <c r="B205" s="10">
        <v>42921</v>
      </c>
      <c r="C205" s="11">
        <v>0.36261574074074077</v>
      </c>
      <c r="D205" s="12">
        <v>0.36730324074074072</v>
      </c>
    </row>
    <row r="206" spans="1:4" x14ac:dyDescent="0.35">
      <c r="A206" s="5">
        <v>3434934</v>
      </c>
      <c r="B206" s="6">
        <v>42921</v>
      </c>
      <c r="C206" s="7">
        <v>0.36760416666666668</v>
      </c>
      <c r="D206" s="8">
        <v>0.37854166666666667</v>
      </c>
    </row>
    <row r="207" spans="1:4" x14ac:dyDescent="0.35">
      <c r="A207" s="9">
        <v>4963499</v>
      </c>
      <c r="B207" s="10">
        <v>42921</v>
      </c>
      <c r="C207" s="11">
        <v>0.37008101851851855</v>
      </c>
      <c r="D207" s="12">
        <v>0.37175925925925923</v>
      </c>
    </row>
    <row r="208" spans="1:4" x14ac:dyDescent="0.35">
      <c r="A208" s="5">
        <v>7904403</v>
      </c>
      <c r="B208" s="6">
        <v>42921</v>
      </c>
      <c r="C208" s="7">
        <v>0.37361111111111112</v>
      </c>
      <c r="D208" s="8">
        <v>0.3772800925925926</v>
      </c>
    </row>
    <row r="209" spans="1:4" x14ac:dyDescent="0.35">
      <c r="A209" s="9">
        <v>4389240</v>
      </c>
      <c r="B209" s="10">
        <v>42921</v>
      </c>
      <c r="C209" s="11">
        <v>0.37711805555555555</v>
      </c>
      <c r="D209" s="12">
        <v>0.37886574074074075</v>
      </c>
    </row>
    <row r="210" spans="1:4" x14ac:dyDescent="0.35">
      <c r="A210" s="5">
        <v>68647339</v>
      </c>
      <c r="B210" s="6">
        <v>42921</v>
      </c>
      <c r="C210" s="7">
        <v>0.38180555555555556</v>
      </c>
      <c r="D210" s="8">
        <v>0.39295138888888886</v>
      </c>
    </row>
    <row r="211" spans="1:4" x14ac:dyDescent="0.35">
      <c r="A211" s="9">
        <v>8461631</v>
      </c>
      <c r="B211" s="10">
        <v>42921</v>
      </c>
      <c r="C211" s="11">
        <v>0.38335648148148149</v>
      </c>
      <c r="D211" s="12">
        <v>0.38451388888888888</v>
      </c>
    </row>
    <row r="212" spans="1:4" x14ac:dyDescent="0.35">
      <c r="A212" s="5">
        <v>3087246</v>
      </c>
      <c r="B212" s="6">
        <v>42921</v>
      </c>
      <c r="C212" s="7">
        <v>0.38633101851851853</v>
      </c>
      <c r="D212" s="8">
        <v>0.39391203703703703</v>
      </c>
    </row>
    <row r="213" spans="1:4" x14ac:dyDescent="0.35">
      <c r="A213" s="9">
        <v>9321082</v>
      </c>
      <c r="B213" s="10">
        <v>42921</v>
      </c>
      <c r="C213" s="11">
        <v>0.38976851851851851</v>
      </c>
      <c r="D213" s="12">
        <v>0.40090277777777777</v>
      </c>
    </row>
    <row r="214" spans="1:4" x14ac:dyDescent="0.35">
      <c r="A214" s="5">
        <v>4941247888</v>
      </c>
      <c r="B214" s="6">
        <v>42921</v>
      </c>
      <c r="C214" s="7">
        <v>0.39114583333333336</v>
      </c>
      <c r="D214" s="8">
        <v>0.39870370370370373</v>
      </c>
    </row>
    <row r="215" spans="1:4" x14ac:dyDescent="0.35">
      <c r="A215" s="9">
        <v>13484133</v>
      </c>
      <c r="B215" s="10">
        <v>42921</v>
      </c>
      <c r="C215" s="11">
        <v>0.3959375</v>
      </c>
      <c r="D215" s="12">
        <v>0.3982060185185185</v>
      </c>
    </row>
    <row r="216" spans="1:4" x14ac:dyDescent="0.35">
      <c r="A216" s="5">
        <v>9610703</v>
      </c>
      <c r="B216" s="6">
        <v>42921</v>
      </c>
      <c r="C216" s="7">
        <v>0.40074074074074073</v>
      </c>
      <c r="D216" s="8">
        <v>0.40766203703703702</v>
      </c>
    </row>
    <row r="217" spans="1:4" x14ac:dyDescent="0.35">
      <c r="A217" s="9">
        <v>7236035</v>
      </c>
      <c r="B217" s="10">
        <v>42921</v>
      </c>
      <c r="C217" s="11">
        <v>0.40517361111111111</v>
      </c>
      <c r="D217" s="12">
        <v>0.41189814814814812</v>
      </c>
    </row>
    <row r="218" spans="1:4" x14ac:dyDescent="0.35">
      <c r="A218" s="5">
        <v>7236035</v>
      </c>
      <c r="B218" s="6">
        <v>42921</v>
      </c>
      <c r="C218" s="7">
        <v>0.4089814814814815</v>
      </c>
      <c r="D218" s="8">
        <v>0.41927083333333331</v>
      </c>
    </row>
    <row r="219" spans="1:4" x14ac:dyDescent="0.35">
      <c r="A219" s="9">
        <v>2675422</v>
      </c>
      <c r="B219" s="10">
        <v>42921</v>
      </c>
      <c r="C219" s="11">
        <v>0.41393518518518518</v>
      </c>
      <c r="D219" s="12">
        <v>0.42075231481481479</v>
      </c>
    </row>
    <row r="220" spans="1:4" x14ac:dyDescent="0.35">
      <c r="A220" s="5">
        <v>99056276</v>
      </c>
      <c r="B220" s="6">
        <v>42921</v>
      </c>
      <c r="C220" s="7">
        <v>0.41749999999999998</v>
      </c>
      <c r="D220" s="8">
        <v>0.42891203703703706</v>
      </c>
    </row>
    <row r="221" spans="1:4" x14ac:dyDescent="0.35">
      <c r="A221" s="9">
        <v>1715377</v>
      </c>
      <c r="B221" s="10">
        <v>42921</v>
      </c>
      <c r="C221" s="11">
        <v>0.41847222222222225</v>
      </c>
      <c r="D221" s="12">
        <v>0.42833333333333334</v>
      </c>
    </row>
    <row r="222" spans="1:4" x14ac:dyDescent="0.35">
      <c r="A222" s="5">
        <v>6700458395</v>
      </c>
      <c r="B222" s="6">
        <v>42921</v>
      </c>
      <c r="C222" s="7">
        <v>0.42149305555555555</v>
      </c>
      <c r="D222" s="8">
        <v>0.42678240740740742</v>
      </c>
    </row>
    <row r="223" spans="1:4" x14ac:dyDescent="0.35">
      <c r="A223" s="9">
        <v>2211277198</v>
      </c>
      <c r="B223" s="10">
        <v>42921</v>
      </c>
      <c r="C223" s="11">
        <v>0.42168981481481482</v>
      </c>
      <c r="D223" s="12">
        <v>0.42326388888888888</v>
      </c>
    </row>
    <row r="224" spans="1:4" x14ac:dyDescent="0.35">
      <c r="A224" s="5">
        <v>9866373</v>
      </c>
      <c r="B224" s="6">
        <v>42921</v>
      </c>
      <c r="C224" s="7">
        <v>0.42202546296296295</v>
      </c>
      <c r="D224" s="8">
        <v>0.42905092592592592</v>
      </c>
    </row>
    <row r="225" spans="1:4" x14ac:dyDescent="0.35">
      <c r="A225" s="9">
        <v>4526057</v>
      </c>
      <c r="B225" s="10">
        <v>42921</v>
      </c>
      <c r="C225" s="11">
        <v>0.42313657407407407</v>
      </c>
      <c r="D225" s="12">
        <v>0.42508101851851854</v>
      </c>
    </row>
    <row r="226" spans="1:4" x14ac:dyDescent="0.35">
      <c r="A226" s="5">
        <v>70786056</v>
      </c>
      <c r="B226" s="6">
        <v>42921</v>
      </c>
      <c r="C226" s="7">
        <v>0.42357638888888888</v>
      </c>
      <c r="D226" s="8">
        <v>0.4253587962962963</v>
      </c>
    </row>
    <row r="227" spans="1:4" x14ac:dyDescent="0.35">
      <c r="A227" s="9">
        <v>9874705</v>
      </c>
      <c r="B227" s="10">
        <v>42921</v>
      </c>
      <c r="C227" s="11">
        <v>0.4274074074074074</v>
      </c>
      <c r="D227" s="12">
        <v>0.43408564814814815</v>
      </c>
    </row>
    <row r="228" spans="1:4" x14ac:dyDescent="0.35">
      <c r="A228" s="5">
        <v>2506618</v>
      </c>
      <c r="B228" s="6">
        <v>42921</v>
      </c>
      <c r="C228" s="7">
        <v>0.43084490740740738</v>
      </c>
      <c r="D228" s="8">
        <v>0.43738425925925928</v>
      </c>
    </row>
    <row r="229" spans="1:4" x14ac:dyDescent="0.35">
      <c r="A229" s="9">
        <v>6312575</v>
      </c>
      <c r="B229" s="10">
        <v>42921</v>
      </c>
      <c r="C229" s="11">
        <v>0.43234953703703705</v>
      </c>
      <c r="D229" s="12">
        <v>0.44233796296296296</v>
      </c>
    </row>
    <row r="230" spans="1:4" x14ac:dyDescent="0.35">
      <c r="A230" s="5">
        <v>9620895</v>
      </c>
      <c r="B230" s="6">
        <v>42921</v>
      </c>
      <c r="C230" s="7">
        <v>0.4362847222222222</v>
      </c>
      <c r="D230" s="8">
        <v>0.44714120370370369</v>
      </c>
    </row>
    <row r="231" spans="1:4" x14ac:dyDescent="0.35">
      <c r="A231" s="9">
        <v>8187780</v>
      </c>
      <c r="B231" s="10">
        <v>42921</v>
      </c>
      <c r="C231" s="11">
        <v>0.43898148148148147</v>
      </c>
      <c r="D231" s="12">
        <v>0.44800925925925927</v>
      </c>
    </row>
    <row r="232" spans="1:4" x14ac:dyDescent="0.35">
      <c r="A232" s="5">
        <v>4176999</v>
      </c>
      <c r="B232" s="6">
        <v>42921</v>
      </c>
      <c r="C232" s="7">
        <v>0.44148148148148147</v>
      </c>
      <c r="D232" s="8">
        <v>0.45222222222222225</v>
      </c>
    </row>
    <row r="233" spans="1:4" x14ac:dyDescent="0.35">
      <c r="A233" s="9">
        <v>9937257</v>
      </c>
      <c r="B233" s="10">
        <v>42921</v>
      </c>
      <c r="C233" s="11">
        <v>0.44383101851851853</v>
      </c>
      <c r="D233" s="12">
        <v>0.44697916666666665</v>
      </c>
    </row>
    <row r="234" spans="1:4" x14ac:dyDescent="0.35">
      <c r="A234" s="5">
        <v>4363716</v>
      </c>
      <c r="B234" s="6">
        <v>42921</v>
      </c>
      <c r="C234" s="7">
        <v>0.44436342592592593</v>
      </c>
      <c r="D234" s="8">
        <v>0.45106481481481481</v>
      </c>
    </row>
    <row r="235" spans="1:4" x14ac:dyDescent="0.35">
      <c r="A235" s="9">
        <v>96323047</v>
      </c>
      <c r="B235" s="10">
        <v>42921</v>
      </c>
      <c r="C235" s="11">
        <v>0.44962962962962966</v>
      </c>
      <c r="D235" s="12">
        <v>0.45341435185185186</v>
      </c>
    </row>
    <row r="236" spans="1:4" x14ac:dyDescent="0.35">
      <c r="A236" s="5">
        <v>2750193</v>
      </c>
      <c r="B236" s="6">
        <v>42921</v>
      </c>
      <c r="C236" s="7">
        <v>0.45445601851851852</v>
      </c>
      <c r="D236" s="8">
        <v>0.455625</v>
      </c>
    </row>
    <row r="237" spans="1:4" x14ac:dyDescent="0.35">
      <c r="A237" s="9">
        <v>7973319</v>
      </c>
      <c r="B237" s="10">
        <v>42921</v>
      </c>
      <c r="C237" s="11">
        <v>0.45565972222222223</v>
      </c>
      <c r="D237" s="12">
        <v>0.46090277777777777</v>
      </c>
    </row>
    <row r="238" spans="1:4" x14ac:dyDescent="0.35">
      <c r="A238" s="5">
        <v>1908394</v>
      </c>
      <c r="B238" s="6">
        <v>42921</v>
      </c>
      <c r="C238" s="7">
        <v>0.45825231481481482</v>
      </c>
      <c r="D238" s="8">
        <v>0.46818287037037037</v>
      </c>
    </row>
    <row r="239" spans="1:4" x14ac:dyDescent="0.35">
      <c r="A239" s="9">
        <v>19116274</v>
      </c>
      <c r="B239" s="10">
        <v>42921</v>
      </c>
      <c r="C239" s="11">
        <v>0.46032407407407405</v>
      </c>
      <c r="D239" s="12">
        <v>0.46797453703703706</v>
      </c>
    </row>
    <row r="240" spans="1:4" x14ac:dyDescent="0.35">
      <c r="A240" s="5">
        <v>1235622</v>
      </c>
      <c r="B240" s="6">
        <v>42921</v>
      </c>
      <c r="C240" s="7">
        <v>0.46460648148148148</v>
      </c>
      <c r="D240" s="8">
        <v>0.47087962962962965</v>
      </c>
    </row>
    <row r="241" spans="1:4" x14ac:dyDescent="0.35">
      <c r="A241" s="9">
        <v>1926053</v>
      </c>
      <c r="B241" s="10">
        <v>42921</v>
      </c>
      <c r="C241" s="11">
        <v>0.46751157407407407</v>
      </c>
      <c r="D241" s="12">
        <v>0.46879629629629632</v>
      </c>
    </row>
    <row r="242" spans="1:4" x14ac:dyDescent="0.35">
      <c r="A242" s="5">
        <v>1458287</v>
      </c>
      <c r="B242" s="6">
        <v>42921</v>
      </c>
      <c r="C242" s="7">
        <v>0.47060185185185183</v>
      </c>
      <c r="D242" s="8">
        <v>0.47584490740740742</v>
      </c>
    </row>
    <row r="243" spans="1:4" x14ac:dyDescent="0.35">
      <c r="A243" s="9">
        <v>3758539398</v>
      </c>
      <c r="B243" s="10">
        <v>42921</v>
      </c>
      <c r="C243" s="11">
        <v>0.47296296296296297</v>
      </c>
      <c r="D243" s="12">
        <v>0.47506944444444443</v>
      </c>
    </row>
    <row r="244" spans="1:4" x14ac:dyDescent="0.35">
      <c r="A244" s="5">
        <v>8471021</v>
      </c>
      <c r="B244" s="6">
        <v>42921</v>
      </c>
      <c r="C244" s="7">
        <v>0.47431712962962963</v>
      </c>
      <c r="D244" s="8">
        <v>0.47746527777777775</v>
      </c>
    </row>
    <row r="245" spans="1:4" x14ac:dyDescent="0.35">
      <c r="A245" s="9">
        <v>4039284</v>
      </c>
      <c r="B245" s="10">
        <v>42921</v>
      </c>
      <c r="C245" s="11">
        <v>0.47684027777777777</v>
      </c>
      <c r="D245" s="12">
        <v>0.4824074074074074</v>
      </c>
    </row>
    <row r="246" spans="1:4" x14ac:dyDescent="0.35">
      <c r="A246" s="5">
        <v>3177370</v>
      </c>
      <c r="B246" s="6">
        <v>42921</v>
      </c>
      <c r="C246" s="7">
        <v>0.47972222222222222</v>
      </c>
      <c r="D246" s="8">
        <v>0.48660879629629628</v>
      </c>
    </row>
    <row r="247" spans="1:4" x14ac:dyDescent="0.35">
      <c r="A247" s="9">
        <v>7236035</v>
      </c>
      <c r="B247" s="10">
        <v>42921</v>
      </c>
      <c r="C247" s="11">
        <v>0.48149305555555555</v>
      </c>
      <c r="D247" s="12">
        <v>0.48582175925925924</v>
      </c>
    </row>
    <row r="248" spans="1:4" x14ac:dyDescent="0.35">
      <c r="A248" s="5">
        <v>6689117</v>
      </c>
      <c r="B248" s="6">
        <v>42921</v>
      </c>
      <c r="C248" s="7">
        <v>0.48554398148148148</v>
      </c>
      <c r="D248" s="8">
        <v>0.49553240740740739</v>
      </c>
    </row>
    <row r="249" spans="1:4" x14ac:dyDescent="0.35">
      <c r="A249" s="9">
        <v>4824267</v>
      </c>
      <c r="B249" s="10">
        <v>42921</v>
      </c>
      <c r="C249" s="11">
        <v>0.4871875</v>
      </c>
      <c r="D249" s="12">
        <v>0.49509259259259258</v>
      </c>
    </row>
    <row r="250" spans="1:4" x14ac:dyDescent="0.35">
      <c r="A250" s="5">
        <v>6978234</v>
      </c>
      <c r="B250" s="6">
        <v>42921</v>
      </c>
      <c r="C250" s="7">
        <v>0.48873842592592592</v>
      </c>
      <c r="D250" s="8">
        <v>0.49131944444444442</v>
      </c>
    </row>
    <row r="251" spans="1:4" x14ac:dyDescent="0.35">
      <c r="A251" s="9">
        <v>2158377</v>
      </c>
      <c r="B251" s="10">
        <v>42921</v>
      </c>
      <c r="C251" s="11">
        <v>0.49149305555555556</v>
      </c>
      <c r="D251" s="12">
        <v>0.49283564814814818</v>
      </c>
    </row>
    <row r="252" spans="1:4" x14ac:dyDescent="0.35">
      <c r="A252" s="5">
        <v>73970924</v>
      </c>
      <c r="B252" s="6">
        <v>42921</v>
      </c>
      <c r="C252" s="7">
        <v>0.49336805555555557</v>
      </c>
      <c r="D252" s="8">
        <v>0.49403935185185183</v>
      </c>
    </row>
    <row r="253" spans="1:4" x14ac:dyDescent="0.35">
      <c r="A253" s="9">
        <v>6927270</v>
      </c>
      <c r="B253" s="10">
        <v>42921</v>
      </c>
      <c r="C253" s="11">
        <v>0.49571759259259257</v>
      </c>
      <c r="D253" s="12">
        <v>0.50516203703703699</v>
      </c>
    </row>
    <row r="254" spans="1:4" x14ac:dyDescent="0.35">
      <c r="A254" s="5">
        <v>7318247385</v>
      </c>
      <c r="B254" s="6">
        <v>42921</v>
      </c>
      <c r="C254" s="7">
        <v>0.49596064814814816</v>
      </c>
      <c r="D254" s="8">
        <v>0.49886574074074075</v>
      </c>
    </row>
    <row r="255" spans="1:4" x14ac:dyDescent="0.35">
      <c r="A255" s="9">
        <v>1579531</v>
      </c>
      <c r="B255" s="10">
        <v>42921</v>
      </c>
      <c r="C255" s="11">
        <v>0.50134259259259262</v>
      </c>
      <c r="D255" s="12">
        <v>0.50873842592592589</v>
      </c>
    </row>
    <row r="256" spans="1:4" x14ac:dyDescent="0.35">
      <c r="A256" s="5">
        <v>9593481</v>
      </c>
      <c r="B256" s="6">
        <v>42921</v>
      </c>
      <c r="C256" s="7">
        <v>0.50179398148148147</v>
      </c>
      <c r="D256" s="8">
        <v>0.50248842592592591</v>
      </c>
    </row>
    <row r="257" spans="1:4" x14ac:dyDescent="0.35">
      <c r="A257" s="9">
        <v>6657074</v>
      </c>
      <c r="B257" s="10">
        <v>42921</v>
      </c>
      <c r="C257" s="11">
        <v>0.50288194444444445</v>
      </c>
      <c r="D257" s="12">
        <v>0.51248842592592592</v>
      </c>
    </row>
    <row r="258" spans="1:4" x14ac:dyDescent="0.35">
      <c r="A258" s="5">
        <v>1488369</v>
      </c>
      <c r="B258" s="6">
        <v>42921</v>
      </c>
      <c r="C258" s="7">
        <v>0.50457175925925923</v>
      </c>
      <c r="D258" s="8">
        <v>0.51533564814814814</v>
      </c>
    </row>
    <row r="259" spans="1:4" x14ac:dyDescent="0.35">
      <c r="A259" s="9">
        <v>1797960</v>
      </c>
      <c r="B259" s="10">
        <v>42921</v>
      </c>
      <c r="C259" s="11">
        <v>0.51026620370370368</v>
      </c>
      <c r="D259" s="12">
        <v>0.51557870370370373</v>
      </c>
    </row>
    <row r="260" spans="1:4" x14ac:dyDescent="0.35">
      <c r="A260" s="5">
        <v>65923776</v>
      </c>
      <c r="B260" s="6">
        <v>42921</v>
      </c>
      <c r="C260" s="7">
        <v>0.51388888888888884</v>
      </c>
      <c r="D260" s="8">
        <v>0.51673611111111106</v>
      </c>
    </row>
    <row r="261" spans="1:4" x14ac:dyDescent="0.35">
      <c r="A261" s="9">
        <v>3407358</v>
      </c>
      <c r="B261" s="10">
        <v>42921</v>
      </c>
      <c r="C261" s="11">
        <v>0.51827546296296301</v>
      </c>
      <c r="D261" s="12">
        <v>0.51986111111111111</v>
      </c>
    </row>
    <row r="262" spans="1:4" x14ac:dyDescent="0.35">
      <c r="A262" s="5">
        <v>1887758</v>
      </c>
      <c r="B262" s="6">
        <v>42921</v>
      </c>
      <c r="C262" s="7">
        <v>0.51884259259259258</v>
      </c>
      <c r="D262" s="8">
        <v>0.52637731481481487</v>
      </c>
    </row>
    <row r="263" spans="1:4" x14ac:dyDescent="0.35">
      <c r="A263" s="9">
        <v>9983997</v>
      </c>
      <c r="B263" s="10">
        <v>42921</v>
      </c>
      <c r="C263" s="11">
        <v>0.5242013888888889</v>
      </c>
      <c r="D263" s="12">
        <v>0.53452546296296299</v>
      </c>
    </row>
    <row r="264" spans="1:4" x14ac:dyDescent="0.35">
      <c r="A264" s="5">
        <v>3539762</v>
      </c>
      <c r="B264" s="6">
        <v>42921</v>
      </c>
      <c r="C264" s="7">
        <v>0.5250231481481481</v>
      </c>
      <c r="D264" s="8">
        <v>0.5264699074074074</v>
      </c>
    </row>
    <row r="265" spans="1:4" x14ac:dyDescent="0.35">
      <c r="A265" s="9">
        <v>58067439</v>
      </c>
      <c r="B265" s="10">
        <v>42921</v>
      </c>
      <c r="C265" s="11">
        <v>0.52607638888888886</v>
      </c>
      <c r="D265" s="12">
        <v>0.52662037037037035</v>
      </c>
    </row>
    <row r="266" spans="1:4" x14ac:dyDescent="0.35">
      <c r="A266" s="5">
        <v>6760428735</v>
      </c>
      <c r="B266" s="6">
        <v>42921</v>
      </c>
      <c r="C266" s="7">
        <v>0.52811342592592592</v>
      </c>
      <c r="D266" s="8">
        <v>0.53195601851851848</v>
      </c>
    </row>
    <row r="267" spans="1:4" x14ac:dyDescent="0.35">
      <c r="A267" s="9">
        <v>9803006</v>
      </c>
      <c r="B267" s="10">
        <v>42921</v>
      </c>
      <c r="C267" s="11">
        <v>0.53233796296296299</v>
      </c>
      <c r="D267" s="12">
        <v>0.54116898148148151</v>
      </c>
    </row>
    <row r="268" spans="1:4" x14ac:dyDescent="0.35">
      <c r="A268" s="5">
        <v>5312081</v>
      </c>
      <c r="B268" s="6">
        <v>42921</v>
      </c>
      <c r="C268" s="7">
        <v>0.53372685185185187</v>
      </c>
      <c r="D268" s="8">
        <v>0.53991898148148143</v>
      </c>
    </row>
    <row r="269" spans="1:4" x14ac:dyDescent="0.35">
      <c r="A269" s="9">
        <v>7114306</v>
      </c>
      <c r="B269" s="10">
        <v>42921</v>
      </c>
      <c r="C269" s="11">
        <v>0.53607638888888887</v>
      </c>
      <c r="D269" s="12">
        <v>0.54104166666666664</v>
      </c>
    </row>
    <row r="270" spans="1:4" x14ac:dyDescent="0.35">
      <c r="A270" s="5">
        <v>7594764</v>
      </c>
      <c r="B270" s="6">
        <v>42921</v>
      </c>
      <c r="C270" s="7">
        <v>0.53850694444444447</v>
      </c>
      <c r="D270" s="8">
        <v>0.53944444444444439</v>
      </c>
    </row>
    <row r="271" spans="1:4" x14ac:dyDescent="0.35">
      <c r="A271" s="9">
        <v>3004571</v>
      </c>
      <c r="B271" s="10">
        <v>42921</v>
      </c>
      <c r="C271" s="11">
        <v>0.54194444444444445</v>
      </c>
      <c r="D271" s="12">
        <v>0.54666666666666663</v>
      </c>
    </row>
    <row r="272" spans="1:4" x14ac:dyDescent="0.35">
      <c r="A272" s="5">
        <v>6689117</v>
      </c>
      <c r="B272" s="6">
        <v>42921</v>
      </c>
      <c r="C272" s="7">
        <v>0.54609953703703706</v>
      </c>
      <c r="D272" s="8">
        <v>0.55435185185185187</v>
      </c>
    </row>
    <row r="273" spans="1:4" x14ac:dyDescent="0.35">
      <c r="A273" s="9">
        <v>1081610</v>
      </c>
      <c r="B273" s="10">
        <v>42921</v>
      </c>
      <c r="C273" s="11">
        <v>0.54809027777777775</v>
      </c>
      <c r="D273" s="12">
        <v>0.55568287037037034</v>
      </c>
    </row>
    <row r="274" spans="1:4" x14ac:dyDescent="0.35">
      <c r="A274" s="5">
        <v>20220216</v>
      </c>
      <c r="B274" s="6">
        <v>42921</v>
      </c>
      <c r="C274" s="7">
        <v>0.54857638888888893</v>
      </c>
      <c r="D274" s="8">
        <v>0.55879629629629635</v>
      </c>
    </row>
    <row r="275" spans="1:4" x14ac:dyDescent="0.35">
      <c r="A275" s="9">
        <v>79890857</v>
      </c>
      <c r="B275" s="10">
        <v>42921</v>
      </c>
      <c r="C275" s="11">
        <v>0.54859953703703701</v>
      </c>
      <c r="D275" s="12">
        <v>0.55990740740740741</v>
      </c>
    </row>
    <row r="276" spans="1:4" x14ac:dyDescent="0.35">
      <c r="A276" s="5">
        <v>4600571814</v>
      </c>
      <c r="B276" s="6">
        <v>42921</v>
      </c>
      <c r="C276" s="7">
        <v>0.55166666666666664</v>
      </c>
      <c r="D276" s="8">
        <v>0.55865740740740744</v>
      </c>
    </row>
    <row r="277" spans="1:4" x14ac:dyDescent="0.35">
      <c r="A277" s="9">
        <v>1579531</v>
      </c>
      <c r="B277" s="10">
        <v>42921</v>
      </c>
      <c r="C277" s="11">
        <v>0.55266203703703709</v>
      </c>
      <c r="D277" s="12">
        <v>0.56405092592592587</v>
      </c>
    </row>
    <row r="278" spans="1:4" x14ac:dyDescent="0.35">
      <c r="A278" s="5">
        <v>7110850</v>
      </c>
      <c r="B278" s="6">
        <v>42921</v>
      </c>
      <c r="C278" s="7">
        <v>0.55269675925925921</v>
      </c>
      <c r="D278" s="8">
        <v>0.56355324074074076</v>
      </c>
    </row>
    <row r="279" spans="1:4" x14ac:dyDescent="0.35">
      <c r="A279" s="9">
        <v>18036364</v>
      </c>
      <c r="B279" s="10">
        <v>42921</v>
      </c>
      <c r="C279" s="11">
        <v>0.55847222222222226</v>
      </c>
      <c r="D279" s="12">
        <v>0.56166666666666665</v>
      </c>
    </row>
    <row r="280" spans="1:4" x14ac:dyDescent="0.35">
      <c r="A280" s="5">
        <v>6712006</v>
      </c>
      <c r="B280" s="6">
        <v>42921</v>
      </c>
      <c r="C280" s="7">
        <v>0.56106481481481485</v>
      </c>
      <c r="D280" s="8">
        <v>0.56716435185185188</v>
      </c>
    </row>
    <row r="281" spans="1:4" x14ac:dyDescent="0.35">
      <c r="A281" s="9">
        <v>5646830</v>
      </c>
      <c r="B281" s="10">
        <v>42921</v>
      </c>
      <c r="C281" s="11">
        <v>0.56361111111111106</v>
      </c>
      <c r="D281" s="12">
        <v>0.57469907407407406</v>
      </c>
    </row>
    <row r="282" spans="1:4" x14ac:dyDescent="0.35">
      <c r="A282" s="5">
        <v>38535407</v>
      </c>
      <c r="B282" s="6">
        <v>42921</v>
      </c>
      <c r="C282" s="7">
        <v>0.56568287037037035</v>
      </c>
      <c r="D282" s="8">
        <v>0.56981481481481477</v>
      </c>
    </row>
    <row r="283" spans="1:4" x14ac:dyDescent="0.35">
      <c r="A283" s="9">
        <v>66871690</v>
      </c>
      <c r="B283" s="10">
        <v>42921</v>
      </c>
      <c r="C283" s="11">
        <v>0.56703703703703701</v>
      </c>
      <c r="D283" s="12">
        <v>0.57664351851851847</v>
      </c>
    </row>
    <row r="284" spans="1:4" x14ac:dyDescent="0.35">
      <c r="A284" s="5">
        <v>7085993</v>
      </c>
      <c r="B284" s="6">
        <v>42921</v>
      </c>
      <c r="C284" s="7">
        <v>0.57192129629629629</v>
      </c>
      <c r="D284" s="8">
        <v>0.57506944444444441</v>
      </c>
    </row>
    <row r="285" spans="1:4" x14ac:dyDescent="0.35">
      <c r="A285" s="9">
        <v>2890720</v>
      </c>
      <c r="B285" s="10">
        <v>42921</v>
      </c>
      <c r="C285" s="11">
        <v>0.57589120370370372</v>
      </c>
      <c r="D285" s="12">
        <v>0.57648148148148148</v>
      </c>
    </row>
    <row r="286" spans="1:4" x14ac:dyDescent="0.35">
      <c r="A286" s="5">
        <v>8375968</v>
      </c>
      <c r="B286" s="6">
        <v>42921</v>
      </c>
      <c r="C286" s="7">
        <v>0.5786458333333333</v>
      </c>
      <c r="D286" s="8">
        <v>0.57954861111111111</v>
      </c>
    </row>
    <row r="287" spans="1:4" x14ac:dyDescent="0.35">
      <c r="A287" s="9">
        <v>1119740</v>
      </c>
      <c r="B287" s="10">
        <v>42921</v>
      </c>
      <c r="C287" s="11">
        <v>0.57876157407407403</v>
      </c>
      <c r="D287" s="12">
        <v>0.5811574074074074</v>
      </c>
    </row>
    <row r="288" spans="1:4" x14ac:dyDescent="0.35">
      <c r="A288" s="5">
        <v>3796958</v>
      </c>
      <c r="B288" s="6">
        <v>42921</v>
      </c>
      <c r="C288" s="7">
        <v>0.57901620370370366</v>
      </c>
      <c r="D288" s="8">
        <v>0.58940972222222221</v>
      </c>
    </row>
    <row r="289" spans="1:4" x14ac:dyDescent="0.35">
      <c r="A289" s="9">
        <v>8010775</v>
      </c>
      <c r="B289" s="10">
        <v>42921</v>
      </c>
      <c r="C289" s="11">
        <v>0.58275462962962965</v>
      </c>
      <c r="D289" s="12">
        <v>0.5852546296296296</v>
      </c>
    </row>
    <row r="290" spans="1:4" x14ac:dyDescent="0.35">
      <c r="A290" s="5">
        <v>46023878</v>
      </c>
      <c r="B290" s="6">
        <v>42921</v>
      </c>
      <c r="C290" s="7">
        <v>0.58829861111111115</v>
      </c>
      <c r="D290" s="8">
        <v>0.59641203703703705</v>
      </c>
    </row>
    <row r="291" spans="1:4" x14ac:dyDescent="0.35">
      <c r="A291" s="9">
        <v>3379007610</v>
      </c>
      <c r="B291" s="10">
        <v>42921</v>
      </c>
      <c r="C291" s="11">
        <v>0.59281249999999996</v>
      </c>
      <c r="D291" s="12">
        <v>0.59871527777777778</v>
      </c>
    </row>
    <row r="292" spans="1:4" x14ac:dyDescent="0.35">
      <c r="A292" s="5">
        <v>2890519255</v>
      </c>
      <c r="B292" s="6">
        <v>42921</v>
      </c>
      <c r="C292" s="7">
        <v>0.59557870370370369</v>
      </c>
      <c r="D292" s="8">
        <v>0.59930555555555554</v>
      </c>
    </row>
    <row r="293" spans="1:4" x14ac:dyDescent="0.35">
      <c r="A293" s="9">
        <v>27858818</v>
      </c>
      <c r="B293" s="10">
        <v>42921</v>
      </c>
      <c r="C293" s="11">
        <v>0.59718749999999998</v>
      </c>
      <c r="D293" s="12">
        <v>0.60711805555555554</v>
      </c>
    </row>
    <row r="294" spans="1:4" x14ac:dyDescent="0.35">
      <c r="A294" s="5">
        <v>5076649</v>
      </c>
      <c r="B294" s="6">
        <v>42921</v>
      </c>
      <c r="C294" s="7">
        <v>0.59803240740740737</v>
      </c>
      <c r="D294" s="8">
        <v>0.60223379629629625</v>
      </c>
    </row>
    <row r="295" spans="1:4" x14ac:dyDescent="0.35">
      <c r="A295" s="9">
        <v>70367818</v>
      </c>
      <c r="B295" s="10">
        <v>42921</v>
      </c>
      <c r="C295" s="11">
        <v>0.5982291666666667</v>
      </c>
      <c r="D295" s="12">
        <v>0.60077546296296291</v>
      </c>
    </row>
    <row r="296" spans="1:4" x14ac:dyDescent="0.35">
      <c r="A296" s="5">
        <v>9788998</v>
      </c>
      <c r="B296" s="6">
        <v>42921</v>
      </c>
      <c r="C296" s="7">
        <v>0.60070601851851857</v>
      </c>
      <c r="D296" s="8">
        <v>0.6075694444444445</v>
      </c>
    </row>
    <row r="297" spans="1:4" x14ac:dyDescent="0.35">
      <c r="A297" s="9">
        <v>1951101</v>
      </c>
      <c r="B297" s="10">
        <v>42921</v>
      </c>
      <c r="C297" s="11">
        <v>0.60379629629629628</v>
      </c>
      <c r="D297" s="12">
        <v>0.6139930555555555</v>
      </c>
    </row>
    <row r="298" spans="1:4" x14ac:dyDescent="0.35">
      <c r="A298" s="5">
        <v>4546455</v>
      </c>
      <c r="B298" s="6">
        <v>42921</v>
      </c>
      <c r="C298" s="7">
        <v>0.6040740740740741</v>
      </c>
      <c r="D298" s="8">
        <v>0.61181712962962964</v>
      </c>
    </row>
    <row r="299" spans="1:4" x14ac:dyDescent="0.35">
      <c r="A299" s="9">
        <v>12687991</v>
      </c>
      <c r="B299" s="10">
        <v>42921</v>
      </c>
      <c r="C299" s="11">
        <v>0.60660879629629627</v>
      </c>
      <c r="D299" s="12">
        <v>0.6086921296296296</v>
      </c>
    </row>
    <row r="300" spans="1:4" x14ac:dyDescent="0.35">
      <c r="A300" s="5">
        <v>4328583</v>
      </c>
      <c r="B300" s="6">
        <v>42921</v>
      </c>
      <c r="C300" s="7">
        <v>0.60927083333333332</v>
      </c>
      <c r="D300" s="8">
        <v>0.61127314814814815</v>
      </c>
    </row>
    <row r="301" spans="1:4" x14ac:dyDescent="0.35">
      <c r="A301" s="9">
        <v>2184116</v>
      </c>
      <c r="B301" s="10">
        <v>42921</v>
      </c>
      <c r="C301" s="11">
        <v>0.61251157407407408</v>
      </c>
      <c r="D301" s="12">
        <v>0.61998842592592596</v>
      </c>
    </row>
    <row r="302" spans="1:4" x14ac:dyDescent="0.35">
      <c r="A302" s="5">
        <v>24724570</v>
      </c>
      <c r="B302" s="6">
        <v>42921</v>
      </c>
      <c r="C302" s="7">
        <v>0.61430555555555555</v>
      </c>
      <c r="D302" s="8">
        <v>0.61843749999999997</v>
      </c>
    </row>
    <row r="303" spans="1:4" x14ac:dyDescent="0.35">
      <c r="A303" s="9">
        <v>4843076</v>
      </c>
      <c r="B303" s="10">
        <v>42921</v>
      </c>
      <c r="C303" s="11">
        <v>0.61957175925925922</v>
      </c>
      <c r="D303" s="12">
        <v>0.62241898148148145</v>
      </c>
    </row>
    <row r="304" spans="1:4" x14ac:dyDescent="0.35">
      <c r="A304" s="5">
        <v>7795911</v>
      </c>
      <c r="B304" s="6">
        <v>42921</v>
      </c>
      <c r="C304" s="7">
        <v>0.62047453703703703</v>
      </c>
      <c r="D304" s="8">
        <v>0.62715277777777778</v>
      </c>
    </row>
    <row r="305" spans="1:4" x14ac:dyDescent="0.35">
      <c r="A305" s="9">
        <v>42722517</v>
      </c>
      <c r="B305" s="10">
        <v>42921</v>
      </c>
      <c r="C305" s="11">
        <v>0.62094907407407407</v>
      </c>
      <c r="D305" s="12">
        <v>0.62687499999999996</v>
      </c>
    </row>
    <row r="306" spans="1:4" x14ac:dyDescent="0.35">
      <c r="A306" s="5">
        <v>9697189</v>
      </c>
      <c r="B306" s="6">
        <v>42921</v>
      </c>
      <c r="C306" s="7">
        <v>0.62251157407407409</v>
      </c>
      <c r="D306" s="8">
        <v>0.6234143518518519</v>
      </c>
    </row>
    <row r="307" spans="1:4" x14ac:dyDescent="0.35">
      <c r="A307" s="9">
        <v>4471203</v>
      </c>
      <c r="B307" s="10">
        <v>42921</v>
      </c>
      <c r="C307" s="11">
        <v>0.62403935185185189</v>
      </c>
      <c r="D307" s="12">
        <v>0.62936342592592598</v>
      </c>
    </row>
    <row r="308" spans="1:4" x14ac:dyDescent="0.35">
      <c r="A308" s="5">
        <v>1439114</v>
      </c>
      <c r="B308" s="6">
        <v>42921</v>
      </c>
      <c r="C308" s="7">
        <v>0.62589120370370366</v>
      </c>
      <c r="D308" s="8">
        <v>0.62774305555555554</v>
      </c>
    </row>
    <row r="309" spans="1:4" x14ac:dyDescent="0.35">
      <c r="A309" s="9">
        <v>5822881</v>
      </c>
      <c r="B309" s="10">
        <v>42922</v>
      </c>
      <c r="C309" s="11">
        <v>0.33555555555555555</v>
      </c>
      <c r="D309" s="12">
        <v>0.34137731481481481</v>
      </c>
    </row>
    <row r="310" spans="1:4" x14ac:dyDescent="0.35">
      <c r="A310" s="5">
        <v>6027120</v>
      </c>
      <c r="B310" s="6">
        <v>42922</v>
      </c>
      <c r="C310" s="7">
        <v>0.33814814814814814</v>
      </c>
      <c r="D310" s="8">
        <v>0.34232638888888889</v>
      </c>
    </row>
    <row r="311" spans="1:4" x14ac:dyDescent="0.35">
      <c r="A311" s="9">
        <v>2790475</v>
      </c>
      <c r="B311" s="10">
        <v>42922</v>
      </c>
      <c r="C311" s="11">
        <v>0.34349537037037037</v>
      </c>
      <c r="D311" s="12">
        <v>0.34965277777777776</v>
      </c>
    </row>
    <row r="312" spans="1:4" x14ac:dyDescent="0.35">
      <c r="A312" s="5">
        <v>30893038</v>
      </c>
      <c r="B312" s="6">
        <v>42922</v>
      </c>
      <c r="C312" s="7">
        <v>0.34708333333333335</v>
      </c>
      <c r="D312" s="8">
        <v>0.34912037037037036</v>
      </c>
    </row>
    <row r="313" spans="1:4" x14ac:dyDescent="0.35">
      <c r="A313" s="9">
        <v>5076649</v>
      </c>
      <c r="B313" s="10">
        <v>42922</v>
      </c>
      <c r="C313" s="11">
        <v>0.35163194444444446</v>
      </c>
      <c r="D313" s="12">
        <v>0.35670138888888892</v>
      </c>
    </row>
    <row r="314" spans="1:4" x14ac:dyDescent="0.35">
      <c r="A314" s="5">
        <v>5013602</v>
      </c>
      <c r="B314" s="6">
        <v>42922</v>
      </c>
      <c r="C314" s="7">
        <v>0.35531249999999998</v>
      </c>
      <c r="D314" s="8">
        <v>0.3630902777777778</v>
      </c>
    </row>
    <row r="315" spans="1:4" x14ac:dyDescent="0.35">
      <c r="A315" s="9">
        <v>5696056</v>
      </c>
      <c r="B315" s="10">
        <v>42922</v>
      </c>
      <c r="C315" s="11">
        <v>0.36097222222222225</v>
      </c>
      <c r="D315" s="12">
        <v>0.36534722222222221</v>
      </c>
    </row>
    <row r="316" spans="1:4" x14ac:dyDescent="0.35">
      <c r="A316" s="5">
        <v>11274735</v>
      </c>
      <c r="B316" s="6">
        <v>42922</v>
      </c>
      <c r="C316" s="7">
        <v>0.36618055555555556</v>
      </c>
      <c r="D316" s="8">
        <v>0.37038194444444444</v>
      </c>
    </row>
    <row r="317" spans="1:4" x14ac:dyDescent="0.35">
      <c r="A317" s="9">
        <v>1158631</v>
      </c>
      <c r="B317" s="10">
        <v>42922</v>
      </c>
      <c r="C317" s="11">
        <v>0.3664351851851852</v>
      </c>
      <c r="D317" s="12">
        <v>0.37646990740740743</v>
      </c>
    </row>
    <row r="318" spans="1:4" x14ac:dyDescent="0.35">
      <c r="A318" s="5">
        <v>6009110</v>
      </c>
      <c r="B318" s="6">
        <v>42922</v>
      </c>
      <c r="C318" s="7">
        <v>0.37092592592592594</v>
      </c>
      <c r="D318" s="8">
        <v>0.37193287037037037</v>
      </c>
    </row>
    <row r="319" spans="1:4" x14ac:dyDescent="0.35">
      <c r="A319" s="9">
        <v>6644360383</v>
      </c>
      <c r="B319" s="10">
        <v>42922</v>
      </c>
      <c r="C319" s="11">
        <v>0.37333333333333335</v>
      </c>
      <c r="D319" s="12">
        <v>0.37968750000000001</v>
      </c>
    </row>
    <row r="320" spans="1:4" x14ac:dyDescent="0.35">
      <c r="A320" s="5">
        <v>6045882</v>
      </c>
      <c r="B320" s="6">
        <v>42922</v>
      </c>
      <c r="C320" s="7">
        <v>0.37799768518518517</v>
      </c>
      <c r="D320" s="8">
        <v>0.38377314814814817</v>
      </c>
    </row>
    <row r="321" spans="1:4" x14ac:dyDescent="0.35">
      <c r="A321" s="9">
        <v>4113351</v>
      </c>
      <c r="B321" s="10">
        <v>42922</v>
      </c>
      <c r="C321" s="11">
        <v>0.37913194444444442</v>
      </c>
      <c r="D321" s="12">
        <v>0.3800115740740741</v>
      </c>
    </row>
    <row r="322" spans="1:4" x14ac:dyDescent="0.35">
      <c r="A322" s="5">
        <v>9777118</v>
      </c>
      <c r="B322" s="6">
        <v>42922</v>
      </c>
      <c r="C322" s="7">
        <v>0.38156250000000003</v>
      </c>
      <c r="D322" s="8">
        <v>0.3878240740740741</v>
      </c>
    </row>
    <row r="323" spans="1:4" x14ac:dyDescent="0.35">
      <c r="A323" s="9">
        <v>1659814</v>
      </c>
      <c r="B323" s="10">
        <v>42922</v>
      </c>
      <c r="C323" s="11">
        <v>0.38416666666666666</v>
      </c>
      <c r="D323" s="12">
        <v>0.39554398148148145</v>
      </c>
    </row>
    <row r="324" spans="1:4" x14ac:dyDescent="0.35">
      <c r="A324" s="5">
        <v>26204415</v>
      </c>
      <c r="B324" s="6">
        <v>42922</v>
      </c>
      <c r="C324" s="7">
        <v>0.38806712962962964</v>
      </c>
      <c r="D324" s="8">
        <v>0.39144675925925926</v>
      </c>
    </row>
    <row r="325" spans="1:4" x14ac:dyDescent="0.35">
      <c r="A325" s="9">
        <v>8471544</v>
      </c>
      <c r="B325" s="10">
        <v>42922</v>
      </c>
      <c r="C325" s="11">
        <v>0.38960648148148147</v>
      </c>
      <c r="D325" s="12">
        <v>0.39498842592592592</v>
      </c>
    </row>
    <row r="326" spans="1:4" x14ac:dyDescent="0.35">
      <c r="A326" s="5">
        <v>3379401</v>
      </c>
      <c r="B326" s="6">
        <v>42922</v>
      </c>
      <c r="C326" s="7">
        <v>0.39466435185185184</v>
      </c>
      <c r="D326" s="8">
        <v>0.40501157407407407</v>
      </c>
    </row>
    <row r="327" spans="1:4" x14ac:dyDescent="0.35">
      <c r="A327" s="9">
        <v>5912377607</v>
      </c>
      <c r="B327" s="10">
        <v>42922</v>
      </c>
      <c r="C327" s="11">
        <v>0.39613425925925927</v>
      </c>
      <c r="D327" s="12">
        <v>0.39868055555555554</v>
      </c>
    </row>
    <row r="328" spans="1:4" x14ac:dyDescent="0.35">
      <c r="A328" s="5">
        <v>77705897</v>
      </c>
      <c r="B328" s="6">
        <v>42922</v>
      </c>
      <c r="C328" s="7">
        <v>0.39956018518518521</v>
      </c>
      <c r="D328" s="8">
        <v>0.40025462962962965</v>
      </c>
    </row>
    <row r="329" spans="1:4" x14ac:dyDescent="0.35">
      <c r="A329" s="9">
        <v>5894865</v>
      </c>
      <c r="B329" s="10">
        <v>42922</v>
      </c>
      <c r="C329" s="11">
        <v>0.40255787037037039</v>
      </c>
      <c r="D329" s="12">
        <v>0.40554398148148146</v>
      </c>
    </row>
    <row r="330" spans="1:4" x14ac:dyDescent="0.35">
      <c r="A330" s="5">
        <v>7449832</v>
      </c>
      <c r="B330" s="6">
        <v>42922</v>
      </c>
      <c r="C330" s="7">
        <v>0.40559027777777779</v>
      </c>
      <c r="D330" s="8">
        <v>0.41425925925925927</v>
      </c>
    </row>
    <row r="331" spans="1:4" x14ac:dyDescent="0.35">
      <c r="A331" s="9">
        <v>49390412</v>
      </c>
      <c r="B331" s="10">
        <v>42922</v>
      </c>
      <c r="C331" s="11">
        <v>0.40645833333333331</v>
      </c>
      <c r="D331" s="12">
        <v>0.41598379629629628</v>
      </c>
    </row>
    <row r="332" spans="1:4" x14ac:dyDescent="0.35">
      <c r="A332" s="5">
        <v>6156594</v>
      </c>
      <c r="B332" s="6">
        <v>42922</v>
      </c>
      <c r="C332" s="7">
        <v>0.41142361111111109</v>
      </c>
      <c r="D332" s="8">
        <v>0.42168981481481482</v>
      </c>
    </row>
    <row r="333" spans="1:4" x14ac:dyDescent="0.35">
      <c r="A333" s="9">
        <v>5006675</v>
      </c>
      <c r="B333" s="10">
        <v>42922</v>
      </c>
      <c r="C333" s="11">
        <v>0.4129976851851852</v>
      </c>
      <c r="D333" s="12">
        <v>0.41953703703703704</v>
      </c>
    </row>
    <row r="334" spans="1:4" x14ac:dyDescent="0.35">
      <c r="A334" s="5">
        <v>2096180</v>
      </c>
      <c r="B334" s="6">
        <v>42922</v>
      </c>
      <c r="C334" s="7">
        <v>0.41351851851851851</v>
      </c>
      <c r="D334" s="8">
        <v>0.41670138888888891</v>
      </c>
    </row>
    <row r="335" spans="1:4" x14ac:dyDescent="0.35">
      <c r="A335" s="9">
        <v>8214927</v>
      </c>
      <c r="B335" s="10">
        <v>42922</v>
      </c>
      <c r="C335" s="11">
        <v>0.41638888888888886</v>
      </c>
      <c r="D335" s="12">
        <v>0.42116898148148146</v>
      </c>
    </row>
    <row r="336" spans="1:4" x14ac:dyDescent="0.35">
      <c r="A336" s="5">
        <v>5816822</v>
      </c>
      <c r="B336" s="6">
        <v>42922</v>
      </c>
      <c r="C336" s="7">
        <v>0.41684027777777777</v>
      </c>
      <c r="D336" s="8">
        <v>0.4230902777777778</v>
      </c>
    </row>
    <row r="337" spans="1:4" x14ac:dyDescent="0.35">
      <c r="A337" s="9">
        <v>9683894</v>
      </c>
      <c r="B337" s="10">
        <v>42922</v>
      </c>
      <c r="C337" s="11">
        <v>0.42046296296296298</v>
      </c>
      <c r="D337" s="12">
        <v>0.42086805555555556</v>
      </c>
    </row>
    <row r="338" spans="1:4" x14ac:dyDescent="0.35">
      <c r="A338" s="5">
        <v>2808052</v>
      </c>
      <c r="B338" s="6">
        <v>42922</v>
      </c>
      <c r="C338" s="7">
        <v>0.42144675925925928</v>
      </c>
      <c r="D338" s="8">
        <v>0.43079861111111112</v>
      </c>
    </row>
    <row r="339" spans="1:4" x14ac:dyDescent="0.35">
      <c r="A339" s="9">
        <v>18084593</v>
      </c>
      <c r="B339" s="10">
        <v>42922</v>
      </c>
      <c r="C339" s="11">
        <v>0.42482638888888891</v>
      </c>
      <c r="D339" s="12">
        <v>0.43292824074074077</v>
      </c>
    </row>
    <row r="340" spans="1:4" x14ac:dyDescent="0.35">
      <c r="A340" s="5">
        <v>1390402</v>
      </c>
      <c r="B340" s="6">
        <v>42922</v>
      </c>
      <c r="C340" s="7">
        <v>0.42880787037037038</v>
      </c>
      <c r="D340" s="8">
        <v>0.44034722222222222</v>
      </c>
    </row>
    <row r="341" spans="1:4" x14ac:dyDescent="0.35">
      <c r="A341" s="9">
        <v>44200961</v>
      </c>
      <c r="B341" s="10">
        <v>42922</v>
      </c>
      <c r="C341" s="11">
        <v>0.42920138888888887</v>
      </c>
      <c r="D341" s="12">
        <v>0.43532407407407409</v>
      </c>
    </row>
    <row r="342" spans="1:4" x14ac:dyDescent="0.35">
      <c r="A342" s="5">
        <v>5859235</v>
      </c>
      <c r="B342" s="6">
        <v>42922</v>
      </c>
      <c r="C342" s="7">
        <v>0.43037037037037035</v>
      </c>
      <c r="D342" s="8">
        <v>0.4344675925925926</v>
      </c>
    </row>
    <row r="343" spans="1:4" x14ac:dyDescent="0.35">
      <c r="A343" s="9">
        <v>51855396</v>
      </c>
      <c r="B343" s="10">
        <v>42922</v>
      </c>
      <c r="C343" s="11">
        <v>0.43266203703703704</v>
      </c>
      <c r="D343" s="12">
        <v>0.44364583333333335</v>
      </c>
    </row>
    <row r="344" spans="1:4" x14ac:dyDescent="0.35">
      <c r="A344" s="5">
        <v>8768896</v>
      </c>
      <c r="B344" s="6">
        <v>42922</v>
      </c>
      <c r="C344" s="7">
        <v>0.43590277777777775</v>
      </c>
      <c r="D344" s="8">
        <v>0.44127314814814816</v>
      </c>
    </row>
    <row r="345" spans="1:4" x14ac:dyDescent="0.35">
      <c r="A345" s="9">
        <v>9088045</v>
      </c>
      <c r="B345" s="10">
        <v>42922</v>
      </c>
      <c r="C345" s="11">
        <v>0.44063657407407408</v>
      </c>
      <c r="D345" s="12">
        <v>0.44285879629629632</v>
      </c>
    </row>
    <row r="346" spans="1:4" x14ac:dyDescent="0.35">
      <c r="A346" s="5">
        <v>9872216</v>
      </c>
      <c r="B346" s="6">
        <v>42922</v>
      </c>
      <c r="C346" s="7">
        <v>0.44200231481481483</v>
      </c>
      <c r="D346" s="8">
        <v>0.44886574074074076</v>
      </c>
    </row>
    <row r="347" spans="1:4" x14ac:dyDescent="0.35">
      <c r="A347" s="9">
        <v>8369815</v>
      </c>
      <c r="B347" s="10">
        <v>42922</v>
      </c>
      <c r="C347" s="11">
        <v>0.44350694444444444</v>
      </c>
      <c r="D347" s="12">
        <v>0.44528935185185187</v>
      </c>
    </row>
    <row r="348" spans="1:4" x14ac:dyDescent="0.35">
      <c r="A348" s="5">
        <v>3370151</v>
      </c>
      <c r="B348" s="6">
        <v>42922</v>
      </c>
      <c r="C348" s="7">
        <v>0.44452546296296297</v>
      </c>
      <c r="D348" s="8">
        <v>0.44923611111111111</v>
      </c>
    </row>
    <row r="349" spans="1:4" x14ac:dyDescent="0.35">
      <c r="A349" s="9">
        <v>1488369</v>
      </c>
      <c r="B349" s="10">
        <v>42922</v>
      </c>
      <c r="C349" s="11">
        <v>0.44871527777777775</v>
      </c>
      <c r="D349" s="12">
        <v>0.45627314814814812</v>
      </c>
    </row>
    <row r="350" spans="1:4" x14ac:dyDescent="0.35">
      <c r="A350" s="5">
        <v>4132754</v>
      </c>
      <c r="B350" s="6">
        <v>42922</v>
      </c>
      <c r="C350" s="7">
        <v>0.45281250000000001</v>
      </c>
      <c r="D350" s="8">
        <v>0.45374999999999999</v>
      </c>
    </row>
    <row r="351" spans="1:4" x14ac:dyDescent="0.35">
      <c r="A351" s="9">
        <v>66638685</v>
      </c>
      <c r="B351" s="10">
        <v>42922</v>
      </c>
      <c r="C351" s="11">
        <v>0.45401620370370371</v>
      </c>
      <c r="D351" s="12">
        <v>0.46406249999999999</v>
      </c>
    </row>
    <row r="352" spans="1:4" x14ac:dyDescent="0.35">
      <c r="A352" s="5">
        <v>6818507</v>
      </c>
      <c r="B352" s="6">
        <v>42922</v>
      </c>
      <c r="C352" s="7">
        <v>0.4584259259259259</v>
      </c>
      <c r="D352" s="8">
        <v>0.46380787037037036</v>
      </c>
    </row>
    <row r="353" spans="1:4" x14ac:dyDescent="0.35">
      <c r="A353" s="9">
        <v>93611539</v>
      </c>
      <c r="B353" s="10">
        <v>42922</v>
      </c>
      <c r="C353" s="11">
        <v>0.45853009259259259</v>
      </c>
      <c r="D353" s="12">
        <v>0.46674768518518517</v>
      </c>
    </row>
    <row r="354" spans="1:4" x14ac:dyDescent="0.35">
      <c r="A354" s="5">
        <v>2890519255</v>
      </c>
      <c r="B354" s="6">
        <v>42922</v>
      </c>
      <c r="C354" s="7">
        <v>0.4613888888888889</v>
      </c>
      <c r="D354" s="8">
        <v>0.46836805555555555</v>
      </c>
    </row>
    <row r="355" spans="1:4" x14ac:dyDescent="0.35">
      <c r="A355" s="9">
        <v>66336445</v>
      </c>
      <c r="B355" s="10">
        <v>42922</v>
      </c>
      <c r="C355" s="11">
        <v>0.46322916666666669</v>
      </c>
      <c r="D355" s="12">
        <v>0.4642013888888889</v>
      </c>
    </row>
    <row r="356" spans="1:4" x14ac:dyDescent="0.35">
      <c r="A356" s="5">
        <v>9356324</v>
      </c>
      <c r="B356" s="6">
        <v>42922</v>
      </c>
      <c r="C356" s="7">
        <v>0.46339120370370368</v>
      </c>
      <c r="D356" s="8">
        <v>0.47425925925925927</v>
      </c>
    </row>
    <row r="357" spans="1:4" x14ac:dyDescent="0.35">
      <c r="A357" s="9">
        <v>5111892302</v>
      </c>
      <c r="B357" s="10">
        <v>42922</v>
      </c>
      <c r="C357" s="11">
        <v>0.46871527777777777</v>
      </c>
      <c r="D357" s="12">
        <v>0.47319444444444442</v>
      </c>
    </row>
    <row r="358" spans="1:4" x14ac:dyDescent="0.35">
      <c r="A358" s="5">
        <v>2435007</v>
      </c>
      <c r="B358" s="6">
        <v>42922</v>
      </c>
      <c r="C358" s="7">
        <v>0.47395833333333331</v>
      </c>
      <c r="D358" s="8">
        <v>0.47423611111111114</v>
      </c>
    </row>
    <row r="359" spans="1:4" x14ac:dyDescent="0.35">
      <c r="A359" s="9">
        <v>6694568</v>
      </c>
      <c r="B359" s="10">
        <v>42922</v>
      </c>
      <c r="C359" s="11">
        <v>0.47865740740740742</v>
      </c>
      <c r="D359" s="12">
        <v>0.48923611111111109</v>
      </c>
    </row>
    <row r="360" spans="1:4" x14ac:dyDescent="0.35">
      <c r="A360" s="5">
        <v>6420583</v>
      </c>
      <c r="B360" s="6">
        <v>42922</v>
      </c>
      <c r="C360" s="7">
        <v>0.48</v>
      </c>
      <c r="D360" s="8">
        <v>0.48539351851851853</v>
      </c>
    </row>
    <row r="361" spans="1:4" x14ac:dyDescent="0.35">
      <c r="A361" s="9">
        <v>19835498</v>
      </c>
      <c r="B361" s="10">
        <v>42922</v>
      </c>
      <c r="C361" s="11">
        <v>0.48478009259259258</v>
      </c>
      <c r="D361" s="12">
        <v>0.49233796296296295</v>
      </c>
    </row>
    <row r="362" spans="1:4" x14ac:dyDescent="0.35">
      <c r="A362" s="5">
        <v>6663334</v>
      </c>
      <c r="B362" s="6">
        <v>42922</v>
      </c>
      <c r="C362" s="7">
        <v>0.48605324074074074</v>
      </c>
      <c r="D362" s="8">
        <v>0.49381944444444442</v>
      </c>
    </row>
    <row r="363" spans="1:4" x14ac:dyDescent="0.35">
      <c r="A363" s="9">
        <v>44765837</v>
      </c>
      <c r="B363" s="10">
        <v>42922</v>
      </c>
      <c r="C363" s="11">
        <v>0.4887037037037037</v>
      </c>
      <c r="D363" s="12">
        <v>0.49343749999999997</v>
      </c>
    </row>
    <row r="364" spans="1:4" x14ac:dyDescent="0.35">
      <c r="A364" s="5">
        <v>2469778</v>
      </c>
      <c r="B364" s="6">
        <v>42922</v>
      </c>
      <c r="C364" s="7">
        <v>0.49236111111111114</v>
      </c>
      <c r="D364" s="8">
        <v>0.49780092592592595</v>
      </c>
    </row>
    <row r="365" spans="1:4" x14ac:dyDescent="0.35">
      <c r="A365" s="9">
        <v>1959826</v>
      </c>
      <c r="B365" s="10">
        <v>42922</v>
      </c>
      <c r="C365" s="11">
        <v>0.49372685185185183</v>
      </c>
      <c r="D365" s="12">
        <v>0.50436342592592598</v>
      </c>
    </row>
    <row r="366" spans="1:4" x14ac:dyDescent="0.35">
      <c r="A366" s="5">
        <v>37032078</v>
      </c>
      <c r="B366" s="6">
        <v>42922</v>
      </c>
      <c r="C366" s="7">
        <v>0.49387731481481484</v>
      </c>
      <c r="D366" s="8">
        <v>0.50420138888888888</v>
      </c>
    </row>
    <row r="367" spans="1:4" x14ac:dyDescent="0.35">
      <c r="A367" s="9">
        <v>6516512</v>
      </c>
      <c r="B367" s="10">
        <v>42922</v>
      </c>
      <c r="C367" s="11">
        <v>0.49438657407407405</v>
      </c>
      <c r="D367" s="12">
        <v>0.49909722222222225</v>
      </c>
    </row>
    <row r="368" spans="1:4" x14ac:dyDescent="0.35">
      <c r="A368" s="5">
        <v>4726561</v>
      </c>
      <c r="B368" s="6">
        <v>42922</v>
      </c>
      <c r="C368" s="7">
        <v>0.49910879629629629</v>
      </c>
      <c r="D368" s="8">
        <v>0.5009837962962963</v>
      </c>
    </row>
    <row r="369" spans="1:4" x14ac:dyDescent="0.35">
      <c r="A369" s="9">
        <v>9685747</v>
      </c>
      <c r="B369" s="10">
        <v>42922</v>
      </c>
      <c r="C369" s="11">
        <v>0.50342592592592594</v>
      </c>
      <c r="D369" s="12">
        <v>0.51392361111111107</v>
      </c>
    </row>
    <row r="370" spans="1:4" x14ac:dyDescent="0.35">
      <c r="A370" s="5">
        <v>7507354</v>
      </c>
      <c r="B370" s="6">
        <v>42922</v>
      </c>
      <c r="C370" s="7">
        <v>0.50700231481481484</v>
      </c>
      <c r="D370" s="8">
        <v>0.51186342592592593</v>
      </c>
    </row>
    <row r="371" spans="1:4" x14ac:dyDescent="0.35">
      <c r="A371" s="9">
        <v>8605742</v>
      </c>
      <c r="B371" s="10">
        <v>42922</v>
      </c>
      <c r="C371" s="11">
        <v>0.5119097222222222</v>
      </c>
      <c r="D371" s="12">
        <v>0.52288194444444447</v>
      </c>
    </row>
    <row r="372" spans="1:4" x14ac:dyDescent="0.35">
      <c r="A372" s="5">
        <v>4681236</v>
      </c>
      <c r="B372" s="6">
        <v>42922</v>
      </c>
      <c r="C372" s="7">
        <v>0.51452546296296298</v>
      </c>
      <c r="D372" s="8">
        <v>0.51570601851851849</v>
      </c>
    </row>
    <row r="373" spans="1:4" x14ac:dyDescent="0.35">
      <c r="A373" s="9">
        <v>3590468</v>
      </c>
      <c r="B373" s="10">
        <v>42922</v>
      </c>
      <c r="C373" s="11">
        <v>0.51556712962962958</v>
      </c>
      <c r="D373" s="12">
        <v>0.52572916666666669</v>
      </c>
    </row>
    <row r="374" spans="1:4" x14ac:dyDescent="0.35">
      <c r="A374" s="5">
        <v>9878283</v>
      </c>
      <c r="B374" s="6">
        <v>42922</v>
      </c>
      <c r="C374" s="7">
        <v>0.51858796296296295</v>
      </c>
      <c r="D374" s="8">
        <v>0.52776620370370375</v>
      </c>
    </row>
    <row r="375" spans="1:4" x14ac:dyDescent="0.35">
      <c r="A375" s="9">
        <v>5991516</v>
      </c>
      <c r="B375" s="10">
        <v>42922</v>
      </c>
      <c r="C375" s="11">
        <v>0.52217592592592588</v>
      </c>
      <c r="D375" s="12">
        <v>0.53173611111111108</v>
      </c>
    </row>
    <row r="376" spans="1:4" x14ac:dyDescent="0.35">
      <c r="A376" s="5">
        <v>1240369</v>
      </c>
      <c r="B376" s="6">
        <v>42922</v>
      </c>
      <c r="C376" s="7">
        <v>0.52767361111111111</v>
      </c>
      <c r="D376" s="8">
        <v>0.52850694444444446</v>
      </c>
    </row>
    <row r="377" spans="1:4" x14ac:dyDescent="0.35">
      <c r="A377" s="9">
        <v>25133293</v>
      </c>
      <c r="B377" s="10">
        <v>42922</v>
      </c>
      <c r="C377" s="11">
        <v>0.528900462962963</v>
      </c>
      <c r="D377" s="12">
        <v>0.53740740740740744</v>
      </c>
    </row>
    <row r="378" spans="1:4" x14ac:dyDescent="0.35">
      <c r="A378" s="5">
        <v>5036422</v>
      </c>
      <c r="B378" s="6">
        <v>42922</v>
      </c>
      <c r="C378" s="7">
        <v>0.52986111111111112</v>
      </c>
      <c r="D378" s="8">
        <v>0.53047453703703706</v>
      </c>
    </row>
    <row r="379" spans="1:4" x14ac:dyDescent="0.35">
      <c r="A379" s="9">
        <v>4283724</v>
      </c>
      <c r="B379" s="10">
        <v>42922</v>
      </c>
      <c r="C379" s="11">
        <v>0.53134259259259264</v>
      </c>
      <c r="D379" s="12">
        <v>0.53738425925925926</v>
      </c>
    </row>
    <row r="380" spans="1:4" x14ac:dyDescent="0.35">
      <c r="A380" s="5">
        <v>5856822</v>
      </c>
      <c r="B380" s="6">
        <v>42922</v>
      </c>
      <c r="C380" s="7">
        <v>0.533599537037037</v>
      </c>
      <c r="D380" s="8">
        <v>0.53469907407407402</v>
      </c>
    </row>
    <row r="381" spans="1:4" x14ac:dyDescent="0.35">
      <c r="A381" s="9">
        <v>7880396</v>
      </c>
      <c r="B381" s="10">
        <v>42922</v>
      </c>
      <c r="C381" s="11">
        <v>0.53796296296296298</v>
      </c>
      <c r="D381" s="12">
        <v>0.54479166666666667</v>
      </c>
    </row>
    <row r="382" spans="1:4" x14ac:dyDescent="0.35">
      <c r="A382" s="5">
        <v>2201085</v>
      </c>
      <c r="B382" s="6">
        <v>42922</v>
      </c>
      <c r="C382" s="7">
        <v>0.54072916666666671</v>
      </c>
      <c r="D382" s="8">
        <v>0.544525462962963</v>
      </c>
    </row>
    <row r="383" spans="1:4" x14ac:dyDescent="0.35">
      <c r="A383" s="9">
        <v>30893038</v>
      </c>
      <c r="B383" s="10">
        <v>42922</v>
      </c>
      <c r="C383" s="11">
        <v>0.54082175925925924</v>
      </c>
      <c r="D383" s="12">
        <v>0.54995370370370367</v>
      </c>
    </row>
    <row r="384" spans="1:4" x14ac:dyDescent="0.35">
      <c r="A384" s="5">
        <v>9319894</v>
      </c>
      <c r="B384" s="6">
        <v>42922</v>
      </c>
      <c r="C384" s="7">
        <v>0.54207175925925921</v>
      </c>
      <c r="D384" s="8">
        <v>0.54953703703703705</v>
      </c>
    </row>
    <row r="385" spans="1:4" x14ac:dyDescent="0.35">
      <c r="A385" s="9">
        <v>3211876</v>
      </c>
      <c r="B385" s="10">
        <v>42922</v>
      </c>
      <c r="C385" s="11">
        <v>0.54693287037037042</v>
      </c>
      <c r="D385" s="12">
        <v>0.54781250000000004</v>
      </c>
    </row>
    <row r="386" spans="1:4" x14ac:dyDescent="0.35">
      <c r="A386" s="5">
        <v>4736016</v>
      </c>
      <c r="B386" s="6">
        <v>42922</v>
      </c>
      <c r="C386" s="7">
        <v>0.55115740740740737</v>
      </c>
      <c r="D386" s="8">
        <v>0.55248842592592595</v>
      </c>
    </row>
    <row r="387" spans="1:4" x14ac:dyDescent="0.35">
      <c r="A387" s="9">
        <v>8063487</v>
      </c>
      <c r="B387" s="10">
        <v>42922</v>
      </c>
      <c r="C387" s="11">
        <v>0.55269675925925921</v>
      </c>
      <c r="D387" s="12">
        <v>0.56017361111111108</v>
      </c>
    </row>
    <row r="388" spans="1:4" x14ac:dyDescent="0.35">
      <c r="A388" s="5">
        <v>1319121</v>
      </c>
      <c r="B388" s="6">
        <v>42922</v>
      </c>
      <c r="C388" s="7">
        <v>0.55652777777777773</v>
      </c>
      <c r="D388" s="8">
        <v>0.55682870370370374</v>
      </c>
    </row>
    <row r="389" spans="1:4" x14ac:dyDescent="0.35">
      <c r="A389" s="9">
        <v>5026277</v>
      </c>
      <c r="B389" s="10">
        <v>42922</v>
      </c>
      <c r="C389" s="11">
        <v>0.55969907407407404</v>
      </c>
      <c r="D389" s="12">
        <v>0.5655324074074074</v>
      </c>
    </row>
    <row r="390" spans="1:4" x14ac:dyDescent="0.35">
      <c r="A390" s="5">
        <v>8768896</v>
      </c>
      <c r="B390" s="6">
        <v>42922</v>
      </c>
      <c r="C390" s="7">
        <v>0.55982638888888892</v>
      </c>
      <c r="D390" s="8">
        <v>0.57039351851851849</v>
      </c>
    </row>
    <row r="391" spans="1:4" x14ac:dyDescent="0.35">
      <c r="A391" s="9">
        <v>48661666</v>
      </c>
      <c r="B391" s="10">
        <v>42922</v>
      </c>
      <c r="C391" s="11">
        <v>0.56123842592592588</v>
      </c>
      <c r="D391" s="12">
        <v>0.56376157407407412</v>
      </c>
    </row>
    <row r="392" spans="1:4" x14ac:dyDescent="0.35">
      <c r="A392" s="5">
        <v>9304830</v>
      </c>
      <c r="B392" s="6">
        <v>42922</v>
      </c>
      <c r="C392" s="7">
        <v>0.56671296296296292</v>
      </c>
      <c r="D392" s="8">
        <v>0.56832175925925921</v>
      </c>
    </row>
    <row r="393" spans="1:4" x14ac:dyDescent="0.35">
      <c r="A393" s="9">
        <v>3040267</v>
      </c>
      <c r="B393" s="10">
        <v>42922</v>
      </c>
      <c r="C393" s="11">
        <v>0.56738425925925928</v>
      </c>
      <c r="D393" s="12">
        <v>0.578587962962963</v>
      </c>
    </row>
    <row r="394" spans="1:4" x14ac:dyDescent="0.35">
      <c r="A394" s="5">
        <v>8405954</v>
      </c>
      <c r="B394" s="6">
        <v>42922</v>
      </c>
      <c r="C394" s="7">
        <v>0.57164351851851847</v>
      </c>
      <c r="D394" s="8">
        <v>0.57528935185185182</v>
      </c>
    </row>
    <row r="395" spans="1:4" x14ac:dyDescent="0.35">
      <c r="A395" s="9">
        <v>75873682</v>
      </c>
      <c r="B395" s="10">
        <v>42922</v>
      </c>
      <c r="C395" s="11">
        <v>0.57399305555555558</v>
      </c>
      <c r="D395" s="12">
        <v>0.58403935185185185</v>
      </c>
    </row>
    <row r="396" spans="1:4" x14ac:dyDescent="0.35">
      <c r="A396" s="5">
        <v>5984039</v>
      </c>
      <c r="B396" s="6">
        <v>42922</v>
      </c>
      <c r="C396" s="7">
        <v>0.57586805555555554</v>
      </c>
      <c r="D396" s="8">
        <v>0.57981481481481478</v>
      </c>
    </row>
    <row r="397" spans="1:4" x14ac:dyDescent="0.35">
      <c r="A397" s="9">
        <v>9807682</v>
      </c>
      <c r="B397" s="10">
        <v>42922</v>
      </c>
      <c r="C397" s="11">
        <v>0.57592592592592595</v>
      </c>
      <c r="D397" s="12">
        <v>0.57924768518518521</v>
      </c>
    </row>
    <row r="398" spans="1:4" x14ac:dyDescent="0.35">
      <c r="A398" s="5">
        <v>3029994</v>
      </c>
      <c r="B398" s="6">
        <v>42922</v>
      </c>
      <c r="C398" s="7">
        <v>0.57737268518518514</v>
      </c>
      <c r="D398" s="8">
        <v>0.58391203703703709</v>
      </c>
    </row>
    <row r="399" spans="1:4" x14ac:dyDescent="0.35">
      <c r="A399" s="9">
        <v>9415767851</v>
      </c>
      <c r="B399" s="10">
        <v>42922</v>
      </c>
      <c r="C399" s="11">
        <v>0.5827430555555555</v>
      </c>
      <c r="D399" s="12">
        <v>0.58309027777777778</v>
      </c>
    </row>
    <row r="400" spans="1:4" x14ac:dyDescent="0.35">
      <c r="A400" s="5">
        <v>2388040</v>
      </c>
      <c r="B400" s="6">
        <v>42922</v>
      </c>
      <c r="C400" s="7">
        <v>0.58496527777777774</v>
      </c>
      <c r="D400" s="8">
        <v>0.59334490740740742</v>
      </c>
    </row>
    <row r="401" spans="1:4" x14ac:dyDescent="0.35">
      <c r="A401" s="9">
        <v>41974998</v>
      </c>
      <c r="B401" s="10">
        <v>42922</v>
      </c>
      <c r="C401" s="11">
        <v>0.58890046296296295</v>
      </c>
      <c r="D401" s="12">
        <v>0.59614583333333337</v>
      </c>
    </row>
    <row r="402" spans="1:4" x14ac:dyDescent="0.35">
      <c r="A402" s="5">
        <v>8400710</v>
      </c>
      <c r="B402" s="6">
        <v>42922</v>
      </c>
      <c r="C402" s="7">
        <v>0.59182870370370366</v>
      </c>
      <c r="D402" s="8">
        <v>0.59376157407407404</v>
      </c>
    </row>
    <row r="403" spans="1:4" x14ac:dyDescent="0.35">
      <c r="A403" s="9">
        <v>1088377750</v>
      </c>
      <c r="B403" s="10">
        <v>42922</v>
      </c>
      <c r="C403" s="11">
        <v>0.59666666666666668</v>
      </c>
      <c r="D403" s="12">
        <v>0.5975462962962963</v>
      </c>
    </row>
    <row r="404" spans="1:4" x14ac:dyDescent="0.35">
      <c r="A404" s="5">
        <v>62016185</v>
      </c>
      <c r="B404" s="6">
        <v>42922</v>
      </c>
      <c r="C404" s="7">
        <v>0.60146990740740736</v>
      </c>
      <c r="D404" s="8">
        <v>0.60932870370370373</v>
      </c>
    </row>
    <row r="405" spans="1:4" x14ac:dyDescent="0.35">
      <c r="A405" s="9">
        <v>4002406</v>
      </c>
      <c r="B405" s="10">
        <v>42922</v>
      </c>
      <c r="C405" s="11">
        <v>0.60247685185185185</v>
      </c>
      <c r="D405" s="12">
        <v>0.60782407407407413</v>
      </c>
    </row>
    <row r="406" spans="1:4" x14ac:dyDescent="0.35">
      <c r="A406" s="5">
        <v>2394144</v>
      </c>
      <c r="B406" s="6">
        <v>42922</v>
      </c>
      <c r="C406" s="7">
        <v>0.60774305555555552</v>
      </c>
      <c r="D406" s="8">
        <v>0.61297453703703708</v>
      </c>
    </row>
    <row r="407" spans="1:4" x14ac:dyDescent="0.35">
      <c r="A407" s="9">
        <v>9763924</v>
      </c>
      <c r="B407" s="10">
        <v>42922</v>
      </c>
      <c r="C407" s="11">
        <v>0.611724537037037</v>
      </c>
      <c r="D407" s="12">
        <v>0.62217592592592597</v>
      </c>
    </row>
    <row r="408" spans="1:4" x14ac:dyDescent="0.35">
      <c r="A408" s="5">
        <v>7977726</v>
      </c>
      <c r="B408" s="6">
        <v>42922</v>
      </c>
      <c r="C408" s="7">
        <v>0.6139930555555555</v>
      </c>
      <c r="D408" s="8">
        <v>0.62364583333333334</v>
      </c>
    </row>
    <row r="409" spans="1:4" x14ac:dyDescent="0.35">
      <c r="A409" s="9">
        <v>7219884</v>
      </c>
      <c r="B409" s="10">
        <v>42922</v>
      </c>
      <c r="C409" s="11">
        <v>0.61871527777777779</v>
      </c>
      <c r="D409" s="12">
        <v>0.62458333333333338</v>
      </c>
    </row>
    <row r="410" spans="1:4" x14ac:dyDescent="0.35">
      <c r="A410" s="5">
        <v>8211396842</v>
      </c>
      <c r="B410" s="6">
        <v>42922</v>
      </c>
      <c r="C410" s="7">
        <v>0.6237731481481481</v>
      </c>
      <c r="D410" s="8">
        <v>0.63299768518518518</v>
      </c>
    </row>
    <row r="411" spans="1:4" x14ac:dyDescent="0.35">
      <c r="A411" s="9">
        <v>4860618</v>
      </c>
      <c r="B411" s="10">
        <v>42922</v>
      </c>
      <c r="C411" s="11">
        <v>0.62396990740740743</v>
      </c>
      <c r="D411" s="12">
        <v>0.62693287037037038</v>
      </c>
    </row>
    <row r="412" spans="1:4" x14ac:dyDescent="0.35">
      <c r="A412" s="5">
        <v>6772052</v>
      </c>
      <c r="B412" s="6">
        <v>42922</v>
      </c>
      <c r="C412" s="7">
        <v>0.62491898148148151</v>
      </c>
      <c r="D412" s="8">
        <v>0.63265046296296301</v>
      </c>
    </row>
    <row r="413" spans="1:4" x14ac:dyDescent="0.35">
      <c r="A413" s="9">
        <v>6290575</v>
      </c>
      <c r="B413" s="10">
        <v>42922</v>
      </c>
      <c r="C413" s="11">
        <v>0.62614583333333329</v>
      </c>
      <c r="D413" s="12">
        <v>0.6318287037037037</v>
      </c>
    </row>
    <row r="414" spans="1:4" x14ac:dyDescent="0.35">
      <c r="A414" s="5">
        <v>13972929</v>
      </c>
      <c r="B414" s="6">
        <v>42923</v>
      </c>
      <c r="C414" s="7">
        <v>0.33677083333333335</v>
      </c>
      <c r="D414" s="8">
        <v>0.34700231481481481</v>
      </c>
    </row>
    <row r="415" spans="1:4" x14ac:dyDescent="0.35">
      <c r="A415" s="9">
        <v>7663988</v>
      </c>
      <c r="B415" s="10">
        <v>42923</v>
      </c>
      <c r="C415" s="11">
        <v>0.34092592592592591</v>
      </c>
      <c r="D415" s="12">
        <v>0.3448148148148148</v>
      </c>
    </row>
    <row r="416" spans="1:4" x14ac:dyDescent="0.35">
      <c r="A416" s="5">
        <v>90532439</v>
      </c>
      <c r="B416" s="6">
        <v>42923</v>
      </c>
      <c r="C416" s="7">
        <v>0.34288194444444442</v>
      </c>
      <c r="D416" s="8">
        <v>0.34506944444444443</v>
      </c>
    </row>
    <row r="417" spans="1:4" x14ac:dyDescent="0.35">
      <c r="A417" s="9">
        <v>5505912</v>
      </c>
      <c r="B417" s="10">
        <v>42923</v>
      </c>
      <c r="C417" s="11">
        <v>0.34465277777777775</v>
      </c>
      <c r="D417" s="12">
        <v>0.34819444444444442</v>
      </c>
    </row>
    <row r="418" spans="1:4" x14ac:dyDescent="0.35">
      <c r="A418" s="5">
        <v>5505912</v>
      </c>
      <c r="B418" s="6">
        <v>42923</v>
      </c>
      <c r="C418" s="7">
        <v>0.34848379629629628</v>
      </c>
      <c r="D418" s="8">
        <v>0.35015046296296298</v>
      </c>
    </row>
    <row r="419" spans="1:4" x14ac:dyDescent="0.35">
      <c r="A419" s="9">
        <v>70678482</v>
      </c>
      <c r="B419" s="10">
        <v>42923</v>
      </c>
      <c r="C419" s="11">
        <v>0.35130787037037037</v>
      </c>
      <c r="D419" s="12">
        <v>0.35899305555555555</v>
      </c>
    </row>
    <row r="420" spans="1:4" x14ac:dyDescent="0.35">
      <c r="A420" s="5">
        <v>6578914</v>
      </c>
      <c r="B420" s="6">
        <v>42923</v>
      </c>
      <c r="C420" s="7">
        <v>0.35699074074074072</v>
      </c>
      <c r="D420" s="8">
        <v>0.36546296296296299</v>
      </c>
    </row>
    <row r="421" spans="1:4" x14ac:dyDescent="0.35">
      <c r="A421" s="9">
        <v>3444629</v>
      </c>
      <c r="B421" s="10">
        <v>42923</v>
      </c>
      <c r="C421" s="11">
        <v>0.36015046296296294</v>
      </c>
      <c r="D421" s="12">
        <v>0.36656250000000001</v>
      </c>
    </row>
    <row r="422" spans="1:4" x14ac:dyDescent="0.35">
      <c r="A422" s="5">
        <v>95211263</v>
      </c>
      <c r="B422" s="6">
        <v>42923</v>
      </c>
      <c r="C422" s="7">
        <v>0.36069444444444443</v>
      </c>
      <c r="D422" s="8">
        <v>0.36572916666666666</v>
      </c>
    </row>
    <row r="423" spans="1:4" x14ac:dyDescent="0.35">
      <c r="A423" s="9">
        <v>9468070</v>
      </c>
      <c r="B423" s="10">
        <v>42923</v>
      </c>
      <c r="C423" s="11">
        <v>0.36225694444444445</v>
      </c>
      <c r="D423" s="12">
        <v>0.36364583333333333</v>
      </c>
    </row>
    <row r="424" spans="1:4" x14ac:dyDescent="0.35">
      <c r="A424" s="5">
        <v>31516318</v>
      </c>
      <c r="B424" s="6">
        <v>42923</v>
      </c>
      <c r="C424" s="7">
        <v>0.36267361111111113</v>
      </c>
      <c r="D424" s="8">
        <v>0.36622685185185183</v>
      </c>
    </row>
    <row r="425" spans="1:4" x14ac:dyDescent="0.35">
      <c r="A425" s="9">
        <v>9865716</v>
      </c>
      <c r="B425" s="10">
        <v>42923</v>
      </c>
      <c r="C425" s="11">
        <v>0.36584490740740738</v>
      </c>
      <c r="D425" s="12">
        <v>0.37709490740740742</v>
      </c>
    </row>
    <row r="426" spans="1:4" x14ac:dyDescent="0.35">
      <c r="A426" s="5">
        <v>8163790</v>
      </c>
      <c r="B426" s="6">
        <v>42923</v>
      </c>
      <c r="C426" s="7">
        <v>0.36885416666666665</v>
      </c>
      <c r="D426" s="8">
        <v>0.36932870370370369</v>
      </c>
    </row>
    <row r="427" spans="1:4" x14ac:dyDescent="0.35">
      <c r="A427" s="9">
        <v>18070008</v>
      </c>
      <c r="B427" s="10">
        <v>42923</v>
      </c>
      <c r="C427" s="11">
        <v>0.36996527777777777</v>
      </c>
      <c r="D427" s="12">
        <v>0.37149305555555556</v>
      </c>
    </row>
    <row r="428" spans="1:4" x14ac:dyDescent="0.35">
      <c r="A428" s="5">
        <v>1119740</v>
      </c>
      <c r="B428" s="6">
        <v>42923</v>
      </c>
      <c r="C428" s="7">
        <v>0.37112268518518521</v>
      </c>
      <c r="D428" s="8">
        <v>0.37534722222222222</v>
      </c>
    </row>
    <row r="429" spans="1:4" x14ac:dyDescent="0.35">
      <c r="A429" s="9">
        <v>94634526</v>
      </c>
      <c r="B429" s="10">
        <v>42923</v>
      </c>
      <c r="C429" s="11">
        <v>0.3721990740740741</v>
      </c>
      <c r="D429" s="12">
        <v>0.37956018518518519</v>
      </c>
    </row>
    <row r="430" spans="1:4" x14ac:dyDescent="0.35">
      <c r="A430" s="5">
        <v>67964973</v>
      </c>
      <c r="B430" s="6">
        <v>42923</v>
      </c>
      <c r="C430" s="7">
        <v>0.37445601851851851</v>
      </c>
      <c r="D430" s="8">
        <v>0.38145833333333334</v>
      </c>
    </row>
    <row r="431" spans="1:4" x14ac:dyDescent="0.35">
      <c r="A431" s="9">
        <v>3505978</v>
      </c>
      <c r="B431" s="10">
        <v>42923</v>
      </c>
      <c r="C431" s="11">
        <v>0.3767476851851852</v>
      </c>
      <c r="D431" s="12">
        <v>0.38192129629629629</v>
      </c>
    </row>
    <row r="432" spans="1:4" x14ac:dyDescent="0.35">
      <c r="A432" s="5">
        <v>8685299481</v>
      </c>
      <c r="B432" s="6">
        <v>42923</v>
      </c>
      <c r="C432" s="7">
        <v>0.3778009259259259</v>
      </c>
      <c r="D432" s="8">
        <v>0.37927083333333333</v>
      </c>
    </row>
    <row r="433" spans="1:4" x14ac:dyDescent="0.35">
      <c r="A433" s="9">
        <v>8863988</v>
      </c>
      <c r="B433" s="10">
        <v>42923</v>
      </c>
      <c r="C433" s="11">
        <v>0.37998842592592591</v>
      </c>
      <c r="D433" s="12">
        <v>0.38434027777777779</v>
      </c>
    </row>
    <row r="434" spans="1:4" x14ac:dyDescent="0.35">
      <c r="A434" s="5">
        <v>29121099</v>
      </c>
      <c r="B434" s="6">
        <v>42923</v>
      </c>
      <c r="C434" s="7">
        <v>0.3835763888888889</v>
      </c>
      <c r="D434" s="8">
        <v>0.38965277777777779</v>
      </c>
    </row>
    <row r="435" spans="1:4" x14ac:dyDescent="0.35">
      <c r="A435" s="9">
        <v>2814524</v>
      </c>
      <c r="B435" s="10">
        <v>42923</v>
      </c>
      <c r="C435" s="11">
        <v>0.38922453703703702</v>
      </c>
      <c r="D435" s="12">
        <v>0.39096064814814813</v>
      </c>
    </row>
    <row r="436" spans="1:4" x14ac:dyDescent="0.35">
      <c r="A436" s="5">
        <v>5341697748</v>
      </c>
      <c r="B436" s="6">
        <v>42923</v>
      </c>
      <c r="C436" s="7">
        <v>0.39091435185185186</v>
      </c>
      <c r="D436" s="8">
        <v>0.39620370370370372</v>
      </c>
    </row>
    <row r="437" spans="1:4" x14ac:dyDescent="0.35">
      <c r="A437" s="9">
        <v>4102482</v>
      </c>
      <c r="B437" s="10">
        <v>42923</v>
      </c>
      <c r="C437" s="11">
        <v>0.39196759259259262</v>
      </c>
      <c r="D437" s="12">
        <v>0.39486111111111111</v>
      </c>
    </row>
    <row r="438" spans="1:4" x14ac:dyDescent="0.35">
      <c r="A438" s="5">
        <v>5636281</v>
      </c>
      <c r="B438" s="6">
        <v>42923</v>
      </c>
      <c r="C438" s="7">
        <v>0.39731481481481479</v>
      </c>
      <c r="D438" s="8">
        <v>0.40688657407407408</v>
      </c>
    </row>
    <row r="439" spans="1:4" x14ac:dyDescent="0.35">
      <c r="A439" s="9">
        <v>7715424</v>
      </c>
      <c r="B439" s="10">
        <v>42923</v>
      </c>
      <c r="C439" s="11">
        <v>0.40283564814814815</v>
      </c>
      <c r="D439" s="12">
        <v>0.41091435185185188</v>
      </c>
    </row>
    <row r="440" spans="1:4" x14ac:dyDescent="0.35">
      <c r="A440" s="5">
        <v>3811342</v>
      </c>
      <c r="B440" s="6">
        <v>42923</v>
      </c>
      <c r="C440" s="7">
        <v>0.4039814814814815</v>
      </c>
      <c r="D440" s="8">
        <v>0.41211805555555553</v>
      </c>
    </row>
    <row r="441" spans="1:4" x14ac:dyDescent="0.35">
      <c r="A441" s="9">
        <v>8177683</v>
      </c>
      <c r="B441" s="10">
        <v>42923</v>
      </c>
      <c r="C441" s="11">
        <v>0.40534722222222225</v>
      </c>
      <c r="D441" s="12">
        <v>0.40887731481481482</v>
      </c>
    </row>
    <row r="442" spans="1:4" x14ac:dyDescent="0.35">
      <c r="A442" s="5">
        <v>51367705</v>
      </c>
      <c r="B442" s="6">
        <v>42923</v>
      </c>
      <c r="C442" s="7">
        <v>0.41025462962962961</v>
      </c>
      <c r="D442" s="8">
        <v>0.41064814814814815</v>
      </c>
    </row>
    <row r="443" spans="1:4" x14ac:dyDescent="0.35">
      <c r="A443" s="9">
        <v>7646265</v>
      </c>
      <c r="B443" s="10">
        <v>42923</v>
      </c>
      <c r="C443" s="11">
        <v>0.4103472222222222</v>
      </c>
      <c r="D443" s="12">
        <v>0.41578703703703701</v>
      </c>
    </row>
    <row r="444" spans="1:4" x14ac:dyDescent="0.35">
      <c r="A444" s="5">
        <v>37906881</v>
      </c>
      <c r="B444" s="6">
        <v>42923</v>
      </c>
      <c r="C444" s="7">
        <v>0.41248842592592594</v>
      </c>
      <c r="D444" s="8">
        <v>0.41328703703703706</v>
      </c>
    </row>
    <row r="445" spans="1:4" x14ac:dyDescent="0.35">
      <c r="A445" s="9">
        <v>9740908</v>
      </c>
      <c r="B445" s="10">
        <v>42923</v>
      </c>
      <c r="C445" s="11">
        <v>0.41260416666666666</v>
      </c>
      <c r="D445" s="12">
        <v>0.41520833333333335</v>
      </c>
    </row>
    <row r="446" spans="1:4" x14ac:dyDescent="0.35">
      <c r="A446" s="5">
        <v>45948073</v>
      </c>
      <c r="B446" s="6">
        <v>42923</v>
      </c>
      <c r="C446" s="7">
        <v>0.41680555555555554</v>
      </c>
      <c r="D446" s="8">
        <v>0.4243865740740741</v>
      </c>
    </row>
    <row r="447" spans="1:4" x14ac:dyDescent="0.35">
      <c r="A447" s="9">
        <v>8070345</v>
      </c>
      <c r="B447" s="10">
        <v>42923</v>
      </c>
      <c r="C447" s="11">
        <v>0.41829861111111111</v>
      </c>
      <c r="D447" s="12">
        <v>0.42706018518518518</v>
      </c>
    </row>
    <row r="448" spans="1:4" x14ac:dyDescent="0.35">
      <c r="A448" s="5">
        <v>52214055</v>
      </c>
      <c r="B448" s="6">
        <v>42923</v>
      </c>
      <c r="C448" s="7">
        <v>0.4199074074074074</v>
      </c>
      <c r="D448" s="8">
        <v>0.42357638888888888</v>
      </c>
    </row>
    <row r="449" spans="1:4" x14ac:dyDescent="0.35">
      <c r="A449" s="9">
        <v>8434044</v>
      </c>
      <c r="B449" s="10">
        <v>42923</v>
      </c>
      <c r="C449" s="11">
        <v>0.42149305555555555</v>
      </c>
      <c r="D449" s="12">
        <v>0.42736111111111114</v>
      </c>
    </row>
    <row r="450" spans="1:4" x14ac:dyDescent="0.35">
      <c r="A450" s="5">
        <v>4702334</v>
      </c>
      <c r="B450" s="6">
        <v>42923</v>
      </c>
      <c r="C450" s="7">
        <v>0.4255902777777778</v>
      </c>
      <c r="D450" s="8">
        <v>0.43464120370370368</v>
      </c>
    </row>
    <row r="451" spans="1:4" x14ac:dyDescent="0.35">
      <c r="A451" s="9">
        <v>1308483040</v>
      </c>
      <c r="B451" s="10">
        <v>42923</v>
      </c>
      <c r="C451" s="11">
        <v>0.43016203703703704</v>
      </c>
      <c r="D451" s="12">
        <v>0.44123842592592594</v>
      </c>
    </row>
    <row r="452" spans="1:4" x14ac:dyDescent="0.35">
      <c r="A452" s="5">
        <v>34556399</v>
      </c>
      <c r="B452" s="6">
        <v>42923</v>
      </c>
      <c r="C452" s="7">
        <v>0.43146990740740743</v>
      </c>
      <c r="D452" s="8">
        <v>0.43192129629629628</v>
      </c>
    </row>
    <row r="453" spans="1:4" x14ac:dyDescent="0.35">
      <c r="A453" s="9">
        <v>48676568</v>
      </c>
      <c r="B453" s="10">
        <v>42923</v>
      </c>
      <c r="C453" s="11">
        <v>0.43313657407407408</v>
      </c>
      <c r="D453" s="12">
        <v>0.43811342592592595</v>
      </c>
    </row>
    <row r="454" spans="1:4" x14ac:dyDescent="0.35">
      <c r="A454" s="5">
        <v>1887758</v>
      </c>
      <c r="B454" s="6">
        <v>42923</v>
      </c>
      <c r="C454" s="7">
        <v>0.43752314814814813</v>
      </c>
      <c r="D454" s="8">
        <v>0.44806712962962963</v>
      </c>
    </row>
    <row r="455" spans="1:4" x14ac:dyDescent="0.35">
      <c r="A455" s="9">
        <v>3505978</v>
      </c>
      <c r="B455" s="10">
        <v>42923</v>
      </c>
      <c r="C455" s="11">
        <v>0.44184027777777779</v>
      </c>
      <c r="D455" s="12">
        <v>0.44582175925925926</v>
      </c>
    </row>
    <row r="456" spans="1:4" x14ac:dyDescent="0.35">
      <c r="A456" s="5">
        <v>4405604</v>
      </c>
      <c r="B456" s="6">
        <v>42923</v>
      </c>
      <c r="C456" s="7">
        <v>0.44543981481481482</v>
      </c>
      <c r="D456" s="8">
        <v>0.45271990740740742</v>
      </c>
    </row>
    <row r="457" spans="1:4" x14ac:dyDescent="0.35">
      <c r="A457" s="9">
        <v>2327418</v>
      </c>
      <c r="B457" s="10">
        <v>42923</v>
      </c>
      <c r="C457" s="11">
        <v>0.44775462962962964</v>
      </c>
      <c r="D457" s="12">
        <v>0.45450231481481479</v>
      </c>
    </row>
    <row r="458" spans="1:4" x14ac:dyDescent="0.35">
      <c r="A458" s="5">
        <v>5205087</v>
      </c>
      <c r="B458" s="6">
        <v>42923</v>
      </c>
      <c r="C458" s="7">
        <v>0.44927083333333334</v>
      </c>
      <c r="D458" s="8">
        <v>0.45666666666666667</v>
      </c>
    </row>
    <row r="459" spans="1:4" x14ac:dyDescent="0.35">
      <c r="A459" s="9">
        <v>1936989939</v>
      </c>
      <c r="B459" s="10">
        <v>42923</v>
      </c>
      <c r="C459" s="11">
        <v>0.45091435185185186</v>
      </c>
      <c r="D459" s="12">
        <v>0.4586574074074074</v>
      </c>
    </row>
    <row r="460" spans="1:4" x14ac:dyDescent="0.35">
      <c r="A460" s="5">
        <v>2722706</v>
      </c>
      <c r="B460" s="6">
        <v>42923</v>
      </c>
      <c r="C460" s="7">
        <v>0.45416666666666666</v>
      </c>
      <c r="D460" s="8">
        <v>0.46155092592592595</v>
      </c>
    </row>
    <row r="461" spans="1:4" x14ac:dyDescent="0.35">
      <c r="A461" s="9">
        <v>3018218</v>
      </c>
      <c r="B461" s="10">
        <v>42923</v>
      </c>
      <c r="C461" s="11">
        <v>0.45950231481481479</v>
      </c>
      <c r="D461" s="12">
        <v>0.46091435185185187</v>
      </c>
    </row>
    <row r="462" spans="1:4" x14ac:dyDescent="0.35">
      <c r="A462" s="5">
        <v>3765658</v>
      </c>
      <c r="B462" s="6">
        <v>42923</v>
      </c>
      <c r="C462" s="7">
        <v>0.45981481481481479</v>
      </c>
      <c r="D462" s="8">
        <v>0.46148148148148149</v>
      </c>
    </row>
    <row r="463" spans="1:4" x14ac:dyDescent="0.35">
      <c r="A463" s="9">
        <v>43109897</v>
      </c>
      <c r="B463" s="10">
        <v>42923</v>
      </c>
      <c r="C463" s="11">
        <v>0.46357638888888891</v>
      </c>
      <c r="D463" s="12">
        <v>0.46807870370370369</v>
      </c>
    </row>
    <row r="464" spans="1:4" x14ac:dyDescent="0.35">
      <c r="A464" s="5">
        <v>3178616</v>
      </c>
      <c r="B464" s="6">
        <v>42923</v>
      </c>
      <c r="C464" s="7">
        <v>0.46891203703703704</v>
      </c>
      <c r="D464" s="8">
        <v>0.47209490740740739</v>
      </c>
    </row>
    <row r="465" spans="1:4" x14ac:dyDescent="0.35">
      <c r="A465" s="9">
        <v>71207090</v>
      </c>
      <c r="B465" s="10">
        <v>42923</v>
      </c>
      <c r="C465" s="11">
        <v>0.47127314814814814</v>
      </c>
      <c r="D465" s="12">
        <v>0.47475694444444444</v>
      </c>
    </row>
    <row r="466" spans="1:4" x14ac:dyDescent="0.35">
      <c r="A466" s="5">
        <v>3465997</v>
      </c>
      <c r="B466" s="6">
        <v>42923</v>
      </c>
      <c r="C466" s="7">
        <v>0.47285879629629629</v>
      </c>
      <c r="D466" s="8">
        <v>0.47479166666666667</v>
      </c>
    </row>
    <row r="467" spans="1:4" x14ac:dyDescent="0.35">
      <c r="A467" s="9">
        <v>17490780</v>
      </c>
      <c r="B467" s="10">
        <v>42923</v>
      </c>
      <c r="C467" s="11">
        <v>0.47409722222222223</v>
      </c>
      <c r="D467" s="12">
        <v>0.48534722222222221</v>
      </c>
    </row>
    <row r="468" spans="1:4" x14ac:dyDescent="0.35">
      <c r="A468" s="5">
        <v>9805082</v>
      </c>
      <c r="B468" s="6">
        <v>42923</v>
      </c>
      <c r="C468" s="7">
        <v>0.47561342592592593</v>
      </c>
      <c r="D468" s="8">
        <v>0.47950231481481481</v>
      </c>
    </row>
    <row r="469" spans="1:4" x14ac:dyDescent="0.35">
      <c r="A469" s="9">
        <v>6333547</v>
      </c>
      <c r="B469" s="10">
        <v>42923</v>
      </c>
      <c r="C469" s="11">
        <v>0.4788425925925926</v>
      </c>
      <c r="D469" s="12">
        <v>0.48685185185185187</v>
      </c>
    </row>
    <row r="470" spans="1:4" x14ac:dyDescent="0.35">
      <c r="A470" s="5">
        <v>8424969</v>
      </c>
      <c r="B470" s="6">
        <v>42923</v>
      </c>
      <c r="C470" s="7">
        <v>0.48380787037037037</v>
      </c>
      <c r="D470" s="8">
        <v>0.49267361111111113</v>
      </c>
    </row>
    <row r="471" spans="1:4" x14ac:dyDescent="0.35">
      <c r="A471" s="9">
        <v>41210751</v>
      </c>
      <c r="B471" s="10">
        <v>42923</v>
      </c>
      <c r="C471" s="11">
        <v>0.48699074074074072</v>
      </c>
      <c r="D471" s="12">
        <v>0.48884259259259261</v>
      </c>
    </row>
    <row r="472" spans="1:4" x14ac:dyDescent="0.35">
      <c r="A472" s="5">
        <v>9321082</v>
      </c>
      <c r="B472" s="6">
        <v>42923</v>
      </c>
      <c r="C472" s="7">
        <v>0.49206018518518518</v>
      </c>
      <c r="D472" s="8">
        <v>0.50086805555555558</v>
      </c>
    </row>
    <row r="473" spans="1:4" x14ac:dyDescent="0.35">
      <c r="A473" s="9">
        <v>80907155</v>
      </c>
      <c r="B473" s="10">
        <v>42923</v>
      </c>
      <c r="C473" s="11">
        <v>0.49668981481481483</v>
      </c>
      <c r="D473" s="12">
        <v>0.50266203703703705</v>
      </c>
    </row>
    <row r="474" spans="1:4" x14ac:dyDescent="0.35">
      <c r="A474" s="5">
        <v>16303399</v>
      </c>
      <c r="B474" s="6">
        <v>42923</v>
      </c>
      <c r="C474" s="7">
        <v>0.50232638888888892</v>
      </c>
      <c r="D474" s="8">
        <v>0.50351851851851848</v>
      </c>
    </row>
    <row r="475" spans="1:4" x14ac:dyDescent="0.35">
      <c r="A475" s="9">
        <v>7841442</v>
      </c>
      <c r="B475" s="10">
        <v>42923</v>
      </c>
      <c r="C475" s="11">
        <v>0.50498842592592597</v>
      </c>
      <c r="D475" s="12">
        <v>0.50807870370370367</v>
      </c>
    </row>
    <row r="476" spans="1:4" x14ac:dyDescent="0.35">
      <c r="A476" s="5">
        <v>5512237</v>
      </c>
      <c r="B476" s="6">
        <v>42923</v>
      </c>
      <c r="C476" s="7">
        <v>0.50883101851851853</v>
      </c>
      <c r="D476" s="8">
        <v>0.50998842592592597</v>
      </c>
    </row>
    <row r="477" spans="1:4" x14ac:dyDescent="0.35">
      <c r="A477" s="9">
        <v>2557668</v>
      </c>
      <c r="B477" s="10">
        <v>42923</v>
      </c>
      <c r="C477" s="11">
        <v>0.51253472222222218</v>
      </c>
      <c r="D477" s="12">
        <v>0.51974537037037039</v>
      </c>
    </row>
    <row r="478" spans="1:4" x14ac:dyDescent="0.35">
      <c r="A478" s="5">
        <v>4469748</v>
      </c>
      <c r="B478" s="6">
        <v>42923</v>
      </c>
      <c r="C478" s="7">
        <v>0.51744212962962965</v>
      </c>
      <c r="D478" s="8">
        <v>0.52157407407407408</v>
      </c>
    </row>
    <row r="479" spans="1:4" x14ac:dyDescent="0.35">
      <c r="A479" s="9">
        <v>7773546</v>
      </c>
      <c r="B479" s="10">
        <v>42923</v>
      </c>
      <c r="C479" s="11">
        <v>0.51883101851851854</v>
      </c>
      <c r="D479" s="12">
        <v>0.52545138888888887</v>
      </c>
    </row>
    <row r="480" spans="1:4" x14ac:dyDescent="0.35">
      <c r="A480" s="5">
        <v>9521805</v>
      </c>
      <c r="B480" s="6">
        <v>42923</v>
      </c>
      <c r="C480" s="7">
        <v>0.52357638888888891</v>
      </c>
      <c r="D480" s="8">
        <v>0.53096064814814814</v>
      </c>
    </row>
    <row r="481" spans="1:4" x14ac:dyDescent="0.35">
      <c r="A481" s="9">
        <v>1640140</v>
      </c>
      <c r="B481" s="10">
        <v>42923</v>
      </c>
      <c r="C481" s="11">
        <v>0.52484953703703707</v>
      </c>
      <c r="D481" s="12">
        <v>0.53331018518518514</v>
      </c>
    </row>
    <row r="482" spans="1:4" x14ac:dyDescent="0.35">
      <c r="A482" s="5">
        <v>5415372</v>
      </c>
      <c r="B482" s="6">
        <v>42923</v>
      </c>
      <c r="C482" s="7">
        <v>0.52690972222222221</v>
      </c>
      <c r="D482" s="8">
        <v>0.53266203703703707</v>
      </c>
    </row>
    <row r="483" spans="1:4" x14ac:dyDescent="0.35">
      <c r="A483" s="9">
        <v>23504109</v>
      </c>
      <c r="B483" s="10">
        <v>42923</v>
      </c>
      <c r="C483" s="11">
        <v>0.52921296296296294</v>
      </c>
      <c r="D483" s="12">
        <v>0.53706018518518517</v>
      </c>
    </row>
    <row r="484" spans="1:4" x14ac:dyDescent="0.35">
      <c r="A484" s="5">
        <v>7914439</v>
      </c>
      <c r="B484" s="6">
        <v>42923</v>
      </c>
      <c r="C484" s="7">
        <v>0.52964120370370371</v>
      </c>
      <c r="D484" s="8">
        <v>0.53607638888888887</v>
      </c>
    </row>
    <row r="485" spans="1:4" x14ac:dyDescent="0.35">
      <c r="A485" s="9">
        <v>3900921</v>
      </c>
      <c r="B485" s="10">
        <v>42923</v>
      </c>
      <c r="C485" s="11">
        <v>0.52968749999999998</v>
      </c>
      <c r="D485" s="12">
        <v>0.53865740740740742</v>
      </c>
    </row>
    <row r="486" spans="1:4" x14ac:dyDescent="0.35">
      <c r="A486" s="5">
        <v>1081610</v>
      </c>
      <c r="B486" s="6">
        <v>42923</v>
      </c>
      <c r="C486" s="7">
        <v>0.53372685185185187</v>
      </c>
      <c r="D486" s="8">
        <v>0.54082175925925924</v>
      </c>
    </row>
    <row r="487" spans="1:4" x14ac:dyDescent="0.35">
      <c r="A487" s="9">
        <v>9176754</v>
      </c>
      <c r="B487" s="10">
        <v>42923</v>
      </c>
      <c r="C487" s="11">
        <v>0.5345833333333333</v>
      </c>
      <c r="D487" s="12">
        <v>0.54532407407407413</v>
      </c>
    </row>
    <row r="488" spans="1:4" x14ac:dyDescent="0.35">
      <c r="A488" s="5">
        <v>1814327</v>
      </c>
      <c r="B488" s="6">
        <v>42923</v>
      </c>
      <c r="C488" s="7">
        <v>0.5385416666666667</v>
      </c>
      <c r="D488" s="8">
        <v>0.53870370370370368</v>
      </c>
    </row>
    <row r="489" spans="1:4" x14ac:dyDescent="0.35">
      <c r="A489" s="9">
        <v>87702896</v>
      </c>
      <c r="B489" s="10">
        <v>42923</v>
      </c>
      <c r="C489" s="11">
        <v>0.54137731481481477</v>
      </c>
      <c r="D489" s="12">
        <v>0.55253472222222222</v>
      </c>
    </row>
    <row r="490" spans="1:4" x14ac:dyDescent="0.35">
      <c r="A490" s="5">
        <v>4131448</v>
      </c>
      <c r="B490" s="6">
        <v>42923</v>
      </c>
      <c r="C490" s="7">
        <v>0.54305555555555551</v>
      </c>
      <c r="D490" s="8">
        <v>0.5444444444444444</v>
      </c>
    </row>
    <row r="491" spans="1:4" x14ac:dyDescent="0.35">
      <c r="A491" s="9">
        <v>97798921</v>
      </c>
      <c r="B491" s="10">
        <v>42923</v>
      </c>
      <c r="C491" s="11">
        <v>0.5434606481481481</v>
      </c>
      <c r="D491" s="12">
        <v>0.55003472222222227</v>
      </c>
    </row>
    <row r="492" spans="1:4" x14ac:dyDescent="0.35">
      <c r="A492" s="5">
        <v>97798921</v>
      </c>
      <c r="B492" s="6">
        <v>42923</v>
      </c>
      <c r="C492" s="7">
        <v>0.54372685185185188</v>
      </c>
      <c r="D492" s="8">
        <v>0.54856481481481478</v>
      </c>
    </row>
    <row r="493" spans="1:4" x14ac:dyDescent="0.35">
      <c r="A493" s="9">
        <v>3919087</v>
      </c>
      <c r="B493" s="10">
        <v>42923</v>
      </c>
      <c r="C493" s="11">
        <v>0.54379629629629633</v>
      </c>
      <c r="D493" s="12">
        <v>0.54679398148148151</v>
      </c>
    </row>
    <row r="494" spans="1:4" x14ac:dyDescent="0.35">
      <c r="A494" s="5">
        <v>2619219</v>
      </c>
      <c r="B494" s="6">
        <v>42923</v>
      </c>
      <c r="C494" s="7">
        <v>0.54752314814814818</v>
      </c>
      <c r="D494" s="8">
        <v>0.5486805555555555</v>
      </c>
    </row>
    <row r="495" spans="1:4" x14ac:dyDescent="0.35">
      <c r="A495" s="9">
        <v>54536153</v>
      </c>
      <c r="B495" s="10">
        <v>42923</v>
      </c>
      <c r="C495" s="11">
        <v>0.54858796296296297</v>
      </c>
      <c r="D495" s="12">
        <v>0.55723379629629632</v>
      </c>
    </row>
    <row r="496" spans="1:4" x14ac:dyDescent="0.35">
      <c r="A496" s="5">
        <v>6813775</v>
      </c>
      <c r="B496" s="6">
        <v>42923</v>
      </c>
      <c r="C496" s="7">
        <v>0.55363425925925924</v>
      </c>
      <c r="D496" s="8">
        <v>0.55819444444444444</v>
      </c>
    </row>
    <row r="497" spans="1:4" x14ac:dyDescent="0.35">
      <c r="A497" s="9">
        <v>72312196</v>
      </c>
      <c r="B497" s="10">
        <v>42923</v>
      </c>
      <c r="C497" s="11">
        <v>0.55532407407407403</v>
      </c>
      <c r="D497" s="12">
        <v>0.56598379629629625</v>
      </c>
    </row>
    <row r="498" spans="1:4" x14ac:dyDescent="0.35">
      <c r="A498" s="5">
        <v>2235911</v>
      </c>
      <c r="B498" s="6">
        <v>42923</v>
      </c>
      <c r="C498" s="7">
        <v>0.56019675925925927</v>
      </c>
      <c r="D498" s="8">
        <v>0.56783564814814813</v>
      </c>
    </row>
    <row r="499" spans="1:4" x14ac:dyDescent="0.35">
      <c r="A499" s="9">
        <v>9532678004</v>
      </c>
      <c r="B499" s="10">
        <v>42923</v>
      </c>
      <c r="C499" s="11">
        <v>0.56347222222222226</v>
      </c>
      <c r="D499" s="12">
        <v>0.57157407407407412</v>
      </c>
    </row>
    <row r="500" spans="1:4" x14ac:dyDescent="0.35">
      <c r="A500" s="5">
        <v>4653709</v>
      </c>
      <c r="B500" s="6">
        <v>42923</v>
      </c>
      <c r="C500" s="7">
        <v>0.56795138888888885</v>
      </c>
      <c r="D500" s="8">
        <v>0.57596064814814818</v>
      </c>
    </row>
    <row r="501" spans="1:4" x14ac:dyDescent="0.35">
      <c r="A501" s="9">
        <v>1734512</v>
      </c>
      <c r="B501" s="10">
        <v>42923</v>
      </c>
      <c r="C501" s="11">
        <v>0.57093749999999999</v>
      </c>
      <c r="D501" s="12">
        <v>0.5765393518518519</v>
      </c>
    </row>
    <row r="502" spans="1:4" x14ac:dyDescent="0.35">
      <c r="A502" s="5">
        <v>6741642</v>
      </c>
      <c r="B502" s="6">
        <v>42923</v>
      </c>
      <c r="C502" s="7">
        <v>0.57523148148148151</v>
      </c>
      <c r="D502" s="8">
        <v>0.57535879629629627</v>
      </c>
    </row>
    <row r="503" spans="1:4" x14ac:dyDescent="0.35">
      <c r="A503" s="9">
        <v>45862784</v>
      </c>
      <c r="B503" s="10">
        <v>42923</v>
      </c>
      <c r="C503" s="11">
        <v>0.57768518518518519</v>
      </c>
      <c r="D503" s="12">
        <v>0.58636574074074077</v>
      </c>
    </row>
    <row r="504" spans="1:4" x14ac:dyDescent="0.35">
      <c r="A504" s="5">
        <v>25147401</v>
      </c>
      <c r="B504" s="6">
        <v>42923</v>
      </c>
      <c r="C504" s="7">
        <v>0.57922453703703702</v>
      </c>
      <c r="D504" s="8">
        <v>0.58821759259259254</v>
      </c>
    </row>
    <row r="505" spans="1:4" x14ac:dyDescent="0.35">
      <c r="A505" s="9">
        <v>4963499</v>
      </c>
      <c r="B505" s="10">
        <v>42923</v>
      </c>
      <c r="C505" s="11">
        <v>0.58484953703703701</v>
      </c>
      <c r="D505" s="12">
        <v>0.5869212962962963</v>
      </c>
    </row>
    <row r="506" spans="1:4" x14ac:dyDescent="0.35">
      <c r="A506" s="5">
        <v>7432767</v>
      </c>
      <c r="B506" s="6">
        <v>42923</v>
      </c>
      <c r="C506" s="7">
        <v>0.58508101851851857</v>
      </c>
      <c r="D506" s="8">
        <v>0.58635416666666662</v>
      </c>
    </row>
    <row r="507" spans="1:4" x14ac:dyDescent="0.35">
      <c r="A507" s="9">
        <v>3599100</v>
      </c>
      <c r="B507" s="10">
        <v>42923</v>
      </c>
      <c r="C507" s="11">
        <v>0.58832175925925922</v>
      </c>
      <c r="D507" s="12">
        <v>0.59277777777777774</v>
      </c>
    </row>
    <row r="508" spans="1:4" x14ac:dyDescent="0.35">
      <c r="A508" s="5">
        <v>8251878</v>
      </c>
      <c r="B508" s="6">
        <v>42923</v>
      </c>
      <c r="C508" s="7">
        <v>0.59281249999999996</v>
      </c>
      <c r="D508" s="8">
        <v>0.59375</v>
      </c>
    </row>
    <row r="509" spans="1:4" x14ac:dyDescent="0.35">
      <c r="A509" s="9">
        <v>2826868</v>
      </c>
      <c r="B509" s="10">
        <v>42923</v>
      </c>
      <c r="C509" s="11">
        <v>0.59672453703703698</v>
      </c>
      <c r="D509" s="12">
        <v>0.60435185185185181</v>
      </c>
    </row>
    <row r="510" spans="1:4" x14ac:dyDescent="0.35">
      <c r="A510" s="5">
        <v>76099906</v>
      </c>
      <c r="B510" s="6">
        <v>42923</v>
      </c>
      <c r="C510" s="7">
        <v>0.6004976851851852</v>
      </c>
      <c r="D510" s="8">
        <v>0.61106481481481478</v>
      </c>
    </row>
    <row r="511" spans="1:4" x14ac:dyDescent="0.35">
      <c r="A511" s="9">
        <v>5147242</v>
      </c>
      <c r="B511" s="10">
        <v>42923</v>
      </c>
      <c r="C511" s="11">
        <v>0.60381944444444446</v>
      </c>
      <c r="D511" s="12">
        <v>0.60589120370370375</v>
      </c>
    </row>
    <row r="512" spans="1:4" x14ac:dyDescent="0.35">
      <c r="A512" s="5">
        <v>9600226</v>
      </c>
      <c r="B512" s="6">
        <v>42923</v>
      </c>
      <c r="C512" s="7">
        <v>0.60758101851851853</v>
      </c>
      <c r="D512" s="8">
        <v>0.61008101851851848</v>
      </c>
    </row>
    <row r="513" spans="1:4" x14ac:dyDescent="0.35">
      <c r="A513" s="9">
        <v>1337042</v>
      </c>
      <c r="B513" s="10">
        <v>42923</v>
      </c>
      <c r="C513" s="11">
        <v>0.60930555555555554</v>
      </c>
      <c r="D513" s="12">
        <v>0.62085648148148154</v>
      </c>
    </row>
    <row r="514" spans="1:4" x14ac:dyDescent="0.35">
      <c r="A514" s="5">
        <v>1223943</v>
      </c>
      <c r="B514" s="6">
        <v>42923</v>
      </c>
      <c r="C514" s="7">
        <v>0.61412037037037037</v>
      </c>
      <c r="D514" s="8">
        <v>0.62342592592592594</v>
      </c>
    </row>
    <row r="515" spans="1:4" x14ac:dyDescent="0.35">
      <c r="A515" s="9">
        <v>3525921</v>
      </c>
      <c r="B515" s="10">
        <v>42923</v>
      </c>
      <c r="C515" s="11">
        <v>0.61557870370370371</v>
      </c>
      <c r="D515" s="12">
        <v>0.61946759259259254</v>
      </c>
    </row>
    <row r="516" spans="1:4" x14ac:dyDescent="0.35">
      <c r="A516" s="5">
        <v>5094248</v>
      </c>
      <c r="B516" s="6">
        <v>42923</v>
      </c>
      <c r="C516" s="7">
        <v>0.61901620370370369</v>
      </c>
      <c r="D516" s="8">
        <v>0.62861111111111112</v>
      </c>
    </row>
    <row r="517" spans="1:4" x14ac:dyDescent="0.35">
      <c r="A517" s="9">
        <v>7275091</v>
      </c>
      <c r="B517" s="10">
        <v>42923</v>
      </c>
      <c r="C517" s="11">
        <v>0.62306712962962962</v>
      </c>
      <c r="D517" s="12">
        <v>0.63328703703703704</v>
      </c>
    </row>
    <row r="518" spans="1:4" x14ac:dyDescent="0.35">
      <c r="A518" s="5">
        <v>73042148</v>
      </c>
      <c r="B518" s="6">
        <v>42923</v>
      </c>
      <c r="C518" s="7">
        <v>0.62537037037037035</v>
      </c>
      <c r="D518" s="8">
        <v>0.63498842592592597</v>
      </c>
    </row>
    <row r="519" spans="1:4" x14ac:dyDescent="0.35">
      <c r="A519" s="9">
        <v>8570276</v>
      </c>
      <c r="B519" s="10">
        <v>42926</v>
      </c>
      <c r="C519" s="11">
        <v>0.33759259259259261</v>
      </c>
      <c r="D519" s="12">
        <v>0.34880787037037037</v>
      </c>
    </row>
    <row r="520" spans="1:4" x14ac:dyDescent="0.35">
      <c r="A520" s="5">
        <v>1775586</v>
      </c>
      <c r="B520" s="6">
        <v>42926</v>
      </c>
      <c r="C520" s="7">
        <v>0.34016203703703701</v>
      </c>
      <c r="D520" s="8">
        <v>0.3495138888888889</v>
      </c>
    </row>
    <row r="521" spans="1:4" x14ac:dyDescent="0.35">
      <c r="A521" s="9">
        <v>27791497</v>
      </c>
      <c r="B521" s="10">
        <v>42926</v>
      </c>
      <c r="C521" s="11">
        <v>0.34312500000000001</v>
      </c>
      <c r="D521" s="12">
        <v>0.34373842592592591</v>
      </c>
    </row>
    <row r="522" spans="1:4" x14ac:dyDescent="0.35">
      <c r="A522" s="5">
        <v>5162775</v>
      </c>
      <c r="B522" s="6">
        <v>42926</v>
      </c>
      <c r="C522" s="7">
        <v>0.34364583333333332</v>
      </c>
      <c r="D522" s="8">
        <v>0.3492824074074074</v>
      </c>
    </row>
    <row r="523" spans="1:4" x14ac:dyDescent="0.35">
      <c r="A523" s="9">
        <v>56115408</v>
      </c>
      <c r="B523" s="10">
        <v>42926</v>
      </c>
      <c r="C523" s="11">
        <v>0.34796296296296297</v>
      </c>
      <c r="D523" s="12">
        <v>0.35728009259259258</v>
      </c>
    </row>
    <row r="524" spans="1:4" x14ac:dyDescent="0.35">
      <c r="A524" s="5">
        <v>6766881</v>
      </c>
      <c r="B524" s="6">
        <v>42926</v>
      </c>
      <c r="C524" s="7">
        <v>0.35249999999999998</v>
      </c>
      <c r="D524" s="8">
        <v>0.35278935185185184</v>
      </c>
    </row>
    <row r="525" spans="1:4" x14ac:dyDescent="0.35">
      <c r="A525" s="9">
        <v>9502975</v>
      </c>
      <c r="B525" s="10">
        <v>42926</v>
      </c>
      <c r="C525" s="11">
        <v>0.35483796296296294</v>
      </c>
      <c r="D525" s="12">
        <v>0.35699074074074072</v>
      </c>
    </row>
    <row r="526" spans="1:4" x14ac:dyDescent="0.35">
      <c r="A526" s="5">
        <v>4212838</v>
      </c>
      <c r="B526" s="6">
        <v>42926</v>
      </c>
      <c r="C526" s="7">
        <v>0.35760416666666667</v>
      </c>
      <c r="D526" s="8">
        <v>0.35951388888888891</v>
      </c>
    </row>
    <row r="527" spans="1:4" x14ac:dyDescent="0.35">
      <c r="A527" s="9">
        <v>6952061</v>
      </c>
      <c r="B527" s="10">
        <v>42926</v>
      </c>
      <c r="C527" s="11">
        <v>0.36282407407407408</v>
      </c>
      <c r="D527" s="12">
        <v>0.37093749999999998</v>
      </c>
    </row>
    <row r="528" spans="1:4" x14ac:dyDescent="0.35">
      <c r="A528" s="5">
        <v>56127547</v>
      </c>
      <c r="B528" s="6">
        <v>42926</v>
      </c>
      <c r="C528" s="7">
        <v>0.36803240740740739</v>
      </c>
      <c r="D528" s="8">
        <v>0.37565972222222221</v>
      </c>
    </row>
    <row r="529" spans="1:4" x14ac:dyDescent="0.35">
      <c r="A529" s="9">
        <v>4952685</v>
      </c>
      <c r="B529" s="10">
        <v>42926</v>
      </c>
      <c r="C529" s="11">
        <v>0.36895833333333333</v>
      </c>
      <c r="D529" s="12">
        <v>0.37655092592592593</v>
      </c>
    </row>
    <row r="530" spans="1:4" x14ac:dyDescent="0.35">
      <c r="A530" s="5">
        <v>8632893</v>
      </c>
      <c r="B530" s="6">
        <v>42926</v>
      </c>
      <c r="C530" s="7">
        <v>0.36996527777777777</v>
      </c>
      <c r="D530" s="8">
        <v>0.37988425925925928</v>
      </c>
    </row>
    <row r="531" spans="1:4" x14ac:dyDescent="0.35">
      <c r="A531" s="9">
        <v>7320123</v>
      </c>
      <c r="B531" s="10">
        <v>42926</v>
      </c>
      <c r="C531" s="11">
        <v>0.37015046296296295</v>
      </c>
      <c r="D531" s="12">
        <v>0.37528935185185186</v>
      </c>
    </row>
    <row r="532" spans="1:4" x14ac:dyDescent="0.35">
      <c r="A532" s="5">
        <v>4600571814</v>
      </c>
      <c r="B532" s="6">
        <v>42926</v>
      </c>
      <c r="C532" s="7">
        <v>0.3706712962962963</v>
      </c>
      <c r="D532" s="8">
        <v>0.37572916666666667</v>
      </c>
    </row>
    <row r="533" spans="1:4" x14ac:dyDescent="0.35">
      <c r="A533" s="9">
        <v>38063903</v>
      </c>
      <c r="B533" s="10">
        <v>42926</v>
      </c>
      <c r="C533" s="11">
        <v>0.37207175925925928</v>
      </c>
      <c r="D533" s="12">
        <v>0.37332175925925926</v>
      </c>
    </row>
    <row r="534" spans="1:4" x14ac:dyDescent="0.35">
      <c r="A534" s="5">
        <v>4901642</v>
      </c>
      <c r="B534" s="6">
        <v>42926</v>
      </c>
      <c r="C534" s="7">
        <v>0.37747685185185187</v>
      </c>
      <c r="D534" s="8">
        <v>0.38609953703703703</v>
      </c>
    </row>
    <row r="535" spans="1:4" x14ac:dyDescent="0.35">
      <c r="A535" s="9">
        <v>39669014</v>
      </c>
      <c r="B535" s="10">
        <v>42926</v>
      </c>
      <c r="C535" s="11">
        <v>0.37930555555555556</v>
      </c>
      <c r="D535" s="12">
        <v>0.38686342592592593</v>
      </c>
    </row>
    <row r="536" spans="1:4" x14ac:dyDescent="0.35">
      <c r="A536" s="5">
        <v>48919339</v>
      </c>
      <c r="B536" s="6">
        <v>42926</v>
      </c>
      <c r="C536" s="7">
        <v>0.38040509259259259</v>
      </c>
      <c r="D536" s="8">
        <v>0.38484953703703706</v>
      </c>
    </row>
    <row r="537" spans="1:4" x14ac:dyDescent="0.35">
      <c r="A537" s="9">
        <v>4960687</v>
      </c>
      <c r="B537" s="10">
        <v>42926</v>
      </c>
      <c r="C537" s="11">
        <v>0.3835648148148148</v>
      </c>
      <c r="D537" s="12">
        <v>0.3941087962962963</v>
      </c>
    </row>
    <row r="538" spans="1:4" x14ac:dyDescent="0.35">
      <c r="A538" s="5">
        <v>41156424</v>
      </c>
      <c r="B538" s="6">
        <v>42926</v>
      </c>
      <c r="C538" s="7">
        <v>0.38715277777777779</v>
      </c>
      <c r="D538" s="8">
        <v>0.39293981481481483</v>
      </c>
    </row>
    <row r="539" spans="1:4" x14ac:dyDescent="0.35">
      <c r="A539" s="9">
        <v>5087066</v>
      </c>
      <c r="B539" s="10">
        <v>42926</v>
      </c>
      <c r="C539" s="11">
        <v>0.3894097222222222</v>
      </c>
      <c r="D539" s="12">
        <v>0.39869212962962963</v>
      </c>
    </row>
    <row r="540" spans="1:4" x14ac:dyDescent="0.35">
      <c r="A540" s="5">
        <v>4636713</v>
      </c>
      <c r="B540" s="6">
        <v>42926</v>
      </c>
      <c r="C540" s="7">
        <v>0.39193287037037039</v>
      </c>
      <c r="D540" s="8">
        <v>0.39712962962962961</v>
      </c>
    </row>
    <row r="541" spans="1:4" x14ac:dyDescent="0.35">
      <c r="A541" s="9">
        <v>3944120</v>
      </c>
      <c r="B541" s="10">
        <v>42926</v>
      </c>
      <c r="C541" s="11">
        <v>0.39307870370370368</v>
      </c>
      <c r="D541" s="12">
        <v>0.39380787037037035</v>
      </c>
    </row>
    <row r="542" spans="1:4" x14ac:dyDescent="0.35">
      <c r="A542" s="5">
        <v>5960122</v>
      </c>
      <c r="B542" s="6">
        <v>42926</v>
      </c>
      <c r="C542" s="7">
        <v>0.3984375</v>
      </c>
      <c r="D542" s="8">
        <v>0.40802083333333333</v>
      </c>
    </row>
    <row r="543" spans="1:4" x14ac:dyDescent="0.35">
      <c r="A543" s="9">
        <v>6795454</v>
      </c>
      <c r="B543" s="10">
        <v>42926</v>
      </c>
      <c r="C543" s="11">
        <v>0.40265046296296297</v>
      </c>
      <c r="D543" s="12">
        <v>0.40284722222222225</v>
      </c>
    </row>
    <row r="544" spans="1:4" x14ac:dyDescent="0.35">
      <c r="A544" s="5">
        <v>5013688</v>
      </c>
      <c r="B544" s="6">
        <v>42926</v>
      </c>
      <c r="C544" s="7">
        <v>0.40662037037037035</v>
      </c>
      <c r="D544" s="8">
        <v>0.41171296296296295</v>
      </c>
    </row>
    <row r="545" spans="1:4" x14ac:dyDescent="0.35">
      <c r="A545" s="9">
        <v>9487255</v>
      </c>
      <c r="B545" s="10">
        <v>42926</v>
      </c>
      <c r="C545" s="11">
        <v>0.40997685185185184</v>
      </c>
      <c r="D545" s="12">
        <v>0.41947916666666668</v>
      </c>
    </row>
    <row r="546" spans="1:4" x14ac:dyDescent="0.35">
      <c r="A546" s="5">
        <v>1592822</v>
      </c>
      <c r="B546" s="6">
        <v>42926</v>
      </c>
      <c r="C546" s="7">
        <v>0.41422453703703704</v>
      </c>
      <c r="D546" s="8">
        <v>0.42549768518518516</v>
      </c>
    </row>
    <row r="547" spans="1:4" x14ac:dyDescent="0.35">
      <c r="A547" s="9">
        <v>9084978</v>
      </c>
      <c r="B547" s="10">
        <v>42926</v>
      </c>
      <c r="C547" s="11">
        <v>0.41553240740740743</v>
      </c>
      <c r="D547" s="12">
        <v>0.42593750000000002</v>
      </c>
    </row>
    <row r="548" spans="1:4" x14ac:dyDescent="0.35">
      <c r="A548" s="5">
        <v>80038636</v>
      </c>
      <c r="B548" s="6">
        <v>42926</v>
      </c>
      <c r="C548" s="7">
        <v>0.41734953703703703</v>
      </c>
      <c r="D548" s="8">
        <v>0.42822916666666666</v>
      </c>
    </row>
    <row r="549" spans="1:4" x14ac:dyDescent="0.35">
      <c r="A549" s="9">
        <v>2021941339</v>
      </c>
      <c r="B549" s="10">
        <v>42926</v>
      </c>
      <c r="C549" s="11">
        <v>0.41863425925925923</v>
      </c>
      <c r="D549" s="12">
        <v>0.42877314814814815</v>
      </c>
    </row>
    <row r="550" spans="1:4" x14ac:dyDescent="0.35">
      <c r="A550" s="5">
        <v>7718350</v>
      </c>
      <c r="B550" s="6">
        <v>42926</v>
      </c>
      <c r="C550" s="7">
        <v>0.42002314814814817</v>
      </c>
      <c r="D550" s="8">
        <v>0.42700231481481482</v>
      </c>
    </row>
    <row r="551" spans="1:4" x14ac:dyDescent="0.35">
      <c r="A551" s="9">
        <v>3153283</v>
      </c>
      <c r="B551" s="10">
        <v>42926</v>
      </c>
      <c r="C551" s="11">
        <v>0.42396990740740742</v>
      </c>
      <c r="D551" s="12">
        <v>0.43335648148148148</v>
      </c>
    </row>
    <row r="552" spans="1:4" x14ac:dyDescent="0.35">
      <c r="A552" s="5">
        <v>6341482</v>
      </c>
      <c r="B552" s="6">
        <v>42926</v>
      </c>
      <c r="C552" s="7">
        <v>0.42922453703703706</v>
      </c>
      <c r="D552" s="8">
        <v>0.43947916666666664</v>
      </c>
    </row>
    <row r="553" spans="1:4" x14ac:dyDescent="0.35">
      <c r="A553" s="9">
        <v>67964973</v>
      </c>
      <c r="B553" s="10">
        <v>42926</v>
      </c>
      <c r="C553" s="11">
        <v>0.43475694444444446</v>
      </c>
      <c r="D553" s="12">
        <v>0.43590277777777775</v>
      </c>
    </row>
    <row r="554" spans="1:4" x14ac:dyDescent="0.35">
      <c r="A554" s="5">
        <v>1223943</v>
      </c>
      <c r="B554" s="6">
        <v>42926</v>
      </c>
      <c r="C554" s="7">
        <v>0.43961805555555555</v>
      </c>
      <c r="D554" s="8">
        <v>0.45087962962962963</v>
      </c>
    </row>
    <row r="555" spans="1:4" x14ac:dyDescent="0.35">
      <c r="A555" s="9">
        <v>8049834</v>
      </c>
      <c r="B555" s="10">
        <v>42926</v>
      </c>
      <c r="C555" s="11">
        <v>0.44210648148148146</v>
      </c>
      <c r="D555" s="12">
        <v>0.44369212962962962</v>
      </c>
    </row>
    <row r="556" spans="1:4" x14ac:dyDescent="0.35">
      <c r="A556" s="5">
        <v>6374704</v>
      </c>
      <c r="B556" s="6">
        <v>42926</v>
      </c>
      <c r="C556" s="7">
        <v>0.44572916666666668</v>
      </c>
      <c r="D556" s="8">
        <v>0.4548726851851852</v>
      </c>
    </row>
    <row r="557" spans="1:4" x14ac:dyDescent="0.35">
      <c r="A557" s="9">
        <v>99625315</v>
      </c>
      <c r="B557" s="10">
        <v>42926</v>
      </c>
      <c r="C557" s="11">
        <v>0.44592592592592595</v>
      </c>
      <c r="D557" s="12">
        <v>0.45026620370370368</v>
      </c>
    </row>
    <row r="558" spans="1:4" x14ac:dyDescent="0.35">
      <c r="A558" s="5">
        <v>9728932</v>
      </c>
      <c r="B558" s="6">
        <v>42926</v>
      </c>
      <c r="C558" s="7">
        <v>0.44641203703703702</v>
      </c>
      <c r="D558" s="8">
        <v>0.45089120370370372</v>
      </c>
    </row>
    <row r="559" spans="1:4" x14ac:dyDescent="0.35">
      <c r="A559" s="9">
        <v>9121149</v>
      </c>
      <c r="B559" s="10">
        <v>42926</v>
      </c>
      <c r="C559" s="11">
        <v>0.45106481481481481</v>
      </c>
      <c r="D559" s="12">
        <v>0.45603009259259258</v>
      </c>
    </row>
    <row r="560" spans="1:4" x14ac:dyDescent="0.35">
      <c r="A560" s="5">
        <v>2790475</v>
      </c>
      <c r="B560" s="6">
        <v>42926</v>
      </c>
      <c r="C560" s="7">
        <v>0.45663194444444444</v>
      </c>
      <c r="D560" s="8">
        <v>0.46517361111111111</v>
      </c>
    </row>
    <row r="561" spans="1:4" x14ac:dyDescent="0.35">
      <c r="A561" s="9">
        <v>4148520</v>
      </c>
      <c r="B561" s="10">
        <v>42926</v>
      </c>
      <c r="C561" s="11">
        <v>0.46108796296296295</v>
      </c>
      <c r="D561" s="12">
        <v>0.46989583333333335</v>
      </c>
    </row>
    <row r="562" spans="1:4" x14ac:dyDescent="0.35">
      <c r="A562" s="5">
        <v>55462392</v>
      </c>
      <c r="B562" s="6">
        <v>42926</v>
      </c>
      <c r="C562" s="7">
        <v>0.46597222222222223</v>
      </c>
      <c r="D562" s="8">
        <v>0.46732638888888889</v>
      </c>
    </row>
    <row r="563" spans="1:4" x14ac:dyDescent="0.35">
      <c r="A563" s="9">
        <v>8130722</v>
      </c>
      <c r="B563" s="10">
        <v>42926</v>
      </c>
      <c r="C563" s="11">
        <v>0.46649305555555554</v>
      </c>
      <c r="D563" s="12">
        <v>0.47717592592592595</v>
      </c>
    </row>
    <row r="564" spans="1:4" x14ac:dyDescent="0.35">
      <c r="A564" s="5">
        <v>5448890</v>
      </c>
      <c r="B564" s="6">
        <v>42926</v>
      </c>
      <c r="C564" s="7">
        <v>0.46957175925925926</v>
      </c>
      <c r="D564" s="8">
        <v>0.47247685185185184</v>
      </c>
    </row>
    <row r="565" spans="1:4" x14ac:dyDescent="0.35">
      <c r="A565" s="9">
        <v>6118241</v>
      </c>
      <c r="B565" s="10">
        <v>42926</v>
      </c>
      <c r="C565" s="11">
        <v>0.47462962962962962</v>
      </c>
      <c r="D565" s="12">
        <v>0.47839120370370369</v>
      </c>
    </row>
    <row r="566" spans="1:4" x14ac:dyDescent="0.35">
      <c r="A566" s="5">
        <v>1088377750</v>
      </c>
      <c r="B566" s="6">
        <v>42926</v>
      </c>
      <c r="C566" s="7">
        <v>0.47535879629629629</v>
      </c>
      <c r="D566" s="8">
        <v>0.48454861111111114</v>
      </c>
    </row>
    <row r="567" spans="1:4" x14ac:dyDescent="0.35">
      <c r="A567" s="9">
        <v>98238772</v>
      </c>
      <c r="B567" s="10">
        <v>42926</v>
      </c>
      <c r="C567" s="11">
        <v>0.47989583333333335</v>
      </c>
      <c r="D567" s="12">
        <v>0.48138888888888887</v>
      </c>
    </row>
    <row r="568" spans="1:4" x14ac:dyDescent="0.35">
      <c r="A568" s="5">
        <v>9524588</v>
      </c>
      <c r="B568" s="6">
        <v>42926</v>
      </c>
      <c r="C568" s="7">
        <v>0.4846759259259259</v>
      </c>
      <c r="D568" s="8">
        <v>0.49550925925925926</v>
      </c>
    </row>
    <row r="569" spans="1:4" x14ac:dyDescent="0.35">
      <c r="A569" s="9">
        <v>96375379</v>
      </c>
      <c r="B569" s="10">
        <v>42926</v>
      </c>
      <c r="C569" s="11">
        <v>0.4881712962962963</v>
      </c>
      <c r="D569" s="12">
        <v>0.49769675925925927</v>
      </c>
    </row>
    <row r="570" spans="1:4" x14ac:dyDescent="0.35">
      <c r="A570" s="5">
        <v>4759206</v>
      </c>
      <c r="B570" s="6">
        <v>42926</v>
      </c>
      <c r="C570" s="7">
        <v>0.49055555555555558</v>
      </c>
      <c r="D570" s="8">
        <v>0.49449074074074073</v>
      </c>
    </row>
    <row r="571" spans="1:4" x14ac:dyDescent="0.35">
      <c r="A571" s="9">
        <v>9197309</v>
      </c>
      <c r="B571" s="10">
        <v>42926</v>
      </c>
      <c r="C571" s="11">
        <v>0.49488425925925927</v>
      </c>
      <c r="D571" s="12">
        <v>0.50590277777777781</v>
      </c>
    </row>
    <row r="572" spans="1:4" x14ac:dyDescent="0.35">
      <c r="A572" s="5">
        <v>8322522</v>
      </c>
      <c r="B572" s="6">
        <v>42926</v>
      </c>
      <c r="C572" s="7">
        <v>0.49674768518518519</v>
      </c>
      <c r="D572" s="8">
        <v>0.50796296296296295</v>
      </c>
    </row>
    <row r="573" spans="1:4" x14ac:dyDescent="0.35">
      <c r="A573" s="9">
        <v>4264808</v>
      </c>
      <c r="B573" s="10">
        <v>42926</v>
      </c>
      <c r="C573" s="11">
        <v>0.50089120370370366</v>
      </c>
      <c r="D573" s="12">
        <v>0.50109953703703702</v>
      </c>
    </row>
    <row r="574" spans="1:4" x14ac:dyDescent="0.35">
      <c r="A574" s="5">
        <v>3095218</v>
      </c>
      <c r="B574" s="6">
        <v>42926</v>
      </c>
      <c r="C574" s="7">
        <v>0.50635416666666666</v>
      </c>
      <c r="D574" s="8">
        <v>0.51716435185185183</v>
      </c>
    </row>
    <row r="575" spans="1:4" x14ac:dyDescent="0.35">
      <c r="A575" s="9">
        <v>5820632164</v>
      </c>
      <c r="B575" s="10">
        <v>42926</v>
      </c>
      <c r="C575" s="11">
        <v>0.51010416666666669</v>
      </c>
      <c r="D575" s="12">
        <v>0.51879629629629631</v>
      </c>
    </row>
    <row r="576" spans="1:4" x14ac:dyDescent="0.35">
      <c r="A576" s="5">
        <v>89814525</v>
      </c>
      <c r="B576" s="6">
        <v>42926</v>
      </c>
      <c r="C576" s="7">
        <v>0.51090277777777782</v>
      </c>
      <c r="D576" s="8">
        <v>0.51175925925925925</v>
      </c>
    </row>
    <row r="577" spans="1:4" x14ac:dyDescent="0.35">
      <c r="A577" s="9">
        <v>1223816</v>
      </c>
      <c r="B577" s="10">
        <v>42926</v>
      </c>
      <c r="C577" s="11">
        <v>0.51116898148148149</v>
      </c>
      <c r="D577" s="12">
        <v>0.51718750000000002</v>
      </c>
    </row>
    <row r="578" spans="1:4" x14ac:dyDescent="0.35">
      <c r="A578" s="5">
        <v>18503160</v>
      </c>
      <c r="B578" s="6">
        <v>42926</v>
      </c>
      <c r="C578" s="7">
        <v>0.51157407407407407</v>
      </c>
      <c r="D578" s="8">
        <v>0.51663194444444449</v>
      </c>
    </row>
    <row r="579" spans="1:4" x14ac:dyDescent="0.35">
      <c r="A579" s="9">
        <v>21677804</v>
      </c>
      <c r="B579" s="10">
        <v>42926</v>
      </c>
      <c r="C579" s="11">
        <v>0.51328703703703704</v>
      </c>
      <c r="D579" s="12">
        <v>0.51821759259259259</v>
      </c>
    </row>
    <row r="580" spans="1:4" x14ac:dyDescent="0.35">
      <c r="A580" s="5">
        <v>5087066</v>
      </c>
      <c r="B580" s="6">
        <v>42926</v>
      </c>
      <c r="C580" s="7">
        <v>0.51603009259259258</v>
      </c>
      <c r="D580" s="8">
        <v>0.5269907407407407</v>
      </c>
    </row>
    <row r="581" spans="1:4" x14ac:dyDescent="0.35">
      <c r="A581" s="9">
        <v>6905863</v>
      </c>
      <c r="B581" s="10">
        <v>42926</v>
      </c>
      <c r="C581" s="11">
        <v>0.52123842592592595</v>
      </c>
      <c r="D581" s="12">
        <v>0.53008101851851852</v>
      </c>
    </row>
    <row r="582" spans="1:4" x14ac:dyDescent="0.35">
      <c r="A582" s="5">
        <v>4144248</v>
      </c>
      <c r="B582" s="6">
        <v>42926</v>
      </c>
      <c r="C582" s="7">
        <v>0.52134259259259264</v>
      </c>
      <c r="D582" s="8">
        <v>0.53226851851851853</v>
      </c>
    </row>
    <row r="583" spans="1:4" x14ac:dyDescent="0.35">
      <c r="A583" s="9">
        <v>16392077</v>
      </c>
      <c r="B583" s="10">
        <v>42926</v>
      </c>
      <c r="C583" s="11">
        <v>0.52254629629629634</v>
      </c>
      <c r="D583" s="12">
        <v>0.52263888888888888</v>
      </c>
    </row>
    <row r="584" spans="1:4" x14ac:dyDescent="0.35">
      <c r="A584" s="5">
        <v>8865092</v>
      </c>
      <c r="B584" s="6">
        <v>42926</v>
      </c>
      <c r="C584" s="7">
        <v>0.52392361111111108</v>
      </c>
      <c r="D584" s="8">
        <v>0.53378472222222217</v>
      </c>
    </row>
    <row r="585" spans="1:4" x14ac:dyDescent="0.35">
      <c r="A585" s="9">
        <v>92597723</v>
      </c>
      <c r="B585" s="10">
        <v>42926</v>
      </c>
      <c r="C585" s="11">
        <v>0.52837962962962959</v>
      </c>
      <c r="D585" s="12">
        <v>0.53084490740740742</v>
      </c>
    </row>
    <row r="586" spans="1:4" x14ac:dyDescent="0.35">
      <c r="A586" s="5">
        <v>49840829</v>
      </c>
      <c r="B586" s="6">
        <v>42926</v>
      </c>
      <c r="C586" s="7">
        <v>0.53204861111111112</v>
      </c>
      <c r="D586" s="8">
        <v>0.53737268518518522</v>
      </c>
    </row>
    <row r="587" spans="1:4" x14ac:dyDescent="0.35">
      <c r="A587" s="9">
        <v>20354301</v>
      </c>
      <c r="B587" s="10">
        <v>42926</v>
      </c>
      <c r="C587" s="11">
        <v>0.53291666666666671</v>
      </c>
      <c r="D587" s="12">
        <v>0.53758101851851847</v>
      </c>
    </row>
    <row r="588" spans="1:4" x14ac:dyDescent="0.35">
      <c r="A588" s="5">
        <v>2731955</v>
      </c>
      <c r="B588" s="6">
        <v>42926</v>
      </c>
      <c r="C588" s="7">
        <v>0.53843750000000001</v>
      </c>
      <c r="D588" s="8">
        <v>0.54283564814814811</v>
      </c>
    </row>
    <row r="589" spans="1:4" x14ac:dyDescent="0.35">
      <c r="A589" s="9">
        <v>2304726</v>
      </c>
      <c r="B589" s="10">
        <v>42926</v>
      </c>
      <c r="C589" s="11">
        <v>0.54197916666666668</v>
      </c>
      <c r="D589" s="12">
        <v>0.54866898148148147</v>
      </c>
    </row>
    <row r="590" spans="1:4" x14ac:dyDescent="0.35">
      <c r="A590" s="5">
        <v>4653709</v>
      </c>
      <c r="B590" s="6">
        <v>42926</v>
      </c>
      <c r="C590" s="7">
        <v>0.54292824074074075</v>
      </c>
      <c r="D590" s="8">
        <v>0.5444444444444444</v>
      </c>
    </row>
    <row r="591" spans="1:4" x14ac:dyDescent="0.35">
      <c r="A591" s="9">
        <v>4848864</v>
      </c>
      <c r="B591" s="10">
        <v>42926</v>
      </c>
      <c r="C591" s="11">
        <v>0.54432870370370368</v>
      </c>
      <c r="D591" s="12">
        <v>0.55090277777777774</v>
      </c>
    </row>
    <row r="592" spans="1:4" x14ac:dyDescent="0.35">
      <c r="A592" s="5">
        <v>6709939</v>
      </c>
      <c r="B592" s="6">
        <v>42926</v>
      </c>
      <c r="C592" s="7">
        <v>0.54692129629629627</v>
      </c>
      <c r="D592" s="8">
        <v>0.55000000000000004</v>
      </c>
    </row>
    <row r="593" spans="1:4" x14ac:dyDescent="0.35">
      <c r="A593" s="9">
        <v>8870498</v>
      </c>
      <c r="B593" s="10">
        <v>42926</v>
      </c>
      <c r="C593" s="11">
        <v>0.55046296296296293</v>
      </c>
      <c r="D593" s="12">
        <v>0.55986111111111114</v>
      </c>
    </row>
    <row r="594" spans="1:4" x14ac:dyDescent="0.35">
      <c r="A594" s="5">
        <v>2947889</v>
      </c>
      <c r="B594" s="6">
        <v>42926</v>
      </c>
      <c r="C594" s="7">
        <v>0.55246527777777776</v>
      </c>
      <c r="D594" s="8">
        <v>0.56334490740740739</v>
      </c>
    </row>
    <row r="595" spans="1:4" x14ac:dyDescent="0.35">
      <c r="A595" s="9">
        <v>8270097</v>
      </c>
      <c r="B595" s="10">
        <v>42926</v>
      </c>
      <c r="C595" s="11">
        <v>0.55650462962962965</v>
      </c>
      <c r="D595" s="12">
        <v>0.55850694444444449</v>
      </c>
    </row>
    <row r="596" spans="1:4" x14ac:dyDescent="0.35">
      <c r="A596" s="5">
        <v>8183468</v>
      </c>
      <c r="B596" s="6">
        <v>42926</v>
      </c>
      <c r="C596" s="7">
        <v>0.55832175925925931</v>
      </c>
      <c r="D596" s="8">
        <v>0.56265046296296295</v>
      </c>
    </row>
    <row r="597" spans="1:4" x14ac:dyDescent="0.35">
      <c r="A597" s="9">
        <v>3263806</v>
      </c>
      <c r="B597" s="10">
        <v>42926</v>
      </c>
      <c r="C597" s="11">
        <v>0.55864583333333329</v>
      </c>
      <c r="D597" s="12">
        <v>0.56383101851851847</v>
      </c>
    </row>
    <row r="598" spans="1:4" x14ac:dyDescent="0.35">
      <c r="A598" s="5">
        <v>7792980</v>
      </c>
      <c r="B598" s="6">
        <v>42926</v>
      </c>
      <c r="C598" s="7">
        <v>0.56234953703703705</v>
      </c>
      <c r="D598" s="8">
        <v>0.57378472222222221</v>
      </c>
    </row>
    <row r="599" spans="1:4" x14ac:dyDescent="0.35">
      <c r="A599" s="9">
        <v>88929925</v>
      </c>
      <c r="B599" s="10">
        <v>42926</v>
      </c>
      <c r="C599" s="11">
        <v>0.56688657407407406</v>
      </c>
      <c r="D599" s="12">
        <v>0.57342592592592589</v>
      </c>
    </row>
    <row r="600" spans="1:4" x14ac:dyDescent="0.35">
      <c r="A600" s="5">
        <v>2478461</v>
      </c>
      <c r="B600" s="6">
        <v>42926</v>
      </c>
      <c r="C600" s="7">
        <v>0.56980324074074074</v>
      </c>
      <c r="D600" s="8">
        <v>0.575775462962963</v>
      </c>
    </row>
    <row r="601" spans="1:4" x14ac:dyDescent="0.35">
      <c r="A601" s="9">
        <v>2838216</v>
      </c>
      <c r="B601" s="10">
        <v>42926</v>
      </c>
      <c r="C601" s="11">
        <v>0.5755555555555556</v>
      </c>
      <c r="D601" s="12">
        <v>0.57737268518518514</v>
      </c>
    </row>
    <row r="602" spans="1:4" x14ac:dyDescent="0.35">
      <c r="A602" s="5">
        <v>4853153</v>
      </c>
      <c r="B602" s="6">
        <v>42926</v>
      </c>
      <c r="C602" s="7">
        <v>0.5803935185185185</v>
      </c>
      <c r="D602" s="8">
        <v>0.58190972222222226</v>
      </c>
    </row>
    <row r="603" spans="1:4" x14ac:dyDescent="0.35">
      <c r="A603" s="9">
        <v>2985743</v>
      </c>
      <c r="B603" s="10">
        <v>42926</v>
      </c>
      <c r="C603" s="11">
        <v>0.58189814814814811</v>
      </c>
      <c r="D603" s="12">
        <v>0.59070601851851856</v>
      </c>
    </row>
    <row r="604" spans="1:4" x14ac:dyDescent="0.35">
      <c r="A604" s="5">
        <v>3434934</v>
      </c>
      <c r="B604" s="6">
        <v>42926</v>
      </c>
      <c r="C604" s="7">
        <v>0.58254629629629628</v>
      </c>
      <c r="D604" s="8">
        <v>0.58601851851851849</v>
      </c>
    </row>
    <row r="605" spans="1:4" x14ac:dyDescent="0.35">
      <c r="A605" s="9">
        <v>97596112</v>
      </c>
      <c r="B605" s="10">
        <v>42926</v>
      </c>
      <c r="C605" s="11">
        <v>0.58351851851851855</v>
      </c>
      <c r="D605" s="12">
        <v>0.59368055555555554</v>
      </c>
    </row>
    <row r="606" spans="1:4" x14ac:dyDescent="0.35">
      <c r="A606" s="5">
        <v>1247125</v>
      </c>
      <c r="B606" s="6">
        <v>42926</v>
      </c>
      <c r="C606" s="7">
        <v>0.58575231481481482</v>
      </c>
      <c r="D606" s="8">
        <v>0.5935300925925926</v>
      </c>
    </row>
    <row r="607" spans="1:4" x14ac:dyDescent="0.35">
      <c r="A607" s="9">
        <v>6982652</v>
      </c>
      <c r="B607" s="10">
        <v>42926</v>
      </c>
      <c r="C607" s="11">
        <v>0.58677083333333335</v>
      </c>
      <c r="D607" s="12">
        <v>0.58759259259259256</v>
      </c>
    </row>
    <row r="608" spans="1:4" x14ac:dyDescent="0.35">
      <c r="A608" s="5">
        <v>11209967</v>
      </c>
      <c r="B608" s="6">
        <v>42926</v>
      </c>
      <c r="C608" s="7">
        <v>0.58877314814814818</v>
      </c>
      <c r="D608" s="8">
        <v>0.59027777777777779</v>
      </c>
    </row>
    <row r="609" spans="1:4" x14ac:dyDescent="0.35">
      <c r="A609" s="9">
        <v>6251788</v>
      </c>
      <c r="B609" s="10">
        <v>42926</v>
      </c>
      <c r="C609" s="11">
        <v>0.58910879629629631</v>
      </c>
      <c r="D609" s="12">
        <v>0.59431712962962968</v>
      </c>
    </row>
    <row r="610" spans="1:4" x14ac:dyDescent="0.35">
      <c r="A610" s="5">
        <v>8679036</v>
      </c>
      <c r="B610" s="6">
        <v>42926</v>
      </c>
      <c r="C610" s="7">
        <v>0.58976851851851853</v>
      </c>
      <c r="D610" s="8">
        <v>0.60074074074074069</v>
      </c>
    </row>
    <row r="611" spans="1:4" x14ac:dyDescent="0.35">
      <c r="A611" s="9">
        <v>1288637</v>
      </c>
      <c r="B611" s="10">
        <v>42926</v>
      </c>
      <c r="C611" s="11">
        <v>0.59277777777777774</v>
      </c>
      <c r="D611" s="12">
        <v>0.59365740740740736</v>
      </c>
    </row>
    <row r="612" spans="1:4" x14ac:dyDescent="0.35">
      <c r="A612" s="5">
        <v>4825302</v>
      </c>
      <c r="B612" s="6">
        <v>42926</v>
      </c>
      <c r="C612" s="7">
        <v>0.59670138888888891</v>
      </c>
      <c r="D612" s="8">
        <v>0.59701388888888884</v>
      </c>
    </row>
    <row r="613" spans="1:4" x14ac:dyDescent="0.35">
      <c r="A613" s="9">
        <v>5349562</v>
      </c>
      <c r="B613" s="10">
        <v>42926</v>
      </c>
      <c r="C613" s="11">
        <v>0.60041666666666671</v>
      </c>
      <c r="D613" s="12">
        <v>0.6095949074074074</v>
      </c>
    </row>
    <row r="614" spans="1:4" x14ac:dyDescent="0.35">
      <c r="A614" s="5">
        <v>5893512</v>
      </c>
      <c r="B614" s="6">
        <v>42926</v>
      </c>
      <c r="C614" s="7">
        <v>0.60517361111111112</v>
      </c>
      <c r="D614" s="8">
        <v>0.61063657407407412</v>
      </c>
    </row>
    <row r="615" spans="1:4" x14ac:dyDescent="0.35">
      <c r="A615" s="9">
        <v>7138804596</v>
      </c>
      <c r="B615" s="10">
        <v>42926</v>
      </c>
      <c r="C615" s="11">
        <v>0.60578703703703707</v>
      </c>
      <c r="D615" s="12">
        <v>0.61459490740740741</v>
      </c>
    </row>
    <row r="616" spans="1:4" x14ac:dyDescent="0.35">
      <c r="A616" s="5">
        <v>6468376</v>
      </c>
      <c r="B616" s="6">
        <v>42926</v>
      </c>
      <c r="C616" s="7">
        <v>0.61140046296296291</v>
      </c>
      <c r="D616" s="8">
        <v>0.61952546296296296</v>
      </c>
    </row>
    <row r="617" spans="1:4" x14ac:dyDescent="0.35">
      <c r="A617" s="9">
        <v>5076649</v>
      </c>
      <c r="B617" s="10">
        <v>42926</v>
      </c>
      <c r="C617" s="11">
        <v>0.61699074074074078</v>
      </c>
      <c r="D617" s="12">
        <v>0.62163194444444447</v>
      </c>
    </row>
    <row r="618" spans="1:4" x14ac:dyDescent="0.35">
      <c r="A618" s="5">
        <v>3494192</v>
      </c>
      <c r="B618" s="6">
        <v>42926</v>
      </c>
      <c r="C618" s="7">
        <v>0.62216435185185182</v>
      </c>
      <c r="D618" s="8">
        <v>0.62291666666666667</v>
      </c>
    </row>
    <row r="619" spans="1:4" x14ac:dyDescent="0.35">
      <c r="A619" s="9">
        <v>8150086</v>
      </c>
      <c r="B619" s="10">
        <v>42926</v>
      </c>
      <c r="C619" s="11">
        <v>0.6272685185185185</v>
      </c>
      <c r="D619" s="12">
        <v>0.63475694444444442</v>
      </c>
    </row>
    <row r="620" spans="1:4" x14ac:dyDescent="0.35">
      <c r="A620" s="5">
        <v>3934931</v>
      </c>
      <c r="B620" s="6">
        <v>42927</v>
      </c>
      <c r="C620" s="7">
        <v>0.3349537037037037</v>
      </c>
      <c r="D620" s="8">
        <v>0.3379861111111111</v>
      </c>
    </row>
    <row r="621" spans="1:4" x14ac:dyDescent="0.35">
      <c r="A621" s="9">
        <v>2111996</v>
      </c>
      <c r="B621" s="10">
        <v>42927</v>
      </c>
      <c r="C621" s="11">
        <v>0.33706018518518521</v>
      </c>
      <c r="D621" s="12">
        <v>0.33875</v>
      </c>
    </row>
    <row r="622" spans="1:4" x14ac:dyDescent="0.35">
      <c r="A622" s="5">
        <v>6484436</v>
      </c>
      <c r="B622" s="6">
        <v>42927</v>
      </c>
      <c r="C622" s="7">
        <v>0.34006944444444442</v>
      </c>
      <c r="D622" s="8">
        <v>0.3427546296296296</v>
      </c>
    </row>
    <row r="623" spans="1:4" x14ac:dyDescent="0.35">
      <c r="A623" s="9">
        <v>97646706</v>
      </c>
      <c r="B623" s="10">
        <v>42927</v>
      </c>
      <c r="C623" s="11">
        <v>0.34304398148148146</v>
      </c>
      <c r="D623" s="12">
        <v>0.34310185185185182</v>
      </c>
    </row>
    <row r="624" spans="1:4" x14ac:dyDescent="0.35">
      <c r="A624" s="5">
        <v>9932676</v>
      </c>
      <c r="B624" s="6">
        <v>42927</v>
      </c>
      <c r="C624" s="7">
        <v>0.34778935185185184</v>
      </c>
      <c r="D624" s="8">
        <v>0.35474537037037035</v>
      </c>
    </row>
    <row r="625" spans="1:4" x14ac:dyDescent="0.35">
      <c r="A625" s="9">
        <v>6062869</v>
      </c>
      <c r="B625" s="10">
        <v>42927</v>
      </c>
      <c r="C625" s="11">
        <v>0.3513425925925926</v>
      </c>
      <c r="D625" s="12">
        <v>0.35505787037037034</v>
      </c>
    </row>
    <row r="626" spans="1:4" x14ac:dyDescent="0.35">
      <c r="A626" s="5">
        <v>2828759</v>
      </c>
      <c r="B626" s="6">
        <v>42927</v>
      </c>
      <c r="C626" s="7">
        <v>0.35575231481481484</v>
      </c>
      <c r="D626" s="8">
        <v>0.35851851851851851</v>
      </c>
    </row>
    <row r="627" spans="1:4" x14ac:dyDescent="0.35">
      <c r="A627" s="9">
        <v>7215284</v>
      </c>
      <c r="B627" s="10">
        <v>42927</v>
      </c>
      <c r="C627" s="11">
        <v>0.3596759259259259</v>
      </c>
      <c r="D627" s="12">
        <v>0.36363425925925924</v>
      </c>
    </row>
    <row r="628" spans="1:4" x14ac:dyDescent="0.35">
      <c r="A628" s="5">
        <v>1384299</v>
      </c>
      <c r="B628" s="6">
        <v>42927</v>
      </c>
      <c r="C628" s="7">
        <v>0.36203703703703705</v>
      </c>
      <c r="D628" s="8">
        <v>0.37155092592592592</v>
      </c>
    </row>
    <row r="629" spans="1:4" x14ac:dyDescent="0.35">
      <c r="A629" s="9">
        <v>2486941</v>
      </c>
      <c r="B629" s="10">
        <v>42927</v>
      </c>
      <c r="C629" s="11">
        <v>0.36394675925925923</v>
      </c>
      <c r="D629" s="12">
        <v>0.36422453703703705</v>
      </c>
    </row>
    <row r="630" spans="1:4" x14ac:dyDescent="0.35">
      <c r="A630" s="5">
        <v>6561564994</v>
      </c>
      <c r="B630" s="6">
        <v>42927</v>
      </c>
      <c r="C630" s="7">
        <v>0.36930555555555555</v>
      </c>
      <c r="D630" s="8">
        <v>0.37052083333333335</v>
      </c>
    </row>
    <row r="631" spans="1:4" x14ac:dyDescent="0.35">
      <c r="A631" s="9">
        <v>1207918</v>
      </c>
      <c r="B631" s="10">
        <v>42927</v>
      </c>
      <c r="C631" s="11">
        <v>0.37410879629629629</v>
      </c>
      <c r="D631" s="12">
        <v>0.3767361111111111</v>
      </c>
    </row>
    <row r="632" spans="1:4" x14ac:dyDescent="0.35">
      <c r="A632" s="5">
        <v>66800387</v>
      </c>
      <c r="B632" s="6">
        <v>42927</v>
      </c>
      <c r="C632" s="7">
        <v>0.37684027777777779</v>
      </c>
      <c r="D632" s="8">
        <v>0.38072916666666667</v>
      </c>
    </row>
    <row r="633" spans="1:4" x14ac:dyDescent="0.35">
      <c r="A633" s="9">
        <v>49093359</v>
      </c>
      <c r="B633" s="10">
        <v>42927</v>
      </c>
      <c r="C633" s="11">
        <v>0.37695601851851851</v>
      </c>
      <c r="D633" s="12">
        <v>0.38138888888888889</v>
      </c>
    </row>
    <row r="634" spans="1:4" x14ac:dyDescent="0.35">
      <c r="A634" s="5">
        <v>2252239</v>
      </c>
      <c r="B634" s="6">
        <v>42927</v>
      </c>
      <c r="C634" s="7">
        <v>0.38233796296296296</v>
      </c>
      <c r="D634" s="8">
        <v>0.39034722222222223</v>
      </c>
    </row>
    <row r="635" spans="1:4" x14ac:dyDescent="0.35">
      <c r="A635" s="9">
        <v>4925279</v>
      </c>
      <c r="B635" s="10">
        <v>42927</v>
      </c>
      <c r="C635" s="11">
        <v>0.3850925925925926</v>
      </c>
      <c r="D635" s="12">
        <v>0.38929398148148148</v>
      </c>
    </row>
    <row r="636" spans="1:4" x14ac:dyDescent="0.35">
      <c r="A636" s="5">
        <v>25459710</v>
      </c>
      <c r="B636" s="6">
        <v>42927</v>
      </c>
      <c r="C636" s="7">
        <v>0.38797453703703705</v>
      </c>
      <c r="D636" s="8">
        <v>0.39458333333333334</v>
      </c>
    </row>
    <row r="637" spans="1:4" x14ac:dyDescent="0.35">
      <c r="A637" s="9">
        <v>3943994</v>
      </c>
      <c r="B637" s="10">
        <v>42927</v>
      </c>
      <c r="C637" s="11">
        <v>0.39199074074074075</v>
      </c>
      <c r="D637" s="12">
        <v>0.39934027777777775</v>
      </c>
    </row>
    <row r="638" spans="1:4" x14ac:dyDescent="0.35">
      <c r="A638" s="5">
        <v>2109147679</v>
      </c>
      <c r="B638" s="6">
        <v>42927</v>
      </c>
      <c r="C638" s="7">
        <v>0.39260416666666664</v>
      </c>
      <c r="D638" s="8">
        <v>0.40322916666666669</v>
      </c>
    </row>
    <row r="639" spans="1:4" x14ac:dyDescent="0.35">
      <c r="A639" s="9">
        <v>9967649</v>
      </c>
      <c r="B639" s="10">
        <v>42927</v>
      </c>
      <c r="C639" s="11">
        <v>0.39659722222222221</v>
      </c>
      <c r="D639" s="12">
        <v>0.4042824074074074</v>
      </c>
    </row>
    <row r="640" spans="1:4" x14ac:dyDescent="0.35">
      <c r="A640" s="5">
        <v>2947660</v>
      </c>
      <c r="B640" s="6">
        <v>42927</v>
      </c>
      <c r="C640" s="7">
        <v>0.39817129629629627</v>
      </c>
      <c r="D640" s="8">
        <v>0.4045023148148148</v>
      </c>
    </row>
    <row r="641" spans="1:4" x14ac:dyDescent="0.35">
      <c r="A641" s="9">
        <v>6492842</v>
      </c>
      <c r="B641" s="10">
        <v>42927</v>
      </c>
      <c r="C641" s="11">
        <v>0.40379629629629632</v>
      </c>
      <c r="D641" s="12">
        <v>0.4100462962962963</v>
      </c>
    </row>
    <row r="642" spans="1:4" x14ac:dyDescent="0.35">
      <c r="A642" s="5">
        <v>70730125</v>
      </c>
      <c r="B642" s="6">
        <v>42927</v>
      </c>
      <c r="C642" s="7">
        <v>0.40777777777777779</v>
      </c>
      <c r="D642" s="8">
        <v>0.4181597222222222</v>
      </c>
    </row>
    <row r="643" spans="1:4" x14ac:dyDescent="0.35">
      <c r="A643" s="9">
        <v>4056361</v>
      </c>
      <c r="B643" s="10">
        <v>42927</v>
      </c>
      <c r="C643" s="11">
        <v>0.41239583333333335</v>
      </c>
      <c r="D643" s="12">
        <v>0.41844907407407406</v>
      </c>
    </row>
    <row r="644" spans="1:4" x14ac:dyDescent="0.35">
      <c r="A644" s="5">
        <v>12721215</v>
      </c>
      <c r="B644" s="6">
        <v>42927</v>
      </c>
      <c r="C644" s="7">
        <v>0.41431712962962963</v>
      </c>
      <c r="D644" s="8">
        <v>0.41986111111111113</v>
      </c>
    </row>
    <row r="645" spans="1:4" x14ac:dyDescent="0.35">
      <c r="A645" s="9">
        <v>4566750</v>
      </c>
      <c r="B645" s="10">
        <v>42927</v>
      </c>
      <c r="C645" s="11">
        <v>0.41666666666666669</v>
      </c>
      <c r="D645" s="12">
        <v>0.42190972222222223</v>
      </c>
    </row>
    <row r="646" spans="1:4" x14ac:dyDescent="0.35">
      <c r="A646" s="5">
        <v>7279106</v>
      </c>
      <c r="B646" s="6">
        <v>42927</v>
      </c>
      <c r="C646" s="7">
        <v>0.41935185185185186</v>
      </c>
      <c r="D646" s="8">
        <v>0.43002314814814813</v>
      </c>
    </row>
    <row r="647" spans="1:4" x14ac:dyDescent="0.35">
      <c r="A647" s="9">
        <v>3824660</v>
      </c>
      <c r="B647" s="10">
        <v>42927</v>
      </c>
      <c r="C647" s="11">
        <v>0.4238425925925926</v>
      </c>
      <c r="D647" s="12">
        <v>0.4321875</v>
      </c>
    </row>
    <row r="648" spans="1:4" x14ac:dyDescent="0.35">
      <c r="A648" s="5">
        <v>5815339</v>
      </c>
      <c r="B648" s="6">
        <v>42927</v>
      </c>
      <c r="C648" s="7">
        <v>0.42818287037037039</v>
      </c>
      <c r="D648" s="8">
        <v>0.43273148148148149</v>
      </c>
    </row>
    <row r="649" spans="1:4" x14ac:dyDescent="0.35">
      <c r="A649" s="9">
        <v>77946476</v>
      </c>
      <c r="B649" s="10">
        <v>42927</v>
      </c>
      <c r="C649" s="11">
        <v>0.42995370370370373</v>
      </c>
      <c r="D649" s="12">
        <v>0.43024305555555553</v>
      </c>
    </row>
    <row r="650" spans="1:4" x14ac:dyDescent="0.35">
      <c r="A650" s="5">
        <v>84589848</v>
      </c>
      <c r="B650" s="6">
        <v>42927</v>
      </c>
      <c r="C650" s="7">
        <v>0.43539351851851854</v>
      </c>
      <c r="D650" s="8">
        <v>0.43763888888888891</v>
      </c>
    </row>
    <row r="651" spans="1:4" x14ac:dyDescent="0.35">
      <c r="A651" s="9">
        <v>4501823</v>
      </c>
      <c r="B651" s="10">
        <v>42927</v>
      </c>
      <c r="C651" s="11">
        <v>0.44013888888888891</v>
      </c>
      <c r="D651" s="12">
        <v>0.44690972222222225</v>
      </c>
    </row>
    <row r="652" spans="1:4" x14ac:dyDescent="0.35">
      <c r="A652" s="5">
        <v>38244568</v>
      </c>
      <c r="B652" s="6">
        <v>42927</v>
      </c>
      <c r="C652" s="7">
        <v>0.44381944444444443</v>
      </c>
      <c r="D652" s="8">
        <v>0.45199074074074075</v>
      </c>
    </row>
    <row r="653" spans="1:4" x14ac:dyDescent="0.35">
      <c r="A653" s="9">
        <v>3613950</v>
      </c>
      <c r="B653" s="10">
        <v>42927</v>
      </c>
      <c r="C653" s="11">
        <v>0.44657407407407407</v>
      </c>
      <c r="D653" s="12">
        <v>0.44774305555555555</v>
      </c>
    </row>
    <row r="654" spans="1:4" x14ac:dyDescent="0.35">
      <c r="A654" s="5">
        <v>5750819</v>
      </c>
      <c r="B654" s="6">
        <v>42927</v>
      </c>
      <c r="C654" s="7">
        <v>0.44751157407407405</v>
      </c>
      <c r="D654" s="8">
        <v>0.45284722222222223</v>
      </c>
    </row>
    <row r="655" spans="1:4" x14ac:dyDescent="0.35">
      <c r="A655" s="9">
        <v>63291235</v>
      </c>
      <c r="B655" s="10">
        <v>42927</v>
      </c>
      <c r="C655" s="11">
        <v>0.45091435185185186</v>
      </c>
      <c r="D655" s="12">
        <v>0.45429398148148148</v>
      </c>
    </row>
    <row r="656" spans="1:4" x14ac:dyDescent="0.35">
      <c r="A656" s="5">
        <v>3198725</v>
      </c>
      <c r="B656" s="6">
        <v>42927</v>
      </c>
      <c r="C656" s="7">
        <v>0.45157407407407407</v>
      </c>
      <c r="D656" s="8">
        <v>0.45738425925925924</v>
      </c>
    </row>
    <row r="657" spans="1:4" x14ac:dyDescent="0.35">
      <c r="A657" s="9">
        <v>6248157784</v>
      </c>
      <c r="B657" s="10">
        <v>42927</v>
      </c>
      <c r="C657" s="11">
        <v>0.45475694444444442</v>
      </c>
      <c r="D657" s="12">
        <v>0.4566898148148148</v>
      </c>
    </row>
    <row r="658" spans="1:4" x14ac:dyDescent="0.35">
      <c r="A658" s="5">
        <v>6607648</v>
      </c>
      <c r="B658" s="6">
        <v>42927</v>
      </c>
      <c r="C658" s="7">
        <v>0.45873842592592595</v>
      </c>
      <c r="D658" s="8">
        <v>0.46986111111111112</v>
      </c>
    </row>
    <row r="659" spans="1:4" x14ac:dyDescent="0.35">
      <c r="A659" s="9">
        <v>5340881</v>
      </c>
      <c r="B659" s="10">
        <v>42927</v>
      </c>
      <c r="C659" s="11">
        <v>0.46413194444444444</v>
      </c>
      <c r="D659" s="12">
        <v>0.46585648148148145</v>
      </c>
    </row>
    <row r="660" spans="1:4" x14ac:dyDescent="0.35">
      <c r="A660" s="5">
        <v>99162491</v>
      </c>
      <c r="B660" s="6">
        <v>42927</v>
      </c>
      <c r="C660" s="7">
        <v>0.46738425925925925</v>
      </c>
      <c r="D660" s="8">
        <v>0.46800925925925924</v>
      </c>
    </row>
    <row r="661" spans="1:4" x14ac:dyDescent="0.35">
      <c r="A661" s="9">
        <v>3072421</v>
      </c>
      <c r="B661" s="10">
        <v>42927</v>
      </c>
      <c r="C661" s="11">
        <v>0.46942129629629631</v>
      </c>
      <c r="D661" s="12">
        <v>0.47766203703703702</v>
      </c>
    </row>
    <row r="662" spans="1:4" x14ac:dyDescent="0.35">
      <c r="A662" s="5">
        <v>1909553</v>
      </c>
      <c r="B662" s="6">
        <v>42927</v>
      </c>
      <c r="C662" s="7">
        <v>0.47193287037037035</v>
      </c>
      <c r="D662" s="8">
        <v>0.47763888888888889</v>
      </c>
    </row>
    <row r="663" spans="1:4" x14ac:dyDescent="0.35">
      <c r="A663" s="9">
        <v>62836073</v>
      </c>
      <c r="B663" s="10">
        <v>42927</v>
      </c>
      <c r="C663" s="11">
        <v>0.47739583333333335</v>
      </c>
      <c r="D663" s="12">
        <v>0.48168981481481482</v>
      </c>
    </row>
    <row r="664" spans="1:4" x14ac:dyDescent="0.35">
      <c r="A664" s="5">
        <v>9566647</v>
      </c>
      <c r="B664" s="6">
        <v>42927</v>
      </c>
      <c r="C664" s="7">
        <v>0.48005787037037034</v>
      </c>
      <c r="D664" s="8">
        <v>0.48971064814814813</v>
      </c>
    </row>
    <row r="665" spans="1:4" x14ac:dyDescent="0.35">
      <c r="A665" s="9">
        <v>5833452</v>
      </c>
      <c r="B665" s="10">
        <v>42927</v>
      </c>
      <c r="C665" s="11">
        <v>0.48511574074074076</v>
      </c>
      <c r="D665" s="12">
        <v>0.49502314814814813</v>
      </c>
    </row>
    <row r="666" spans="1:4" x14ac:dyDescent="0.35">
      <c r="A666" s="5">
        <v>10760583</v>
      </c>
      <c r="B666" s="6">
        <v>42927</v>
      </c>
      <c r="C666" s="7">
        <v>0.48994212962962963</v>
      </c>
      <c r="D666" s="8">
        <v>0.4914351851851852</v>
      </c>
    </row>
    <row r="667" spans="1:4" x14ac:dyDescent="0.35">
      <c r="A667" s="9">
        <v>39669014</v>
      </c>
      <c r="B667" s="10">
        <v>42927</v>
      </c>
      <c r="C667" s="11">
        <v>0.49035879629629631</v>
      </c>
      <c r="D667" s="12">
        <v>0.49082175925925925</v>
      </c>
    </row>
    <row r="668" spans="1:4" x14ac:dyDescent="0.35">
      <c r="A668" s="5">
        <v>5147651</v>
      </c>
      <c r="B668" s="6">
        <v>42927</v>
      </c>
      <c r="C668" s="7">
        <v>0.49399305555555556</v>
      </c>
      <c r="D668" s="8">
        <v>0.4959027777777778</v>
      </c>
    </row>
    <row r="669" spans="1:4" x14ac:dyDescent="0.35">
      <c r="A669" s="9">
        <v>41144838</v>
      </c>
      <c r="B669" s="10">
        <v>42927</v>
      </c>
      <c r="C669" s="11">
        <v>0.49949074074074074</v>
      </c>
      <c r="D669" s="12">
        <v>0.50931712962962961</v>
      </c>
    </row>
    <row r="670" spans="1:4" x14ac:dyDescent="0.35">
      <c r="A670" s="5">
        <v>1332513</v>
      </c>
      <c r="B670" s="6">
        <v>42927</v>
      </c>
      <c r="C670" s="7">
        <v>0.50326388888888884</v>
      </c>
      <c r="D670" s="8">
        <v>0.50407407407407412</v>
      </c>
    </row>
    <row r="671" spans="1:4" x14ac:dyDescent="0.35">
      <c r="A671" s="9">
        <v>7743548</v>
      </c>
      <c r="B671" s="10">
        <v>42927</v>
      </c>
      <c r="C671" s="11">
        <v>0.50376157407407407</v>
      </c>
      <c r="D671" s="12">
        <v>0.50907407407407412</v>
      </c>
    </row>
    <row r="672" spans="1:4" x14ac:dyDescent="0.35">
      <c r="A672" s="5">
        <v>7451541965</v>
      </c>
      <c r="B672" s="6">
        <v>42927</v>
      </c>
      <c r="C672" s="7">
        <v>0.50866898148148143</v>
      </c>
      <c r="D672" s="8">
        <v>0.51324074074074078</v>
      </c>
    </row>
    <row r="673" spans="1:4" x14ac:dyDescent="0.35">
      <c r="A673" s="9">
        <v>2109147679</v>
      </c>
      <c r="B673" s="10">
        <v>42927</v>
      </c>
      <c r="C673" s="11">
        <v>0.51282407407407404</v>
      </c>
      <c r="D673" s="12">
        <v>0.51666666666666672</v>
      </c>
    </row>
    <row r="674" spans="1:4" x14ac:dyDescent="0.35">
      <c r="A674" s="5">
        <v>5022247</v>
      </c>
      <c r="B674" s="6">
        <v>42927</v>
      </c>
      <c r="C674" s="7">
        <v>0.51854166666666668</v>
      </c>
      <c r="D674" s="8">
        <v>0.52810185185185188</v>
      </c>
    </row>
    <row r="675" spans="1:4" x14ac:dyDescent="0.35">
      <c r="A675" s="9">
        <v>2920581</v>
      </c>
      <c r="B675" s="10">
        <v>42927</v>
      </c>
      <c r="C675" s="11">
        <v>0.52399305555555553</v>
      </c>
      <c r="D675" s="12">
        <v>0.53120370370370373</v>
      </c>
    </row>
    <row r="676" spans="1:4" x14ac:dyDescent="0.35">
      <c r="A676" s="5">
        <v>7126980</v>
      </c>
      <c r="B676" s="6">
        <v>42927</v>
      </c>
      <c r="C676" s="7">
        <v>0.52592592592592591</v>
      </c>
      <c r="D676" s="8">
        <v>0.53515046296296298</v>
      </c>
    </row>
    <row r="677" spans="1:4" x14ac:dyDescent="0.35">
      <c r="A677" s="9">
        <v>54006070</v>
      </c>
      <c r="B677" s="10">
        <v>42927</v>
      </c>
      <c r="C677" s="11">
        <v>0.53164351851851854</v>
      </c>
      <c r="D677" s="12">
        <v>0.53324074074074079</v>
      </c>
    </row>
    <row r="678" spans="1:4" x14ac:dyDescent="0.35">
      <c r="A678" s="5">
        <v>8672651</v>
      </c>
      <c r="B678" s="6">
        <v>42927</v>
      </c>
      <c r="C678" s="7">
        <v>0.53401620370370373</v>
      </c>
      <c r="D678" s="8">
        <v>0.54462962962962957</v>
      </c>
    </row>
    <row r="679" spans="1:4" x14ac:dyDescent="0.35">
      <c r="A679" s="9">
        <v>54136845</v>
      </c>
      <c r="B679" s="10">
        <v>42927</v>
      </c>
      <c r="C679" s="11">
        <v>0.53920138888888891</v>
      </c>
      <c r="D679" s="12">
        <v>0.54092592592592592</v>
      </c>
    </row>
    <row r="680" spans="1:4" x14ac:dyDescent="0.35">
      <c r="A680" s="5">
        <v>5223970</v>
      </c>
      <c r="B680" s="6">
        <v>42927</v>
      </c>
      <c r="C680" s="7">
        <v>0.53920138888888891</v>
      </c>
      <c r="D680" s="8">
        <v>0.55046296296296293</v>
      </c>
    </row>
    <row r="681" spans="1:4" x14ac:dyDescent="0.35">
      <c r="A681" s="9">
        <v>4264808</v>
      </c>
      <c r="B681" s="10">
        <v>42927</v>
      </c>
      <c r="C681" s="11">
        <v>0.53950231481481481</v>
      </c>
      <c r="D681" s="12">
        <v>0.55071759259259256</v>
      </c>
    </row>
    <row r="682" spans="1:4" x14ac:dyDescent="0.35">
      <c r="A682" s="5">
        <v>5790304</v>
      </c>
      <c r="B682" s="6">
        <v>42927</v>
      </c>
      <c r="C682" s="7">
        <v>0.539525462962963</v>
      </c>
      <c r="D682" s="8">
        <v>0.54025462962962967</v>
      </c>
    </row>
    <row r="683" spans="1:4" x14ac:dyDescent="0.35">
      <c r="A683" s="9">
        <v>13484133</v>
      </c>
      <c r="B683" s="10">
        <v>42927</v>
      </c>
      <c r="C683" s="11">
        <v>0.54137731481481477</v>
      </c>
      <c r="D683" s="12">
        <v>0.54577546296296298</v>
      </c>
    </row>
    <row r="684" spans="1:4" x14ac:dyDescent="0.35">
      <c r="A684" s="5">
        <v>6269166</v>
      </c>
      <c r="B684" s="6">
        <v>42927</v>
      </c>
      <c r="C684" s="7">
        <v>0.54408564814814819</v>
      </c>
      <c r="D684" s="8">
        <v>0.55355324074074075</v>
      </c>
    </row>
    <row r="685" spans="1:4" x14ac:dyDescent="0.35">
      <c r="A685" s="9">
        <v>5089019</v>
      </c>
      <c r="B685" s="10">
        <v>42927</v>
      </c>
      <c r="C685" s="11">
        <v>0.54431712962962964</v>
      </c>
      <c r="D685" s="12">
        <v>0.54921296296296296</v>
      </c>
    </row>
    <row r="686" spans="1:4" x14ac:dyDescent="0.35">
      <c r="A686" s="5">
        <v>6994188</v>
      </c>
      <c r="B686" s="6">
        <v>42927</v>
      </c>
      <c r="C686" s="7">
        <v>0.54797453703703702</v>
      </c>
      <c r="D686" s="8">
        <v>0.55550925925925931</v>
      </c>
    </row>
    <row r="687" spans="1:4" x14ac:dyDescent="0.35">
      <c r="A687" s="9">
        <v>16883712</v>
      </c>
      <c r="B687" s="10">
        <v>42927</v>
      </c>
      <c r="C687" s="11">
        <v>0.55070601851851853</v>
      </c>
      <c r="D687" s="12">
        <v>0.55662037037037038</v>
      </c>
    </row>
    <row r="688" spans="1:4" x14ac:dyDescent="0.35">
      <c r="A688" s="5">
        <v>2781512</v>
      </c>
      <c r="B688" s="6">
        <v>42927</v>
      </c>
      <c r="C688" s="7">
        <v>0.55374999999999996</v>
      </c>
      <c r="D688" s="8">
        <v>0.56312499999999999</v>
      </c>
    </row>
    <row r="689" spans="1:4" x14ac:dyDescent="0.35">
      <c r="A689" s="9">
        <v>4273704</v>
      </c>
      <c r="B689" s="10">
        <v>42927</v>
      </c>
      <c r="C689" s="11">
        <v>0.554224537037037</v>
      </c>
      <c r="D689" s="12">
        <v>0.56221064814814814</v>
      </c>
    </row>
    <row r="690" spans="1:4" x14ac:dyDescent="0.35">
      <c r="A690" s="5">
        <v>3707498</v>
      </c>
      <c r="B690" s="6">
        <v>42927</v>
      </c>
      <c r="C690" s="7">
        <v>0.55982638888888892</v>
      </c>
      <c r="D690" s="8">
        <v>0.56802083333333331</v>
      </c>
    </row>
    <row r="691" spans="1:4" x14ac:dyDescent="0.35">
      <c r="A691" s="9">
        <v>3407358</v>
      </c>
      <c r="B691" s="10">
        <v>42927</v>
      </c>
      <c r="C691" s="11">
        <v>0.56560185185185186</v>
      </c>
      <c r="D691" s="12">
        <v>0.56677083333333333</v>
      </c>
    </row>
    <row r="692" spans="1:4" x14ac:dyDescent="0.35">
      <c r="A692" s="5">
        <v>5251861</v>
      </c>
      <c r="B692" s="6">
        <v>42927</v>
      </c>
      <c r="C692" s="7">
        <v>0.56940972222222219</v>
      </c>
      <c r="D692" s="8">
        <v>0.57149305555555552</v>
      </c>
    </row>
    <row r="693" spans="1:4" x14ac:dyDescent="0.35">
      <c r="A693" s="9">
        <v>7473070</v>
      </c>
      <c r="B693" s="10">
        <v>42927</v>
      </c>
      <c r="C693" s="11">
        <v>0.57185185185185183</v>
      </c>
      <c r="D693" s="12">
        <v>0.58304398148148151</v>
      </c>
    </row>
    <row r="694" spans="1:4" x14ac:dyDescent="0.35">
      <c r="A694" s="5">
        <v>3596504</v>
      </c>
      <c r="B694" s="6">
        <v>42927</v>
      </c>
      <c r="C694" s="7">
        <v>0.57592592592592595</v>
      </c>
      <c r="D694" s="8">
        <v>0.58302083333333332</v>
      </c>
    </row>
    <row r="695" spans="1:4" x14ac:dyDescent="0.35">
      <c r="A695" s="9">
        <v>9620982</v>
      </c>
      <c r="B695" s="10">
        <v>42927</v>
      </c>
      <c r="C695" s="11">
        <v>0.57593749999999999</v>
      </c>
      <c r="D695" s="12">
        <v>0.58310185185185182</v>
      </c>
    </row>
    <row r="696" spans="1:4" x14ac:dyDescent="0.35">
      <c r="A696" s="5">
        <v>93696449</v>
      </c>
      <c r="B696" s="6">
        <v>42927</v>
      </c>
      <c r="C696" s="7">
        <v>0.57939814814814816</v>
      </c>
      <c r="D696" s="8">
        <v>0.5795717592592593</v>
      </c>
    </row>
    <row r="697" spans="1:4" x14ac:dyDescent="0.35">
      <c r="A697" s="9">
        <v>6833658</v>
      </c>
      <c r="B697" s="10">
        <v>42927</v>
      </c>
      <c r="C697" s="11">
        <v>0.5823842592592593</v>
      </c>
      <c r="D697" s="12">
        <v>0.58479166666666671</v>
      </c>
    </row>
    <row r="698" spans="1:4" x14ac:dyDescent="0.35">
      <c r="A698" s="5">
        <v>85422307</v>
      </c>
      <c r="B698" s="6">
        <v>42927</v>
      </c>
      <c r="C698" s="7">
        <v>0.58656249999999999</v>
      </c>
      <c r="D698" s="8">
        <v>0.59008101851851846</v>
      </c>
    </row>
    <row r="699" spans="1:4" x14ac:dyDescent="0.35">
      <c r="A699" s="9">
        <v>6191682</v>
      </c>
      <c r="B699" s="10">
        <v>42927</v>
      </c>
      <c r="C699" s="11">
        <v>0.58711805555555552</v>
      </c>
      <c r="D699" s="12">
        <v>0.59739583333333335</v>
      </c>
    </row>
    <row r="700" spans="1:4" x14ac:dyDescent="0.35">
      <c r="A700" s="5">
        <v>6461167</v>
      </c>
      <c r="B700" s="6">
        <v>42927</v>
      </c>
      <c r="C700" s="7">
        <v>0.5889699074074074</v>
      </c>
      <c r="D700" s="8">
        <v>0.59409722222222228</v>
      </c>
    </row>
    <row r="701" spans="1:4" x14ac:dyDescent="0.35">
      <c r="A701" s="9">
        <v>8270097</v>
      </c>
      <c r="B701" s="10">
        <v>42927</v>
      </c>
      <c r="C701" s="11">
        <v>0.5900347222222222</v>
      </c>
      <c r="D701" s="12">
        <v>0.59217592592592594</v>
      </c>
    </row>
    <row r="702" spans="1:4" x14ac:dyDescent="0.35">
      <c r="A702" s="5">
        <v>8982137</v>
      </c>
      <c r="B702" s="6">
        <v>42927</v>
      </c>
      <c r="C702" s="7">
        <v>0.59010416666666665</v>
      </c>
      <c r="D702" s="8">
        <v>0.59864583333333332</v>
      </c>
    </row>
    <row r="703" spans="1:4" x14ac:dyDescent="0.35">
      <c r="A703" s="9">
        <v>47677051</v>
      </c>
      <c r="B703" s="10">
        <v>42927</v>
      </c>
      <c r="C703" s="11">
        <v>0.59370370370370373</v>
      </c>
      <c r="D703" s="12">
        <v>0.60396990740740741</v>
      </c>
    </row>
    <row r="704" spans="1:4" x14ac:dyDescent="0.35">
      <c r="A704" s="5">
        <v>76139570</v>
      </c>
      <c r="B704" s="6">
        <v>42927</v>
      </c>
      <c r="C704" s="7">
        <v>0.59593750000000001</v>
      </c>
      <c r="D704" s="8">
        <v>0.6004976851851852</v>
      </c>
    </row>
    <row r="705" spans="1:4" x14ac:dyDescent="0.35">
      <c r="A705" s="9">
        <v>62016185</v>
      </c>
      <c r="B705" s="10">
        <v>42927</v>
      </c>
      <c r="C705" s="11">
        <v>0.60037037037037033</v>
      </c>
      <c r="D705" s="12">
        <v>0.60719907407407403</v>
      </c>
    </row>
    <row r="706" spans="1:4" x14ac:dyDescent="0.35">
      <c r="A706" s="5">
        <v>93696449</v>
      </c>
      <c r="B706" s="6">
        <v>42927</v>
      </c>
      <c r="C706" s="7">
        <v>0.60077546296296291</v>
      </c>
      <c r="D706" s="8">
        <v>0.60853009259259261</v>
      </c>
    </row>
    <row r="707" spans="1:4" x14ac:dyDescent="0.35">
      <c r="A707" s="9">
        <v>7914439</v>
      </c>
      <c r="B707" s="10">
        <v>42927</v>
      </c>
      <c r="C707" s="11">
        <v>0.60320601851851852</v>
      </c>
      <c r="D707" s="12">
        <v>0.61459490740740741</v>
      </c>
    </row>
    <row r="708" spans="1:4" x14ac:dyDescent="0.35">
      <c r="A708" s="5">
        <v>38047574</v>
      </c>
      <c r="B708" s="6">
        <v>42927</v>
      </c>
      <c r="C708" s="7">
        <v>0.60721064814814818</v>
      </c>
      <c r="D708" s="8">
        <v>0.61490740740740746</v>
      </c>
    </row>
    <row r="709" spans="1:4" x14ac:dyDescent="0.35">
      <c r="A709" s="9">
        <v>3184339</v>
      </c>
      <c r="B709" s="10">
        <v>42927</v>
      </c>
      <c r="C709" s="11">
        <v>0.61179398148148145</v>
      </c>
      <c r="D709" s="12">
        <v>0.61260416666666662</v>
      </c>
    </row>
    <row r="710" spans="1:4" x14ac:dyDescent="0.35">
      <c r="A710" s="5">
        <v>8126744698</v>
      </c>
      <c r="B710" s="6">
        <v>42927</v>
      </c>
      <c r="C710" s="7">
        <v>0.61664351851851851</v>
      </c>
      <c r="D710" s="8">
        <v>0.61856481481481485</v>
      </c>
    </row>
    <row r="711" spans="1:4" x14ac:dyDescent="0.35">
      <c r="A711" s="9">
        <v>52391912</v>
      </c>
      <c r="B711" s="10">
        <v>42927</v>
      </c>
      <c r="C711" s="11">
        <v>0.62067129629629625</v>
      </c>
      <c r="D711" s="12">
        <v>0.62475694444444441</v>
      </c>
    </row>
    <row r="712" spans="1:4" x14ac:dyDescent="0.35">
      <c r="A712" s="5">
        <v>1223943</v>
      </c>
      <c r="B712" s="6">
        <v>42927</v>
      </c>
      <c r="C712" s="7">
        <v>0.6252199074074074</v>
      </c>
      <c r="D712" s="8">
        <v>0.63226851851851851</v>
      </c>
    </row>
    <row r="713" spans="1:4" x14ac:dyDescent="0.35">
      <c r="A713" s="9">
        <v>14201334</v>
      </c>
      <c r="B713" s="10">
        <v>42928</v>
      </c>
      <c r="C713" s="11">
        <v>0.33568287037037037</v>
      </c>
      <c r="D713" s="12">
        <v>0.34125</v>
      </c>
    </row>
    <row r="714" spans="1:4" x14ac:dyDescent="0.35">
      <c r="A714" s="5">
        <v>1972250241</v>
      </c>
      <c r="B714" s="6">
        <v>42928</v>
      </c>
      <c r="C714" s="7">
        <v>0.33716435185185184</v>
      </c>
      <c r="D714" s="8">
        <v>0.33778935185185183</v>
      </c>
    </row>
    <row r="715" spans="1:4" x14ac:dyDescent="0.35">
      <c r="A715" s="9">
        <v>3028093</v>
      </c>
      <c r="B715" s="10">
        <v>42928</v>
      </c>
      <c r="C715" s="11">
        <v>0.34185185185185185</v>
      </c>
      <c r="D715" s="12">
        <v>0.34375</v>
      </c>
    </row>
    <row r="716" spans="1:4" x14ac:dyDescent="0.35">
      <c r="A716" s="5">
        <v>27487200</v>
      </c>
      <c r="B716" s="6">
        <v>42928</v>
      </c>
      <c r="C716" s="7">
        <v>0.34646990740740741</v>
      </c>
      <c r="D716" s="8">
        <v>0.3550462962962963</v>
      </c>
    </row>
    <row r="717" spans="1:4" x14ac:dyDescent="0.35">
      <c r="A717" s="9">
        <v>7377702</v>
      </c>
      <c r="B717" s="10">
        <v>42928</v>
      </c>
      <c r="C717" s="11">
        <v>0.34722222222222221</v>
      </c>
      <c r="D717" s="12">
        <v>0.3532986111111111</v>
      </c>
    </row>
    <row r="718" spans="1:4" x14ac:dyDescent="0.35">
      <c r="A718" s="5">
        <v>9294571</v>
      </c>
      <c r="B718" s="6">
        <v>42928</v>
      </c>
      <c r="C718" s="7">
        <v>0.35115740740740742</v>
      </c>
      <c r="D718" s="8">
        <v>0.35447916666666668</v>
      </c>
    </row>
    <row r="719" spans="1:4" x14ac:dyDescent="0.35">
      <c r="A719" s="9">
        <v>6865106</v>
      </c>
      <c r="B719" s="10">
        <v>42928</v>
      </c>
      <c r="C719" s="11">
        <v>0.35636574074074073</v>
      </c>
      <c r="D719" s="12">
        <v>0.36511574074074077</v>
      </c>
    </row>
    <row r="720" spans="1:4" x14ac:dyDescent="0.35">
      <c r="A720" s="5">
        <v>62086163</v>
      </c>
      <c r="B720" s="6">
        <v>42928</v>
      </c>
      <c r="C720" s="7">
        <v>0.36060185185185184</v>
      </c>
      <c r="D720" s="8">
        <v>0.36312499999999998</v>
      </c>
    </row>
    <row r="721" spans="1:4" x14ac:dyDescent="0.35">
      <c r="A721" s="9">
        <v>6367284</v>
      </c>
      <c r="B721" s="10">
        <v>42928</v>
      </c>
      <c r="C721" s="11">
        <v>0.36519675925925926</v>
      </c>
      <c r="D721" s="12">
        <v>0.36751157407407409</v>
      </c>
    </row>
    <row r="722" spans="1:4" x14ac:dyDescent="0.35">
      <c r="A722" s="5">
        <v>1811630</v>
      </c>
      <c r="B722" s="6">
        <v>42928</v>
      </c>
      <c r="C722" s="7">
        <v>0.36787037037037035</v>
      </c>
      <c r="D722" s="8">
        <v>0.36855324074074075</v>
      </c>
    </row>
    <row r="723" spans="1:4" x14ac:dyDescent="0.35">
      <c r="A723" s="9">
        <v>9346036178</v>
      </c>
      <c r="B723" s="10">
        <v>42928</v>
      </c>
      <c r="C723" s="11">
        <v>0.37017361111111113</v>
      </c>
      <c r="D723" s="12">
        <v>0.38035879629629632</v>
      </c>
    </row>
    <row r="724" spans="1:4" x14ac:dyDescent="0.35">
      <c r="A724" s="5">
        <v>1138033</v>
      </c>
      <c r="B724" s="6">
        <v>42928</v>
      </c>
      <c r="C724" s="7">
        <v>0.37504629629629632</v>
      </c>
      <c r="D724" s="8">
        <v>0.37731481481481483</v>
      </c>
    </row>
    <row r="725" spans="1:4" x14ac:dyDescent="0.35">
      <c r="A725" s="9">
        <v>2114812</v>
      </c>
      <c r="B725" s="10">
        <v>42928</v>
      </c>
      <c r="C725" s="11">
        <v>0.37615740740740738</v>
      </c>
      <c r="D725" s="12">
        <v>0.38158564814814816</v>
      </c>
    </row>
    <row r="726" spans="1:4" x14ac:dyDescent="0.35">
      <c r="A726" s="5">
        <v>4195677</v>
      </c>
      <c r="B726" s="6">
        <v>42928</v>
      </c>
      <c r="C726" s="7">
        <v>0.37644675925925924</v>
      </c>
      <c r="D726" s="8">
        <v>0.38192129629629629</v>
      </c>
    </row>
    <row r="727" spans="1:4" x14ac:dyDescent="0.35">
      <c r="A727" s="9">
        <v>3493348</v>
      </c>
      <c r="B727" s="10">
        <v>42928</v>
      </c>
      <c r="C727" s="11">
        <v>0.37934027777777779</v>
      </c>
      <c r="D727" s="12">
        <v>0.38925925925925925</v>
      </c>
    </row>
    <row r="728" spans="1:4" x14ac:dyDescent="0.35">
      <c r="A728" s="5">
        <v>6005020</v>
      </c>
      <c r="B728" s="6">
        <v>42928</v>
      </c>
      <c r="C728" s="7">
        <v>0.38046296296296295</v>
      </c>
      <c r="D728" s="8">
        <v>0.38739583333333333</v>
      </c>
    </row>
    <row r="729" spans="1:4" x14ac:dyDescent="0.35">
      <c r="A729" s="9">
        <v>7421868</v>
      </c>
      <c r="B729" s="10">
        <v>42928</v>
      </c>
      <c r="C729" s="11">
        <v>0.38292824074074072</v>
      </c>
      <c r="D729" s="12">
        <v>0.38613425925925926</v>
      </c>
    </row>
    <row r="730" spans="1:4" x14ac:dyDescent="0.35">
      <c r="A730" s="5">
        <v>2227803</v>
      </c>
      <c r="B730" s="6">
        <v>42928</v>
      </c>
      <c r="C730" s="7">
        <v>0.38317129629629632</v>
      </c>
      <c r="D730" s="8">
        <v>0.39157407407407407</v>
      </c>
    </row>
    <row r="731" spans="1:4" x14ac:dyDescent="0.35">
      <c r="A731" s="9">
        <v>4007464</v>
      </c>
      <c r="B731" s="10">
        <v>42928</v>
      </c>
      <c r="C731" s="11">
        <v>0.38767361111111109</v>
      </c>
      <c r="D731" s="12">
        <v>0.38848379629629631</v>
      </c>
    </row>
    <row r="732" spans="1:4" x14ac:dyDescent="0.35">
      <c r="A732" s="5">
        <v>54713807</v>
      </c>
      <c r="B732" s="6">
        <v>42928</v>
      </c>
      <c r="C732" s="7">
        <v>0.38968750000000002</v>
      </c>
      <c r="D732" s="8">
        <v>0.39152777777777775</v>
      </c>
    </row>
    <row r="733" spans="1:4" x14ac:dyDescent="0.35">
      <c r="A733" s="9">
        <v>7097883</v>
      </c>
      <c r="B733" s="10">
        <v>42928</v>
      </c>
      <c r="C733" s="11">
        <v>0.39206018518518521</v>
      </c>
      <c r="D733" s="12">
        <v>0.39436342592592594</v>
      </c>
    </row>
    <row r="734" spans="1:4" x14ac:dyDescent="0.35">
      <c r="A734" s="5">
        <v>48630026</v>
      </c>
      <c r="B734" s="6">
        <v>42928</v>
      </c>
      <c r="C734" s="7">
        <v>0.39709490740740738</v>
      </c>
      <c r="D734" s="8">
        <v>0.40651620370370373</v>
      </c>
    </row>
    <row r="735" spans="1:4" x14ac:dyDescent="0.35">
      <c r="A735" s="9">
        <v>1279245</v>
      </c>
      <c r="B735" s="10">
        <v>42928</v>
      </c>
      <c r="C735" s="11">
        <v>0.40247685185185184</v>
      </c>
      <c r="D735" s="12">
        <v>0.40831018518518519</v>
      </c>
    </row>
    <row r="736" spans="1:4" x14ac:dyDescent="0.35">
      <c r="A736" s="5">
        <v>2571251</v>
      </c>
      <c r="B736" s="6">
        <v>42928</v>
      </c>
      <c r="C736" s="7">
        <v>0.40822916666666664</v>
      </c>
      <c r="D736" s="8">
        <v>0.41586805555555556</v>
      </c>
    </row>
    <row r="737" spans="1:4" x14ac:dyDescent="0.35">
      <c r="A737" s="9">
        <v>9566647</v>
      </c>
      <c r="B737" s="10">
        <v>42928</v>
      </c>
      <c r="C737" s="11">
        <v>0.40881944444444446</v>
      </c>
      <c r="D737" s="12">
        <v>0.40950231481481481</v>
      </c>
    </row>
    <row r="738" spans="1:4" x14ac:dyDescent="0.35">
      <c r="A738" s="5">
        <v>1454555</v>
      </c>
      <c r="B738" s="6">
        <v>42928</v>
      </c>
      <c r="C738" s="7">
        <v>0.41078703703703706</v>
      </c>
      <c r="D738" s="8">
        <v>0.41078703703703706</v>
      </c>
    </row>
    <row r="739" spans="1:4" x14ac:dyDescent="0.35">
      <c r="A739" s="9">
        <v>21996267</v>
      </c>
      <c r="B739" s="10">
        <v>42928</v>
      </c>
      <c r="C739" s="11">
        <v>0.41218749999999998</v>
      </c>
      <c r="D739" s="12">
        <v>0.41280092592592593</v>
      </c>
    </row>
    <row r="740" spans="1:4" x14ac:dyDescent="0.35">
      <c r="A740" s="5">
        <v>8429072</v>
      </c>
      <c r="B740" s="6">
        <v>42928</v>
      </c>
      <c r="C740" s="7">
        <v>0.41414351851851849</v>
      </c>
      <c r="D740" s="8">
        <v>0.42015046296296299</v>
      </c>
    </row>
    <row r="741" spans="1:4" x14ac:dyDescent="0.35">
      <c r="A741" s="9">
        <v>9815754</v>
      </c>
      <c r="B741" s="10">
        <v>42928</v>
      </c>
      <c r="C741" s="11">
        <v>0.41853009259259261</v>
      </c>
      <c r="D741" s="12">
        <v>0.42037037037037039</v>
      </c>
    </row>
    <row r="742" spans="1:4" x14ac:dyDescent="0.35">
      <c r="A742" s="5">
        <v>2434652</v>
      </c>
      <c r="B742" s="6">
        <v>42928</v>
      </c>
      <c r="C742" s="7">
        <v>0.42370370370370369</v>
      </c>
      <c r="D742" s="8">
        <v>0.43412037037037038</v>
      </c>
    </row>
    <row r="743" spans="1:4" x14ac:dyDescent="0.35">
      <c r="A743" s="9">
        <v>4939683</v>
      </c>
      <c r="B743" s="10">
        <v>42928</v>
      </c>
      <c r="C743" s="11">
        <v>0.42650462962962965</v>
      </c>
      <c r="D743" s="12">
        <v>0.43417824074074074</v>
      </c>
    </row>
    <row r="744" spans="1:4" x14ac:dyDescent="0.35">
      <c r="A744" s="5">
        <v>6821027</v>
      </c>
      <c r="B744" s="6">
        <v>42928</v>
      </c>
      <c r="C744" s="7">
        <v>0.42766203703703703</v>
      </c>
      <c r="D744" s="8">
        <v>0.43533564814814812</v>
      </c>
    </row>
    <row r="745" spans="1:4" x14ac:dyDescent="0.35">
      <c r="A745" s="9">
        <v>3253368</v>
      </c>
      <c r="B745" s="10">
        <v>42928</v>
      </c>
      <c r="C745" s="11">
        <v>0.43041666666666667</v>
      </c>
      <c r="D745" s="12">
        <v>0.43164351851851851</v>
      </c>
    </row>
    <row r="746" spans="1:4" x14ac:dyDescent="0.35">
      <c r="A746" s="5">
        <v>3505978</v>
      </c>
      <c r="B746" s="6">
        <v>42928</v>
      </c>
      <c r="C746" s="7">
        <v>0.43381944444444442</v>
      </c>
      <c r="D746" s="8">
        <v>0.44515046296296296</v>
      </c>
    </row>
    <row r="747" spans="1:4" x14ac:dyDescent="0.35">
      <c r="A747" s="9">
        <v>91743317</v>
      </c>
      <c r="B747" s="10">
        <v>42928</v>
      </c>
      <c r="C747" s="11">
        <v>0.43717592592592591</v>
      </c>
      <c r="D747" s="12">
        <v>0.44695601851851852</v>
      </c>
    </row>
    <row r="748" spans="1:4" x14ac:dyDescent="0.35">
      <c r="A748" s="5">
        <v>5104536</v>
      </c>
      <c r="B748" s="6">
        <v>42928</v>
      </c>
      <c r="C748" s="7">
        <v>0.44146990740740738</v>
      </c>
      <c r="D748" s="8">
        <v>0.44412037037037039</v>
      </c>
    </row>
    <row r="749" spans="1:4" x14ac:dyDescent="0.35">
      <c r="A749" s="9">
        <v>7353916</v>
      </c>
      <c r="B749" s="10">
        <v>42928</v>
      </c>
      <c r="C749" s="11">
        <v>0.44663194444444443</v>
      </c>
      <c r="D749" s="12">
        <v>0.45378472222222221</v>
      </c>
    </row>
    <row r="750" spans="1:4" x14ac:dyDescent="0.35">
      <c r="A750" s="5">
        <v>4412771</v>
      </c>
      <c r="B750" s="6">
        <v>42928</v>
      </c>
      <c r="C750" s="7">
        <v>0.44809027777777777</v>
      </c>
      <c r="D750" s="8">
        <v>0.45256944444444447</v>
      </c>
    </row>
    <row r="751" spans="1:4" x14ac:dyDescent="0.35">
      <c r="A751" s="9">
        <v>6709939</v>
      </c>
      <c r="B751" s="10">
        <v>42928</v>
      </c>
      <c r="C751" s="11">
        <v>0.44817129629629632</v>
      </c>
      <c r="D751" s="12">
        <v>0.4506134259259259</v>
      </c>
    </row>
    <row r="752" spans="1:4" x14ac:dyDescent="0.35">
      <c r="A752" s="5">
        <v>7891185</v>
      </c>
      <c r="B752" s="6">
        <v>42928</v>
      </c>
      <c r="C752" s="7">
        <v>0.45010416666666669</v>
      </c>
      <c r="D752" s="8">
        <v>0.46153935185185185</v>
      </c>
    </row>
    <row r="753" spans="1:4" x14ac:dyDescent="0.35">
      <c r="A753" s="9">
        <v>90417363</v>
      </c>
      <c r="B753" s="10">
        <v>42928</v>
      </c>
      <c r="C753" s="11">
        <v>0.45504629629629628</v>
      </c>
      <c r="D753" s="12">
        <v>0.4607175925925926</v>
      </c>
    </row>
    <row r="754" spans="1:4" x14ac:dyDescent="0.35">
      <c r="A754" s="5">
        <v>4929499</v>
      </c>
      <c r="B754" s="6">
        <v>42928</v>
      </c>
      <c r="C754" s="7">
        <v>0.45673611111111112</v>
      </c>
      <c r="D754" s="8">
        <v>0.4586574074074074</v>
      </c>
    </row>
    <row r="755" spans="1:4" x14ac:dyDescent="0.35">
      <c r="A755" s="9">
        <v>3824371</v>
      </c>
      <c r="B755" s="10">
        <v>42928</v>
      </c>
      <c r="C755" s="11">
        <v>0.46217592592592593</v>
      </c>
      <c r="D755" s="12">
        <v>0.47150462962962963</v>
      </c>
    </row>
    <row r="756" spans="1:4" x14ac:dyDescent="0.35">
      <c r="A756" s="5">
        <v>1119740</v>
      </c>
      <c r="B756" s="6">
        <v>42928</v>
      </c>
      <c r="C756" s="7">
        <v>0.46663194444444445</v>
      </c>
      <c r="D756" s="8">
        <v>0.47532407407407407</v>
      </c>
    </row>
    <row r="757" spans="1:4" x14ac:dyDescent="0.35">
      <c r="A757" s="9">
        <v>1219073</v>
      </c>
      <c r="B757" s="10">
        <v>42928</v>
      </c>
      <c r="C757" s="11">
        <v>0.46870370370370368</v>
      </c>
      <c r="D757" s="12">
        <v>0.47320601851851851</v>
      </c>
    </row>
    <row r="758" spans="1:4" x14ac:dyDescent="0.35">
      <c r="A758" s="5">
        <v>87702896</v>
      </c>
      <c r="B758" s="6">
        <v>42928</v>
      </c>
      <c r="C758" s="7">
        <v>0.47358796296296296</v>
      </c>
      <c r="D758" s="8">
        <v>0.47878472222222224</v>
      </c>
    </row>
    <row r="759" spans="1:4" x14ac:dyDescent="0.35">
      <c r="A759" s="9">
        <v>94197168</v>
      </c>
      <c r="B759" s="10">
        <v>42928</v>
      </c>
      <c r="C759" s="11">
        <v>0.47819444444444442</v>
      </c>
      <c r="D759" s="12">
        <v>0.48442129629629632</v>
      </c>
    </row>
    <row r="760" spans="1:4" x14ac:dyDescent="0.35">
      <c r="A760" s="5">
        <v>8655825</v>
      </c>
      <c r="B760" s="6">
        <v>42928</v>
      </c>
      <c r="C760" s="7">
        <v>0.48251157407407408</v>
      </c>
      <c r="D760" s="8">
        <v>0.48732638888888891</v>
      </c>
    </row>
    <row r="761" spans="1:4" x14ac:dyDescent="0.35">
      <c r="A761" s="9">
        <v>47707639</v>
      </c>
      <c r="B761" s="10">
        <v>42928</v>
      </c>
      <c r="C761" s="11">
        <v>0.48827546296296298</v>
      </c>
      <c r="D761" s="12">
        <v>0.49432870370370369</v>
      </c>
    </row>
    <row r="762" spans="1:4" x14ac:dyDescent="0.35">
      <c r="A762" s="5">
        <v>5029329</v>
      </c>
      <c r="B762" s="6">
        <v>42928</v>
      </c>
      <c r="C762" s="7">
        <v>0.49062499999999998</v>
      </c>
      <c r="D762" s="8">
        <v>0.49535879629629631</v>
      </c>
    </row>
    <row r="763" spans="1:4" x14ac:dyDescent="0.35">
      <c r="A763" s="9">
        <v>8825868</v>
      </c>
      <c r="B763" s="10">
        <v>42928</v>
      </c>
      <c r="C763" s="11">
        <v>0.49552083333333335</v>
      </c>
      <c r="D763" s="12">
        <v>0.50263888888888886</v>
      </c>
    </row>
    <row r="764" spans="1:4" x14ac:dyDescent="0.35">
      <c r="A764" s="5">
        <v>8461631</v>
      </c>
      <c r="B764" s="6">
        <v>42928</v>
      </c>
      <c r="C764" s="7">
        <v>0.50025462962962963</v>
      </c>
      <c r="D764" s="8">
        <v>0.50344907407407402</v>
      </c>
    </row>
    <row r="765" spans="1:4" x14ac:dyDescent="0.35">
      <c r="A765" s="9">
        <v>76777492</v>
      </c>
      <c r="B765" s="10">
        <v>42928</v>
      </c>
      <c r="C765" s="11">
        <v>0.50071759259259263</v>
      </c>
      <c r="D765" s="12">
        <v>0.5085763888888889</v>
      </c>
    </row>
    <row r="766" spans="1:4" x14ac:dyDescent="0.35">
      <c r="A766" s="5">
        <v>71036125</v>
      </c>
      <c r="B766" s="6">
        <v>42928</v>
      </c>
      <c r="C766" s="7">
        <v>0.50597222222222227</v>
      </c>
      <c r="D766" s="8">
        <v>0.51633101851851848</v>
      </c>
    </row>
    <row r="767" spans="1:4" x14ac:dyDescent="0.35">
      <c r="A767" s="9">
        <v>2989192</v>
      </c>
      <c r="B767" s="10">
        <v>42928</v>
      </c>
      <c r="C767" s="11">
        <v>0.5087962962962963</v>
      </c>
      <c r="D767" s="12">
        <v>0.51349537037037041</v>
      </c>
    </row>
    <row r="768" spans="1:4" x14ac:dyDescent="0.35">
      <c r="A768" s="5">
        <v>5131341</v>
      </c>
      <c r="B768" s="6">
        <v>42928</v>
      </c>
      <c r="C768" s="7">
        <v>0.50974537037037038</v>
      </c>
      <c r="D768" s="8">
        <v>0.51072916666666668</v>
      </c>
    </row>
    <row r="769" spans="1:4" x14ac:dyDescent="0.35">
      <c r="A769" s="9">
        <v>2826868</v>
      </c>
      <c r="B769" s="10">
        <v>42928</v>
      </c>
      <c r="C769" s="11">
        <v>0.51549768518518524</v>
      </c>
      <c r="D769" s="12">
        <v>0.51550925925925928</v>
      </c>
    </row>
    <row r="770" spans="1:4" x14ac:dyDescent="0.35">
      <c r="A770" s="5">
        <v>9849071</v>
      </c>
      <c r="B770" s="6">
        <v>42928</v>
      </c>
      <c r="C770" s="7">
        <v>0.51561342592592596</v>
      </c>
      <c r="D770" s="8">
        <v>0.52171296296296299</v>
      </c>
    </row>
    <row r="771" spans="1:4" x14ac:dyDescent="0.35">
      <c r="A771" s="9">
        <v>47025160</v>
      </c>
      <c r="B771" s="10">
        <v>42928</v>
      </c>
      <c r="C771" s="11">
        <v>0.52009259259259255</v>
      </c>
      <c r="D771" s="12">
        <v>0.52987268518518515</v>
      </c>
    </row>
    <row r="772" spans="1:4" x14ac:dyDescent="0.35">
      <c r="A772" s="5">
        <v>97798921</v>
      </c>
      <c r="B772" s="6">
        <v>42928</v>
      </c>
      <c r="C772" s="7">
        <v>0.52172453703703703</v>
      </c>
      <c r="D772" s="8">
        <v>0.52606481481481482</v>
      </c>
    </row>
    <row r="773" spans="1:4" x14ac:dyDescent="0.35">
      <c r="A773" s="9">
        <v>2248131</v>
      </c>
      <c r="B773" s="10">
        <v>42928</v>
      </c>
      <c r="C773" s="11">
        <v>0.52298611111111115</v>
      </c>
      <c r="D773" s="12">
        <v>0.53249999999999997</v>
      </c>
    </row>
    <row r="774" spans="1:4" x14ac:dyDescent="0.35">
      <c r="A774" s="5">
        <v>1973826522</v>
      </c>
      <c r="B774" s="6">
        <v>42928</v>
      </c>
      <c r="C774" s="7">
        <v>0.52342592592592596</v>
      </c>
      <c r="D774" s="8">
        <v>0.52350694444444446</v>
      </c>
    </row>
    <row r="775" spans="1:4" x14ac:dyDescent="0.35">
      <c r="A775" s="9">
        <v>6293367175</v>
      </c>
      <c r="B775" s="10">
        <v>42928</v>
      </c>
      <c r="C775" s="11">
        <v>0.52649305555555559</v>
      </c>
      <c r="D775" s="12">
        <v>0.53123842592592596</v>
      </c>
    </row>
    <row r="776" spans="1:4" x14ac:dyDescent="0.35">
      <c r="A776" s="5">
        <v>5092577</v>
      </c>
      <c r="B776" s="6">
        <v>42928</v>
      </c>
      <c r="C776" s="7">
        <v>0.52834490740740736</v>
      </c>
      <c r="D776" s="8">
        <v>0.53267361111111111</v>
      </c>
    </row>
    <row r="777" spans="1:4" x14ac:dyDescent="0.35">
      <c r="A777" s="9">
        <v>62086163</v>
      </c>
      <c r="B777" s="10">
        <v>42928</v>
      </c>
      <c r="C777" s="11">
        <v>0.53126157407407404</v>
      </c>
      <c r="D777" s="12">
        <v>0.5326157407407407</v>
      </c>
    </row>
    <row r="778" spans="1:4" x14ac:dyDescent="0.35">
      <c r="A778" s="5">
        <v>4657345</v>
      </c>
      <c r="B778" s="6">
        <v>42928</v>
      </c>
      <c r="C778" s="7">
        <v>0.53608796296296302</v>
      </c>
      <c r="D778" s="8">
        <v>0.53631944444444446</v>
      </c>
    </row>
    <row r="779" spans="1:4" x14ac:dyDescent="0.35">
      <c r="A779" s="9">
        <v>7937998</v>
      </c>
      <c r="B779" s="10">
        <v>42928</v>
      </c>
      <c r="C779" s="11">
        <v>0.53798611111111116</v>
      </c>
      <c r="D779" s="12">
        <v>0.54011574074074076</v>
      </c>
    </row>
    <row r="780" spans="1:4" x14ac:dyDescent="0.35">
      <c r="A780" s="5">
        <v>7269536</v>
      </c>
      <c r="B780" s="6">
        <v>42928</v>
      </c>
      <c r="C780" s="7">
        <v>0.53827546296296291</v>
      </c>
      <c r="D780" s="8">
        <v>0.54309027777777774</v>
      </c>
    </row>
    <row r="781" spans="1:4" x14ac:dyDescent="0.35">
      <c r="A781" s="9">
        <v>98939809</v>
      </c>
      <c r="B781" s="10">
        <v>42928</v>
      </c>
      <c r="C781" s="11">
        <v>0.53873842592592591</v>
      </c>
      <c r="D781" s="12">
        <v>0.54084490740740743</v>
      </c>
    </row>
    <row r="782" spans="1:4" x14ac:dyDescent="0.35">
      <c r="A782" s="5">
        <v>7766265</v>
      </c>
      <c r="B782" s="6">
        <v>42928</v>
      </c>
      <c r="C782" s="7">
        <v>0.54391203703703705</v>
      </c>
      <c r="D782" s="8">
        <v>0.54538194444444443</v>
      </c>
    </row>
    <row r="783" spans="1:4" x14ac:dyDescent="0.35">
      <c r="A783" s="9">
        <v>7377702</v>
      </c>
      <c r="B783" s="10">
        <v>42928</v>
      </c>
      <c r="C783" s="11">
        <v>0.54689814814814819</v>
      </c>
      <c r="D783" s="12">
        <v>0.54949074074074078</v>
      </c>
    </row>
    <row r="784" spans="1:4" x14ac:dyDescent="0.35">
      <c r="A784" s="5">
        <v>38244568</v>
      </c>
      <c r="B784" s="6">
        <v>42928</v>
      </c>
      <c r="C784" s="7">
        <v>0.54826388888888888</v>
      </c>
      <c r="D784" s="8">
        <v>0.54920138888888892</v>
      </c>
    </row>
    <row r="785" spans="1:4" x14ac:dyDescent="0.35">
      <c r="A785" s="9">
        <v>5094248</v>
      </c>
      <c r="B785" s="10">
        <v>42928</v>
      </c>
      <c r="C785" s="11">
        <v>0.55118055555555556</v>
      </c>
      <c r="D785" s="12">
        <v>0.56003472222222217</v>
      </c>
    </row>
    <row r="786" spans="1:4" x14ac:dyDescent="0.35">
      <c r="A786" s="5">
        <v>1233459</v>
      </c>
      <c r="B786" s="6">
        <v>42928</v>
      </c>
      <c r="C786" s="7">
        <v>0.55565972222222226</v>
      </c>
      <c r="D786" s="8">
        <v>0.55674768518518514</v>
      </c>
    </row>
    <row r="787" spans="1:4" x14ac:dyDescent="0.35">
      <c r="A787" s="9">
        <v>9398644</v>
      </c>
      <c r="B787" s="10">
        <v>42928</v>
      </c>
      <c r="C787" s="11">
        <v>0.55717592592592591</v>
      </c>
      <c r="D787" s="12">
        <v>0.56753472222222223</v>
      </c>
    </row>
    <row r="788" spans="1:4" x14ac:dyDescent="0.35">
      <c r="A788" s="5">
        <v>3390459</v>
      </c>
      <c r="B788" s="6">
        <v>42928</v>
      </c>
      <c r="C788" s="7">
        <v>0.55869212962962966</v>
      </c>
      <c r="D788" s="8">
        <v>0.55922453703703701</v>
      </c>
    </row>
    <row r="789" spans="1:4" x14ac:dyDescent="0.35">
      <c r="A789" s="9">
        <v>5252835</v>
      </c>
      <c r="B789" s="10">
        <v>42928</v>
      </c>
      <c r="C789" s="11">
        <v>0.55907407407407406</v>
      </c>
      <c r="D789" s="12">
        <v>0.56937499999999996</v>
      </c>
    </row>
    <row r="790" spans="1:4" x14ac:dyDescent="0.35">
      <c r="A790" s="5">
        <v>15643568</v>
      </c>
      <c r="B790" s="6">
        <v>42928</v>
      </c>
      <c r="C790" s="7">
        <v>0.56074074074074076</v>
      </c>
      <c r="D790" s="8">
        <v>0.56283564814814813</v>
      </c>
    </row>
    <row r="791" spans="1:4" x14ac:dyDescent="0.35">
      <c r="A791" s="9">
        <v>39921944</v>
      </c>
      <c r="B791" s="10">
        <v>42928</v>
      </c>
      <c r="C791" s="11">
        <v>0.56398148148148153</v>
      </c>
      <c r="D791" s="12">
        <v>0.57387731481481485</v>
      </c>
    </row>
    <row r="792" spans="1:4" x14ac:dyDescent="0.35">
      <c r="A792" s="5">
        <v>66800387</v>
      </c>
      <c r="B792" s="6">
        <v>42928</v>
      </c>
      <c r="C792" s="7">
        <v>0.56509259259259259</v>
      </c>
      <c r="D792" s="8">
        <v>0.56554398148148144</v>
      </c>
    </row>
    <row r="793" spans="1:4" x14ac:dyDescent="0.35">
      <c r="A793" s="9">
        <v>88664428</v>
      </c>
      <c r="B793" s="10">
        <v>42928</v>
      </c>
      <c r="C793" s="11">
        <v>0.56527777777777777</v>
      </c>
      <c r="D793" s="12">
        <v>0.56814814814814818</v>
      </c>
    </row>
    <row r="794" spans="1:4" x14ac:dyDescent="0.35">
      <c r="A794" s="5">
        <v>4111617</v>
      </c>
      <c r="B794" s="6">
        <v>42928</v>
      </c>
      <c r="C794" s="7">
        <v>0.56555555555555559</v>
      </c>
      <c r="D794" s="8">
        <v>0.5697106481481482</v>
      </c>
    </row>
    <row r="795" spans="1:4" x14ac:dyDescent="0.35">
      <c r="A795" s="9">
        <v>9804309</v>
      </c>
      <c r="B795" s="10">
        <v>42928</v>
      </c>
      <c r="C795" s="11">
        <v>0.56918981481481479</v>
      </c>
      <c r="D795" s="12">
        <v>0.5784259259259259</v>
      </c>
    </row>
    <row r="796" spans="1:4" x14ac:dyDescent="0.35">
      <c r="A796" s="5">
        <v>3382728</v>
      </c>
      <c r="B796" s="6">
        <v>42928</v>
      </c>
      <c r="C796" s="7">
        <v>0.56953703703703706</v>
      </c>
      <c r="D796" s="8">
        <v>0.57401620370370365</v>
      </c>
    </row>
    <row r="797" spans="1:4" x14ac:dyDescent="0.35">
      <c r="A797" s="9">
        <v>9091369</v>
      </c>
      <c r="B797" s="10">
        <v>42928</v>
      </c>
      <c r="C797" s="11">
        <v>0.57231481481481483</v>
      </c>
      <c r="D797" s="12">
        <v>0.57403935185185184</v>
      </c>
    </row>
    <row r="798" spans="1:4" x14ac:dyDescent="0.35">
      <c r="A798" s="5">
        <v>3981821518</v>
      </c>
      <c r="B798" s="6">
        <v>42928</v>
      </c>
      <c r="C798" s="7">
        <v>0.57445601851851846</v>
      </c>
      <c r="D798" s="8">
        <v>0.57703703703703701</v>
      </c>
    </row>
    <row r="799" spans="1:4" x14ac:dyDescent="0.35">
      <c r="A799" s="9">
        <v>6304174</v>
      </c>
      <c r="B799" s="10">
        <v>42928</v>
      </c>
      <c r="C799" s="11">
        <v>0.57445601851851846</v>
      </c>
      <c r="D799" s="12">
        <v>0.58512731481481484</v>
      </c>
    </row>
    <row r="800" spans="1:4" x14ac:dyDescent="0.35">
      <c r="A800" s="5">
        <v>8233999</v>
      </c>
      <c r="B800" s="6">
        <v>42928</v>
      </c>
      <c r="C800" s="7">
        <v>0.57828703703703699</v>
      </c>
      <c r="D800" s="8">
        <v>0.58834490740740741</v>
      </c>
    </row>
    <row r="801" spans="1:4" x14ac:dyDescent="0.35">
      <c r="A801" s="9">
        <v>97782375</v>
      </c>
      <c r="B801" s="10">
        <v>42928</v>
      </c>
      <c r="C801" s="11">
        <v>0.58054398148148145</v>
      </c>
      <c r="D801" s="12">
        <v>0.58196759259259256</v>
      </c>
    </row>
    <row r="802" spans="1:4" x14ac:dyDescent="0.35">
      <c r="A802" s="5">
        <v>2826868</v>
      </c>
      <c r="B802" s="6">
        <v>42928</v>
      </c>
      <c r="C802" s="7">
        <v>0.58266203703703701</v>
      </c>
      <c r="D802" s="8">
        <v>0.59348379629629633</v>
      </c>
    </row>
    <row r="803" spans="1:4" x14ac:dyDescent="0.35">
      <c r="A803" s="9">
        <v>93794133</v>
      </c>
      <c r="B803" s="10">
        <v>42928</v>
      </c>
      <c r="C803" s="11">
        <v>0.58592592592592596</v>
      </c>
      <c r="D803" s="12">
        <v>0.59038194444444447</v>
      </c>
    </row>
    <row r="804" spans="1:4" x14ac:dyDescent="0.35">
      <c r="A804" s="5">
        <v>85838361</v>
      </c>
      <c r="B804" s="6">
        <v>42928</v>
      </c>
      <c r="C804" s="7">
        <v>0.58909722222222227</v>
      </c>
      <c r="D804" s="8">
        <v>0.5993518518518518</v>
      </c>
    </row>
    <row r="805" spans="1:4" x14ac:dyDescent="0.35">
      <c r="A805" s="9">
        <v>1616328</v>
      </c>
      <c r="B805" s="10">
        <v>42928</v>
      </c>
      <c r="C805" s="11">
        <v>0.59354166666666663</v>
      </c>
      <c r="D805" s="12">
        <v>0.59888888888888892</v>
      </c>
    </row>
    <row r="806" spans="1:4" x14ac:dyDescent="0.35">
      <c r="A806" s="5">
        <v>9773176</v>
      </c>
      <c r="B806" s="6">
        <v>42928</v>
      </c>
      <c r="C806" s="7">
        <v>0.59873842592592597</v>
      </c>
      <c r="D806" s="8">
        <v>0.60127314814814814</v>
      </c>
    </row>
    <row r="807" spans="1:4" x14ac:dyDescent="0.35">
      <c r="A807" s="9">
        <v>8246306</v>
      </c>
      <c r="B807" s="10">
        <v>42928</v>
      </c>
      <c r="C807" s="11">
        <v>0.59928240740740746</v>
      </c>
      <c r="D807" s="12">
        <v>0.60182870370370367</v>
      </c>
    </row>
    <row r="808" spans="1:4" x14ac:dyDescent="0.35">
      <c r="A808" s="5">
        <v>2412611</v>
      </c>
      <c r="B808" s="6">
        <v>42928</v>
      </c>
      <c r="C808" s="7">
        <v>0.60065972222222219</v>
      </c>
      <c r="D808" s="8">
        <v>0.60902777777777772</v>
      </c>
    </row>
    <row r="809" spans="1:4" x14ac:dyDescent="0.35">
      <c r="A809" s="9">
        <v>7795911</v>
      </c>
      <c r="B809" s="10">
        <v>42928</v>
      </c>
      <c r="C809" s="11">
        <v>0.60528935185185184</v>
      </c>
      <c r="D809" s="12">
        <v>0.60805555555555557</v>
      </c>
    </row>
    <row r="810" spans="1:4" x14ac:dyDescent="0.35">
      <c r="A810" s="5">
        <v>8063487</v>
      </c>
      <c r="B810" s="6">
        <v>42928</v>
      </c>
      <c r="C810" s="7">
        <v>0.61028935185185185</v>
      </c>
      <c r="D810" s="8">
        <v>0.61681712962962965</v>
      </c>
    </row>
    <row r="811" spans="1:4" x14ac:dyDescent="0.35">
      <c r="A811" s="9">
        <v>68677362</v>
      </c>
      <c r="B811" s="10">
        <v>42928</v>
      </c>
      <c r="C811" s="11">
        <v>0.61534722222222227</v>
      </c>
      <c r="D811" s="12">
        <v>0.61554398148148148</v>
      </c>
    </row>
    <row r="812" spans="1:4" x14ac:dyDescent="0.35">
      <c r="A812" s="5">
        <v>6766787935</v>
      </c>
      <c r="B812" s="6">
        <v>42928</v>
      </c>
      <c r="C812" s="7">
        <v>0.62077546296296293</v>
      </c>
      <c r="D812" s="8">
        <v>0.62708333333333333</v>
      </c>
    </row>
    <row r="813" spans="1:4" x14ac:dyDescent="0.35">
      <c r="A813" s="9">
        <v>27791497</v>
      </c>
      <c r="B813" s="10">
        <v>42928</v>
      </c>
      <c r="C813" s="11">
        <v>0.62372685185185184</v>
      </c>
      <c r="D813" s="12">
        <v>0.63241898148148146</v>
      </c>
    </row>
    <row r="814" spans="1:4" x14ac:dyDescent="0.35">
      <c r="A814" s="5">
        <v>6158527</v>
      </c>
      <c r="B814" s="6">
        <v>42928</v>
      </c>
      <c r="C814" s="7">
        <v>0.62449074074074074</v>
      </c>
      <c r="D814" s="8">
        <v>0.62653935185185183</v>
      </c>
    </row>
    <row r="815" spans="1:4" x14ac:dyDescent="0.35">
      <c r="A815" s="9">
        <v>3456554</v>
      </c>
      <c r="B815" s="10">
        <v>42928</v>
      </c>
      <c r="C815" s="11">
        <v>0.62615740740740744</v>
      </c>
      <c r="D815" s="12">
        <v>0.63491898148148151</v>
      </c>
    </row>
    <row r="816" spans="1:4" x14ac:dyDescent="0.35">
      <c r="A816" s="5">
        <v>3437033</v>
      </c>
      <c r="B816" s="6">
        <v>42929</v>
      </c>
      <c r="C816" s="7">
        <v>0.33812500000000001</v>
      </c>
      <c r="D816" s="8">
        <v>0.34457175925925926</v>
      </c>
    </row>
    <row r="817" spans="1:4" x14ac:dyDescent="0.35">
      <c r="A817" s="9">
        <v>2128068</v>
      </c>
      <c r="B817" s="10">
        <v>42929</v>
      </c>
      <c r="C817" s="11">
        <v>0.34258101851851852</v>
      </c>
      <c r="D817" s="12">
        <v>0.34574074074074074</v>
      </c>
    </row>
    <row r="818" spans="1:4" x14ac:dyDescent="0.35">
      <c r="A818" s="5">
        <v>20679187</v>
      </c>
      <c r="B818" s="6">
        <v>42929</v>
      </c>
      <c r="C818" s="7">
        <v>0.34833333333333333</v>
      </c>
      <c r="D818" s="8">
        <v>0.35206018518518517</v>
      </c>
    </row>
    <row r="819" spans="1:4" x14ac:dyDescent="0.35">
      <c r="A819" s="9">
        <v>9259392564</v>
      </c>
      <c r="B819" s="10">
        <v>42929</v>
      </c>
      <c r="C819" s="11">
        <v>0.35311342592592593</v>
      </c>
      <c r="D819" s="12">
        <v>0.35888888888888887</v>
      </c>
    </row>
    <row r="820" spans="1:4" x14ac:dyDescent="0.35">
      <c r="A820" s="5">
        <v>7852624</v>
      </c>
      <c r="B820" s="6">
        <v>42929</v>
      </c>
      <c r="C820" s="7">
        <v>0.35885416666666664</v>
      </c>
      <c r="D820" s="8">
        <v>0.36913194444444447</v>
      </c>
    </row>
    <row r="821" spans="1:4" x14ac:dyDescent="0.35">
      <c r="A821" s="9">
        <v>8838584</v>
      </c>
      <c r="B821" s="10">
        <v>42929</v>
      </c>
      <c r="C821" s="11">
        <v>0.36204861111111108</v>
      </c>
      <c r="D821" s="12">
        <v>0.37230324074074073</v>
      </c>
    </row>
    <row r="822" spans="1:4" x14ac:dyDescent="0.35">
      <c r="A822" s="5">
        <v>2492731</v>
      </c>
      <c r="B822" s="6">
        <v>42929</v>
      </c>
      <c r="C822" s="7">
        <v>0.36341435185185184</v>
      </c>
      <c r="D822" s="8">
        <v>0.36506944444444445</v>
      </c>
    </row>
    <row r="823" spans="1:4" x14ac:dyDescent="0.35">
      <c r="A823" s="9">
        <v>8028777</v>
      </c>
      <c r="B823" s="10">
        <v>42929</v>
      </c>
      <c r="C823" s="11">
        <v>0.36505787037037035</v>
      </c>
      <c r="D823" s="12">
        <v>0.37204861111111109</v>
      </c>
    </row>
    <row r="824" spans="1:4" x14ac:dyDescent="0.35">
      <c r="A824" s="5">
        <v>2619219</v>
      </c>
      <c r="B824" s="6">
        <v>42929</v>
      </c>
      <c r="C824" s="7">
        <v>0.36586805555555557</v>
      </c>
      <c r="D824" s="8">
        <v>0.36783564814814818</v>
      </c>
    </row>
    <row r="825" spans="1:4" x14ac:dyDescent="0.35">
      <c r="A825" s="9">
        <v>2506618</v>
      </c>
      <c r="B825" s="10">
        <v>42929</v>
      </c>
      <c r="C825" s="11">
        <v>0.36704861111111109</v>
      </c>
      <c r="D825" s="12">
        <v>0.37783564814814813</v>
      </c>
    </row>
    <row r="826" spans="1:4" x14ac:dyDescent="0.35">
      <c r="A826" s="5">
        <v>7979313</v>
      </c>
      <c r="B826" s="6">
        <v>42929</v>
      </c>
      <c r="C826" s="7">
        <v>0.37074074074074076</v>
      </c>
      <c r="D826" s="8">
        <v>0.37601851851851853</v>
      </c>
    </row>
    <row r="827" spans="1:4" x14ac:dyDescent="0.35">
      <c r="A827" s="9">
        <v>23123600</v>
      </c>
      <c r="B827" s="10">
        <v>42929</v>
      </c>
      <c r="C827" s="11">
        <v>0.37334490740740739</v>
      </c>
      <c r="D827" s="12">
        <v>0.37408564814814815</v>
      </c>
    </row>
    <row r="828" spans="1:4" x14ac:dyDescent="0.35">
      <c r="A828" s="5">
        <v>9849476</v>
      </c>
      <c r="B828" s="6">
        <v>42929</v>
      </c>
      <c r="C828" s="7">
        <v>0.37653935185185183</v>
      </c>
      <c r="D828" s="8">
        <v>0.37709490740740742</v>
      </c>
    </row>
    <row r="829" spans="1:4" x14ac:dyDescent="0.35">
      <c r="A829" s="9">
        <v>27410048</v>
      </c>
      <c r="B829" s="10">
        <v>42929</v>
      </c>
      <c r="C829" s="11">
        <v>0.37748842592592591</v>
      </c>
      <c r="D829" s="12">
        <v>0.37763888888888891</v>
      </c>
    </row>
    <row r="830" spans="1:4" x14ac:dyDescent="0.35">
      <c r="A830" s="5">
        <v>6746757</v>
      </c>
      <c r="B830" s="6">
        <v>42929</v>
      </c>
      <c r="C830" s="7">
        <v>0.3790162037037037</v>
      </c>
      <c r="D830" s="8">
        <v>0.38123842592592594</v>
      </c>
    </row>
    <row r="831" spans="1:4" x14ac:dyDescent="0.35">
      <c r="A831" s="9">
        <v>5087066</v>
      </c>
      <c r="B831" s="10">
        <v>42929</v>
      </c>
      <c r="C831" s="11">
        <v>0.38018518518518518</v>
      </c>
      <c r="D831" s="12">
        <v>0.38339120370370372</v>
      </c>
    </row>
    <row r="832" spans="1:4" x14ac:dyDescent="0.35">
      <c r="A832" s="5">
        <v>9680416</v>
      </c>
      <c r="B832" s="6">
        <v>42929</v>
      </c>
      <c r="C832" s="7">
        <v>0.38480324074074074</v>
      </c>
      <c r="D832" s="8">
        <v>0.39057870370370368</v>
      </c>
    </row>
    <row r="833" spans="1:4" x14ac:dyDescent="0.35">
      <c r="A833" s="9">
        <v>9356216</v>
      </c>
      <c r="B833" s="10">
        <v>42929</v>
      </c>
      <c r="C833" s="11">
        <v>0.38966435185185183</v>
      </c>
      <c r="D833" s="12">
        <v>0.40104166666666669</v>
      </c>
    </row>
    <row r="834" spans="1:4" x14ac:dyDescent="0.35">
      <c r="A834" s="5">
        <v>7415603</v>
      </c>
      <c r="B834" s="6">
        <v>42929</v>
      </c>
      <c r="C834" s="7">
        <v>0.39194444444444443</v>
      </c>
      <c r="D834" s="8">
        <v>0.39535879629629628</v>
      </c>
    </row>
    <row r="835" spans="1:4" x14ac:dyDescent="0.35">
      <c r="A835" s="9">
        <v>28145499</v>
      </c>
      <c r="B835" s="10">
        <v>42929</v>
      </c>
      <c r="C835" s="11">
        <v>0.3972222222222222</v>
      </c>
      <c r="D835" s="12">
        <v>0.40084490740740741</v>
      </c>
    </row>
    <row r="836" spans="1:4" x14ac:dyDescent="0.35">
      <c r="A836" s="5">
        <v>61527800</v>
      </c>
      <c r="B836" s="6">
        <v>42929</v>
      </c>
      <c r="C836" s="7">
        <v>0.39988425925925924</v>
      </c>
      <c r="D836" s="8">
        <v>0.4100462962962963</v>
      </c>
    </row>
    <row r="837" spans="1:4" x14ac:dyDescent="0.35">
      <c r="A837" s="9">
        <v>4873703</v>
      </c>
      <c r="B837" s="10">
        <v>42929</v>
      </c>
      <c r="C837" s="11">
        <v>0.40539351851851851</v>
      </c>
      <c r="D837" s="12">
        <v>0.4143634259259259</v>
      </c>
    </row>
    <row r="838" spans="1:4" x14ac:dyDescent="0.35">
      <c r="A838" s="5">
        <v>43019885</v>
      </c>
      <c r="B838" s="6">
        <v>42929</v>
      </c>
      <c r="C838" s="7">
        <v>0.4064814814814815</v>
      </c>
      <c r="D838" s="8">
        <v>0.41630787037037037</v>
      </c>
    </row>
    <row r="839" spans="1:4" x14ac:dyDescent="0.35">
      <c r="A839" s="9">
        <v>7388260</v>
      </c>
      <c r="B839" s="10">
        <v>42929</v>
      </c>
      <c r="C839" s="11">
        <v>0.41149305555555554</v>
      </c>
      <c r="D839" s="12">
        <v>0.41928240740740741</v>
      </c>
    </row>
    <row r="840" spans="1:4" x14ac:dyDescent="0.35">
      <c r="A840" s="5">
        <v>4581715</v>
      </c>
      <c r="B840" s="6">
        <v>42929</v>
      </c>
      <c r="C840" s="7">
        <v>0.41172453703703704</v>
      </c>
      <c r="D840" s="8">
        <v>0.42146990740740742</v>
      </c>
    </row>
    <row r="841" spans="1:4" x14ac:dyDescent="0.35">
      <c r="A841" s="9">
        <v>58420185</v>
      </c>
      <c r="B841" s="10">
        <v>42929</v>
      </c>
      <c r="C841" s="11">
        <v>0.41729166666666667</v>
      </c>
      <c r="D841" s="12">
        <v>0.42122685185185182</v>
      </c>
    </row>
    <row r="842" spans="1:4" x14ac:dyDescent="0.35">
      <c r="A842" s="5">
        <v>45948073</v>
      </c>
      <c r="B842" s="6">
        <v>42929</v>
      </c>
      <c r="C842" s="7">
        <v>0.41979166666666667</v>
      </c>
      <c r="D842" s="8">
        <v>0.42586805555555557</v>
      </c>
    </row>
    <row r="843" spans="1:4" x14ac:dyDescent="0.35">
      <c r="A843" s="9">
        <v>4473835</v>
      </c>
      <c r="B843" s="10">
        <v>42929</v>
      </c>
      <c r="C843" s="11">
        <v>0.42091435185185183</v>
      </c>
      <c r="D843" s="12">
        <v>0.42609953703703701</v>
      </c>
    </row>
    <row r="844" spans="1:4" x14ac:dyDescent="0.35">
      <c r="A844" s="5">
        <v>7739841</v>
      </c>
      <c r="B844" s="6">
        <v>42929</v>
      </c>
      <c r="C844" s="7">
        <v>0.42418981481481483</v>
      </c>
      <c r="D844" s="8">
        <v>0.42598379629629629</v>
      </c>
    </row>
    <row r="845" spans="1:4" x14ac:dyDescent="0.35">
      <c r="A845" s="9">
        <v>6275284312</v>
      </c>
      <c r="B845" s="10">
        <v>42929</v>
      </c>
      <c r="C845" s="11">
        <v>0.4291550925925926</v>
      </c>
      <c r="D845" s="12">
        <v>0.4339351851851852</v>
      </c>
    </row>
    <row r="846" spans="1:4" x14ac:dyDescent="0.35">
      <c r="A846" s="5">
        <v>1692981</v>
      </c>
      <c r="B846" s="6">
        <v>42929</v>
      </c>
      <c r="C846" s="7">
        <v>0.43297453703703703</v>
      </c>
      <c r="D846" s="8">
        <v>0.43424768518518519</v>
      </c>
    </row>
    <row r="847" spans="1:4" x14ac:dyDescent="0.35">
      <c r="A847" s="9">
        <v>9270571</v>
      </c>
      <c r="B847" s="10">
        <v>42929</v>
      </c>
      <c r="C847" s="11">
        <v>0.43782407407407409</v>
      </c>
      <c r="D847" s="12">
        <v>0.44560185185185186</v>
      </c>
    </row>
    <row r="848" spans="1:4" x14ac:dyDescent="0.35">
      <c r="A848" s="5">
        <v>6299545</v>
      </c>
      <c r="B848" s="6">
        <v>42929</v>
      </c>
      <c r="C848" s="7">
        <v>0.43986111111111109</v>
      </c>
      <c r="D848" s="8">
        <v>0.44298611111111114</v>
      </c>
    </row>
    <row r="849" spans="1:4" x14ac:dyDescent="0.35">
      <c r="A849" s="9">
        <v>67064385</v>
      </c>
      <c r="B849" s="10">
        <v>42929</v>
      </c>
      <c r="C849" s="11">
        <v>0.44278935185185186</v>
      </c>
      <c r="D849" s="12">
        <v>0.44480324074074074</v>
      </c>
    </row>
    <row r="850" spans="1:4" x14ac:dyDescent="0.35">
      <c r="A850" s="5">
        <v>4062215</v>
      </c>
      <c r="B850" s="6">
        <v>42929</v>
      </c>
      <c r="C850" s="7">
        <v>0.44732638888888887</v>
      </c>
      <c r="D850" s="8">
        <v>0.45466435185185183</v>
      </c>
    </row>
    <row r="851" spans="1:4" x14ac:dyDescent="0.35">
      <c r="A851" s="9">
        <v>2835355</v>
      </c>
      <c r="B851" s="10">
        <v>42929</v>
      </c>
      <c r="C851" s="11">
        <v>0.45131944444444444</v>
      </c>
      <c r="D851" s="12">
        <v>0.45689814814814816</v>
      </c>
    </row>
    <row r="852" spans="1:4" x14ac:dyDescent="0.35">
      <c r="A852" s="5">
        <v>9283739</v>
      </c>
      <c r="B852" s="6">
        <v>42929</v>
      </c>
      <c r="C852" s="7">
        <v>0.45489583333333333</v>
      </c>
      <c r="D852" s="8">
        <v>0.46451388888888889</v>
      </c>
    </row>
    <row r="853" spans="1:4" x14ac:dyDescent="0.35">
      <c r="A853" s="9">
        <v>7118082</v>
      </c>
      <c r="B853" s="10">
        <v>42929</v>
      </c>
      <c r="C853" s="11">
        <v>0.45682870370370371</v>
      </c>
      <c r="D853" s="12">
        <v>0.4664699074074074</v>
      </c>
    </row>
    <row r="854" spans="1:4" x14ac:dyDescent="0.35">
      <c r="A854" s="5">
        <v>30178521</v>
      </c>
      <c r="B854" s="6">
        <v>42929</v>
      </c>
      <c r="C854" s="7">
        <v>0.45968750000000003</v>
      </c>
      <c r="D854" s="8">
        <v>0.46520833333333333</v>
      </c>
    </row>
    <row r="855" spans="1:4" x14ac:dyDescent="0.35">
      <c r="A855" s="9">
        <v>5014399</v>
      </c>
      <c r="B855" s="10">
        <v>42929</v>
      </c>
      <c r="C855" s="11">
        <v>0.46444444444444444</v>
      </c>
      <c r="D855" s="12">
        <v>0.46787037037037038</v>
      </c>
    </row>
    <row r="856" spans="1:4" x14ac:dyDescent="0.35">
      <c r="A856" s="5">
        <v>3984696</v>
      </c>
      <c r="B856" s="6">
        <v>42929</v>
      </c>
      <c r="C856" s="7">
        <v>0.46581018518518519</v>
      </c>
      <c r="D856" s="8">
        <v>0.46589120370370368</v>
      </c>
    </row>
    <row r="857" spans="1:4" x14ac:dyDescent="0.35">
      <c r="A857" s="9">
        <v>53386383</v>
      </c>
      <c r="B857" s="10">
        <v>42929</v>
      </c>
      <c r="C857" s="11">
        <v>0.47099537037037037</v>
      </c>
      <c r="D857" s="12">
        <v>0.47175925925925927</v>
      </c>
    </row>
    <row r="858" spans="1:4" x14ac:dyDescent="0.35">
      <c r="A858" s="5">
        <v>8733120283</v>
      </c>
      <c r="B858" s="6">
        <v>42929</v>
      </c>
      <c r="C858" s="7">
        <v>0.47134259259259259</v>
      </c>
      <c r="D858" s="8">
        <v>0.47659722222222223</v>
      </c>
    </row>
    <row r="859" spans="1:4" x14ac:dyDescent="0.35">
      <c r="A859" s="9">
        <v>6934405</v>
      </c>
      <c r="B859" s="10">
        <v>42929</v>
      </c>
      <c r="C859" s="11">
        <v>0.47321759259259261</v>
      </c>
      <c r="D859" s="12">
        <v>0.48008101851851853</v>
      </c>
    </row>
    <row r="860" spans="1:4" x14ac:dyDescent="0.35">
      <c r="A860" s="5">
        <v>54136845</v>
      </c>
      <c r="B860" s="6">
        <v>42929</v>
      </c>
      <c r="C860" s="7">
        <v>0.47890046296296296</v>
      </c>
      <c r="D860" s="8">
        <v>0.48042824074074075</v>
      </c>
    </row>
    <row r="861" spans="1:4" x14ac:dyDescent="0.35">
      <c r="A861" s="9">
        <v>76310343</v>
      </c>
      <c r="B861" s="10">
        <v>42929</v>
      </c>
      <c r="C861" s="11">
        <v>0.48312500000000003</v>
      </c>
      <c r="D861" s="12">
        <v>0.4889236111111111</v>
      </c>
    </row>
    <row r="862" spans="1:4" x14ac:dyDescent="0.35">
      <c r="A862" s="5">
        <v>9005999</v>
      </c>
      <c r="B862" s="6">
        <v>42929</v>
      </c>
      <c r="C862" s="7">
        <v>0.4878587962962963</v>
      </c>
      <c r="D862" s="8">
        <v>0.49609953703703702</v>
      </c>
    </row>
    <row r="863" spans="1:4" x14ac:dyDescent="0.35">
      <c r="A863" s="9">
        <v>7763451</v>
      </c>
      <c r="B863" s="10">
        <v>42929</v>
      </c>
      <c r="C863" s="11">
        <v>0.4911226851851852</v>
      </c>
      <c r="D863" s="12">
        <v>0.49859953703703702</v>
      </c>
    </row>
    <row r="864" spans="1:4" x14ac:dyDescent="0.35">
      <c r="A864" s="5">
        <v>3765001</v>
      </c>
      <c r="B864" s="6">
        <v>42929</v>
      </c>
      <c r="C864" s="7">
        <v>0.49283564814814818</v>
      </c>
      <c r="D864" s="8">
        <v>0.50396990740740744</v>
      </c>
    </row>
    <row r="865" spans="1:4" x14ac:dyDescent="0.35">
      <c r="A865" s="9">
        <v>8498076</v>
      </c>
      <c r="B865" s="10">
        <v>42929</v>
      </c>
      <c r="C865" s="11">
        <v>0.49493055555555554</v>
      </c>
      <c r="D865" s="12">
        <v>0.49898148148148147</v>
      </c>
    </row>
    <row r="866" spans="1:4" x14ac:dyDescent="0.35">
      <c r="A866" s="5">
        <v>4995171</v>
      </c>
      <c r="B866" s="6">
        <v>42929</v>
      </c>
      <c r="C866" s="7">
        <v>0.5006018518518518</v>
      </c>
      <c r="D866" s="8">
        <v>0.50388888888888894</v>
      </c>
    </row>
    <row r="867" spans="1:4" x14ac:dyDescent="0.35">
      <c r="A867" s="9">
        <v>8929993</v>
      </c>
      <c r="B867" s="10">
        <v>42929</v>
      </c>
      <c r="C867" s="11">
        <v>0.50173611111111116</v>
      </c>
      <c r="D867" s="12">
        <v>0.50722222222222224</v>
      </c>
    </row>
    <row r="868" spans="1:4" x14ac:dyDescent="0.35">
      <c r="A868" s="5">
        <v>7473804</v>
      </c>
      <c r="B868" s="6">
        <v>42929</v>
      </c>
      <c r="C868" s="7">
        <v>0.50675925925925924</v>
      </c>
      <c r="D868" s="8">
        <v>0.5138194444444445</v>
      </c>
    </row>
    <row r="869" spans="1:4" x14ac:dyDescent="0.35">
      <c r="A869" s="9">
        <v>1816002</v>
      </c>
      <c r="B869" s="10">
        <v>42929</v>
      </c>
      <c r="C869" s="11">
        <v>0.50732638888888892</v>
      </c>
      <c r="D869" s="12">
        <v>0.51005787037037043</v>
      </c>
    </row>
    <row r="870" spans="1:4" x14ac:dyDescent="0.35">
      <c r="A870" s="5">
        <v>4133182</v>
      </c>
      <c r="B870" s="6">
        <v>42929</v>
      </c>
      <c r="C870" s="7">
        <v>0.51061342592592596</v>
      </c>
      <c r="D870" s="8">
        <v>0.5118287037037037</v>
      </c>
    </row>
    <row r="871" spans="1:4" x14ac:dyDescent="0.35">
      <c r="A871" s="9">
        <v>63141248</v>
      </c>
      <c r="B871" s="10">
        <v>42929</v>
      </c>
      <c r="C871" s="11">
        <v>0.51224537037037032</v>
      </c>
      <c r="D871" s="12">
        <v>0.51730324074074074</v>
      </c>
    </row>
    <row r="872" spans="1:4" x14ac:dyDescent="0.35">
      <c r="A872" s="5">
        <v>7384686</v>
      </c>
      <c r="B872" s="6">
        <v>42929</v>
      </c>
      <c r="C872" s="7">
        <v>0.51616898148148149</v>
      </c>
      <c r="D872" s="8">
        <v>0.52461805555555552</v>
      </c>
    </row>
    <row r="873" spans="1:4" x14ac:dyDescent="0.35">
      <c r="A873" s="9">
        <v>3150344</v>
      </c>
      <c r="B873" s="10">
        <v>42929</v>
      </c>
      <c r="C873" s="11">
        <v>0.51709490740740738</v>
      </c>
      <c r="D873" s="12">
        <v>0.52684027777777775</v>
      </c>
    </row>
    <row r="874" spans="1:4" x14ac:dyDescent="0.35">
      <c r="A874" s="5">
        <v>6786847</v>
      </c>
      <c r="B874" s="6">
        <v>42929</v>
      </c>
      <c r="C874" s="7">
        <v>0.51986111111111111</v>
      </c>
      <c r="D874" s="8">
        <v>0.52924768518518517</v>
      </c>
    </row>
    <row r="875" spans="1:4" x14ac:dyDescent="0.35">
      <c r="A875" s="9">
        <v>2947889</v>
      </c>
      <c r="B875" s="10">
        <v>42929</v>
      </c>
      <c r="C875" s="11">
        <v>0.5232175925925926</v>
      </c>
      <c r="D875" s="12">
        <v>0.52965277777777775</v>
      </c>
    </row>
    <row r="876" spans="1:4" x14ac:dyDescent="0.35">
      <c r="A876" s="5">
        <v>28961250</v>
      </c>
      <c r="B876" s="6">
        <v>42929</v>
      </c>
      <c r="C876" s="7">
        <v>0.52353009259259264</v>
      </c>
      <c r="D876" s="8">
        <v>0.53097222222222218</v>
      </c>
    </row>
    <row r="877" spans="1:4" x14ac:dyDescent="0.35">
      <c r="A877" s="9">
        <v>3328479</v>
      </c>
      <c r="B877" s="10">
        <v>42929</v>
      </c>
      <c r="C877" s="11">
        <v>0.52668981481481481</v>
      </c>
      <c r="D877" s="12">
        <v>0.53594907407407411</v>
      </c>
    </row>
    <row r="878" spans="1:4" x14ac:dyDescent="0.35">
      <c r="A878" s="5">
        <v>61322035</v>
      </c>
      <c r="B878" s="6">
        <v>42929</v>
      </c>
      <c r="C878" s="7">
        <v>0.52906249999999999</v>
      </c>
      <c r="D878" s="8">
        <v>0.5294444444444445</v>
      </c>
    </row>
    <row r="879" spans="1:4" x14ac:dyDescent="0.35">
      <c r="A879" s="9">
        <v>40308049</v>
      </c>
      <c r="B879" s="10">
        <v>42929</v>
      </c>
      <c r="C879" s="11">
        <v>0.53047453703703706</v>
      </c>
      <c r="D879" s="12">
        <v>0.53797453703703701</v>
      </c>
    </row>
    <row r="880" spans="1:4" x14ac:dyDescent="0.35">
      <c r="A880" s="5">
        <v>7066778</v>
      </c>
      <c r="B880" s="6">
        <v>42929</v>
      </c>
      <c r="C880" s="7">
        <v>0.53484953703703708</v>
      </c>
      <c r="D880" s="8">
        <v>0.538599537037037</v>
      </c>
    </row>
    <row r="881" spans="1:4" x14ac:dyDescent="0.35">
      <c r="A881" s="9">
        <v>3434934</v>
      </c>
      <c r="B881" s="10">
        <v>42929</v>
      </c>
      <c r="C881" s="11">
        <v>0.54039351851851847</v>
      </c>
      <c r="D881" s="12">
        <v>0.55039351851851848</v>
      </c>
    </row>
    <row r="882" spans="1:4" x14ac:dyDescent="0.35">
      <c r="A882" s="5">
        <v>3017523</v>
      </c>
      <c r="B882" s="6">
        <v>42929</v>
      </c>
      <c r="C882" s="7">
        <v>0.54342592592592598</v>
      </c>
      <c r="D882" s="8">
        <v>0.54971064814814818</v>
      </c>
    </row>
    <row r="883" spans="1:4" x14ac:dyDescent="0.35">
      <c r="A883" s="9">
        <v>26699217</v>
      </c>
      <c r="B883" s="10">
        <v>42929</v>
      </c>
      <c r="C883" s="11">
        <v>0.5471759259259259</v>
      </c>
      <c r="D883" s="12">
        <v>0.55871527777777774</v>
      </c>
    </row>
    <row r="884" spans="1:4" x14ac:dyDescent="0.35">
      <c r="A884" s="5">
        <v>3192836</v>
      </c>
      <c r="B884" s="6">
        <v>42929</v>
      </c>
      <c r="C884" s="7">
        <v>0.54806712962962967</v>
      </c>
      <c r="D884" s="8">
        <v>0.54826388888888888</v>
      </c>
    </row>
    <row r="885" spans="1:4" x14ac:dyDescent="0.35">
      <c r="A885" s="9">
        <v>6979384</v>
      </c>
      <c r="B885" s="10">
        <v>42929</v>
      </c>
      <c r="C885" s="11">
        <v>0.55315972222222221</v>
      </c>
      <c r="D885" s="12">
        <v>0.56252314814814819</v>
      </c>
    </row>
    <row r="886" spans="1:4" x14ac:dyDescent="0.35">
      <c r="A886" s="5">
        <v>5277660</v>
      </c>
      <c r="B886" s="6">
        <v>42929</v>
      </c>
      <c r="C886" s="7">
        <v>0.55543981481481486</v>
      </c>
      <c r="D886" s="8">
        <v>0.56340277777777781</v>
      </c>
    </row>
    <row r="887" spans="1:4" x14ac:dyDescent="0.35">
      <c r="A887" s="9">
        <v>9543572</v>
      </c>
      <c r="B887" s="10">
        <v>42929</v>
      </c>
      <c r="C887" s="11">
        <v>0.55556712962962962</v>
      </c>
      <c r="D887" s="12">
        <v>0.56344907407407407</v>
      </c>
    </row>
    <row r="888" spans="1:4" x14ac:dyDescent="0.35">
      <c r="A888" s="5">
        <v>3984696</v>
      </c>
      <c r="B888" s="6">
        <v>42929</v>
      </c>
      <c r="C888" s="7">
        <v>0.55923611111111116</v>
      </c>
      <c r="D888" s="8">
        <v>0.5665162037037037</v>
      </c>
    </row>
    <row r="889" spans="1:4" x14ac:dyDescent="0.35">
      <c r="A889" s="9">
        <v>47855743</v>
      </c>
      <c r="B889" s="10">
        <v>42929</v>
      </c>
      <c r="C889" s="11">
        <v>0.56371527777777775</v>
      </c>
      <c r="D889" s="12">
        <v>0.57344907407407408</v>
      </c>
    </row>
    <row r="890" spans="1:4" x14ac:dyDescent="0.35">
      <c r="A890" s="5">
        <v>3095218</v>
      </c>
      <c r="B890" s="6">
        <v>42929</v>
      </c>
      <c r="C890" s="7">
        <v>0.56581018518518522</v>
      </c>
      <c r="D890" s="8">
        <v>0.57694444444444448</v>
      </c>
    </row>
    <row r="891" spans="1:4" x14ac:dyDescent="0.35">
      <c r="A891" s="9">
        <v>7933399</v>
      </c>
      <c r="B891" s="10">
        <v>42929</v>
      </c>
      <c r="C891" s="11">
        <v>0.57054398148148144</v>
      </c>
      <c r="D891" s="12">
        <v>0.57388888888888889</v>
      </c>
    </row>
    <row r="892" spans="1:4" x14ac:dyDescent="0.35">
      <c r="A892" s="5">
        <v>54821549</v>
      </c>
      <c r="B892" s="6">
        <v>42929</v>
      </c>
      <c r="C892" s="7">
        <v>0.57287037037037036</v>
      </c>
      <c r="D892" s="8">
        <v>0.57663194444444443</v>
      </c>
    </row>
    <row r="893" spans="1:4" x14ac:dyDescent="0.35">
      <c r="A893" s="9">
        <v>14919021</v>
      </c>
      <c r="B893" s="10">
        <v>42929</v>
      </c>
      <c r="C893" s="11">
        <v>0.57331018518518517</v>
      </c>
      <c r="D893" s="12">
        <v>0.57547453703703699</v>
      </c>
    </row>
    <row r="894" spans="1:4" x14ac:dyDescent="0.35">
      <c r="A894" s="5">
        <v>9175377</v>
      </c>
      <c r="B894" s="6">
        <v>42929</v>
      </c>
      <c r="C894" s="7">
        <v>0.57648148148148148</v>
      </c>
      <c r="D894" s="8">
        <v>0.57916666666666672</v>
      </c>
    </row>
    <row r="895" spans="1:4" x14ac:dyDescent="0.35">
      <c r="A895" s="9">
        <v>3656681</v>
      </c>
      <c r="B895" s="10">
        <v>42929</v>
      </c>
      <c r="C895" s="11">
        <v>0.58067129629629632</v>
      </c>
      <c r="D895" s="12">
        <v>0.59149305555555554</v>
      </c>
    </row>
    <row r="896" spans="1:4" x14ac:dyDescent="0.35">
      <c r="A896" s="5">
        <v>5741700</v>
      </c>
      <c r="B896" s="6">
        <v>42929</v>
      </c>
      <c r="C896" s="7">
        <v>0.58644675925925926</v>
      </c>
      <c r="D896" s="8">
        <v>0.5978472222222222</v>
      </c>
    </row>
    <row r="897" spans="1:4" x14ac:dyDescent="0.35">
      <c r="A897" s="9">
        <v>18816694</v>
      </c>
      <c r="B897" s="10">
        <v>42929</v>
      </c>
      <c r="C897" s="11">
        <v>0.59179398148148143</v>
      </c>
      <c r="D897" s="12">
        <v>0.60054398148148147</v>
      </c>
    </row>
    <row r="898" spans="1:4" x14ac:dyDescent="0.35">
      <c r="A898" s="5">
        <v>6177366</v>
      </c>
      <c r="B898" s="6">
        <v>42929</v>
      </c>
      <c r="C898" s="7">
        <v>0.59266203703703701</v>
      </c>
      <c r="D898" s="8">
        <v>0.59672453703703698</v>
      </c>
    </row>
    <row r="899" spans="1:4" x14ac:dyDescent="0.35">
      <c r="A899" s="9">
        <v>4221160</v>
      </c>
      <c r="B899" s="10">
        <v>42929</v>
      </c>
      <c r="C899" s="11">
        <v>0.59437499999999999</v>
      </c>
      <c r="D899" s="12">
        <v>0.60349537037037038</v>
      </c>
    </row>
    <row r="900" spans="1:4" x14ac:dyDescent="0.35">
      <c r="A900" s="5">
        <v>9339774</v>
      </c>
      <c r="B900" s="6">
        <v>42929</v>
      </c>
      <c r="C900" s="7">
        <v>0.59745370370370365</v>
      </c>
      <c r="D900" s="8">
        <v>0.607025462962963</v>
      </c>
    </row>
    <row r="901" spans="1:4" x14ac:dyDescent="0.35">
      <c r="A901" s="9">
        <v>46255010</v>
      </c>
      <c r="B901" s="10">
        <v>42929</v>
      </c>
      <c r="C901" s="11">
        <v>0.60008101851851847</v>
      </c>
      <c r="D901" s="12">
        <v>0.60182870370370367</v>
      </c>
    </row>
    <row r="902" spans="1:4" x14ac:dyDescent="0.35">
      <c r="A902" s="5">
        <v>91208799</v>
      </c>
      <c r="B902" s="6">
        <v>42929</v>
      </c>
      <c r="C902" s="7">
        <v>0.60311342592592587</v>
      </c>
      <c r="D902" s="8">
        <v>0.61048611111111106</v>
      </c>
    </row>
    <row r="903" spans="1:4" x14ac:dyDescent="0.35">
      <c r="A903" s="9">
        <v>7211782</v>
      </c>
      <c r="B903" s="10">
        <v>42929</v>
      </c>
      <c r="C903" s="11">
        <v>0.60773148148148148</v>
      </c>
      <c r="D903" s="12">
        <v>0.60799768518518515</v>
      </c>
    </row>
    <row r="904" spans="1:4" x14ac:dyDescent="0.35">
      <c r="A904" s="5">
        <v>3429335</v>
      </c>
      <c r="B904" s="6">
        <v>42929</v>
      </c>
      <c r="C904" s="7">
        <v>0.61346064814814816</v>
      </c>
      <c r="D904" s="8">
        <v>0.62468749999999995</v>
      </c>
    </row>
    <row r="905" spans="1:4" x14ac:dyDescent="0.35">
      <c r="A905" s="9">
        <v>3206241</v>
      </c>
      <c r="B905" s="10">
        <v>42929</v>
      </c>
      <c r="C905" s="11">
        <v>0.61614583333333328</v>
      </c>
      <c r="D905" s="12">
        <v>0.62736111111111115</v>
      </c>
    </row>
    <row r="906" spans="1:4" x14ac:dyDescent="0.35">
      <c r="A906" s="5">
        <v>8750670</v>
      </c>
      <c r="B906" s="6">
        <v>42929</v>
      </c>
      <c r="C906" s="7">
        <v>0.61686342592592591</v>
      </c>
      <c r="D906" s="8">
        <v>0.61760416666666662</v>
      </c>
    </row>
    <row r="907" spans="1:4" x14ac:dyDescent="0.35">
      <c r="A907" s="9">
        <v>7792679</v>
      </c>
      <c r="B907" s="10">
        <v>42929</v>
      </c>
      <c r="C907" s="11">
        <v>0.62046296296296299</v>
      </c>
      <c r="D907" s="12">
        <v>0.62071759259259263</v>
      </c>
    </row>
    <row r="908" spans="1:4" x14ac:dyDescent="0.35">
      <c r="A908" s="5">
        <v>9287211</v>
      </c>
      <c r="B908" s="6">
        <v>42929</v>
      </c>
      <c r="C908" s="7">
        <v>0.62178240740740742</v>
      </c>
      <c r="D908" s="8">
        <v>0.62540509259259258</v>
      </c>
    </row>
    <row r="909" spans="1:4" x14ac:dyDescent="0.35">
      <c r="A909" s="9">
        <v>1997542</v>
      </c>
      <c r="B909" s="10">
        <v>42929</v>
      </c>
      <c r="C909" s="11">
        <v>0.62749999999999995</v>
      </c>
      <c r="D909" s="12">
        <v>0.63146990740740738</v>
      </c>
    </row>
    <row r="910" spans="1:4" x14ac:dyDescent="0.35">
      <c r="A910" s="5">
        <v>3558582</v>
      </c>
      <c r="B910" s="6">
        <v>42930</v>
      </c>
      <c r="C910" s="7">
        <v>0.33658564814814818</v>
      </c>
      <c r="D910" s="8">
        <v>0.34384259259259259</v>
      </c>
    </row>
    <row r="911" spans="1:4" x14ac:dyDescent="0.35">
      <c r="A911" s="9">
        <v>25240352</v>
      </c>
      <c r="B911" s="10">
        <v>42930</v>
      </c>
      <c r="C911" s="11">
        <v>0.3369212962962963</v>
      </c>
      <c r="D911" s="12">
        <v>0.34468749999999998</v>
      </c>
    </row>
    <row r="912" spans="1:4" x14ac:dyDescent="0.35">
      <c r="A912" s="5">
        <v>5829504</v>
      </c>
      <c r="B912" s="6">
        <v>42930</v>
      </c>
      <c r="C912" s="7">
        <v>0.33802083333333333</v>
      </c>
      <c r="D912" s="8">
        <v>0.34233796296296298</v>
      </c>
    </row>
    <row r="913" spans="1:4" x14ac:dyDescent="0.35">
      <c r="A913" s="9">
        <v>97317489</v>
      </c>
      <c r="B913" s="10">
        <v>42930</v>
      </c>
      <c r="C913" s="11">
        <v>0.34062500000000001</v>
      </c>
      <c r="D913" s="12">
        <v>0.34333333333333332</v>
      </c>
    </row>
    <row r="914" spans="1:4" x14ac:dyDescent="0.35">
      <c r="A914" s="5">
        <v>53762222</v>
      </c>
      <c r="B914" s="6">
        <v>42930</v>
      </c>
      <c r="C914" s="7">
        <v>0.34262731481481479</v>
      </c>
      <c r="D914" s="8">
        <v>0.34824074074074074</v>
      </c>
    </row>
    <row r="915" spans="1:4" x14ac:dyDescent="0.35">
      <c r="A915" s="9">
        <v>3363840</v>
      </c>
      <c r="B915" s="10">
        <v>42930</v>
      </c>
      <c r="C915" s="11">
        <v>0.34431712962962963</v>
      </c>
      <c r="D915" s="12">
        <v>0.34605324074074073</v>
      </c>
    </row>
    <row r="916" spans="1:4" x14ac:dyDescent="0.35">
      <c r="A916" s="5">
        <v>5542324</v>
      </c>
      <c r="B916" s="6">
        <v>42930</v>
      </c>
      <c r="C916" s="7">
        <v>0.34528935185185183</v>
      </c>
      <c r="D916" s="8">
        <v>0.3541435185185185</v>
      </c>
    </row>
    <row r="917" spans="1:4" x14ac:dyDescent="0.35">
      <c r="A917" s="9">
        <v>9853612</v>
      </c>
      <c r="B917" s="10">
        <v>42930</v>
      </c>
      <c r="C917" s="11">
        <v>0.34848379629629628</v>
      </c>
      <c r="D917" s="12">
        <v>0.35927083333333332</v>
      </c>
    </row>
    <row r="918" spans="1:4" x14ac:dyDescent="0.35">
      <c r="A918" s="5">
        <v>5392799</v>
      </c>
      <c r="B918" s="6">
        <v>42930</v>
      </c>
      <c r="C918" s="7">
        <v>0.35270833333333335</v>
      </c>
      <c r="D918" s="8">
        <v>0.36254629629629631</v>
      </c>
    </row>
    <row r="919" spans="1:4" x14ac:dyDescent="0.35">
      <c r="A919" s="9">
        <v>1089768</v>
      </c>
      <c r="B919" s="10">
        <v>42930</v>
      </c>
      <c r="C919" s="11">
        <v>0.35497685185185185</v>
      </c>
      <c r="D919" s="12">
        <v>0.36493055555555554</v>
      </c>
    </row>
    <row r="920" spans="1:4" x14ac:dyDescent="0.35">
      <c r="A920" s="5">
        <v>4274311</v>
      </c>
      <c r="B920" s="6">
        <v>42930</v>
      </c>
      <c r="C920" s="7">
        <v>0.35699074074074072</v>
      </c>
      <c r="D920" s="8">
        <v>0.36554398148148148</v>
      </c>
    </row>
    <row r="921" spans="1:4" x14ac:dyDescent="0.35">
      <c r="A921" s="9">
        <v>8276893</v>
      </c>
      <c r="B921" s="10">
        <v>42930</v>
      </c>
      <c r="C921" s="11">
        <v>0.36056712962962961</v>
      </c>
      <c r="D921" s="12">
        <v>0.36929398148148146</v>
      </c>
    </row>
    <row r="922" spans="1:4" x14ac:dyDescent="0.35">
      <c r="A922" s="5">
        <v>24724114</v>
      </c>
      <c r="B922" s="6">
        <v>42930</v>
      </c>
      <c r="C922" s="7">
        <v>0.36212962962962963</v>
      </c>
      <c r="D922" s="8">
        <v>0.36342592592592593</v>
      </c>
    </row>
    <row r="923" spans="1:4" x14ac:dyDescent="0.35">
      <c r="A923" s="9">
        <v>23580194</v>
      </c>
      <c r="B923" s="10">
        <v>42930</v>
      </c>
      <c r="C923" s="11">
        <v>0.36516203703703703</v>
      </c>
      <c r="D923" s="12">
        <v>0.37596064814814817</v>
      </c>
    </row>
    <row r="924" spans="1:4" x14ac:dyDescent="0.35">
      <c r="A924" s="5">
        <v>1775131</v>
      </c>
      <c r="B924" s="6">
        <v>42930</v>
      </c>
      <c r="C924" s="7">
        <v>0.36922453703703706</v>
      </c>
      <c r="D924" s="8">
        <v>0.36994212962962963</v>
      </c>
    </row>
    <row r="925" spans="1:4" x14ac:dyDescent="0.35">
      <c r="A925" s="9">
        <v>8001915</v>
      </c>
      <c r="B925" s="10">
        <v>42930</v>
      </c>
      <c r="C925" s="11">
        <v>0.3712037037037037</v>
      </c>
      <c r="D925" s="12">
        <v>0.38064814814814812</v>
      </c>
    </row>
    <row r="926" spans="1:4" x14ac:dyDescent="0.35">
      <c r="A926" s="5">
        <v>7508054</v>
      </c>
      <c r="B926" s="6">
        <v>42930</v>
      </c>
      <c r="C926" s="7">
        <v>0.37480324074074073</v>
      </c>
      <c r="D926" s="8">
        <v>0.38201388888888888</v>
      </c>
    </row>
    <row r="927" spans="1:4" x14ac:dyDescent="0.35">
      <c r="A927" s="9">
        <v>5854377</v>
      </c>
      <c r="B927" s="10">
        <v>42930</v>
      </c>
      <c r="C927" s="11">
        <v>0.37506944444444446</v>
      </c>
      <c r="D927" s="12">
        <v>0.37829861111111113</v>
      </c>
    </row>
    <row r="928" spans="1:4" x14ac:dyDescent="0.35">
      <c r="A928" s="5">
        <v>3478173</v>
      </c>
      <c r="B928" s="6">
        <v>42930</v>
      </c>
      <c r="C928" s="7">
        <v>0.37942129629629628</v>
      </c>
      <c r="D928" s="8">
        <v>0.38388888888888889</v>
      </c>
    </row>
    <row r="929" spans="1:4" x14ac:dyDescent="0.35">
      <c r="A929" s="9">
        <v>3999937</v>
      </c>
      <c r="B929" s="10">
        <v>42930</v>
      </c>
      <c r="C929" s="11">
        <v>0.38447916666666665</v>
      </c>
      <c r="D929" s="12">
        <v>0.39068287037037036</v>
      </c>
    </row>
    <row r="930" spans="1:4" x14ac:dyDescent="0.35">
      <c r="A930" s="5">
        <v>83559673</v>
      </c>
      <c r="B930" s="6">
        <v>42930</v>
      </c>
      <c r="C930" s="7">
        <v>0.38571759259259258</v>
      </c>
      <c r="D930" s="8">
        <v>0.39630787037037035</v>
      </c>
    </row>
    <row r="931" spans="1:4" x14ac:dyDescent="0.35">
      <c r="A931" s="9">
        <v>1355775</v>
      </c>
      <c r="B931" s="10">
        <v>42930</v>
      </c>
      <c r="C931" s="11">
        <v>0.38942129629629629</v>
      </c>
      <c r="D931" s="12">
        <v>0.39034722222222223</v>
      </c>
    </row>
    <row r="932" spans="1:4" x14ac:dyDescent="0.35">
      <c r="A932" s="5">
        <v>3463982286</v>
      </c>
      <c r="B932" s="6">
        <v>42930</v>
      </c>
      <c r="C932" s="7">
        <v>0.39506944444444442</v>
      </c>
      <c r="D932" s="8">
        <v>0.40261574074074075</v>
      </c>
    </row>
    <row r="933" spans="1:4" x14ac:dyDescent="0.35">
      <c r="A933" s="9">
        <v>8870498</v>
      </c>
      <c r="B933" s="10">
        <v>42930</v>
      </c>
      <c r="C933" s="11">
        <v>0.4001736111111111</v>
      </c>
      <c r="D933" s="12">
        <v>0.40182870370370372</v>
      </c>
    </row>
    <row r="934" spans="1:4" x14ac:dyDescent="0.35">
      <c r="A934" s="5">
        <v>9894998</v>
      </c>
      <c r="B934" s="6">
        <v>42930</v>
      </c>
      <c r="C934" s="7">
        <v>0.40337962962962964</v>
      </c>
      <c r="D934" s="8">
        <v>0.41137731481481482</v>
      </c>
    </row>
    <row r="935" spans="1:4" x14ac:dyDescent="0.35">
      <c r="A935" s="9">
        <v>8841955</v>
      </c>
      <c r="B935" s="10">
        <v>42930</v>
      </c>
      <c r="C935" s="11">
        <v>0.40635416666666668</v>
      </c>
      <c r="D935" s="12">
        <v>0.40642361111111114</v>
      </c>
    </row>
    <row r="936" spans="1:4" x14ac:dyDescent="0.35">
      <c r="A936" s="5">
        <v>7379567</v>
      </c>
      <c r="B936" s="6">
        <v>42930</v>
      </c>
      <c r="C936" s="7">
        <v>0.4098148148148148</v>
      </c>
      <c r="D936" s="8">
        <v>0.41626157407407405</v>
      </c>
    </row>
    <row r="937" spans="1:4" x14ac:dyDescent="0.35">
      <c r="A937" s="9">
        <v>2092198</v>
      </c>
      <c r="B937" s="10">
        <v>42930</v>
      </c>
      <c r="C937" s="11">
        <v>0.41068287037037038</v>
      </c>
      <c r="D937" s="12">
        <v>0.41288194444444443</v>
      </c>
    </row>
    <row r="938" spans="1:4" x14ac:dyDescent="0.35">
      <c r="A938" s="5">
        <v>6006309</v>
      </c>
      <c r="B938" s="6">
        <v>42930</v>
      </c>
      <c r="C938" s="7">
        <v>0.41601851851851851</v>
      </c>
      <c r="D938" s="8">
        <v>0.41792824074074075</v>
      </c>
    </row>
    <row r="939" spans="1:4" x14ac:dyDescent="0.35">
      <c r="A939" s="9">
        <v>6736331</v>
      </c>
      <c r="B939" s="10">
        <v>42930</v>
      </c>
      <c r="C939" s="11">
        <v>0.41616898148148146</v>
      </c>
      <c r="D939" s="12">
        <v>0.42019675925925926</v>
      </c>
    </row>
    <row r="940" spans="1:4" x14ac:dyDescent="0.35">
      <c r="A940" s="5">
        <v>7291318</v>
      </c>
      <c r="B940" s="6">
        <v>42930</v>
      </c>
      <c r="C940" s="7">
        <v>0.41781249999999998</v>
      </c>
      <c r="D940" s="8">
        <v>0.42886574074074074</v>
      </c>
    </row>
    <row r="941" spans="1:4" x14ac:dyDescent="0.35">
      <c r="A941" s="9">
        <v>30178521</v>
      </c>
      <c r="B941" s="10">
        <v>42930</v>
      </c>
      <c r="C941" s="11">
        <v>0.42238425925925926</v>
      </c>
      <c r="D941" s="12">
        <v>0.42388888888888887</v>
      </c>
    </row>
    <row r="942" spans="1:4" x14ac:dyDescent="0.35">
      <c r="A942" s="5">
        <v>3232376</v>
      </c>
      <c r="B942" s="6">
        <v>42930</v>
      </c>
      <c r="C942" s="7">
        <v>0.42584490740740738</v>
      </c>
      <c r="D942" s="8">
        <v>0.43512731481481481</v>
      </c>
    </row>
    <row r="943" spans="1:4" x14ac:dyDescent="0.35">
      <c r="A943" s="9">
        <v>7536048937</v>
      </c>
      <c r="B943" s="10">
        <v>42930</v>
      </c>
      <c r="C943" s="11">
        <v>0.43115740740740743</v>
      </c>
      <c r="D943" s="12">
        <v>0.43990740740740741</v>
      </c>
    </row>
    <row r="944" spans="1:4" x14ac:dyDescent="0.35">
      <c r="A944" s="5">
        <v>6026397</v>
      </c>
      <c r="B944" s="6">
        <v>42930</v>
      </c>
      <c r="C944" s="7">
        <v>0.43362268518518521</v>
      </c>
      <c r="D944" s="8">
        <v>0.44447916666666665</v>
      </c>
    </row>
    <row r="945" spans="1:4" x14ac:dyDescent="0.35">
      <c r="A945" s="9">
        <v>54821549</v>
      </c>
      <c r="B945" s="10">
        <v>42930</v>
      </c>
      <c r="C945" s="11">
        <v>0.43517361111111114</v>
      </c>
      <c r="D945" s="12">
        <v>0.4466087962962963</v>
      </c>
    </row>
    <row r="946" spans="1:4" x14ac:dyDescent="0.35">
      <c r="A946" s="5">
        <v>4555937</v>
      </c>
      <c r="B946" s="6">
        <v>42930</v>
      </c>
      <c r="C946" s="7">
        <v>0.43956018518518519</v>
      </c>
      <c r="D946" s="8">
        <v>0.44253472222222223</v>
      </c>
    </row>
    <row r="947" spans="1:4" x14ac:dyDescent="0.35">
      <c r="A947" s="9">
        <v>65621292</v>
      </c>
      <c r="B947" s="10">
        <v>42930</v>
      </c>
      <c r="C947" s="11">
        <v>0.44060185185185186</v>
      </c>
      <c r="D947" s="12">
        <v>0.44655092592592593</v>
      </c>
    </row>
    <row r="948" spans="1:4" x14ac:dyDescent="0.35">
      <c r="A948" s="5">
        <v>13898038</v>
      </c>
      <c r="B948" s="6">
        <v>42930</v>
      </c>
      <c r="C948" s="7">
        <v>0.44072916666666667</v>
      </c>
      <c r="D948" s="8">
        <v>0.4496412037037037</v>
      </c>
    </row>
    <row r="949" spans="1:4" x14ac:dyDescent="0.35">
      <c r="A949" s="9">
        <v>6018613</v>
      </c>
      <c r="B949" s="10">
        <v>42930</v>
      </c>
      <c r="C949" s="11">
        <v>0.44295138888888891</v>
      </c>
      <c r="D949" s="12">
        <v>0.44545138888888891</v>
      </c>
    </row>
    <row r="950" spans="1:4" x14ac:dyDescent="0.35">
      <c r="A950" s="5">
        <v>7741751</v>
      </c>
      <c r="B950" s="6">
        <v>42930</v>
      </c>
      <c r="C950" s="7">
        <v>0.4450925925925926</v>
      </c>
      <c r="D950" s="8">
        <v>0.44888888888888889</v>
      </c>
    </row>
    <row r="951" spans="1:4" x14ac:dyDescent="0.35">
      <c r="A951" s="9">
        <v>5512492</v>
      </c>
      <c r="B951" s="10">
        <v>42930</v>
      </c>
      <c r="C951" s="11">
        <v>0.44538194444444446</v>
      </c>
      <c r="D951" s="12">
        <v>0.4525925925925926</v>
      </c>
    </row>
    <row r="952" spans="1:4" x14ac:dyDescent="0.35">
      <c r="A952" s="5">
        <v>36332723</v>
      </c>
      <c r="B952" s="6">
        <v>42930</v>
      </c>
      <c r="C952" s="7">
        <v>0.44593749999999999</v>
      </c>
      <c r="D952" s="8">
        <v>0.44957175925925924</v>
      </c>
    </row>
    <row r="953" spans="1:4" x14ac:dyDescent="0.35">
      <c r="A953" s="9">
        <v>28961250</v>
      </c>
      <c r="B953" s="10">
        <v>42930</v>
      </c>
      <c r="C953" s="11">
        <v>0.4478935185185185</v>
      </c>
      <c r="D953" s="12">
        <v>0.44805555555555554</v>
      </c>
    </row>
    <row r="954" spans="1:4" x14ac:dyDescent="0.35">
      <c r="A954" s="5">
        <v>96191858</v>
      </c>
      <c r="B954" s="6">
        <v>42930</v>
      </c>
      <c r="C954" s="7">
        <v>0.44916666666666666</v>
      </c>
      <c r="D954" s="8">
        <v>0.46023148148148146</v>
      </c>
    </row>
    <row r="955" spans="1:4" x14ac:dyDescent="0.35">
      <c r="A955" s="9">
        <v>49342013</v>
      </c>
      <c r="B955" s="10">
        <v>42930</v>
      </c>
      <c r="C955" s="11">
        <v>0.45233796296296297</v>
      </c>
      <c r="D955" s="12">
        <v>0.45649305555555558</v>
      </c>
    </row>
    <row r="956" spans="1:4" x14ac:dyDescent="0.35">
      <c r="A956" s="5">
        <v>2329556</v>
      </c>
      <c r="B956" s="6">
        <v>42930</v>
      </c>
      <c r="C956" s="7">
        <v>0.45667824074074076</v>
      </c>
      <c r="D956" s="8">
        <v>0.45679398148148148</v>
      </c>
    </row>
    <row r="957" spans="1:4" x14ac:dyDescent="0.35">
      <c r="A957" s="9">
        <v>2969264</v>
      </c>
      <c r="B957" s="10">
        <v>42930</v>
      </c>
      <c r="C957" s="11">
        <v>0.45930555555555558</v>
      </c>
      <c r="D957" s="12">
        <v>0.4634375</v>
      </c>
    </row>
    <row r="958" spans="1:4" x14ac:dyDescent="0.35">
      <c r="A958" s="5">
        <v>8498683</v>
      </c>
      <c r="B958" s="6">
        <v>42930</v>
      </c>
      <c r="C958" s="7">
        <v>0.45950231481481479</v>
      </c>
      <c r="D958" s="8">
        <v>0.46177083333333335</v>
      </c>
    </row>
    <row r="959" spans="1:4" x14ac:dyDescent="0.35">
      <c r="A959" s="9">
        <v>2341441</v>
      </c>
      <c r="B959" s="10">
        <v>42930</v>
      </c>
      <c r="C959" s="11">
        <v>0.46333333333333332</v>
      </c>
      <c r="D959" s="12">
        <v>0.46409722222222222</v>
      </c>
    </row>
    <row r="960" spans="1:4" x14ac:dyDescent="0.35">
      <c r="A960" s="5">
        <v>30270334</v>
      </c>
      <c r="B960" s="6">
        <v>42930</v>
      </c>
      <c r="C960" s="7">
        <v>0.46587962962962964</v>
      </c>
      <c r="D960" s="8">
        <v>0.46755787037037039</v>
      </c>
    </row>
    <row r="961" spans="1:4" x14ac:dyDescent="0.35">
      <c r="A961" s="9">
        <v>4657345</v>
      </c>
      <c r="B961" s="10">
        <v>42930</v>
      </c>
      <c r="C961" s="11">
        <v>0.46988425925925925</v>
      </c>
      <c r="D961" s="12">
        <v>0.47721064814814818</v>
      </c>
    </row>
    <row r="962" spans="1:4" x14ac:dyDescent="0.35">
      <c r="A962" s="5">
        <v>2145244</v>
      </c>
      <c r="B962" s="6">
        <v>42930</v>
      </c>
      <c r="C962" s="7">
        <v>0.47028935185185183</v>
      </c>
      <c r="D962" s="8">
        <v>0.47052083333333333</v>
      </c>
    </row>
    <row r="963" spans="1:4" x14ac:dyDescent="0.35">
      <c r="A963" s="9">
        <v>7627829</v>
      </c>
      <c r="B963" s="10">
        <v>42930</v>
      </c>
      <c r="C963" s="11">
        <v>0.4742824074074074</v>
      </c>
      <c r="D963" s="12">
        <v>0.48538194444444444</v>
      </c>
    </row>
    <row r="964" spans="1:4" x14ac:dyDescent="0.35">
      <c r="A964" s="5">
        <v>9182658</v>
      </c>
      <c r="B964" s="6">
        <v>42930</v>
      </c>
      <c r="C964" s="7">
        <v>0.47594907407407405</v>
      </c>
      <c r="D964" s="8">
        <v>0.47641203703703705</v>
      </c>
    </row>
    <row r="965" spans="1:4" x14ac:dyDescent="0.35">
      <c r="A965" s="9">
        <v>4191600</v>
      </c>
      <c r="B965" s="10">
        <v>42930</v>
      </c>
      <c r="C965" s="11">
        <v>0.47799768518518521</v>
      </c>
      <c r="D965" s="12">
        <v>0.47905092592592591</v>
      </c>
    </row>
    <row r="966" spans="1:4" x14ac:dyDescent="0.35">
      <c r="A966" s="5">
        <v>5492379</v>
      </c>
      <c r="B966" s="6">
        <v>42930</v>
      </c>
      <c r="C966" s="7">
        <v>0.47825231481481484</v>
      </c>
      <c r="D966" s="8">
        <v>0.48502314814814818</v>
      </c>
    </row>
    <row r="967" spans="1:4" x14ac:dyDescent="0.35">
      <c r="A967" s="9">
        <v>2861766</v>
      </c>
      <c r="B967" s="10">
        <v>42930</v>
      </c>
      <c r="C967" s="11">
        <v>0.48138888888888887</v>
      </c>
      <c r="D967" s="12">
        <v>0.48574074074074075</v>
      </c>
    </row>
    <row r="968" spans="1:4" x14ac:dyDescent="0.35">
      <c r="A968" s="5">
        <v>1309359</v>
      </c>
      <c r="B968" s="6">
        <v>42930</v>
      </c>
      <c r="C968" s="7">
        <v>0.48422453703703705</v>
      </c>
      <c r="D968" s="8">
        <v>0.48562499999999997</v>
      </c>
    </row>
    <row r="969" spans="1:4" x14ac:dyDescent="0.35">
      <c r="A969" s="9">
        <v>5272270</v>
      </c>
      <c r="B969" s="10">
        <v>42930</v>
      </c>
      <c r="C969" s="11">
        <v>0.48579861111111111</v>
      </c>
      <c r="D969" s="12">
        <v>0.49395833333333333</v>
      </c>
    </row>
    <row r="970" spans="1:4" x14ac:dyDescent="0.35">
      <c r="A970" s="5">
        <v>9266643</v>
      </c>
      <c r="B970" s="6">
        <v>42930</v>
      </c>
      <c r="C970" s="7">
        <v>0.48832175925925925</v>
      </c>
      <c r="D970" s="8">
        <v>0.49005787037037035</v>
      </c>
    </row>
    <row r="971" spans="1:4" x14ac:dyDescent="0.35">
      <c r="A971" s="9">
        <v>3460208</v>
      </c>
      <c r="B971" s="10">
        <v>42930</v>
      </c>
      <c r="C971" s="11">
        <v>0.49302083333333335</v>
      </c>
      <c r="D971" s="12">
        <v>0.50244212962962964</v>
      </c>
    </row>
    <row r="972" spans="1:4" x14ac:dyDescent="0.35">
      <c r="A972" s="5">
        <v>25545000</v>
      </c>
      <c r="B972" s="6">
        <v>42930</v>
      </c>
      <c r="C972" s="7">
        <v>0.4959722222222222</v>
      </c>
      <c r="D972" s="8">
        <v>0.50451388888888893</v>
      </c>
    </row>
    <row r="973" spans="1:4" x14ac:dyDescent="0.35">
      <c r="A973" s="9">
        <v>1207918</v>
      </c>
      <c r="B973" s="10">
        <v>42930</v>
      </c>
      <c r="C973" s="11">
        <v>0.50126157407407412</v>
      </c>
      <c r="D973" s="12">
        <v>0.51184027777777774</v>
      </c>
    </row>
    <row r="974" spans="1:4" x14ac:dyDescent="0.35">
      <c r="A974" s="5">
        <v>4471828</v>
      </c>
      <c r="B974" s="6">
        <v>42930</v>
      </c>
      <c r="C974" s="7">
        <v>0.50378472222222226</v>
      </c>
      <c r="D974" s="8">
        <v>0.51043981481481482</v>
      </c>
    </row>
    <row r="975" spans="1:4" x14ac:dyDescent="0.35">
      <c r="A975" s="9">
        <v>6516836</v>
      </c>
      <c r="B975" s="10">
        <v>42930</v>
      </c>
      <c r="C975" s="11">
        <v>0.50812500000000005</v>
      </c>
      <c r="D975" s="12">
        <v>0.50862268518518516</v>
      </c>
    </row>
    <row r="976" spans="1:4" x14ac:dyDescent="0.35">
      <c r="A976" s="5">
        <v>1197931</v>
      </c>
      <c r="B976" s="6">
        <v>42930</v>
      </c>
      <c r="C976" s="7">
        <v>0.51179398148148147</v>
      </c>
      <c r="D976" s="8">
        <v>0.51231481481481478</v>
      </c>
    </row>
    <row r="977" spans="1:4" x14ac:dyDescent="0.35">
      <c r="A977" s="9">
        <v>8750619</v>
      </c>
      <c r="B977" s="10">
        <v>42930</v>
      </c>
      <c r="C977" s="11">
        <v>0.51645833333333335</v>
      </c>
      <c r="D977" s="12">
        <v>0.51701388888888888</v>
      </c>
    </row>
    <row r="978" spans="1:4" x14ac:dyDescent="0.35">
      <c r="A978" s="5">
        <v>2076719</v>
      </c>
      <c r="B978" s="6">
        <v>42930</v>
      </c>
      <c r="C978" s="7">
        <v>0.52056712962962959</v>
      </c>
      <c r="D978" s="8">
        <v>0.52818287037037037</v>
      </c>
    </row>
    <row r="979" spans="1:4" x14ac:dyDescent="0.35">
      <c r="A979" s="9">
        <v>3131883</v>
      </c>
      <c r="B979" s="10">
        <v>42930</v>
      </c>
      <c r="C979" s="11">
        <v>0.52427083333333335</v>
      </c>
      <c r="D979" s="12">
        <v>0.52818287037037037</v>
      </c>
    </row>
    <row r="980" spans="1:4" x14ac:dyDescent="0.35">
      <c r="A980" s="5">
        <v>1552302</v>
      </c>
      <c r="B980" s="6">
        <v>42930</v>
      </c>
      <c r="C980" s="7">
        <v>0.52953703703703703</v>
      </c>
      <c r="D980" s="8">
        <v>0.54078703703703701</v>
      </c>
    </row>
    <row r="981" spans="1:4" x14ac:dyDescent="0.35">
      <c r="A981" s="9">
        <v>33708687</v>
      </c>
      <c r="B981" s="10">
        <v>42930</v>
      </c>
      <c r="C981" s="11">
        <v>0.53237268518518521</v>
      </c>
      <c r="D981" s="12">
        <v>0.53413194444444445</v>
      </c>
    </row>
    <row r="982" spans="1:4" x14ac:dyDescent="0.35">
      <c r="A982" s="5">
        <v>23123600</v>
      </c>
      <c r="B982" s="6">
        <v>42930</v>
      </c>
      <c r="C982" s="7">
        <v>0.53268518518518515</v>
      </c>
      <c r="D982" s="8">
        <v>0.54135416666666669</v>
      </c>
    </row>
    <row r="983" spans="1:4" x14ac:dyDescent="0.35">
      <c r="A983" s="9">
        <v>5913571</v>
      </c>
      <c r="B983" s="10">
        <v>42930</v>
      </c>
      <c r="C983" s="11">
        <v>0.53740740740740744</v>
      </c>
      <c r="D983" s="12">
        <v>0.54893518518518514</v>
      </c>
    </row>
    <row r="984" spans="1:4" x14ac:dyDescent="0.35">
      <c r="A984" s="5">
        <v>5790304</v>
      </c>
      <c r="B984" s="6">
        <v>42930</v>
      </c>
      <c r="C984" s="7">
        <v>0.53768518518518515</v>
      </c>
      <c r="D984" s="8">
        <v>0.53770833333333334</v>
      </c>
    </row>
    <row r="985" spans="1:4" x14ac:dyDescent="0.35">
      <c r="A985" s="9">
        <v>97953696</v>
      </c>
      <c r="B985" s="10">
        <v>42930</v>
      </c>
      <c r="C985" s="11">
        <v>0.53909722222222223</v>
      </c>
      <c r="D985" s="12">
        <v>0.54540509259259262</v>
      </c>
    </row>
    <row r="986" spans="1:4" x14ac:dyDescent="0.35">
      <c r="A986" s="5">
        <v>13588783</v>
      </c>
      <c r="B986" s="6">
        <v>42930</v>
      </c>
      <c r="C986" s="7">
        <v>0.54118055555555555</v>
      </c>
      <c r="D986" s="8">
        <v>0.54894675925925929</v>
      </c>
    </row>
    <row r="987" spans="1:4" x14ac:dyDescent="0.35">
      <c r="A987" s="9">
        <v>3300626</v>
      </c>
      <c r="B987" s="10">
        <v>42930</v>
      </c>
      <c r="C987" s="11">
        <v>0.54415509259259254</v>
      </c>
      <c r="D987" s="12">
        <v>0.55156249999999996</v>
      </c>
    </row>
    <row r="988" spans="1:4" x14ac:dyDescent="0.35">
      <c r="A988" s="5">
        <v>9849071</v>
      </c>
      <c r="B988" s="6">
        <v>42930</v>
      </c>
      <c r="C988" s="7">
        <v>0.54498842592592589</v>
      </c>
      <c r="D988" s="8">
        <v>0.54879629629629634</v>
      </c>
    </row>
    <row r="989" spans="1:4" x14ac:dyDescent="0.35">
      <c r="A989" s="9">
        <v>39697250</v>
      </c>
      <c r="B989" s="10">
        <v>42930</v>
      </c>
      <c r="C989" s="11">
        <v>0.54616898148148152</v>
      </c>
      <c r="D989" s="12">
        <v>0.55153935185185188</v>
      </c>
    </row>
    <row r="990" spans="1:4" x14ac:dyDescent="0.35">
      <c r="A990" s="5">
        <v>3826370863</v>
      </c>
      <c r="B990" s="6">
        <v>42930</v>
      </c>
      <c r="C990" s="7">
        <v>0.55155092592592592</v>
      </c>
      <c r="D990" s="8">
        <v>0.55709490740740741</v>
      </c>
    </row>
    <row r="991" spans="1:4" x14ac:dyDescent="0.35">
      <c r="A991" s="9">
        <v>9088452</v>
      </c>
      <c r="B991" s="10">
        <v>42930</v>
      </c>
      <c r="C991" s="11">
        <v>0.55473379629629627</v>
      </c>
      <c r="D991" s="12">
        <v>0.56253472222222223</v>
      </c>
    </row>
    <row r="992" spans="1:4" x14ac:dyDescent="0.35">
      <c r="A992" s="5">
        <v>8026912</v>
      </c>
      <c r="B992" s="6">
        <v>42930</v>
      </c>
      <c r="C992" s="7">
        <v>0.5561342592592593</v>
      </c>
      <c r="D992" s="8">
        <v>0.56366898148148148</v>
      </c>
    </row>
    <row r="993" spans="1:4" x14ac:dyDescent="0.35">
      <c r="A993" s="9">
        <v>24290062</v>
      </c>
      <c r="B993" s="10">
        <v>42930</v>
      </c>
      <c r="C993" s="11">
        <v>0.56141203703703701</v>
      </c>
      <c r="D993" s="12">
        <v>0.57055555555555559</v>
      </c>
    </row>
    <row r="994" spans="1:4" x14ac:dyDescent="0.35">
      <c r="A994" s="5">
        <v>6785899</v>
      </c>
      <c r="B994" s="6">
        <v>42930</v>
      </c>
      <c r="C994" s="7">
        <v>0.56650462962962966</v>
      </c>
      <c r="D994" s="8">
        <v>0.57533564814814819</v>
      </c>
    </row>
    <row r="995" spans="1:4" x14ac:dyDescent="0.35">
      <c r="A995" s="9">
        <v>75048005</v>
      </c>
      <c r="B995" s="10">
        <v>42930</v>
      </c>
      <c r="C995" s="11">
        <v>0.57197916666666671</v>
      </c>
      <c r="D995" s="12">
        <v>0.58081018518518523</v>
      </c>
    </row>
    <row r="996" spans="1:4" x14ac:dyDescent="0.35">
      <c r="A996" s="5">
        <v>97459926</v>
      </c>
      <c r="B996" s="6">
        <v>42930</v>
      </c>
      <c r="C996" s="7">
        <v>0.57262731481481477</v>
      </c>
      <c r="D996" s="8">
        <v>0.57991898148148147</v>
      </c>
    </row>
    <row r="997" spans="1:4" x14ac:dyDescent="0.35">
      <c r="A997" s="9">
        <v>9600226</v>
      </c>
      <c r="B997" s="10">
        <v>42930</v>
      </c>
      <c r="C997" s="11">
        <v>0.57451388888888888</v>
      </c>
      <c r="D997" s="12">
        <v>0.57847222222222228</v>
      </c>
    </row>
    <row r="998" spans="1:4" x14ac:dyDescent="0.35">
      <c r="A998" s="5">
        <v>9685747</v>
      </c>
      <c r="B998" s="6">
        <v>42930</v>
      </c>
      <c r="C998" s="7">
        <v>0.57810185185185181</v>
      </c>
      <c r="D998" s="8">
        <v>0.58810185185185182</v>
      </c>
    </row>
    <row r="999" spans="1:4" x14ac:dyDescent="0.35">
      <c r="A999" s="9">
        <v>3178616</v>
      </c>
      <c r="B999" s="10">
        <v>42930</v>
      </c>
      <c r="C999" s="11">
        <v>0.58233796296296292</v>
      </c>
      <c r="D999" s="12">
        <v>0.58734953703703707</v>
      </c>
    </row>
    <row r="1000" spans="1:4" x14ac:dyDescent="0.35">
      <c r="A1000" s="5">
        <v>9979899</v>
      </c>
      <c r="B1000" s="6">
        <v>42930</v>
      </c>
      <c r="C1000" s="7">
        <v>0.58810185185185182</v>
      </c>
      <c r="D1000" s="8">
        <v>0.59134259259259259</v>
      </c>
    </row>
    <row r="1001" spans="1:4" x14ac:dyDescent="0.35">
      <c r="A1001" s="9">
        <v>4575865</v>
      </c>
      <c r="B1001" s="10">
        <v>42930</v>
      </c>
      <c r="C1001" s="11">
        <v>0.58959490740740739</v>
      </c>
      <c r="D1001" s="12">
        <v>0.59105324074074073</v>
      </c>
    </row>
    <row r="1002" spans="1:4" x14ac:dyDescent="0.35">
      <c r="A1002" s="5">
        <v>1808444</v>
      </c>
      <c r="B1002" s="6">
        <v>42930</v>
      </c>
      <c r="C1002" s="7">
        <v>0.59284722222222219</v>
      </c>
      <c r="D1002" s="8">
        <v>0.59662037037037041</v>
      </c>
    </row>
    <row r="1003" spans="1:4" x14ac:dyDescent="0.35">
      <c r="A1003" s="9">
        <v>1649912</v>
      </c>
      <c r="B1003" s="10">
        <v>42930</v>
      </c>
      <c r="C1003" s="11">
        <v>0.59467592592592589</v>
      </c>
      <c r="D1003" s="12">
        <v>0.60392361111111115</v>
      </c>
    </row>
    <row r="1004" spans="1:4" x14ac:dyDescent="0.35">
      <c r="A1004" s="5">
        <v>6128500046</v>
      </c>
      <c r="B1004" s="6">
        <v>42930</v>
      </c>
      <c r="C1004" s="7">
        <v>0.5981481481481481</v>
      </c>
      <c r="D1004" s="8">
        <v>0.60513888888888889</v>
      </c>
    </row>
    <row r="1005" spans="1:4" x14ac:dyDescent="0.35">
      <c r="A1005" s="9">
        <v>6580951</v>
      </c>
      <c r="B1005" s="10">
        <v>42930</v>
      </c>
      <c r="C1005" s="11">
        <v>0.6001967592592593</v>
      </c>
      <c r="D1005" s="12">
        <v>0.60023148148148153</v>
      </c>
    </row>
    <row r="1006" spans="1:4" x14ac:dyDescent="0.35">
      <c r="A1006" s="5">
        <v>5536146</v>
      </c>
      <c r="B1006" s="6">
        <v>42930</v>
      </c>
      <c r="C1006" s="7">
        <v>0.60204861111111108</v>
      </c>
      <c r="D1006" s="8">
        <v>0.60319444444444448</v>
      </c>
    </row>
    <row r="1007" spans="1:4" x14ac:dyDescent="0.35">
      <c r="A1007" s="9">
        <v>7396921</v>
      </c>
      <c r="B1007" s="10">
        <v>42930</v>
      </c>
      <c r="C1007" s="11">
        <v>0.60775462962962967</v>
      </c>
      <c r="D1007" s="12">
        <v>0.61614583333333328</v>
      </c>
    </row>
    <row r="1008" spans="1:4" x14ac:dyDescent="0.35">
      <c r="A1008" s="5">
        <v>8331262</v>
      </c>
      <c r="B1008" s="6">
        <v>42930</v>
      </c>
      <c r="C1008" s="7">
        <v>0.61174768518518519</v>
      </c>
      <c r="D1008" s="8">
        <v>0.61697916666666663</v>
      </c>
    </row>
    <row r="1009" spans="1:4" x14ac:dyDescent="0.35">
      <c r="A1009" s="9">
        <v>5146166</v>
      </c>
      <c r="B1009" s="10">
        <v>42930</v>
      </c>
      <c r="C1009" s="11">
        <v>0.61546296296296299</v>
      </c>
      <c r="D1009" s="12">
        <v>0.62185185185185188</v>
      </c>
    </row>
    <row r="1010" spans="1:4" x14ac:dyDescent="0.35">
      <c r="A1010" s="5">
        <v>6729705</v>
      </c>
      <c r="B1010" s="6">
        <v>42930</v>
      </c>
      <c r="C1010" s="7">
        <v>0.62111111111111106</v>
      </c>
      <c r="D1010" s="8">
        <v>0.62814814814814812</v>
      </c>
    </row>
    <row r="1011" spans="1:4" x14ac:dyDescent="0.35">
      <c r="A1011" s="9">
        <v>5372125</v>
      </c>
      <c r="B1011" s="10">
        <v>42930</v>
      </c>
      <c r="C1011" s="11">
        <v>0.62517361111111114</v>
      </c>
      <c r="D1011" s="12">
        <v>0.62518518518518518</v>
      </c>
    </row>
    <row r="1012" spans="1:4" x14ac:dyDescent="0.35">
      <c r="A1012" s="5">
        <v>8870498</v>
      </c>
      <c r="B1012" s="6">
        <v>42933</v>
      </c>
      <c r="C1012" s="7">
        <v>0.33702546296296299</v>
      </c>
      <c r="D1012" s="8">
        <v>0.34466435185185185</v>
      </c>
    </row>
    <row r="1013" spans="1:4" x14ac:dyDescent="0.35">
      <c r="A1013" s="9">
        <v>7880585</v>
      </c>
      <c r="B1013" s="10">
        <v>42933</v>
      </c>
      <c r="C1013" s="11">
        <v>0.34074074074074073</v>
      </c>
      <c r="D1013" s="12">
        <v>0.34971064814814817</v>
      </c>
    </row>
    <row r="1014" spans="1:4" x14ac:dyDescent="0.35">
      <c r="A1014" s="5">
        <v>3652646</v>
      </c>
      <c r="B1014" s="6">
        <v>42933</v>
      </c>
      <c r="C1014" s="7">
        <v>0.34233796296296298</v>
      </c>
      <c r="D1014" s="8">
        <v>0.34569444444444447</v>
      </c>
    </row>
    <row r="1015" spans="1:4" x14ac:dyDescent="0.35">
      <c r="A1015" s="9">
        <v>3691457</v>
      </c>
      <c r="B1015" s="10">
        <v>42933</v>
      </c>
      <c r="C1015" s="11">
        <v>0.34688657407407408</v>
      </c>
      <c r="D1015" s="12">
        <v>0.35810185185185184</v>
      </c>
    </row>
    <row r="1016" spans="1:4" x14ac:dyDescent="0.35">
      <c r="A1016" s="5">
        <v>4344184930</v>
      </c>
      <c r="B1016" s="6">
        <v>42933</v>
      </c>
      <c r="C1016" s="7">
        <v>0.34866898148148145</v>
      </c>
      <c r="D1016" s="8">
        <v>0.35778935185185184</v>
      </c>
    </row>
    <row r="1017" spans="1:4" x14ac:dyDescent="0.35">
      <c r="A1017" s="9">
        <v>5290460</v>
      </c>
      <c r="B1017" s="10">
        <v>42933</v>
      </c>
      <c r="C1017" s="11">
        <v>0.3525578703703704</v>
      </c>
      <c r="D1017" s="12">
        <v>0.36346064814814816</v>
      </c>
    </row>
    <row r="1018" spans="1:4" x14ac:dyDescent="0.35">
      <c r="A1018" s="5">
        <v>6922037</v>
      </c>
      <c r="B1018" s="6">
        <v>42933</v>
      </c>
      <c r="C1018" s="7">
        <v>0.35569444444444442</v>
      </c>
      <c r="D1018" s="8">
        <v>0.35796296296296298</v>
      </c>
    </row>
    <row r="1019" spans="1:4" x14ac:dyDescent="0.35">
      <c r="A1019" s="9">
        <v>7060245</v>
      </c>
      <c r="B1019" s="10">
        <v>42933</v>
      </c>
      <c r="C1019" s="11">
        <v>0.35920138888888886</v>
      </c>
      <c r="D1019" s="12">
        <v>0.36319444444444443</v>
      </c>
    </row>
    <row r="1020" spans="1:4" x14ac:dyDescent="0.35">
      <c r="A1020" s="5">
        <v>5788783</v>
      </c>
      <c r="B1020" s="6">
        <v>42933</v>
      </c>
      <c r="C1020" s="7">
        <v>0.36114583333333333</v>
      </c>
      <c r="D1020" s="8">
        <v>0.36629629629629629</v>
      </c>
    </row>
    <row r="1021" spans="1:4" x14ac:dyDescent="0.35">
      <c r="A1021" s="9">
        <v>8647144</v>
      </c>
      <c r="B1021" s="10">
        <v>42933</v>
      </c>
      <c r="C1021" s="11">
        <v>0.36208333333333331</v>
      </c>
      <c r="D1021" s="12">
        <v>0.36282407407407408</v>
      </c>
    </row>
    <row r="1022" spans="1:4" x14ac:dyDescent="0.35">
      <c r="A1022" s="5">
        <v>24665933</v>
      </c>
      <c r="B1022" s="6">
        <v>42933</v>
      </c>
      <c r="C1022" s="7">
        <v>0.36373842592592592</v>
      </c>
      <c r="D1022" s="8">
        <v>0.36895833333333333</v>
      </c>
    </row>
    <row r="1023" spans="1:4" x14ac:dyDescent="0.35">
      <c r="A1023" s="9">
        <v>3326329</v>
      </c>
      <c r="B1023" s="10">
        <v>42933</v>
      </c>
      <c r="C1023" s="11">
        <v>0.36928240740740742</v>
      </c>
      <c r="D1023" s="12">
        <v>0.37148148148148147</v>
      </c>
    </row>
    <row r="1024" spans="1:4" x14ac:dyDescent="0.35">
      <c r="A1024" s="5">
        <v>3478111</v>
      </c>
      <c r="B1024" s="6">
        <v>42933</v>
      </c>
      <c r="C1024" s="7">
        <v>0.37144675925925924</v>
      </c>
      <c r="D1024" s="8">
        <v>0.37270833333333331</v>
      </c>
    </row>
    <row r="1025" spans="1:4" x14ac:dyDescent="0.35">
      <c r="A1025" s="9">
        <v>7937998</v>
      </c>
      <c r="B1025" s="10">
        <v>42933</v>
      </c>
      <c r="C1025" s="11">
        <v>0.37627314814814816</v>
      </c>
      <c r="D1025" s="12">
        <v>0.37802083333333331</v>
      </c>
    </row>
    <row r="1026" spans="1:4" x14ac:dyDescent="0.35">
      <c r="A1026" s="5">
        <v>82239478</v>
      </c>
      <c r="B1026" s="6">
        <v>42933</v>
      </c>
      <c r="C1026" s="7">
        <v>0.38178240740740743</v>
      </c>
      <c r="D1026" s="8">
        <v>0.38648148148148148</v>
      </c>
    </row>
    <row r="1027" spans="1:4" x14ac:dyDescent="0.35">
      <c r="A1027" s="9">
        <v>2557643</v>
      </c>
      <c r="B1027" s="10">
        <v>42933</v>
      </c>
      <c r="C1027" s="11">
        <v>0.38622685185185185</v>
      </c>
      <c r="D1027" s="12">
        <v>0.38957175925925924</v>
      </c>
    </row>
    <row r="1028" spans="1:4" x14ac:dyDescent="0.35">
      <c r="A1028" s="5">
        <v>4501726</v>
      </c>
      <c r="B1028" s="6">
        <v>42933</v>
      </c>
      <c r="C1028" s="7">
        <v>0.38754629629629628</v>
      </c>
      <c r="D1028" s="8">
        <v>0.39260416666666664</v>
      </c>
    </row>
    <row r="1029" spans="1:4" x14ac:dyDescent="0.35">
      <c r="A1029" s="9">
        <v>1415198</v>
      </c>
      <c r="B1029" s="10">
        <v>42933</v>
      </c>
      <c r="C1029" s="11">
        <v>0.38991898148148146</v>
      </c>
      <c r="D1029" s="12">
        <v>0.40072916666666669</v>
      </c>
    </row>
    <row r="1030" spans="1:4" x14ac:dyDescent="0.35">
      <c r="A1030" s="5">
        <v>23368531</v>
      </c>
      <c r="B1030" s="6">
        <v>42933</v>
      </c>
      <c r="C1030" s="7">
        <v>0.39103009259259258</v>
      </c>
      <c r="D1030" s="8">
        <v>0.39221064814814816</v>
      </c>
    </row>
    <row r="1031" spans="1:4" x14ac:dyDescent="0.35">
      <c r="A1031" s="9">
        <v>5750549</v>
      </c>
      <c r="B1031" s="10">
        <v>42933</v>
      </c>
      <c r="C1031" s="11">
        <v>0.3948726851851852</v>
      </c>
      <c r="D1031" s="12">
        <v>0.39504629629629628</v>
      </c>
    </row>
    <row r="1032" spans="1:4" x14ac:dyDescent="0.35">
      <c r="A1032" s="5">
        <v>3897850970</v>
      </c>
      <c r="B1032" s="6">
        <v>42933</v>
      </c>
      <c r="C1032" s="7">
        <v>0.3951736111111111</v>
      </c>
      <c r="D1032" s="8">
        <v>0.39697916666666666</v>
      </c>
    </row>
    <row r="1033" spans="1:4" x14ac:dyDescent="0.35">
      <c r="A1033" s="9">
        <v>2573868</v>
      </c>
      <c r="B1033" s="10">
        <v>42933</v>
      </c>
      <c r="C1033" s="11">
        <v>0.39962962962962961</v>
      </c>
      <c r="D1033" s="12">
        <v>0.40937499999999999</v>
      </c>
    </row>
    <row r="1034" spans="1:4" x14ac:dyDescent="0.35">
      <c r="A1034" s="5">
        <v>1701008</v>
      </c>
      <c r="B1034" s="6">
        <v>42933</v>
      </c>
      <c r="C1034" s="7">
        <v>0.40104166666666669</v>
      </c>
      <c r="D1034" s="8">
        <v>0.40837962962962965</v>
      </c>
    </row>
    <row r="1035" spans="1:4" x14ac:dyDescent="0.35">
      <c r="A1035" s="9">
        <v>1617146</v>
      </c>
      <c r="B1035" s="10">
        <v>42933</v>
      </c>
      <c r="C1035" s="11">
        <v>0.40575231481481483</v>
      </c>
      <c r="D1035" s="12">
        <v>0.41274305555555557</v>
      </c>
    </row>
    <row r="1036" spans="1:4" x14ac:dyDescent="0.35">
      <c r="A1036" s="5">
        <v>7085993</v>
      </c>
      <c r="B1036" s="6">
        <v>42933</v>
      </c>
      <c r="C1036" s="7">
        <v>0.40719907407407407</v>
      </c>
      <c r="D1036" s="8">
        <v>0.41578703703703701</v>
      </c>
    </row>
    <row r="1037" spans="1:4" x14ac:dyDescent="0.35">
      <c r="A1037" s="9">
        <v>73460179</v>
      </c>
      <c r="B1037" s="10">
        <v>42933</v>
      </c>
      <c r="C1037" s="11">
        <v>0.41060185185185183</v>
      </c>
      <c r="D1037" s="12">
        <v>0.41334490740740742</v>
      </c>
    </row>
    <row r="1038" spans="1:4" x14ac:dyDescent="0.35">
      <c r="A1038" s="5">
        <v>5983034</v>
      </c>
      <c r="B1038" s="6">
        <v>42933</v>
      </c>
      <c r="C1038" s="7">
        <v>0.41253472222222221</v>
      </c>
      <c r="D1038" s="8">
        <v>0.41753472222222221</v>
      </c>
    </row>
    <row r="1039" spans="1:4" x14ac:dyDescent="0.35">
      <c r="A1039" s="9">
        <v>16724936</v>
      </c>
      <c r="B1039" s="10">
        <v>42933</v>
      </c>
      <c r="C1039" s="11">
        <v>0.41317129629629629</v>
      </c>
      <c r="D1039" s="12">
        <v>0.41466435185185185</v>
      </c>
    </row>
    <row r="1040" spans="1:4" x14ac:dyDescent="0.35">
      <c r="A1040" s="5">
        <v>19343766</v>
      </c>
      <c r="B1040" s="6">
        <v>42933</v>
      </c>
      <c r="C1040" s="7">
        <v>0.41572916666666665</v>
      </c>
      <c r="D1040" s="8">
        <v>0.41825231481481484</v>
      </c>
    </row>
    <row r="1041" spans="1:4" x14ac:dyDescent="0.35">
      <c r="A1041" s="9">
        <v>7439955</v>
      </c>
      <c r="B1041" s="10">
        <v>42933</v>
      </c>
      <c r="C1041" s="11">
        <v>0.41716435185185186</v>
      </c>
      <c r="D1041" s="12">
        <v>0.4284722222222222</v>
      </c>
    </row>
    <row r="1042" spans="1:4" x14ac:dyDescent="0.35">
      <c r="A1042" s="5">
        <v>7224275</v>
      </c>
      <c r="B1042" s="6">
        <v>42933</v>
      </c>
      <c r="C1042" s="7">
        <v>0.41899305555555555</v>
      </c>
      <c r="D1042" s="8">
        <v>0.41968749999999999</v>
      </c>
    </row>
    <row r="1043" spans="1:4" x14ac:dyDescent="0.35">
      <c r="A1043" s="9">
        <v>1679471</v>
      </c>
      <c r="B1043" s="10">
        <v>42933</v>
      </c>
      <c r="C1043" s="11">
        <v>0.42386574074074074</v>
      </c>
      <c r="D1043" s="12">
        <v>0.42885416666666665</v>
      </c>
    </row>
    <row r="1044" spans="1:4" x14ac:dyDescent="0.35">
      <c r="A1044" s="5">
        <v>6270159</v>
      </c>
      <c r="B1044" s="6">
        <v>42933</v>
      </c>
      <c r="C1044" s="7">
        <v>0.42664351851851851</v>
      </c>
      <c r="D1044" s="8">
        <v>0.42697916666666669</v>
      </c>
    </row>
    <row r="1045" spans="1:4" x14ac:dyDescent="0.35">
      <c r="A1045" s="9">
        <v>1482340</v>
      </c>
      <c r="B1045" s="10">
        <v>42933</v>
      </c>
      <c r="C1045" s="11">
        <v>0.42983796296296295</v>
      </c>
      <c r="D1045" s="12">
        <v>0.43975694444444446</v>
      </c>
    </row>
    <row r="1046" spans="1:4" x14ac:dyDescent="0.35">
      <c r="A1046" s="5">
        <v>28185580</v>
      </c>
      <c r="B1046" s="6">
        <v>42933</v>
      </c>
      <c r="C1046" s="7">
        <v>0.43086805555555557</v>
      </c>
      <c r="D1046" s="8">
        <v>0.43388888888888888</v>
      </c>
    </row>
    <row r="1047" spans="1:4" x14ac:dyDescent="0.35">
      <c r="A1047" s="9">
        <v>4222605</v>
      </c>
      <c r="B1047" s="10">
        <v>42933</v>
      </c>
      <c r="C1047" s="11">
        <v>0.43375000000000002</v>
      </c>
      <c r="D1047" s="12">
        <v>0.43592592592592594</v>
      </c>
    </row>
    <row r="1048" spans="1:4" x14ac:dyDescent="0.35">
      <c r="A1048" s="5">
        <v>6689117</v>
      </c>
      <c r="B1048" s="6">
        <v>42933</v>
      </c>
      <c r="C1048" s="7">
        <v>0.43546296296296294</v>
      </c>
      <c r="D1048" s="8">
        <v>0.43662037037037038</v>
      </c>
    </row>
    <row r="1049" spans="1:4" x14ac:dyDescent="0.35">
      <c r="A1049" s="9">
        <v>3785540</v>
      </c>
      <c r="B1049" s="10">
        <v>42933</v>
      </c>
      <c r="C1049" s="11">
        <v>0.43569444444444444</v>
      </c>
      <c r="D1049" s="12">
        <v>0.4362037037037037</v>
      </c>
    </row>
    <row r="1050" spans="1:4" x14ac:dyDescent="0.35">
      <c r="A1050" s="5">
        <v>6151478</v>
      </c>
      <c r="B1050" s="6">
        <v>42933</v>
      </c>
      <c r="C1050" s="7">
        <v>0.44103009259259257</v>
      </c>
      <c r="D1050" s="8">
        <v>0.44807870370370373</v>
      </c>
    </row>
    <row r="1051" spans="1:4" x14ac:dyDescent="0.35">
      <c r="A1051" s="9">
        <v>9926754</v>
      </c>
      <c r="B1051" s="10">
        <v>42933</v>
      </c>
      <c r="C1051" s="11">
        <v>0.44421296296296298</v>
      </c>
      <c r="D1051" s="12">
        <v>0.44739583333333333</v>
      </c>
    </row>
    <row r="1052" spans="1:4" x14ac:dyDescent="0.35">
      <c r="A1052" s="5">
        <v>89098100</v>
      </c>
      <c r="B1052" s="6">
        <v>42933</v>
      </c>
      <c r="C1052" s="7">
        <v>0.44609953703703703</v>
      </c>
      <c r="D1052" s="8">
        <v>0.44979166666666665</v>
      </c>
    </row>
    <row r="1053" spans="1:4" x14ac:dyDescent="0.35">
      <c r="A1053" s="9">
        <v>6460935</v>
      </c>
      <c r="B1053" s="10">
        <v>42933</v>
      </c>
      <c r="C1053" s="11">
        <v>0.45122685185185185</v>
      </c>
      <c r="D1053" s="12">
        <v>0.45480324074074074</v>
      </c>
    </row>
    <row r="1054" spans="1:4" x14ac:dyDescent="0.35">
      <c r="A1054" s="5">
        <v>83559673</v>
      </c>
      <c r="B1054" s="6">
        <v>42933</v>
      </c>
      <c r="C1054" s="7">
        <v>0.45623842592592595</v>
      </c>
      <c r="D1054" s="8">
        <v>0.46062500000000001</v>
      </c>
    </row>
    <row r="1055" spans="1:4" x14ac:dyDescent="0.35">
      <c r="A1055" s="9">
        <v>1661633</v>
      </c>
      <c r="B1055" s="10">
        <v>42933</v>
      </c>
      <c r="C1055" s="11">
        <v>0.4611574074074074</v>
      </c>
      <c r="D1055" s="12">
        <v>0.46372685185185186</v>
      </c>
    </row>
    <row r="1056" spans="1:4" x14ac:dyDescent="0.35">
      <c r="A1056" s="5">
        <v>5809293</v>
      </c>
      <c r="B1056" s="6">
        <v>42933</v>
      </c>
      <c r="C1056" s="7">
        <v>0.46481481481481479</v>
      </c>
      <c r="D1056" s="8">
        <v>0.47425925925925927</v>
      </c>
    </row>
    <row r="1057" spans="1:4" x14ac:dyDescent="0.35">
      <c r="A1057" s="9">
        <v>5790304</v>
      </c>
      <c r="B1057" s="10">
        <v>42933</v>
      </c>
      <c r="C1057" s="11">
        <v>0.46655092592592595</v>
      </c>
      <c r="D1057" s="12">
        <v>0.47357638888888887</v>
      </c>
    </row>
    <row r="1058" spans="1:4" x14ac:dyDescent="0.35">
      <c r="A1058" s="5">
        <v>7088840</v>
      </c>
      <c r="B1058" s="6">
        <v>42933</v>
      </c>
      <c r="C1058" s="7">
        <v>0.46711805555555558</v>
      </c>
      <c r="D1058" s="8">
        <v>0.47856481481481483</v>
      </c>
    </row>
    <row r="1059" spans="1:4" x14ac:dyDescent="0.35">
      <c r="A1059" s="9">
        <v>1302112</v>
      </c>
      <c r="B1059" s="10">
        <v>42933</v>
      </c>
      <c r="C1059" s="11">
        <v>0.46939814814814818</v>
      </c>
      <c r="D1059" s="12">
        <v>0.47047453703703701</v>
      </c>
    </row>
    <row r="1060" spans="1:4" x14ac:dyDescent="0.35">
      <c r="A1060" s="5">
        <v>8299537</v>
      </c>
      <c r="B1060" s="6">
        <v>42933</v>
      </c>
      <c r="C1060" s="7">
        <v>0.47302083333333333</v>
      </c>
      <c r="D1060" s="8">
        <v>0.47939814814814813</v>
      </c>
    </row>
    <row r="1061" spans="1:4" x14ac:dyDescent="0.35">
      <c r="A1061" s="9">
        <v>1519891</v>
      </c>
      <c r="B1061" s="10">
        <v>42933</v>
      </c>
      <c r="C1061" s="11">
        <v>0.47604166666666664</v>
      </c>
      <c r="D1061" s="12">
        <v>0.48714120370370373</v>
      </c>
    </row>
    <row r="1062" spans="1:4" x14ac:dyDescent="0.35">
      <c r="A1062" s="5">
        <v>29771613</v>
      </c>
      <c r="B1062" s="6">
        <v>42933</v>
      </c>
      <c r="C1062" s="7">
        <v>0.47706018518518517</v>
      </c>
      <c r="D1062" s="8">
        <v>0.47881944444444446</v>
      </c>
    </row>
    <row r="1063" spans="1:4" x14ac:dyDescent="0.35">
      <c r="A1063" s="9">
        <v>9088045</v>
      </c>
      <c r="B1063" s="10">
        <v>42933</v>
      </c>
      <c r="C1063" s="11">
        <v>0.47714120370370372</v>
      </c>
      <c r="D1063" s="12">
        <v>0.47728009259259258</v>
      </c>
    </row>
    <row r="1064" spans="1:4" x14ac:dyDescent="0.35">
      <c r="A1064" s="5">
        <v>59864989</v>
      </c>
      <c r="B1064" s="6">
        <v>42933</v>
      </c>
      <c r="C1064" s="7">
        <v>0.48119212962962965</v>
      </c>
      <c r="D1064" s="8">
        <v>0.49038194444444444</v>
      </c>
    </row>
    <row r="1065" spans="1:4" x14ac:dyDescent="0.35">
      <c r="A1065" s="9">
        <v>2741017</v>
      </c>
      <c r="B1065" s="10">
        <v>42933</v>
      </c>
      <c r="C1065" s="11">
        <v>0.4838425925925926</v>
      </c>
      <c r="D1065" s="12">
        <v>0.49107638888888888</v>
      </c>
    </row>
    <row r="1066" spans="1:4" x14ac:dyDescent="0.35">
      <c r="A1066" s="5">
        <v>1092699</v>
      </c>
      <c r="B1066" s="6">
        <v>42933</v>
      </c>
      <c r="C1066" s="7">
        <v>0.48430555555555554</v>
      </c>
      <c r="D1066" s="8">
        <v>0.49372685185185183</v>
      </c>
    </row>
    <row r="1067" spans="1:4" x14ac:dyDescent="0.35">
      <c r="A1067" s="9">
        <v>3284714</v>
      </c>
      <c r="B1067" s="10">
        <v>42933</v>
      </c>
      <c r="C1067" s="11">
        <v>0.48533564814814817</v>
      </c>
      <c r="D1067" s="12">
        <v>0.49689814814814814</v>
      </c>
    </row>
    <row r="1068" spans="1:4" x14ac:dyDescent="0.35">
      <c r="A1068" s="5">
        <v>1822675725</v>
      </c>
      <c r="B1068" s="6">
        <v>42933</v>
      </c>
      <c r="C1068" s="7">
        <v>0.48542824074074076</v>
      </c>
      <c r="D1068" s="8">
        <v>0.49109953703703701</v>
      </c>
    </row>
    <row r="1069" spans="1:4" x14ac:dyDescent="0.35">
      <c r="A1069" s="9">
        <v>9595194</v>
      </c>
      <c r="B1069" s="10">
        <v>42933</v>
      </c>
      <c r="C1069" s="11">
        <v>0.48833333333333334</v>
      </c>
      <c r="D1069" s="12">
        <v>0.49960648148148146</v>
      </c>
    </row>
    <row r="1070" spans="1:4" x14ac:dyDescent="0.35">
      <c r="A1070" s="5">
        <v>5015921</v>
      </c>
      <c r="B1070" s="6">
        <v>42933</v>
      </c>
      <c r="C1070" s="7">
        <v>0.49362268518518521</v>
      </c>
      <c r="D1070" s="8">
        <v>0.49859953703703702</v>
      </c>
    </row>
    <row r="1071" spans="1:4" x14ac:dyDescent="0.35">
      <c r="A1071" s="9">
        <v>1015521</v>
      </c>
      <c r="B1071" s="10">
        <v>42933</v>
      </c>
      <c r="C1071" s="11">
        <v>0.49658564814814815</v>
      </c>
      <c r="D1071" s="12">
        <v>0.49866898148148148</v>
      </c>
    </row>
    <row r="1072" spans="1:4" x14ac:dyDescent="0.35">
      <c r="A1072" s="5">
        <v>4452201</v>
      </c>
      <c r="B1072" s="6">
        <v>42933</v>
      </c>
      <c r="C1072" s="7">
        <v>0.49760416666666668</v>
      </c>
      <c r="D1072" s="8">
        <v>0.50249999999999995</v>
      </c>
    </row>
    <row r="1073" spans="1:4" x14ac:dyDescent="0.35">
      <c r="A1073" s="9">
        <v>6801890</v>
      </c>
      <c r="B1073" s="10">
        <v>42933</v>
      </c>
      <c r="C1073" s="11">
        <v>0.50284722222222222</v>
      </c>
      <c r="D1073" s="12">
        <v>0.50736111111111115</v>
      </c>
    </row>
    <row r="1074" spans="1:4" x14ac:dyDescent="0.35">
      <c r="A1074" s="5">
        <v>19638469</v>
      </c>
      <c r="B1074" s="6">
        <v>42933</v>
      </c>
      <c r="C1074" s="7">
        <v>0.50768518518518524</v>
      </c>
      <c r="D1074" s="8">
        <v>0.51817129629629632</v>
      </c>
    </row>
    <row r="1075" spans="1:4" x14ac:dyDescent="0.35">
      <c r="A1075" s="9">
        <v>43897696</v>
      </c>
      <c r="B1075" s="10">
        <v>42933</v>
      </c>
      <c r="C1075" s="11">
        <v>0.51271990740740736</v>
      </c>
      <c r="D1075" s="12">
        <v>0.51616898148148149</v>
      </c>
    </row>
    <row r="1076" spans="1:4" x14ac:dyDescent="0.35">
      <c r="A1076" s="5">
        <v>8253162</v>
      </c>
      <c r="B1076" s="6">
        <v>42933</v>
      </c>
      <c r="C1076" s="7">
        <v>0.51468749999999996</v>
      </c>
      <c r="D1076" s="8">
        <v>0.5204050925925926</v>
      </c>
    </row>
    <row r="1077" spans="1:4" x14ac:dyDescent="0.35">
      <c r="A1077" s="9">
        <v>42038927</v>
      </c>
      <c r="B1077" s="10">
        <v>42933</v>
      </c>
      <c r="C1077" s="11">
        <v>0.51894675925925926</v>
      </c>
      <c r="D1077" s="12">
        <v>0.52336805555555554</v>
      </c>
    </row>
    <row r="1078" spans="1:4" x14ac:dyDescent="0.35">
      <c r="A1078" s="5">
        <v>5758962</v>
      </c>
      <c r="B1078" s="6">
        <v>42933</v>
      </c>
      <c r="C1078" s="7">
        <v>0.52460648148148148</v>
      </c>
      <c r="D1078" s="8">
        <v>0.53292824074074074</v>
      </c>
    </row>
    <row r="1079" spans="1:4" x14ac:dyDescent="0.35">
      <c r="A1079" s="9">
        <v>77096634</v>
      </c>
      <c r="B1079" s="10">
        <v>42933</v>
      </c>
      <c r="C1079" s="11">
        <v>0.52500000000000002</v>
      </c>
      <c r="D1079" s="12">
        <v>0.53071759259259255</v>
      </c>
    </row>
    <row r="1080" spans="1:4" x14ac:dyDescent="0.35">
      <c r="A1080" s="5">
        <v>8041809</v>
      </c>
      <c r="B1080" s="6">
        <v>42933</v>
      </c>
      <c r="C1080" s="7">
        <v>0.52508101851851852</v>
      </c>
      <c r="D1080" s="8">
        <v>0.53238425925925925</v>
      </c>
    </row>
    <row r="1081" spans="1:4" x14ac:dyDescent="0.35">
      <c r="A1081" s="9">
        <v>6735390</v>
      </c>
      <c r="B1081" s="10">
        <v>42933</v>
      </c>
      <c r="C1081" s="11">
        <v>0.52612268518518523</v>
      </c>
      <c r="D1081" s="12">
        <v>0.52849537037037042</v>
      </c>
    </row>
    <row r="1082" spans="1:4" x14ac:dyDescent="0.35">
      <c r="A1082" s="5">
        <v>93811207</v>
      </c>
      <c r="B1082" s="6">
        <v>42933</v>
      </c>
      <c r="C1082" s="7">
        <v>0.52707175925925931</v>
      </c>
      <c r="D1082" s="8">
        <v>0.53460648148148149</v>
      </c>
    </row>
    <row r="1083" spans="1:4" x14ac:dyDescent="0.35">
      <c r="A1083" s="9">
        <v>8079505</v>
      </c>
      <c r="B1083" s="10">
        <v>42933</v>
      </c>
      <c r="C1083" s="11">
        <v>0.52788194444444447</v>
      </c>
      <c r="D1083" s="12">
        <v>0.52908564814814818</v>
      </c>
    </row>
    <row r="1084" spans="1:4" x14ac:dyDescent="0.35">
      <c r="A1084" s="5">
        <v>3348581</v>
      </c>
      <c r="B1084" s="6">
        <v>42933</v>
      </c>
      <c r="C1084" s="7">
        <v>0.53150462962962963</v>
      </c>
      <c r="D1084" s="8">
        <v>0.54208333333333336</v>
      </c>
    </row>
    <row r="1085" spans="1:4" x14ac:dyDescent="0.35">
      <c r="A1085" s="9">
        <v>13484133</v>
      </c>
      <c r="B1085" s="10">
        <v>42933</v>
      </c>
      <c r="C1085" s="11">
        <v>0.53174768518518523</v>
      </c>
      <c r="D1085" s="12">
        <v>0.53931712962962963</v>
      </c>
    </row>
    <row r="1086" spans="1:4" x14ac:dyDescent="0.35">
      <c r="A1086" s="5">
        <v>3017523</v>
      </c>
      <c r="B1086" s="6">
        <v>42933</v>
      </c>
      <c r="C1086" s="7">
        <v>0.53241898148148148</v>
      </c>
      <c r="D1086" s="8">
        <v>0.54011574074074076</v>
      </c>
    </row>
    <row r="1087" spans="1:4" x14ac:dyDescent="0.35">
      <c r="A1087" s="9">
        <v>5464497</v>
      </c>
      <c r="B1087" s="10">
        <v>42933</v>
      </c>
      <c r="C1087" s="11">
        <v>0.53608796296296302</v>
      </c>
      <c r="D1087" s="12">
        <v>0.53657407407407409</v>
      </c>
    </row>
    <row r="1088" spans="1:4" x14ac:dyDescent="0.35">
      <c r="A1088" s="5">
        <v>5744567</v>
      </c>
      <c r="B1088" s="6">
        <v>42933</v>
      </c>
      <c r="C1088" s="7">
        <v>0.54048611111111111</v>
      </c>
      <c r="D1088" s="8">
        <v>0.54954861111111108</v>
      </c>
    </row>
    <row r="1089" spans="1:4" x14ac:dyDescent="0.35">
      <c r="A1089" s="9">
        <v>5107477025</v>
      </c>
      <c r="B1089" s="10">
        <v>42933</v>
      </c>
      <c r="C1089" s="11">
        <v>0.54495370370370366</v>
      </c>
      <c r="D1089" s="12">
        <v>0.5471759259259259</v>
      </c>
    </row>
    <row r="1090" spans="1:4" x14ac:dyDescent="0.35">
      <c r="A1090" s="5">
        <v>1332884</v>
      </c>
      <c r="B1090" s="6">
        <v>42933</v>
      </c>
      <c r="C1090" s="7">
        <v>0.546412037037037</v>
      </c>
      <c r="D1090" s="8">
        <v>0.54829861111111111</v>
      </c>
    </row>
    <row r="1091" spans="1:4" x14ac:dyDescent="0.35">
      <c r="A1091" s="9">
        <v>38823305</v>
      </c>
      <c r="B1091" s="10">
        <v>42933</v>
      </c>
      <c r="C1091" s="11">
        <v>0.54907407407407405</v>
      </c>
      <c r="D1091" s="12">
        <v>0.55969907407407404</v>
      </c>
    </row>
    <row r="1092" spans="1:4" x14ac:dyDescent="0.35">
      <c r="A1092" s="5">
        <v>7160339</v>
      </c>
      <c r="B1092" s="6">
        <v>42933</v>
      </c>
      <c r="C1092" s="7">
        <v>0.55456018518518524</v>
      </c>
      <c r="D1092" s="8">
        <v>0.5642476851851852</v>
      </c>
    </row>
    <row r="1093" spans="1:4" x14ac:dyDescent="0.35">
      <c r="A1093" s="9">
        <v>43277353</v>
      </c>
      <c r="B1093" s="10">
        <v>42933</v>
      </c>
      <c r="C1093" s="11">
        <v>0.55519675925925926</v>
      </c>
      <c r="D1093" s="12">
        <v>0.55809027777777775</v>
      </c>
    </row>
    <row r="1094" spans="1:4" x14ac:dyDescent="0.35">
      <c r="A1094" s="5">
        <v>8749135</v>
      </c>
      <c r="B1094" s="6">
        <v>42933</v>
      </c>
      <c r="C1094" s="7">
        <v>0.56083333333333329</v>
      </c>
      <c r="D1094" s="8">
        <v>0.56415509259259256</v>
      </c>
    </row>
    <row r="1095" spans="1:4" x14ac:dyDescent="0.35">
      <c r="A1095" s="9">
        <v>16977213</v>
      </c>
      <c r="B1095" s="10">
        <v>42933</v>
      </c>
      <c r="C1095" s="11">
        <v>0.56462962962962959</v>
      </c>
      <c r="D1095" s="12">
        <v>0.56841435185185185</v>
      </c>
    </row>
    <row r="1096" spans="1:4" x14ac:dyDescent="0.35">
      <c r="A1096" s="5">
        <v>13221411</v>
      </c>
      <c r="B1096" s="6">
        <v>42933</v>
      </c>
      <c r="C1096" s="7">
        <v>0.56511574074074078</v>
      </c>
      <c r="D1096" s="8">
        <v>0.57498842592592592</v>
      </c>
    </row>
    <row r="1097" spans="1:4" x14ac:dyDescent="0.35">
      <c r="A1097" s="9">
        <v>2653312</v>
      </c>
      <c r="B1097" s="10">
        <v>42933</v>
      </c>
      <c r="C1097" s="11">
        <v>0.56893518518518515</v>
      </c>
      <c r="D1097" s="12">
        <v>0.57289351851851855</v>
      </c>
    </row>
    <row r="1098" spans="1:4" x14ac:dyDescent="0.35">
      <c r="A1098" s="5">
        <v>4187727</v>
      </c>
      <c r="B1098" s="6">
        <v>42933</v>
      </c>
      <c r="C1098" s="7">
        <v>0.57038194444444446</v>
      </c>
      <c r="D1098" s="8">
        <v>0.57341435185185186</v>
      </c>
    </row>
    <row r="1099" spans="1:4" x14ac:dyDescent="0.35">
      <c r="A1099" s="9">
        <v>4370146</v>
      </c>
      <c r="B1099" s="10">
        <v>42933</v>
      </c>
      <c r="C1099" s="11">
        <v>0.57170138888888888</v>
      </c>
      <c r="D1099" s="12">
        <v>0.58212962962962966</v>
      </c>
    </row>
    <row r="1100" spans="1:4" x14ac:dyDescent="0.35">
      <c r="A1100" s="5">
        <v>5725773</v>
      </c>
      <c r="B1100" s="6">
        <v>42933</v>
      </c>
      <c r="C1100" s="7">
        <v>0.57466435185185183</v>
      </c>
      <c r="D1100" s="8">
        <v>0.58538194444444447</v>
      </c>
    </row>
    <row r="1101" spans="1:4" x14ac:dyDescent="0.35">
      <c r="A1101" s="9">
        <v>6345014</v>
      </c>
      <c r="B1101" s="10">
        <v>42933</v>
      </c>
      <c r="C1101" s="11">
        <v>0.58010416666666664</v>
      </c>
      <c r="D1101" s="12">
        <v>0.58166666666666667</v>
      </c>
    </row>
    <row r="1102" spans="1:4" x14ac:dyDescent="0.35">
      <c r="A1102" s="5">
        <v>7507831</v>
      </c>
      <c r="B1102" s="6">
        <v>42933</v>
      </c>
      <c r="C1102" s="7">
        <v>0.58545138888888892</v>
      </c>
      <c r="D1102" s="8">
        <v>0.59214120370370371</v>
      </c>
    </row>
    <row r="1103" spans="1:4" x14ac:dyDescent="0.35">
      <c r="A1103" s="9">
        <v>1198407</v>
      </c>
      <c r="B1103" s="10">
        <v>42933</v>
      </c>
      <c r="C1103" s="11">
        <v>0.59004629629629635</v>
      </c>
      <c r="D1103" s="12">
        <v>0.59799768518518515</v>
      </c>
    </row>
    <row r="1104" spans="1:4" x14ac:dyDescent="0.35">
      <c r="A1104" s="5">
        <v>4055319</v>
      </c>
      <c r="B1104" s="6">
        <v>42933</v>
      </c>
      <c r="C1104" s="7">
        <v>0.59471064814814811</v>
      </c>
      <c r="D1104" s="8">
        <v>0.60624999999999996</v>
      </c>
    </row>
    <row r="1105" spans="1:4" x14ac:dyDescent="0.35">
      <c r="A1105" s="9">
        <v>70730125</v>
      </c>
      <c r="B1105" s="10">
        <v>42933</v>
      </c>
      <c r="C1105" s="11">
        <v>0.59578703703703706</v>
      </c>
      <c r="D1105" s="12">
        <v>0.59671296296296295</v>
      </c>
    </row>
    <row r="1106" spans="1:4" x14ac:dyDescent="0.35">
      <c r="A1106" s="5">
        <v>45158089</v>
      </c>
      <c r="B1106" s="6">
        <v>42933</v>
      </c>
      <c r="C1106" s="7">
        <v>0.5962615740740741</v>
      </c>
      <c r="D1106" s="8">
        <v>0.59780092592592593</v>
      </c>
    </row>
    <row r="1107" spans="1:4" x14ac:dyDescent="0.35">
      <c r="A1107" s="9">
        <v>8159631</v>
      </c>
      <c r="B1107" s="10">
        <v>42933</v>
      </c>
      <c r="C1107" s="11">
        <v>0.59650462962962958</v>
      </c>
      <c r="D1107" s="12">
        <v>0.60144675925925928</v>
      </c>
    </row>
    <row r="1108" spans="1:4" x14ac:dyDescent="0.35">
      <c r="A1108" s="5">
        <v>2645518</v>
      </c>
      <c r="B1108" s="6">
        <v>42933</v>
      </c>
      <c r="C1108" s="7">
        <v>0.60025462962962961</v>
      </c>
      <c r="D1108" s="8">
        <v>0.60699074074074078</v>
      </c>
    </row>
    <row r="1109" spans="1:4" x14ac:dyDescent="0.35">
      <c r="A1109" s="9">
        <v>5199929</v>
      </c>
      <c r="B1109" s="10">
        <v>42933</v>
      </c>
      <c r="C1109" s="11">
        <v>0.60083333333333333</v>
      </c>
      <c r="D1109" s="12">
        <v>0.60971064814814813</v>
      </c>
    </row>
    <row r="1110" spans="1:4" x14ac:dyDescent="0.35">
      <c r="A1110" s="5">
        <v>4039284</v>
      </c>
      <c r="B1110" s="6">
        <v>42933</v>
      </c>
      <c r="C1110" s="7">
        <v>0.6021643518518518</v>
      </c>
      <c r="D1110" s="8">
        <v>0.60636574074074079</v>
      </c>
    </row>
    <row r="1111" spans="1:4" x14ac:dyDescent="0.35">
      <c r="A1111" s="9">
        <v>1431491</v>
      </c>
      <c r="B1111" s="10">
        <v>42933</v>
      </c>
      <c r="C1111" s="11">
        <v>0.60495370370370372</v>
      </c>
      <c r="D1111" s="12">
        <v>0.61153935185185182</v>
      </c>
    </row>
    <row r="1112" spans="1:4" x14ac:dyDescent="0.35">
      <c r="A1112" s="5">
        <v>39848401</v>
      </c>
      <c r="B1112" s="6">
        <v>42933</v>
      </c>
      <c r="C1112" s="7">
        <v>0.60783564814814817</v>
      </c>
      <c r="D1112" s="8">
        <v>0.60846064814814815</v>
      </c>
    </row>
    <row r="1113" spans="1:4" x14ac:dyDescent="0.35">
      <c r="A1113" s="9">
        <v>9225807</v>
      </c>
      <c r="B1113" s="10">
        <v>42933</v>
      </c>
      <c r="C1113" s="11">
        <v>0.61261574074074077</v>
      </c>
      <c r="D1113" s="12">
        <v>0.62048611111111107</v>
      </c>
    </row>
    <row r="1114" spans="1:4" x14ac:dyDescent="0.35">
      <c r="A1114" s="5">
        <v>7986409</v>
      </c>
      <c r="B1114" s="6">
        <v>42933</v>
      </c>
      <c r="C1114" s="7">
        <v>0.61473379629629632</v>
      </c>
      <c r="D1114" s="8">
        <v>0.61660879629629628</v>
      </c>
    </row>
    <row r="1115" spans="1:4" x14ac:dyDescent="0.35">
      <c r="A1115" s="9">
        <v>54554135</v>
      </c>
      <c r="B1115" s="10">
        <v>42933</v>
      </c>
      <c r="C1115" s="11">
        <v>0.61943287037037043</v>
      </c>
      <c r="D1115" s="12">
        <v>0.62100694444444449</v>
      </c>
    </row>
    <row r="1116" spans="1:4" x14ac:dyDescent="0.35">
      <c r="A1116" s="5">
        <v>1263080</v>
      </c>
      <c r="B1116" s="6">
        <v>42933</v>
      </c>
      <c r="C1116" s="7">
        <v>0.62292824074074071</v>
      </c>
      <c r="D1116" s="8">
        <v>0.63358796296296294</v>
      </c>
    </row>
    <row r="1117" spans="1:4" x14ac:dyDescent="0.35">
      <c r="A1117" s="9">
        <v>97953696</v>
      </c>
      <c r="B1117" s="10">
        <v>42933</v>
      </c>
      <c r="C1117" s="11">
        <v>0.62657407407407406</v>
      </c>
      <c r="D1117" s="12">
        <v>0.62818287037037035</v>
      </c>
    </row>
    <row r="1118" spans="1:4" x14ac:dyDescent="0.35">
      <c r="A1118" s="5">
        <v>9772824</v>
      </c>
      <c r="B1118" s="6">
        <v>42934</v>
      </c>
      <c r="C1118" s="7">
        <v>0.33355324074074072</v>
      </c>
      <c r="D1118" s="8">
        <v>0.33859953703703705</v>
      </c>
    </row>
    <row r="1119" spans="1:4" x14ac:dyDescent="0.35">
      <c r="A1119" s="9">
        <v>1157434</v>
      </c>
      <c r="B1119" s="10">
        <v>42934</v>
      </c>
      <c r="C1119" s="11">
        <v>0.33582175925925928</v>
      </c>
      <c r="D1119" s="12">
        <v>0.34681712962962963</v>
      </c>
    </row>
    <row r="1120" spans="1:4" x14ac:dyDescent="0.35">
      <c r="A1120" s="5">
        <v>8799928507</v>
      </c>
      <c r="B1120" s="6">
        <v>42934</v>
      </c>
      <c r="C1120" s="7">
        <v>0.34134259259259259</v>
      </c>
      <c r="D1120" s="8">
        <v>0.34931712962962963</v>
      </c>
    </row>
    <row r="1121" spans="1:4" x14ac:dyDescent="0.35">
      <c r="A1121" s="9">
        <v>5372891</v>
      </c>
      <c r="B1121" s="10">
        <v>42934</v>
      </c>
      <c r="C1121" s="11">
        <v>0.34586805555555555</v>
      </c>
      <c r="D1121" s="12">
        <v>0.34684027777777776</v>
      </c>
    </row>
    <row r="1122" spans="1:4" x14ac:dyDescent="0.35">
      <c r="A1122" s="5">
        <v>2663800</v>
      </c>
      <c r="B1122" s="6">
        <v>42934</v>
      </c>
      <c r="C1122" s="7">
        <v>0.35076388888888888</v>
      </c>
      <c r="D1122" s="8">
        <v>0.35863425925925924</v>
      </c>
    </row>
    <row r="1123" spans="1:4" x14ac:dyDescent="0.35">
      <c r="A1123" s="9">
        <v>32779069</v>
      </c>
      <c r="B1123" s="10">
        <v>42934</v>
      </c>
      <c r="C1123" s="11">
        <v>0.35430555555555554</v>
      </c>
      <c r="D1123" s="12">
        <v>0.36318287037037039</v>
      </c>
    </row>
    <row r="1124" spans="1:4" x14ac:dyDescent="0.35">
      <c r="A1124" s="5">
        <v>8261808</v>
      </c>
      <c r="B1124" s="6">
        <v>42934</v>
      </c>
      <c r="C1124" s="7">
        <v>0.35718749999999999</v>
      </c>
      <c r="D1124" s="8">
        <v>0.36684027777777778</v>
      </c>
    </row>
    <row r="1125" spans="1:4" x14ac:dyDescent="0.35">
      <c r="A1125" s="9">
        <v>7321543</v>
      </c>
      <c r="B1125" s="10">
        <v>42934</v>
      </c>
      <c r="C1125" s="11">
        <v>0.36151620370370369</v>
      </c>
      <c r="D1125" s="12">
        <v>0.3712037037037037</v>
      </c>
    </row>
    <row r="1126" spans="1:4" x14ac:dyDescent="0.35">
      <c r="A1126" s="5">
        <v>7513392</v>
      </c>
      <c r="B1126" s="6">
        <v>42934</v>
      </c>
      <c r="C1126" s="7">
        <v>0.36421296296296296</v>
      </c>
      <c r="D1126" s="8">
        <v>0.36640046296296297</v>
      </c>
    </row>
    <row r="1127" spans="1:4" x14ac:dyDescent="0.35">
      <c r="A1127" s="9">
        <v>77036136</v>
      </c>
      <c r="B1127" s="10">
        <v>42934</v>
      </c>
      <c r="C1127" s="11">
        <v>0.36937500000000001</v>
      </c>
      <c r="D1127" s="12">
        <v>0.37585648148148149</v>
      </c>
    </row>
    <row r="1128" spans="1:4" x14ac:dyDescent="0.35">
      <c r="A1128" s="5">
        <v>1700508</v>
      </c>
      <c r="B1128" s="6">
        <v>42934</v>
      </c>
      <c r="C1128" s="7">
        <v>0.37179398148148146</v>
      </c>
      <c r="D1128" s="8">
        <v>0.3828125</v>
      </c>
    </row>
    <row r="1129" spans="1:4" x14ac:dyDescent="0.35">
      <c r="A1129" s="9">
        <v>7872182</v>
      </c>
      <c r="B1129" s="10">
        <v>42934</v>
      </c>
      <c r="C1129" s="11">
        <v>0.3772800925925926</v>
      </c>
      <c r="D1129" s="12">
        <v>0.3837962962962963</v>
      </c>
    </row>
    <row r="1130" spans="1:4" x14ac:dyDescent="0.35">
      <c r="A1130" s="5">
        <v>84513035</v>
      </c>
      <c r="B1130" s="6">
        <v>42934</v>
      </c>
      <c r="C1130" s="7">
        <v>0.38017361111111109</v>
      </c>
      <c r="D1130" s="8">
        <v>0.38291666666666668</v>
      </c>
    </row>
    <row r="1131" spans="1:4" x14ac:dyDescent="0.35">
      <c r="A1131" s="9">
        <v>1775586</v>
      </c>
      <c r="B1131" s="10">
        <v>42934</v>
      </c>
      <c r="C1131" s="11">
        <v>0.38452546296296297</v>
      </c>
      <c r="D1131" s="12">
        <v>0.38978009259259261</v>
      </c>
    </row>
    <row r="1132" spans="1:4" x14ac:dyDescent="0.35">
      <c r="A1132" s="5">
        <v>1225082</v>
      </c>
      <c r="B1132" s="6">
        <v>42934</v>
      </c>
      <c r="C1132" s="7">
        <v>0.38516203703703705</v>
      </c>
      <c r="D1132" s="8">
        <v>0.38653935185185184</v>
      </c>
    </row>
    <row r="1133" spans="1:4" x14ac:dyDescent="0.35">
      <c r="A1133" s="9">
        <v>1586675</v>
      </c>
      <c r="B1133" s="10">
        <v>42934</v>
      </c>
      <c r="C1133" s="11">
        <v>0.39093749999999999</v>
      </c>
      <c r="D1133" s="12">
        <v>0.39787037037037037</v>
      </c>
    </row>
    <row r="1134" spans="1:4" x14ac:dyDescent="0.35">
      <c r="A1134" s="5">
        <v>2672229</v>
      </c>
      <c r="B1134" s="6">
        <v>42934</v>
      </c>
      <c r="C1134" s="7">
        <v>0.39552083333333332</v>
      </c>
      <c r="D1134" s="8">
        <v>0.4007175925925926</v>
      </c>
    </row>
    <row r="1135" spans="1:4" x14ac:dyDescent="0.35">
      <c r="A1135" s="9">
        <v>2443869</v>
      </c>
      <c r="B1135" s="10">
        <v>42934</v>
      </c>
      <c r="C1135" s="11">
        <v>0.39964120370370371</v>
      </c>
      <c r="D1135" s="12">
        <v>0.4074652777777778</v>
      </c>
    </row>
    <row r="1136" spans="1:4" x14ac:dyDescent="0.35">
      <c r="A1136" s="5">
        <v>7166411</v>
      </c>
      <c r="B1136" s="6">
        <v>42934</v>
      </c>
      <c r="C1136" s="7">
        <v>0.40263888888888888</v>
      </c>
      <c r="D1136" s="8">
        <v>0.40846064814814814</v>
      </c>
    </row>
    <row r="1137" spans="1:4" x14ac:dyDescent="0.35">
      <c r="A1137" s="9">
        <v>4657345</v>
      </c>
      <c r="B1137" s="10">
        <v>42934</v>
      </c>
      <c r="C1137" s="11">
        <v>0.40328703703703705</v>
      </c>
      <c r="D1137" s="12">
        <v>0.4140625</v>
      </c>
    </row>
    <row r="1138" spans="1:4" x14ac:dyDescent="0.35">
      <c r="A1138" s="5">
        <v>6070329</v>
      </c>
      <c r="B1138" s="6">
        <v>42934</v>
      </c>
      <c r="C1138" s="7">
        <v>0.40337962962962964</v>
      </c>
      <c r="D1138" s="8">
        <v>0.41432870370370373</v>
      </c>
    </row>
    <row r="1139" spans="1:4" x14ac:dyDescent="0.35">
      <c r="A1139" s="9">
        <v>4845362</v>
      </c>
      <c r="B1139" s="10">
        <v>42934</v>
      </c>
      <c r="C1139" s="11">
        <v>0.4034490740740741</v>
      </c>
      <c r="D1139" s="12">
        <v>0.40371527777777777</v>
      </c>
    </row>
    <row r="1140" spans="1:4" x14ac:dyDescent="0.35">
      <c r="A1140" s="5">
        <v>6333341</v>
      </c>
      <c r="B1140" s="6">
        <v>42934</v>
      </c>
      <c r="C1140" s="7">
        <v>0.40690972222222221</v>
      </c>
      <c r="D1140" s="8">
        <v>0.4103472222222222</v>
      </c>
    </row>
    <row r="1141" spans="1:4" x14ac:dyDescent="0.35">
      <c r="A1141" s="9">
        <v>5060909</v>
      </c>
      <c r="B1141" s="10">
        <v>42934</v>
      </c>
      <c r="C1141" s="11">
        <v>0.40699074074074076</v>
      </c>
      <c r="D1141" s="12">
        <v>0.41368055555555555</v>
      </c>
    </row>
    <row r="1142" spans="1:4" x14ac:dyDescent="0.35">
      <c r="A1142" s="5">
        <v>4673703944</v>
      </c>
      <c r="B1142" s="6">
        <v>42934</v>
      </c>
      <c r="C1142" s="7">
        <v>0.40822916666666664</v>
      </c>
      <c r="D1142" s="8">
        <v>0.41090277777777778</v>
      </c>
    </row>
    <row r="1143" spans="1:4" x14ac:dyDescent="0.35">
      <c r="A1143" s="9">
        <v>3178616</v>
      </c>
      <c r="B1143" s="10">
        <v>42934</v>
      </c>
      <c r="C1143" s="11">
        <v>0.40974537037037034</v>
      </c>
      <c r="D1143" s="12">
        <v>0.41177083333333331</v>
      </c>
    </row>
    <row r="1144" spans="1:4" x14ac:dyDescent="0.35">
      <c r="A1144" s="5">
        <v>2079170589</v>
      </c>
      <c r="B1144" s="6">
        <v>42934</v>
      </c>
      <c r="C1144" s="7">
        <v>0.41120370370370368</v>
      </c>
      <c r="D1144" s="8">
        <v>0.41769675925925925</v>
      </c>
    </row>
    <row r="1145" spans="1:4" x14ac:dyDescent="0.35">
      <c r="A1145" s="9">
        <v>9815754</v>
      </c>
      <c r="B1145" s="10">
        <v>42934</v>
      </c>
      <c r="C1145" s="11">
        <v>0.41260416666666666</v>
      </c>
      <c r="D1145" s="12">
        <v>0.41688657407407409</v>
      </c>
    </row>
    <row r="1146" spans="1:4" x14ac:dyDescent="0.35">
      <c r="A1146" s="5">
        <v>4111617</v>
      </c>
      <c r="B1146" s="6">
        <v>42934</v>
      </c>
      <c r="C1146" s="7">
        <v>0.41450231481481481</v>
      </c>
      <c r="D1146" s="8">
        <v>0.41574074074074074</v>
      </c>
    </row>
    <row r="1147" spans="1:4" x14ac:dyDescent="0.35">
      <c r="A1147" s="9">
        <v>1117628</v>
      </c>
      <c r="B1147" s="10">
        <v>42934</v>
      </c>
      <c r="C1147" s="11">
        <v>0.41652777777777777</v>
      </c>
      <c r="D1147" s="12">
        <v>0.42443287037037036</v>
      </c>
    </row>
    <row r="1148" spans="1:4" x14ac:dyDescent="0.35">
      <c r="A1148" s="5">
        <v>5487496</v>
      </c>
      <c r="B1148" s="6">
        <v>42934</v>
      </c>
      <c r="C1148" s="7">
        <v>0.42114583333333333</v>
      </c>
      <c r="D1148" s="8">
        <v>0.4230902777777778</v>
      </c>
    </row>
    <row r="1149" spans="1:4" x14ac:dyDescent="0.35">
      <c r="A1149" s="9">
        <v>1472682</v>
      </c>
      <c r="B1149" s="10">
        <v>42934</v>
      </c>
      <c r="C1149" s="11">
        <v>0.42533564814814817</v>
      </c>
      <c r="D1149" s="12">
        <v>0.43167824074074074</v>
      </c>
    </row>
    <row r="1150" spans="1:4" x14ac:dyDescent="0.35">
      <c r="A1150" s="5">
        <v>43885630</v>
      </c>
      <c r="B1150" s="6">
        <v>42934</v>
      </c>
      <c r="C1150" s="7">
        <v>0.42988425925925927</v>
      </c>
      <c r="D1150" s="8">
        <v>0.43424768518518519</v>
      </c>
    </row>
    <row r="1151" spans="1:4" x14ac:dyDescent="0.35">
      <c r="A1151" s="9">
        <v>5543741</v>
      </c>
      <c r="B1151" s="10">
        <v>42934</v>
      </c>
      <c r="C1151" s="11">
        <v>0.42997685185185186</v>
      </c>
      <c r="D1151" s="12">
        <v>0.43590277777777775</v>
      </c>
    </row>
    <row r="1152" spans="1:4" x14ac:dyDescent="0.35">
      <c r="A1152" s="5">
        <v>2590674</v>
      </c>
      <c r="B1152" s="6">
        <v>42934</v>
      </c>
      <c r="C1152" s="7">
        <v>0.43025462962962963</v>
      </c>
      <c r="D1152" s="8">
        <v>0.43677083333333333</v>
      </c>
    </row>
    <row r="1153" spans="1:4" x14ac:dyDescent="0.35">
      <c r="A1153" s="9">
        <v>4212838</v>
      </c>
      <c r="B1153" s="10">
        <v>42934</v>
      </c>
      <c r="C1153" s="11">
        <v>0.43420138888888887</v>
      </c>
      <c r="D1153" s="12">
        <v>0.43973379629629628</v>
      </c>
    </row>
    <row r="1154" spans="1:4" x14ac:dyDescent="0.35">
      <c r="A1154" s="5">
        <v>7836418</v>
      </c>
      <c r="B1154" s="6">
        <v>42934</v>
      </c>
      <c r="C1154" s="7">
        <v>0.4354513888888889</v>
      </c>
      <c r="D1154" s="8">
        <v>0.43745370370370368</v>
      </c>
    </row>
    <row r="1155" spans="1:4" x14ac:dyDescent="0.35">
      <c r="A1155" s="9">
        <v>2844911</v>
      </c>
      <c r="B1155" s="10">
        <v>42934</v>
      </c>
      <c r="C1155" s="11">
        <v>0.43821759259259258</v>
      </c>
      <c r="D1155" s="12">
        <v>0.44969907407407406</v>
      </c>
    </row>
    <row r="1156" spans="1:4" x14ac:dyDescent="0.35">
      <c r="A1156" s="5">
        <v>2861766</v>
      </c>
      <c r="B1156" s="6">
        <v>42934</v>
      </c>
      <c r="C1156" s="7">
        <v>0.4403125</v>
      </c>
      <c r="D1156" s="8">
        <v>0.4490972222222222</v>
      </c>
    </row>
    <row r="1157" spans="1:4" x14ac:dyDescent="0.35">
      <c r="A1157" s="9">
        <v>9655946</v>
      </c>
      <c r="B1157" s="10">
        <v>42934</v>
      </c>
      <c r="C1157" s="11">
        <v>0.44385416666666666</v>
      </c>
      <c r="D1157" s="12">
        <v>0.45193287037037039</v>
      </c>
    </row>
    <row r="1158" spans="1:4" x14ac:dyDescent="0.35">
      <c r="A1158" s="5">
        <v>6050570</v>
      </c>
      <c r="B1158" s="6">
        <v>42934</v>
      </c>
      <c r="C1158" s="7">
        <v>0.44744212962962965</v>
      </c>
      <c r="D1158" s="8">
        <v>0.45751157407407406</v>
      </c>
    </row>
    <row r="1159" spans="1:4" x14ac:dyDescent="0.35">
      <c r="A1159" s="9">
        <v>1607422</v>
      </c>
      <c r="B1159" s="10">
        <v>42934</v>
      </c>
      <c r="C1159" s="11">
        <v>0.45238425925925924</v>
      </c>
      <c r="D1159" s="12">
        <v>0.45937499999999998</v>
      </c>
    </row>
    <row r="1160" spans="1:4" x14ac:dyDescent="0.35">
      <c r="A1160" s="5">
        <v>1192412</v>
      </c>
      <c r="B1160" s="6">
        <v>42934</v>
      </c>
      <c r="C1160" s="7">
        <v>0.45417824074074076</v>
      </c>
      <c r="D1160" s="8">
        <v>0.46438657407407408</v>
      </c>
    </row>
    <row r="1161" spans="1:4" x14ac:dyDescent="0.35">
      <c r="A1161" s="9">
        <v>4959551431</v>
      </c>
      <c r="B1161" s="10">
        <v>42934</v>
      </c>
      <c r="C1161" s="11">
        <v>0.45437499999999997</v>
      </c>
      <c r="D1161" s="12">
        <v>0.45770833333333333</v>
      </c>
    </row>
    <row r="1162" spans="1:4" x14ac:dyDescent="0.35">
      <c r="A1162" s="5">
        <v>9808221</v>
      </c>
      <c r="B1162" s="6">
        <v>42934</v>
      </c>
      <c r="C1162" s="7">
        <v>0.45680555555555558</v>
      </c>
      <c r="D1162" s="8">
        <v>0.4636689814814815</v>
      </c>
    </row>
    <row r="1163" spans="1:4" x14ac:dyDescent="0.35">
      <c r="A1163" s="9">
        <v>8672623</v>
      </c>
      <c r="B1163" s="10">
        <v>42934</v>
      </c>
      <c r="C1163" s="11">
        <v>0.45947916666666666</v>
      </c>
      <c r="D1163" s="12">
        <v>0.46460648148148148</v>
      </c>
    </row>
    <row r="1164" spans="1:4" x14ac:dyDescent="0.35">
      <c r="A1164" s="5">
        <v>3862016</v>
      </c>
      <c r="B1164" s="6">
        <v>42934</v>
      </c>
      <c r="C1164" s="7">
        <v>0.46127314814814813</v>
      </c>
      <c r="D1164" s="8">
        <v>0.46726851851851853</v>
      </c>
    </row>
    <row r="1165" spans="1:4" x14ac:dyDescent="0.35">
      <c r="A1165" s="9">
        <v>16580449</v>
      </c>
      <c r="B1165" s="10">
        <v>42934</v>
      </c>
      <c r="C1165" s="11">
        <v>0.46130787037037035</v>
      </c>
      <c r="D1165" s="12">
        <v>0.47226851851851853</v>
      </c>
    </row>
    <row r="1166" spans="1:4" x14ac:dyDescent="0.35">
      <c r="A1166" s="5">
        <v>67064385</v>
      </c>
      <c r="B1166" s="6">
        <v>42934</v>
      </c>
      <c r="C1166" s="7">
        <v>0.46574074074074073</v>
      </c>
      <c r="D1166" s="8">
        <v>0.47495370370370371</v>
      </c>
    </row>
    <row r="1167" spans="1:4" x14ac:dyDescent="0.35">
      <c r="A1167" s="9">
        <v>2078150</v>
      </c>
      <c r="B1167" s="10">
        <v>42934</v>
      </c>
      <c r="C1167" s="11">
        <v>0.46872685185185187</v>
      </c>
      <c r="D1167" s="12">
        <v>0.47244212962962961</v>
      </c>
    </row>
    <row r="1168" spans="1:4" x14ac:dyDescent="0.35">
      <c r="A1168" s="5">
        <v>5094248</v>
      </c>
      <c r="B1168" s="6">
        <v>42934</v>
      </c>
      <c r="C1168" s="7">
        <v>0.47074074074074074</v>
      </c>
      <c r="D1168" s="8">
        <v>0.47409722222222223</v>
      </c>
    </row>
    <row r="1169" spans="1:4" x14ac:dyDescent="0.35">
      <c r="A1169" s="9">
        <v>2584185</v>
      </c>
      <c r="B1169" s="10">
        <v>42934</v>
      </c>
      <c r="C1169" s="11">
        <v>0.47208333333333335</v>
      </c>
      <c r="D1169" s="12">
        <v>0.48284722222222221</v>
      </c>
    </row>
    <row r="1170" spans="1:4" x14ac:dyDescent="0.35">
      <c r="A1170" s="5">
        <v>3346801494</v>
      </c>
      <c r="B1170" s="6">
        <v>42934</v>
      </c>
      <c r="C1170" s="7">
        <v>0.47394675925925928</v>
      </c>
      <c r="D1170" s="8">
        <v>0.48170138888888892</v>
      </c>
    </row>
    <row r="1171" spans="1:4" x14ac:dyDescent="0.35">
      <c r="A1171" s="9">
        <v>4535172</v>
      </c>
      <c r="B1171" s="10">
        <v>42934</v>
      </c>
      <c r="C1171" s="11">
        <v>0.4750462962962963</v>
      </c>
      <c r="D1171" s="12">
        <v>0.47592592592592592</v>
      </c>
    </row>
    <row r="1172" spans="1:4" x14ac:dyDescent="0.35">
      <c r="A1172" s="5">
        <v>8723323</v>
      </c>
      <c r="B1172" s="6">
        <v>42934</v>
      </c>
      <c r="C1172" s="7">
        <v>0.47505787037037039</v>
      </c>
      <c r="D1172" s="8">
        <v>0.48318287037037039</v>
      </c>
    </row>
    <row r="1173" spans="1:4" x14ac:dyDescent="0.35">
      <c r="A1173" s="9">
        <v>76845076</v>
      </c>
      <c r="B1173" s="10">
        <v>42934</v>
      </c>
      <c r="C1173" s="11">
        <v>0.47949074074074072</v>
      </c>
      <c r="D1173" s="12">
        <v>0.48335648148148147</v>
      </c>
    </row>
    <row r="1174" spans="1:4" x14ac:dyDescent="0.35">
      <c r="A1174" s="5">
        <v>12063341</v>
      </c>
      <c r="B1174" s="6">
        <v>42934</v>
      </c>
      <c r="C1174" s="7">
        <v>0.48378472222222224</v>
      </c>
      <c r="D1174" s="8">
        <v>0.48681712962962964</v>
      </c>
    </row>
    <row r="1175" spans="1:4" x14ac:dyDescent="0.35">
      <c r="A1175" s="9">
        <v>9866204</v>
      </c>
      <c r="B1175" s="10">
        <v>42934</v>
      </c>
      <c r="C1175" s="11">
        <v>0.48379629629629628</v>
      </c>
      <c r="D1175" s="12">
        <v>0.49018518518518517</v>
      </c>
    </row>
    <row r="1176" spans="1:4" x14ac:dyDescent="0.35">
      <c r="A1176" s="5">
        <v>9364912</v>
      </c>
      <c r="B1176" s="6">
        <v>42934</v>
      </c>
      <c r="C1176" s="7">
        <v>0.48715277777777777</v>
      </c>
      <c r="D1176" s="8">
        <v>0.49586805555555558</v>
      </c>
    </row>
    <row r="1177" spans="1:4" x14ac:dyDescent="0.35">
      <c r="A1177" s="9">
        <v>9975977</v>
      </c>
      <c r="B1177" s="10">
        <v>42934</v>
      </c>
      <c r="C1177" s="11">
        <v>0.48723379629629632</v>
      </c>
      <c r="D1177" s="12">
        <v>0.4914351851851852</v>
      </c>
    </row>
    <row r="1178" spans="1:4" x14ac:dyDescent="0.35">
      <c r="A1178" s="5">
        <v>8802222</v>
      </c>
      <c r="B1178" s="6">
        <v>42934</v>
      </c>
      <c r="C1178" s="7">
        <v>0.48899305555555556</v>
      </c>
      <c r="D1178" s="8">
        <v>0.49456018518518519</v>
      </c>
    </row>
    <row r="1179" spans="1:4" x14ac:dyDescent="0.35">
      <c r="A1179" s="9">
        <v>1552877</v>
      </c>
      <c r="B1179" s="10">
        <v>42934</v>
      </c>
      <c r="C1179" s="11">
        <v>0.49277777777777776</v>
      </c>
      <c r="D1179" s="12">
        <v>0.49600694444444443</v>
      </c>
    </row>
    <row r="1180" spans="1:4" x14ac:dyDescent="0.35">
      <c r="A1180" s="5">
        <v>6516534288</v>
      </c>
      <c r="B1180" s="6">
        <v>42934</v>
      </c>
      <c r="C1180" s="7">
        <v>0.49465277777777777</v>
      </c>
      <c r="D1180" s="8">
        <v>0.49899305555555556</v>
      </c>
    </row>
    <row r="1181" spans="1:4" x14ac:dyDescent="0.35">
      <c r="A1181" s="9">
        <v>68647777</v>
      </c>
      <c r="B1181" s="10">
        <v>42934</v>
      </c>
      <c r="C1181" s="11">
        <v>0.49968750000000001</v>
      </c>
      <c r="D1181" s="12">
        <v>0.50692129629629634</v>
      </c>
    </row>
    <row r="1182" spans="1:4" x14ac:dyDescent="0.35">
      <c r="A1182" s="5">
        <v>3360951</v>
      </c>
      <c r="B1182" s="6">
        <v>42934</v>
      </c>
      <c r="C1182" s="7">
        <v>0.50384259259259256</v>
      </c>
      <c r="D1182" s="8">
        <v>0.50868055555555558</v>
      </c>
    </row>
    <row r="1183" spans="1:4" x14ac:dyDescent="0.35">
      <c r="A1183" s="9">
        <v>9127211929</v>
      </c>
      <c r="B1183" s="10">
        <v>42934</v>
      </c>
      <c r="C1183" s="11">
        <v>0.50648148148148153</v>
      </c>
      <c r="D1183" s="12">
        <v>0.51042824074074078</v>
      </c>
    </row>
    <row r="1184" spans="1:4" x14ac:dyDescent="0.35">
      <c r="A1184" s="5">
        <v>9647309</v>
      </c>
      <c r="B1184" s="6">
        <v>42934</v>
      </c>
      <c r="C1184" s="7">
        <v>0.50979166666666664</v>
      </c>
      <c r="D1184" s="8">
        <v>0.51483796296296291</v>
      </c>
    </row>
    <row r="1185" spans="1:4" x14ac:dyDescent="0.35">
      <c r="A1185" s="9">
        <v>6024447</v>
      </c>
      <c r="B1185" s="10">
        <v>42934</v>
      </c>
      <c r="C1185" s="11">
        <v>0.51164351851851853</v>
      </c>
      <c r="D1185" s="12">
        <v>0.51975694444444442</v>
      </c>
    </row>
    <row r="1186" spans="1:4" x14ac:dyDescent="0.35">
      <c r="A1186" s="5">
        <v>12919749</v>
      </c>
      <c r="B1186" s="6">
        <v>42934</v>
      </c>
      <c r="C1186" s="7">
        <v>0.5161458333333333</v>
      </c>
      <c r="D1186" s="8">
        <v>0.5222106481481481</v>
      </c>
    </row>
    <row r="1187" spans="1:4" x14ac:dyDescent="0.35">
      <c r="A1187" s="9">
        <v>3287315</v>
      </c>
      <c r="B1187" s="10">
        <v>42934</v>
      </c>
      <c r="C1187" s="11">
        <v>0.51627314814814818</v>
      </c>
      <c r="D1187" s="12">
        <v>0.51844907407407403</v>
      </c>
    </row>
    <row r="1188" spans="1:4" x14ac:dyDescent="0.35">
      <c r="A1188" s="5">
        <v>9953379</v>
      </c>
      <c r="B1188" s="6">
        <v>42934</v>
      </c>
      <c r="C1188" s="7">
        <v>0.52061342592592597</v>
      </c>
      <c r="D1188" s="8">
        <v>0.52561342592592597</v>
      </c>
    </row>
    <row r="1189" spans="1:4" x14ac:dyDescent="0.35">
      <c r="A1189" s="9">
        <v>97558765</v>
      </c>
      <c r="B1189" s="10">
        <v>42934</v>
      </c>
      <c r="C1189" s="11">
        <v>0.5259490740740741</v>
      </c>
      <c r="D1189" s="12">
        <v>0.53439814814814812</v>
      </c>
    </row>
    <row r="1190" spans="1:4" x14ac:dyDescent="0.35">
      <c r="A1190" s="5">
        <v>2722706</v>
      </c>
      <c r="B1190" s="6">
        <v>42934</v>
      </c>
      <c r="C1190" s="7">
        <v>0.53025462962962966</v>
      </c>
      <c r="D1190" s="8">
        <v>0.53217592592592589</v>
      </c>
    </row>
    <row r="1191" spans="1:4" x14ac:dyDescent="0.35">
      <c r="A1191" s="9">
        <v>97876188</v>
      </c>
      <c r="B1191" s="10">
        <v>42934</v>
      </c>
      <c r="C1191" s="11">
        <v>0.53412037037037041</v>
      </c>
      <c r="D1191" s="12">
        <v>0.53467592592592594</v>
      </c>
    </row>
    <row r="1192" spans="1:4" x14ac:dyDescent="0.35">
      <c r="A1192" s="5">
        <v>4068728</v>
      </c>
      <c r="B1192" s="6">
        <v>42934</v>
      </c>
      <c r="C1192" s="7">
        <v>0.53760416666666666</v>
      </c>
      <c r="D1192" s="8">
        <v>0.546412037037037</v>
      </c>
    </row>
    <row r="1193" spans="1:4" x14ac:dyDescent="0.35">
      <c r="A1193" s="9">
        <v>7624070</v>
      </c>
      <c r="B1193" s="10">
        <v>42934</v>
      </c>
      <c r="C1193" s="11">
        <v>0.54335648148148152</v>
      </c>
      <c r="D1193" s="12">
        <v>0.55396990740740737</v>
      </c>
    </row>
    <row r="1194" spans="1:4" x14ac:dyDescent="0.35">
      <c r="A1194" s="5">
        <v>2419247</v>
      </c>
      <c r="B1194" s="6">
        <v>42934</v>
      </c>
      <c r="C1194" s="7">
        <v>0.54686342592592596</v>
      </c>
      <c r="D1194" s="8">
        <v>0.54782407407407407</v>
      </c>
    </row>
    <row r="1195" spans="1:4" x14ac:dyDescent="0.35">
      <c r="A1195" s="9">
        <v>5244597</v>
      </c>
      <c r="B1195" s="10">
        <v>42934</v>
      </c>
      <c r="C1195" s="11">
        <v>0.55008101851851854</v>
      </c>
      <c r="D1195" s="12">
        <v>0.55730324074074078</v>
      </c>
    </row>
    <row r="1196" spans="1:4" x14ac:dyDescent="0.35">
      <c r="A1196" s="5">
        <v>2005653</v>
      </c>
      <c r="B1196" s="6">
        <v>42934</v>
      </c>
      <c r="C1196" s="7">
        <v>0.55039351851851848</v>
      </c>
      <c r="D1196" s="8">
        <v>0.5572569444444444</v>
      </c>
    </row>
    <row r="1197" spans="1:4" x14ac:dyDescent="0.35">
      <c r="A1197" s="9">
        <v>7203715</v>
      </c>
      <c r="B1197" s="10">
        <v>42934</v>
      </c>
      <c r="C1197" s="11">
        <v>0.55447916666666663</v>
      </c>
      <c r="D1197" s="12">
        <v>0.56332175925925931</v>
      </c>
    </row>
    <row r="1198" spans="1:4" x14ac:dyDescent="0.35">
      <c r="A1198" s="5">
        <v>4520463</v>
      </c>
      <c r="B1198" s="6">
        <v>42934</v>
      </c>
      <c r="C1198" s="7">
        <v>0.55645833333333339</v>
      </c>
      <c r="D1198" s="8">
        <v>0.55648148148148147</v>
      </c>
    </row>
    <row r="1199" spans="1:4" x14ac:dyDescent="0.35">
      <c r="A1199" s="9">
        <v>4454837</v>
      </c>
      <c r="B1199" s="10">
        <v>42934</v>
      </c>
      <c r="C1199" s="11">
        <v>0.5621990740740741</v>
      </c>
      <c r="D1199" s="12">
        <v>0.56353009259259257</v>
      </c>
    </row>
    <row r="1200" spans="1:4" x14ac:dyDescent="0.35">
      <c r="A1200" s="5">
        <v>6999348</v>
      </c>
      <c r="B1200" s="6">
        <v>42934</v>
      </c>
      <c r="C1200" s="7">
        <v>0.56714120370370369</v>
      </c>
      <c r="D1200" s="8">
        <v>0.56869212962962967</v>
      </c>
    </row>
    <row r="1201" spans="1:4" x14ac:dyDescent="0.35">
      <c r="A1201" s="9">
        <v>90884366</v>
      </c>
      <c r="B1201" s="10">
        <v>42934</v>
      </c>
      <c r="C1201" s="11">
        <v>0.57276620370370368</v>
      </c>
      <c r="D1201" s="12">
        <v>0.57995370370370369</v>
      </c>
    </row>
    <row r="1202" spans="1:4" x14ac:dyDescent="0.35">
      <c r="A1202" s="5">
        <v>3121640</v>
      </c>
      <c r="B1202" s="6">
        <v>42934</v>
      </c>
      <c r="C1202" s="7">
        <v>0.57841435185185186</v>
      </c>
      <c r="D1202" s="8">
        <v>0.58364583333333331</v>
      </c>
    </row>
    <row r="1203" spans="1:4" x14ac:dyDescent="0.35">
      <c r="A1203" s="9">
        <v>5912710</v>
      </c>
      <c r="B1203" s="10">
        <v>42934</v>
      </c>
      <c r="C1203" s="11">
        <v>0.57988425925925924</v>
      </c>
      <c r="D1203" s="12">
        <v>0.58928240740740745</v>
      </c>
    </row>
    <row r="1204" spans="1:4" x14ac:dyDescent="0.35">
      <c r="A1204" s="5">
        <v>7118082</v>
      </c>
      <c r="B1204" s="6">
        <v>42934</v>
      </c>
      <c r="C1204" s="7">
        <v>0.58524305555555556</v>
      </c>
      <c r="D1204" s="8">
        <v>0.591400462962963</v>
      </c>
    </row>
    <row r="1205" spans="1:4" x14ac:dyDescent="0.35">
      <c r="A1205" s="9">
        <v>9100303</v>
      </c>
      <c r="B1205" s="10">
        <v>42934</v>
      </c>
      <c r="C1205" s="11">
        <v>0.58543981481481477</v>
      </c>
      <c r="D1205" s="12">
        <v>0.58929398148148149</v>
      </c>
    </row>
    <row r="1206" spans="1:4" x14ac:dyDescent="0.35">
      <c r="A1206" s="5">
        <v>25581178</v>
      </c>
      <c r="B1206" s="6">
        <v>42934</v>
      </c>
      <c r="C1206" s="7">
        <v>0.58942129629629625</v>
      </c>
      <c r="D1206" s="8">
        <v>0.59734953703703708</v>
      </c>
    </row>
    <row r="1207" spans="1:4" x14ac:dyDescent="0.35">
      <c r="A1207" s="9">
        <v>78976022</v>
      </c>
      <c r="B1207" s="10">
        <v>42934</v>
      </c>
      <c r="C1207" s="11">
        <v>0.59495370370370371</v>
      </c>
      <c r="D1207" s="12">
        <v>0.5965625</v>
      </c>
    </row>
    <row r="1208" spans="1:4" x14ac:dyDescent="0.35">
      <c r="A1208" s="5">
        <v>7781904</v>
      </c>
      <c r="B1208" s="6">
        <v>42934</v>
      </c>
      <c r="C1208" s="7">
        <v>0.59964120370370366</v>
      </c>
      <c r="D1208" s="8">
        <v>0.60444444444444445</v>
      </c>
    </row>
    <row r="1209" spans="1:4" x14ac:dyDescent="0.35">
      <c r="A1209" s="9">
        <v>7473804</v>
      </c>
      <c r="B1209" s="10">
        <v>42934</v>
      </c>
      <c r="C1209" s="11">
        <v>0.60268518518518521</v>
      </c>
      <c r="D1209" s="12">
        <v>0.60929398148148151</v>
      </c>
    </row>
    <row r="1210" spans="1:4" x14ac:dyDescent="0.35">
      <c r="A1210" s="5">
        <v>8474693946</v>
      </c>
      <c r="B1210" s="6">
        <v>42934</v>
      </c>
      <c r="C1210" s="7">
        <v>0.60423611111111108</v>
      </c>
      <c r="D1210" s="8">
        <v>0.61535879629629631</v>
      </c>
    </row>
    <row r="1211" spans="1:4" x14ac:dyDescent="0.35">
      <c r="A1211" s="9">
        <v>8984769</v>
      </c>
      <c r="B1211" s="10">
        <v>42934</v>
      </c>
      <c r="C1211" s="11">
        <v>0.60932870370370373</v>
      </c>
      <c r="D1211" s="12">
        <v>0.61124999999999996</v>
      </c>
    </row>
    <row r="1212" spans="1:4" x14ac:dyDescent="0.35">
      <c r="A1212" s="5">
        <v>40395856</v>
      </c>
      <c r="B1212" s="6">
        <v>42934</v>
      </c>
      <c r="C1212" s="7">
        <v>0.61365740740740737</v>
      </c>
      <c r="D1212" s="8">
        <v>0.61829861111111106</v>
      </c>
    </row>
    <row r="1213" spans="1:4" x14ac:dyDescent="0.35">
      <c r="A1213" s="9">
        <v>9728932</v>
      </c>
      <c r="B1213" s="10">
        <v>42934</v>
      </c>
      <c r="C1213" s="11">
        <v>0.61675925925925923</v>
      </c>
      <c r="D1213" s="12">
        <v>0.61790509259259263</v>
      </c>
    </row>
    <row r="1214" spans="1:4" x14ac:dyDescent="0.35">
      <c r="A1214" s="5">
        <v>8135542</v>
      </c>
      <c r="B1214" s="6">
        <v>42934</v>
      </c>
      <c r="C1214" s="7">
        <v>0.62184027777777773</v>
      </c>
      <c r="D1214" s="8">
        <v>0.63255787037037037</v>
      </c>
    </row>
    <row r="1215" spans="1:4" x14ac:dyDescent="0.35">
      <c r="A1215" s="9">
        <v>10093488</v>
      </c>
      <c r="B1215" s="10">
        <v>42934</v>
      </c>
      <c r="C1215" s="11">
        <v>0.62197916666666664</v>
      </c>
      <c r="D1215" s="12">
        <v>0.62238425925925922</v>
      </c>
    </row>
    <row r="1216" spans="1:4" x14ac:dyDescent="0.35">
      <c r="A1216" s="5">
        <v>4203418</v>
      </c>
      <c r="B1216" s="6">
        <v>42934</v>
      </c>
      <c r="C1216" s="7">
        <v>0.62556712962962968</v>
      </c>
      <c r="D1216" s="8">
        <v>0.63491898148148151</v>
      </c>
    </row>
    <row r="1217" spans="1:4" x14ac:dyDescent="0.35">
      <c r="A1217" s="9">
        <v>2456290</v>
      </c>
      <c r="B1217" s="10">
        <v>42935</v>
      </c>
      <c r="C1217" s="11">
        <v>0.33592592592592591</v>
      </c>
      <c r="D1217" s="12">
        <v>0.34680555555555553</v>
      </c>
    </row>
    <row r="1218" spans="1:4" x14ac:dyDescent="0.35">
      <c r="A1218" s="5">
        <v>27610972</v>
      </c>
      <c r="B1218" s="6">
        <v>42935</v>
      </c>
      <c r="C1218" s="7">
        <v>0.33888888888888891</v>
      </c>
      <c r="D1218" s="8">
        <v>0.3502777777777778</v>
      </c>
    </row>
    <row r="1219" spans="1:4" x14ac:dyDescent="0.35">
      <c r="A1219" s="9">
        <v>3073815</v>
      </c>
      <c r="B1219" s="10">
        <v>42935</v>
      </c>
      <c r="C1219" s="11">
        <v>0.34309027777777779</v>
      </c>
      <c r="D1219" s="12">
        <v>0.34798611111111111</v>
      </c>
    </row>
    <row r="1220" spans="1:4" x14ac:dyDescent="0.35">
      <c r="A1220" s="5">
        <v>9776810</v>
      </c>
      <c r="B1220" s="6">
        <v>42935</v>
      </c>
      <c r="C1220" s="7">
        <v>0.34704861111111113</v>
      </c>
      <c r="D1220" s="8">
        <v>0.35386574074074073</v>
      </c>
    </row>
    <row r="1221" spans="1:4" x14ac:dyDescent="0.35">
      <c r="A1221" s="9">
        <v>6763741</v>
      </c>
      <c r="B1221" s="10">
        <v>42935</v>
      </c>
      <c r="C1221" s="11">
        <v>0.35040509259259262</v>
      </c>
      <c r="D1221" s="12">
        <v>0.35600694444444442</v>
      </c>
    </row>
    <row r="1222" spans="1:4" x14ac:dyDescent="0.35">
      <c r="A1222" s="5">
        <v>2309436</v>
      </c>
      <c r="B1222" s="6">
        <v>42935</v>
      </c>
      <c r="C1222" s="7">
        <v>0.35304398148148147</v>
      </c>
      <c r="D1222" s="8">
        <v>0.35793981481481479</v>
      </c>
    </row>
    <row r="1223" spans="1:4" x14ac:dyDescent="0.35">
      <c r="A1223" s="9">
        <v>3131883</v>
      </c>
      <c r="B1223" s="10">
        <v>42935</v>
      </c>
      <c r="C1223" s="11">
        <v>0.35712962962962963</v>
      </c>
      <c r="D1223" s="12">
        <v>0.36243055555555553</v>
      </c>
    </row>
    <row r="1224" spans="1:4" x14ac:dyDescent="0.35">
      <c r="A1224" s="5">
        <v>69001821</v>
      </c>
      <c r="B1224" s="6">
        <v>42935</v>
      </c>
      <c r="C1224" s="7">
        <v>0.35835648148148147</v>
      </c>
      <c r="D1224" s="8">
        <v>0.36712962962962964</v>
      </c>
    </row>
    <row r="1225" spans="1:4" x14ac:dyDescent="0.35">
      <c r="A1225" s="9">
        <v>2150051</v>
      </c>
      <c r="B1225" s="10">
        <v>42935</v>
      </c>
      <c r="C1225" s="11">
        <v>0.36310185185185184</v>
      </c>
      <c r="D1225" s="12">
        <v>0.36723379629629632</v>
      </c>
    </row>
    <row r="1226" spans="1:4" x14ac:dyDescent="0.35">
      <c r="A1226" s="5">
        <v>9967523741</v>
      </c>
      <c r="B1226" s="6">
        <v>42935</v>
      </c>
      <c r="C1226" s="7">
        <v>0.36886574074074074</v>
      </c>
      <c r="D1226" s="8">
        <v>0.37324074074074076</v>
      </c>
    </row>
    <row r="1227" spans="1:4" x14ac:dyDescent="0.35">
      <c r="A1227" s="9">
        <v>23300236</v>
      </c>
      <c r="B1227" s="10">
        <v>42935</v>
      </c>
      <c r="C1227" s="11">
        <v>0.37094907407407407</v>
      </c>
      <c r="D1227" s="12">
        <v>0.37517361111111114</v>
      </c>
    </row>
    <row r="1228" spans="1:4" x14ac:dyDescent="0.35">
      <c r="A1228" s="5">
        <v>4714815</v>
      </c>
      <c r="B1228" s="6">
        <v>42935</v>
      </c>
      <c r="C1228" s="7">
        <v>0.37484953703703705</v>
      </c>
      <c r="D1228" s="8">
        <v>0.38143518518518521</v>
      </c>
    </row>
    <row r="1229" spans="1:4" x14ac:dyDescent="0.35">
      <c r="A1229" s="9">
        <v>80038636</v>
      </c>
      <c r="B1229" s="10">
        <v>42935</v>
      </c>
      <c r="C1229" s="11">
        <v>0.38028935185185186</v>
      </c>
      <c r="D1229" s="12">
        <v>0.38239583333333332</v>
      </c>
    </row>
    <row r="1230" spans="1:4" x14ac:dyDescent="0.35">
      <c r="A1230" s="5">
        <v>47596793</v>
      </c>
      <c r="B1230" s="6">
        <v>42935</v>
      </c>
      <c r="C1230" s="7">
        <v>0.38059027777777776</v>
      </c>
      <c r="D1230" s="8">
        <v>0.38280092592592591</v>
      </c>
    </row>
    <row r="1231" spans="1:4" x14ac:dyDescent="0.35">
      <c r="A1231" s="9">
        <v>6574044</v>
      </c>
      <c r="B1231" s="10">
        <v>42935</v>
      </c>
      <c r="C1231" s="11">
        <v>0.38173611111111111</v>
      </c>
      <c r="D1231" s="12">
        <v>0.38915509259259257</v>
      </c>
    </row>
    <row r="1232" spans="1:4" x14ac:dyDescent="0.35">
      <c r="A1232" s="5">
        <v>9475290</v>
      </c>
      <c r="B1232" s="6">
        <v>42935</v>
      </c>
      <c r="C1232" s="7">
        <v>0.38512731481481483</v>
      </c>
      <c r="D1232" s="8">
        <v>0.3947222222222222</v>
      </c>
    </row>
    <row r="1233" spans="1:4" x14ac:dyDescent="0.35">
      <c r="A1233" s="9">
        <v>4458725</v>
      </c>
      <c r="B1233" s="10">
        <v>42935</v>
      </c>
      <c r="C1233" s="11">
        <v>0.38533564814814814</v>
      </c>
      <c r="D1233" s="12">
        <v>0.39521990740740742</v>
      </c>
    </row>
    <row r="1234" spans="1:4" x14ac:dyDescent="0.35">
      <c r="A1234" s="5">
        <v>4785864</v>
      </c>
      <c r="B1234" s="6">
        <v>42935</v>
      </c>
      <c r="C1234" s="7">
        <v>0.38833333333333331</v>
      </c>
      <c r="D1234" s="8">
        <v>0.39069444444444446</v>
      </c>
    </row>
    <row r="1235" spans="1:4" x14ac:dyDescent="0.35">
      <c r="A1235" s="9">
        <v>3109039</v>
      </c>
      <c r="B1235" s="10">
        <v>42935</v>
      </c>
      <c r="C1235" s="11">
        <v>0.38979166666666665</v>
      </c>
      <c r="D1235" s="12">
        <v>0.39171296296296299</v>
      </c>
    </row>
    <row r="1236" spans="1:4" x14ac:dyDescent="0.35">
      <c r="A1236" s="5">
        <v>7340326</v>
      </c>
      <c r="B1236" s="6">
        <v>42935</v>
      </c>
      <c r="C1236" s="7">
        <v>0.3898611111111111</v>
      </c>
      <c r="D1236" s="8">
        <v>0.39067129629629632</v>
      </c>
    </row>
    <row r="1237" spans="1:4" x14ac:dyDescent="0.35">
      <c r="A1237" s="9">
        <v>7865428</v>
      </c>
      <c r="B1237" s="10">
        <v>42935</v>
      </c>
      <c r="C1237" s="11">
        <v>0.3941898148148148</v>
      </c>
      <c r="D1237" s="12">
        <v>0.40530092592592593</v>
      </c>
    </row>
    <row r="1238" spans="1:4" x14ac:dyDescent="0.35">
      <c r="A1238" s="5">
        <v>1467591</v>
      </c>
      <c r="B1238" s="6">
        <v>42935</v>
      </c>
      <c r="C1238" s="7">
        <v>0.39607638888888891</v>
      </c>
      <c r="D1238" s="8">
        <v>0.40442129629629631</v>
      </c>
    </row>
    <row r="1239" spans="1:4" x14ac:dyDescent="0.35">
      <c r="A1239" s="9">
        <v>2475157</v>
      </c>
      <c r="B1239" s="10">
        <v>42935</v>
      </c>
      <c r="C1239" s="11">
        <v>0.39937499999999998</v>
      </c>
      <c r="D1239" s="12">
        <v>0.40332175925925928</v>
      </c>
    </row>
    <row r="1240" spans="1:4" x14ac:dyDescent="0.35">
      <c r="A1240" s="5">
        <v>6023049</v>
      </c>
      <c r="B1240" s="6">
        <v>42935</v>
      </c>
      <c r="C1240" s="7">
        <v>0.39959490740740738</v>
      </c>
      <c r="D1240" s="8">
        <v>0.41099537037037037</v>
      </c>
    </row>
    <row r="1241" spans="1:4" x14ac:dyDescent="0.35">
      <c r="A1241" s="9">
        <v>39210366</v>
      </c>
      <c r="B1241" s="10">
        <v>42935</v>
      </c>
      <c r="C1241" s="11">
        <v>0.40234953703703702</v>
      </c>
      <c r="D1241" s="12">
        <v>0.40469907407407407</v>
      </c>
    </row>
    <row r="1242" spans="1:4" x14ac:dyDescent="0.35">
      <c r="A1242" s="5">
        <v>90880011</v>
      </c>
      <c r="B1242" s="6">
        <v>42935</v>
      </c>
      <c r="C1242" s="7">
        <v>0.40743055555555557</v>
      </c>
      <c r="D1242" s="8">
        <v>0.41255787037037039</v>
      </c>
    </row>
    <row r="1243" spans="1:4" x14ac:dyDescent="0.35">
      <c r="A1243" s="9">
        <v>4469748</v>
      </c>
      <c r="B1243" s="10">
        <v>42935</v>
      </c>
      <c r="C1243" s="11">
        <v>0.41121527777777778</v>
      </c>
      <c r="D1243" s="12">
        <v>0.41483796296296294</v>
      </c>
    </row>
    <row r="1244" spans="1:4" x14ac:dyDescent="0.35">
      <c r="A1244" s="5">
        <v>3931739393</v>
      </c>
      <c r="B1244" s="6">
        <v>42935</v>
      </c>
      <c r="C1244" s="7">
        <v>0.4127662037037037</v>
      </c>
      <c r="D1244" s="8">
        <v>0.42182870370370368</v>
      </c>
    </row>
    <row r="1245" spans="1:4" x14ac:dyDescent="0.35">
      <c r="A1245" s="9">
        <v>4079013</v>
      </c>
      <c r="B1245" s="10">
        <v>42935</v>
      </c>
      <c r="C1245" s="11">
        <v>0.41616898148148146</v>
      </c>
      <c r="D1245" s="12">
        <v>0.41717592592592595</v>
      </c>
    </row>
    <row r="1246" spans="1:4" x14ac:dyDescent="0.35">
      <c r="A1246" s="5">
        <v>7751076</v>
      </c>
      <c r="B1246" s="6">
        <v>42935</v>
      </c>
      <c r="C1246" s="7">
        <v>0.41996527777777776</v>
      </c>
      <c r="D1246" s="8">
        <v>0.42766203703703703</v>
      </c>
    </row>
    <row r="1247" spans="1:4" x14ac:dyDescent="0.35">
      <c r="A1247" s="9">
        <v>27684909</v>
      </c>
      <c r="B1247" s="10">
        <v>42935</v>
      </c>
      <c r="C1247" s="11">
        <v>0.42166666666666669</v>
      </c>
      <c r="D1247" s="12">
        <v>0.43111111111111111</v>
      </c>
    </row>
    <row r="1248" spans="1:4" x14ac:dyDescent="0.35">
      <c r="A1248" s="5">
        <v>1588418</v>
      </c>
      <c r="B1248" s="6">
        <v>42935</v>
      </c>
      <c r="C1248" s="7">
        <v>0.42422453703703705</v>
      </c>
      <c r="D1248" s="8">
        <v>0.43512731481481481</v>
      </c>
    </row>
    <row r="1249" spans="1:4" x14ac:dyDescent="0.35">
      <c r="A1249" s="9">
        <v>5333653356</v>
      </c>
      <c r="B1249" s="10">
        <v>42935</v>
      </c>
      <c r="C1249" s="11">
        <v>0.42684027777777778</v>
      </c>
      <c r="D1249" s="12">
        <v>0.43207175925925928</v>
      </c>
    </row>
    <row r="1250" spans="1:4" x14ac:dyDescent="0.35">
      <c r="A1250" s="5">
        <v>6305758</v>
      </c>
      <c r="B1250" s="6">
        <v>42935</v>
      </c>
      <c r="C1250" s="7">
        <v>0.42912037037037037</v>
      </c>
      <c r="D1250" s="8">
        <v>0.43425925925925923</v>
      </c>
    </row>
    <row r="1251" spans="1:4" x14ac:dyDescent="0.35">
      <c r="A1251" s="9">
        <v>45373038</v>
      </c>
      <c r="B1251" s="10">
        <v>42935</v>
      </c>
      <c r="C1251" s="11">
        <v>0.43180555555555555</v>
      </c>
      <c r="D1251" s="12">
        <v>0.44175925925925924</v>
      </c>
    </row>
    <row r="1252" spans="1:4" x14ac:dyDescent="0.35">
      <c r="A1252" s="5">
        <v>7589993</v>
      </c>
      <c r="B1252" s="6">
        <v>42935</v>
      </c>
      <c r="C1252" s="7">
        <v>0.43185185185185188</v>
      </c>
      <c r="D1252" s="8">
        <v>0.4382638888888889</v>
      </c>
    </row>
    <row r="1253" spans="1:4" x14ac:dyDescent="0.35">
      <c r="A1253" s="9">
        <v>5588421</v>
      </c>
      <c r="B1253" s="10">
        <v>42935</v>
      </c>
      <c r="C1253" s="11">
        <v>0.43365740740740738</v>
      </c>
      <c r="D1253" s="12">
        <v>0.43964120370370369</v>
      </c>
    </row>
    <row r="1254" spans="1:4" x14ac:dyDescent="0.35">
      <c r="A1254" s="5">
        <v>9662407</v>
      </c>
      <c r="B1254" s="6">
        <v>42935</v>
      </c>
      <c r="C1254" s="7">
        <v>0.43509259259259259</v>
      </c>
      <c r="D1254" s="8">
        <v>0.44364583333333335</v>
      </c>
    </row>
    <row r="1255" spans="1:4" x14ac:dyDescent="0.35">
      <c r="A1255" s="9">
        <v>3422062</v>
      </c>
      <c r="B1255" s="10">
        <v>42935</v>
      </c>
      <c r="C1255" s="11">
        <v>0.43734953703703705</v>
      </c>
      <c r="D1255" s="12">
        <v>0.44071759259259258</v>
      </c>
    </row>
    <row r="1256" spans="1:4" x14ac:dyDescent="0.35">
      <c r="A1256" s="5">
        <v>9305031</v>
      </c>
      <c r="B1256" s="6">
        <v>42935</v>
      </c>
      <c r="C1256" s="7">
        <v>0.43827546296296294</v>
      </c>
      <c r="D1256" s="8">
        <v>0.44968750000000002</v>
      </c>
    </row>
    <row r="1257" spans="1:4" x14ac:dyDescent="0.35">
      <c r="A1257" s="9">
        <v>4911005</v>
      </c>
      <c r="B1257" s="10">
        <v>42935</v>
      </c>
      <c r="C1257" s="11">
        <v>0.44305555555555554</v>
      </c>
      <c r="D1257" s="12">
        <v>0.45006944444444447</v>
      </c>
    </row>
    <row r="1258" spans="1:4" x14ac:dyDescent="0.35">
      <c r="A1258" s="5">
        <v>1391272</v>
      </c>
      <c r="B1258" s="6">
        <v>42935</v>
      </c>
      <c r="C1258" s="7">
        <v>0.44664351851851852</v>
      </c>
      <c r="D1258" s="8">
        <v>0.45725694444444442</v>
      </c>
    </row>
    <row r="1259" spans="1:4" x14ac:dyDescent="0.35">
      <c r="A1259" s="9">
        <v>5027404</v>
      </c>
      <c r="B1259" s="10">
        <v>42935</v>
      </c>
      <c r="C1259" s="11">
        <v>0.45211805555555556</v>
      </c>
      <c r="D1259" s="12">
        <v>0.4598726851851852</v>
      </c>
    </row>
    <row r="1260" spans="1:4" x14ac:dyDescent="0.35">
      <c r="A1260" s="5">
        <v>38244568</v>
      </c>
      <c r="B1260" s="6">
        <v>42935</v>
      </c>
      <c r="C1260" s="7">
        <v>0.45768518518518519</v>
      </c>
      <c r="D1260" s="8">
        <v>0.45837962962962964</v>
      </c>
    </row>
    <row r="1261" spans="1:4" x14ac:dyDescent="0.35">
      <c r="A1261" s="9">
        <v>64900068</v>
      </c>
      <c r="B1261" s="10">
        <v>42935</v>
      </c>
      <c r="C1261" s="11">
        <v>0.46217592592592593</v>
      </c>
      <c r="D1261" s="12">
        <v>0.46263888888888888</v>
      </c>
    </row>
    <row r="1262" spans="1:4" x14ac:dyDescent="0.35">
      <c r="A1262" s="5">
        <v>45015009</v>
      </c>
      <c r="B1262" s="6">
        <v>42935</v>
      </c>
      <c r="C1262" s="7">
        <v>0.46546296296296297</v>
      </c>
      <c r="D1262" s="8">
        <v>0.4740509259259259</v>
      </c>
    </row>
    <row r="1263" spans="1:4" x14ac:dyDescent="0.35">
      <c r="A1263" s="9">
        <v>20424852</v>
      </c>
      <c r="B1263" s="10">
        <v>42935</v>
      </c>
      <c r="C1263" s="11">
        <v>0.46773148148148147</v>
      </c>
      <c r="D1263" s="12">
        <v>0.47054398148148147</v>
      </c>
    </row>
    <row r="1264" spans="1:4" x14ac:dyDescent="0.35">
      <c r="A1264" s="5">
        <v>4471203</v>
      </c>
      <c r="B1264" s="6">
        <v>42935</v>
      </c>
      <c r="C1264" s="7">
        <v>0.47298611111111111</v>
      </c>
      <c r="D1264" s="8">
        <v>0.48247685185185185</v>
      </c>
    </row>
    <row r="1265" spans="1:4" x14ac:dyDescent="0.35">
      <c r="A1265" s="9">
        <v>8250018</v>
      </c>
      <c r="B1265" s="10">
        <v>42935</v>
      </c>
      <c r="C1265" s="11">
        <v>0.47843750000000002</v>
      </c>
      <c r="D1265" s="12">
        <v>0.48951388888888892</v>
      </c>
    </row>
    <row r="1266" spans="1:4" x14ac:dyDescent="0.35">
      <c r="A1266" s="5">
        <v>1161028310</v>
      </c>
      <c r="B1266" s="6">
        <v>42935</v>
      </c>
      <c r="C1266" s="7">
        <v>0.47843750000000002</v>
      </c>
      <c r="D1266" s="8">
        <v>0.48879629629629628</v>
      </c>
    </row>
    <row r="1267" spans="1:4" x14ac:dyDescent="0.35">
      <c r="A1267" s="9">
        <v>66465215</v>
      </c>
      <c r="B1267" s="10">
        <v>42935</v>
      </c>
      <c r="C1267" s="11">
        <v>0.48381944444444447</v>
      </c>
      <c r="D1267" s="12">
        <v>0.49505787037037036</v>
      </c>
    </row>
    <row r="1268" spans="1:4" x14ac:dyDescent="0.35">
      <c r="A1268" s="5">
        <v>6386788</v>
      </c>
      <c r="B1268" s="6">
        <v>42935</v>
      </c>
      <c r="C1268" s="7">
        <v>0.48822916666666666</v>
      </c>
      <c r="D1268" s="8">
        <v>0.49540509259259258</v>
      </c>
    </row>
    <row r="1269" spans="1:4" x14ac:dyDescent="0.35">
      <c r="A1269" s="9">
        <v>3589291</v>
      </c>
      <c r="B1269" s="10">
        <v>42935</v>
      </c>
      <c r="C1269" s="11">
        <v>0.4896064814814815</v>
      </c>
      <c r="D1269" s="12">
        <v>0.49828703703703703</v>
      </c>
    </row>
    <row r="1270" spans="1:4" x14ac:dyDescent="0.35">
      <c r="A1270" s="5">
        <v>9254070</v>
      </c>
      <c r="B1270" s="6">
        <v>42935</v>
      </c>
      <c r="C1270" s="7">
        <v>0.49270833333333336</v>
      </c>
      <c r="D1270" s="8">
        <v>0.49774305555555554</v>
      </c>
    </row>
    <row r="1271" spans="1:4" x14ac:dyDescent="0.35">
      <c r="A1271" s="9">
        <v>6337931</v>
      </c>
      <c r="B1271" s="10">
        <v>42935</v>
      </c>
      <c r="C1271" s="11">
        <v>0.49625000000000002</v>
      </c>
      <c r="D1271" s="12">
        <v>0.5058449074074074</v>
      </c>
    </row>
    <row r="1272" spans="1:4" x14ac:dyDescent="0.35">
      <c r="A1272" s="5">
        <v>3563037</v>
      </c>
      <c r="B1272" s="6">
        <v>42935</v>
      </c>
      <c r="C1272" s="7">
        <v>0.50173611111111116</v>
      </c>
      <c r="D1272" s="8">
        <v>0.5130555555555556</v>
      </c>
    </row>
    <row r="1273" spans="1:4" x14ac:dyDescent="0.35">
      <c r="A1273" s="9">
        <v>2302227</v>
      </c>
      <c r="B1273" s="10">
        <v>42935</v>
      </c>
      <c r="C1273" s="11">
        <v>0.50219907407407405</v>
      </c>
      <c r="D1273" s="12">
        <v>0.50804398148148144</v>
      </c>
    </row>
    <row r="1274" spans="1:4" x14ac:dyDescent="0.35">
      <c r="A1274" s="5">
        <v>24454566</v>
      </c>
      <c r="B1274" s="6">
        <v>42935</v>
      </c>
      <c r="C1274" s="7">
        <v>0.50749999999999995</v>
      </c>
      <c r="D1274" s="8">
        <v>0.51290509259259254</v>
      </c>
    </row>
    <row r="1275" spans="1:4" x14ac:dyDescent="0.35">
      <c r="A1275" s="9">
        <v>6551880</v>
      </c>
      <c r="B1275" s="10">
        <v>42935</v>
      </c>
      <c r="C1275" s="11">
        <v>0.50756944444444441</v>
      </c>
      <c r="D1275" s="12">
        <v>0.51126157407407402</v>
      </c>
    </row>
    <row r="1276" spans="1:4" x14ac:dyDescent="0.35">
      <c r="A1276" s="5">
        <v>6616163</v>
      </c>
      <c r="B1276" s="6">
        <v>42935</v>
      </c>
      <c r="C1276" s="7">
        <v>0.51325231481481481</v>
      </c>
      <c r="D1276" s="8">
        <v>0.51627314814814818</v>
      </c>
    </row>
    <row r="1277" spans="1:4" x14ac:dyDescent="0.35">
      <c r="A1277" s="9">
        <v>96381896</v>
      </c>
      <c r="B1277" s="10">
        <v>42935</v>
      </c>
      <c r="C1277" s="11">
        <v>0.5173726851851852</v>
      </c>
      <c r="D1277" s="12">
        <v>0.52055555555555555</v>
      </c>
    </row>
    <row r="1278" spans="1:4" x14ac:dyDescent="0.35">
      <c r="A1278" s="5">
        <v>6892980</v>
      </c>
      <c r="B1278" s="6">
        <v>42935</v>
      </c>
      <c r="C1278" s="7">
        <v>0.52288194444444447</v>
      </c>
      <c r="D1278" s="8">
        <v>0.52722222222222226</v>
      </c>
    </row>
    <row r="1279" spans="1:4" x14ac:dyDescent="0.35">
      <c r="A1279" s="9">
        <v>5341697748</v>
      </c>
      <c r="B1279" s="10">
        <v>42935</v>
      </c>
      <c r="C1279" s="11">
        <v>0.52349537037037042</v>
      </c>
      <c r="D1279" s="12">
        <v>0.53362268518518519</v>
      </c>
    </row>
    <row r="1280" spans="1:4" x14ac:dyDescent="0.35">
      <c r="A1280" s="5">
        <v>52064221</v>
      </c>
      <c r="B1280" s="6">
        <v>42935</v>
      </c>
      <c r="C1280" s="7">
        <v>0.52766203703703707</v>
      </c>
      <c r="D1280" s="8">
        <v>0.53917824074074072</v>
      </c>
    </row>
    <row r="1281" spans="1:4" x14ac:dyDescent="0.35">
      <c r="A1281" s="9">
        <v>5111892302</v>
      </c>
      <c r="B1281" s="10">
        <v>42935</v>
      </c>
      <c r="C1281" s="11">
        <v>0.53209490740740739</v>
      </c>
      <c r="D1281" s="12">
        <v>0.53931712962962963</v>
      </c>
    </row>
    <row r="1282" spans="1:4" x14ac:dyDescent="0.35">
      <c r="A1282" s="5">
        <v>7571642</v>
      </c>
      <c r="B1282" s="6">
        <v>42935</v>
      </c>
      <c r="C1282" s="7">
        <v>0.53540509259259261</v>
      </c>
      <c r="D1282" s="8">
        <v>0.53540509259259261</v>
      </c>
    </row>
    <row r="1283" spans="1:4" x14ac:dyDescent="0.35">
      <c r="A1283" s="9">
        <v>9570286</v>
      </c>
      <c r="B1283" s="10">
        <v>42935</v>
      </c>
      <c r="C1283" s="11">
        <v>0.53594907407407411</v>
      </c>
      <c r="D1283" s="12">
        <v>0.54584490740740743</v>
      </c>
    </row>
    <row r="1284" spans="1:4" x14ac:dyDescent="0.35">
      <c r="A1284" s="5">
        <v>7632647</v>
      </c>
      <c r="B1284" s="6">
        <v>42935</v>
      </c>
      <c r="C1284" s="7">
        <v>0.54052083333333334</v>
      </c>
      <c r="D1284" s="8">
        <v>0.54195601851851849</v>
      </c>
    </row>
    <row r="1285" spans="1:4" x14ac:dyDescent="0.35">
      <c r="A1285" s="9">
        <v>3437033</v>
      </c>
      <c r="B1285" s="10">
        <v>42935</v>
      </c>
      <c r="C1285" s="11">
        <v>0.54439814814814813</v>
      </c>
      <c r="D1285" s="12">
        <v>0.54800925925925925</v>
      </c>
    </row>
    <row r="1286" spans="1:4" x14ac:dyDescent="0.35">
      <c r="A1286" s="5">
        <v>81575080</v>
      </c>
      <c r="B1286" s="6">
        <v>42935</v>
      </c>
      <c r="C1286" s="7">
        <v>0.54996527777777782</v>
      </c>
      <c r="D1286" s="8">
        <v>0.55228009259259259</v>
      </c>
    </row>
    <row r="1287" spans="1:4" x14ac:dyDescent="0.35">
      <c r="A1287" s="9">
        <v>7677384</v>
      </c>
      <c r="B1287" s="10">
        <v>42935</v>
      </c>
      <c r="C1287" s="11">
        <v>0.55121527777777779</v>
      </c>
      <c r="D1287" s="12">
        <v>0.55539351851851848</v>
      </c>
    </row>
    <row r="1288" spans="1:4" x14ac:dyDescent="0.35">
      <c r="A1288" s="5">
        <v>6194112</v>
      </c>
      <c r="B1288" s="6">
        <v>42935</v>
      </c>
      <c r="C1288" s="7">
        <v>0.55174768518518513</v>
      </c>
      <c r="D1288" s="8">
        <v>0.5575</v>
      </c>
    </row>
    <row r="1289" spans="1:4" x14ac:dyDescent="0.35">
      <c r="A1289" s="9">
        <v>67913744</v>
      </c>
      <c r="B1289" s="10">
        <v>42935</v>
      </c>
      <c r="C1289" s="11">
        <v>0.55387731481481484</v>
      </c>
      <c r="D1289" s="12">
        <v>0.5645486111111111</v>
      </c>
    </row>
    <row r="1290" spans="1:4" x14ac:dyDescent="0.35">
      <c r="A1290" s="5">
        <v>9418587</v>
      </c>
      <c r="B1290" s="6">
        <v>42935</v>
      </c>
      <c r="C1290" s="7">
        <v>0.5591666666666667</v>
      </c>
      <c r="D1290" s="8">
        <v>0.56074074074074076</v>
      </c>
    </row>
    <row r="1291" spans="1:4" x14ac:dyDescent="0.35">
      <c r="A1291" s="9">
        <v>3273221616</v>
      </c>
      <c r="B1291" s="10">
        <v>42935</v>
      </c>
      <c r="C1291" s="11">
        <v>0.56276620370370367</v>
      </c>
      <c r="D1291" s="12">
        <v>0.56792824074074078</v>
      </c>
    </row>
    <row r="1292" spans="1:4" x14ac:dyDescent="0.35">
      <c r="A1292" s="5">
        <v>7364500</v>
      </c>
      <c r="B1292" s="6">
        <v>42935</v>
      </c>
      <c r="C1292" s="7">
        <v>0.5682638888888889</v>
      </c>
      <c r="D1292" s="8">
        <v>0.57974537037037033</v>
      </c>
    </row>
    <row r="1293" spans="1:4" x14ac:dyDescent="0.35">
      <c r="A1293" s="9">
        <v>69273048</v>
      </c>
      <c r="B1293" s="10">
        <v>42935</v>
      </c>
      <c r="C1293" s="11">
        <v>0.56847222222222227</v>
      </c>
      <c r="D1293" s="12">
        <v>0.57787037037037037</v>
      </c>
    </row>
    <row r="1294" spans="1:4" x14ac:dyDescent="0.35">
      <c r="A1294" s="5">
        <v>1345591</v>
      </c>
      <c r="B1294" s="6">
        <v>42935</v>
      </c>
      <c r="C1294" s="7">
        <v>0.5703125</v>
      </c>
      <c r="D1294" s="8">
        <v>0.57703703703703701</v>
      </c>
    </row>
    <row r="1295" spans="1:4" x14ac:dyDescent="0.35">
      <c r="A1295" s="9">
        <v>13674393</v>
      </c>
      <c r="B1295" s="10">
        <v>42935</v>
      </c>
      <c r="C1295" s="11">
        <v>0.57313657407407403</v>
      </c>
      <c r="D1295" s="12">
        <v>0.57559027777777783</v>
      </c>
    </row>
    <row r="1296" spans="1:4" x14ac:dyDescent="0.35">
      <c r="A1296" s="5">
        <v>5273579381</v>
      </c>
      <c r="B1296" s="6">
        <v>42935</v>
      </c>
      <c r="C1296" s="7">
        <v>0.57525462962962959</v>
      </c>
      <c r="D1296" s="8">
        <v>0.58087962962962958</v>
      </c>
    </row>
    <row r="1297" spans="1:4" x14ac:dyDescent="0.35">
      <c r="A1297" s="9">
        <v>5790304</v>
      </c>
      <c r="B1297" s="10">
        <v>42935</v>
      </c>
      <c r="C1297" s="11">
        <v>0.57974537037037033</v>
      </c>
      <c r="D1297" s="12">
        <v>0.58975694444444449</v>
      </c>
    </row>
    <row r="1298" spans="1:4" x14ac:dyDescent="0.35">
      <c r="A1298" s="5">
        <v>6551880</v>
      </c>
      <c r="B1298" s="6">
        <v>42935</v>
      </c>
      <c r="C1298" s="7">
        <v>0.58071759259259259</v>
      </c>
      <c r="D1298" s="8">
        <v>0.59002314814814816</v>
      </c>
    </row>
    <row r="1299" spans="1:4" x14ac:dyDescent="0.35">
      <c r="A1299" s="9">
        <v>2873323</v>
      </c>
      <c r="B1299" s="10">
        <v>42935</v>
      </c>
      <c r="C1299" s="11">
        <v>0.58622685185185186</v>
      </c>
      <c r="D1299" s="12">
        <v>0.5921643518518519</v>
      </c>
    </row>
    <row r="1300" spans="1:4" x14ac:dyDescent="0.35">
      <c r="A1300" s="5">
        <v>2733008</v>
      </c>
      <c r="B1300" s="6">
        <v>42935</v>
      </c>
      <c r="C1300" s="7">
        <v>0.5879861111111111</v>
      </c>
      <c r="D1300" s="8">
        <v>0.59103009259259254</v>
      </c>
    </row>
    <row r="1301" spans="1:4" x14ac:dyDescent="0.35">
      <c r="A1301" s="9">
        <v>7292887</v>
      </c>
      <c r="B1301" s="10">
        <v>42935</v>
      </c>
      <c r="C1301" s="11">
        <v>0.58810185185185182</v>
      </c>
      <c r="D1301" s="12">
        <v>0.59202546296296299</v>
      </c>
    </row>
    <row r="1302" spans="1:4" x14ac:dyDescent="0.35">
      <c r="A1302" s="5">
        <v>6855900</v>
      </c>
      <c r="B1302" s="6">
        <v>42935</v>
      </c>
      <c r="C1302" s="7">
        <v>0.59090277777777778</v>
      </c>
      <c r="D1302" s="8">
        <v>0.5923842592592593</v>
      </c>
    </row>
    <row r="1303" spans="1:4" x14ac:dyDescent="0.35">
      <c r="A1303" s="9">
        <v>2402827</v>
      </c>
      <c r="B1303" s="10">
        <v>42935</v>
      </c>
      <c r="C1303" s="11">
        <v>0.59659722222222222</v>
      </c>
      <c r="D1303" s="12">
        <v>0.60329861111111116</v>
      </c>
    </row>
    <row r="1304" spans="1:4" x14ac:dyDescent="0.35">
      <c r="A1304" s="5">
        <v>6510330</v>
      </c>
      <c r="B1304" s="6">
        <v>42935</v>
      </c>
      <c r="C1304" s="7">
        <v>0.5971643518518519</v>
      </c>
      <c r="D1304" s="8">
        <v>0.60538194444444449</v>
      </c>
    </row>
    <row r="1305" spans="1:4" x14ac:dyDescent="0.35">
      <c r="A1305" s="9">
        <v>9773176</v>
      </c>
      <c r="B1305" s="10">
        <v>42935</v>
      </c>
      <c r="C1305" s="11">
        <v>0.59719907407407402</v>
      </c>
      <c r="D1305" s="12">
        <v>0.60488425925925926</v>
      </c>
    </row>
    <row r="1306" spans="1:4" x14ac:dyDescent="0.35">
      <c r="A1306" s="5">
        <v>4065787</v>
      </c>
      <c r="B1306" s="6">
        <v>42935</v>
      </c>
      <c r="C1306" s="7">
        <v>0.6021643518518518</v>
      </c>
      <c r="D1306" s="8">
        <v>0.61331018518518521</v>
      </c>
    </row>
    <row r="1307" spans="1:4" x14ac:dyDescent="0.35">
      <c r="A1307" s="9">
        <v>4303543625</v>
      </c>
      <c r="B1307" s="10">
        <v>42935</v>
      </c>
      <c r="C1307" s="11">
        <v>0.60291666666666666</v>
      </c>
      <c r="D1307" s="12">
        <v>0.61086805555555557</v>
      </c>
    </row>
    <row r="1308" spans="1:4" x14ac:dyDescent="0.35">
      <c r="A1308" s="5">
        <v>3858766</v>
      </c>
      <c r="B1308" s="6">
        <v>42935</v>
      </c>
      <c r="C1308" s="7">
        <v>0.60624999999999996</v>
      </c>
      <c r="D1308" s="8">
        <v>0.6083912037037037</v>
      </c>
    </row>
    <row r="1309" spans="1:4" x14ac:dyDescent="0.35">
      <c r="A1309" s="9">
        <v>41852472</v>
      </c>
      <c r="B1309" s="10">
        <v>42935</v>
      </c>
      <c r="C1309" s="11">
        <v>0.60868055555555556</v>
      </c>
      <c r="D1309" s="12">
        <v>0.61019675925925931</v>
      </c>
    </row>
    <row r="1310" spans="1:4" x14ac:dyDescent="0.35">
      <c r="A1310" s="5">
        <v>25574074</v>
      </c>
      <c r="B1310" s="6">
        <v>42935</v>
      </c>
      <c r="C1310" s="7">
        <v>0.61081018518518515</v>
      </c>
      <c r="D1310" s="8">
        <v>0.62118055555555551</v>
      </c>
    </row>
    <row r="1311" spans="1:4" x14ac:dyDescent="0.35">
      <c r="A1311" s="9">
        <v>8690793</v>
      </c>
      <c r="B1311" s="10">
        <v>42935</v>
      </c>
      <c r="C1311" s="11">
        <v>0.61207175925925927</v>
      </c>
      <c r="D1311" s="12">
        <v>0.61613425925925924</v>
      </c>
    </row>
    <row r="1312" spans="1:4" x14ac:dyDescent="0.35">
      <c r="A1312" s="5">
        <v>8487003</v>
      </c>
      <c r="B1312" s="6">
        <v>42935</v>
      </c>
      <c r="C1312" s="7">
        <v>0.61648148148148152</v>
      </c>
      <c r="D1312" s="8">
        <v>0.62589120370370366</v>
      </c>
    </row>
    <row r="1313" spans="1:4" x14ac:dyDescent="0.35">
      <c r="A1313" s="9">
        <v>50583407</v>
      </c>
      <c r="B1313" s="10">
        <v>42935</v>
      </c>
      <c r="C1313" s="11">
        <v>0.62137731481481484</v>
      </c>
      <c r="D1313" s="12">
        <v>0.63218750000000001</v>
      </c>
    </row>
    <row r="1314" spans="1:4" x14ac:dyDescent="0.35">
      <c r="A1314" s="5">
        <v>4983193</v>
      </c>
      <c r="B1314" s="6">
        <v>42935</v>
      </c>
      <c r="C1314" s="7">
        <v>0.62288194444444445</v>
      </c>
      <c r="D1314" s="8">
        <v>0.63325231481481481</v>
      </c>
    </row>
    <row r="1315" spans="1:4" x14ac:dyDescent="0.35">
      <c r="A1315" s="9">
        <v>1316116</v>
      </c>
      <c r="B1315" s="10">
        <v>42935</v>
      </c>
      <c r="C1315" s="11">
        <v>0.62394675925925924</v>
      </c>
      <c r="D1315" s="12">
        <v>0.62461805555555561</v>
      </c>
    </row>
    <row r="1316" spans="1:4" x14ac:dyDescent="0.35">
      <c r="A1316" s="5">
        <v>5696056</v>
      </c>
      <c r="B1316" s="6">
        <v>42935</v>
      </c>
      <c r="C1316" s="7">
        <v>0.62967592592592592</v>
      </c>
      <c r="D1316" s="8">
        <v>0.63277777777777777</v>
      </c>
    </row>
    <row r="1317" spans="1:4" x14ac:dyDescent="0.35">
      <c r="A1317" s="9">
        <v>3574623</v>
      </c>
      <c r="B1317" s="10">
        <v>42936</v>
      </c>
      <c r="C1317" s="11">
        <v>0.33447916666666666</v>
      </c>
      <c r="D1317" s="12">
        <v>0.33721064814814816</v>
      </c>
    </row>
    <row r="1318" spans="1:4" x14ac:dyDescent="0.35">
      <c r="A1318" s="5">
        <v>71218936</v>
      </c>
      <c r="B1318" s="6">
        <v>42936</v>
      </c>
      <c r="C1318" s="7">
        <v>0.34012731481481484</v>
      </c>
      <c r="D1318" s="8">
        <v>0.34192129629629631</v>
      </c>
    </row>
    <row r="1319" spans="1:4" x14ac:dyDescent="0.35">
      <c r="A1319" s="9">
        <v>55621633</v>
      </c>
      <c r="B1319" s="10">
        <v>42936</v>
      </c>
      <c r="C1319" s="11">
        <v>0.34114583333333331</v>
      </c>
      <c r="D1319" s="12">
        <v>0.3525578703703704</v>
      </c>
    </row>
    <row r="1320" spans="1:4" x14ac:dyDescent="0.35">
      <c r="A1320" s="5">
        <v>1898174</v>
      </c>
      <c r="B1320" s="6">
        <v>42936</v>
      </c>
      <c r="C1320" s="7">
        <v>0.34371527777777777</v>
      </c>
      <c r="D1320" s="8">
        <v>0.34609953703703705</v>
      </c>
    </row>
    <row r="1321" spans="1:4" x14ac:dyDescent="0.35">
      <c r="A1321" s="9">
        <v>4844054</v>
      </c>
      <c r="B1321" s="10">
        <v>42936</v>
      </c>
      <c r="C1321" s="11">
        <v>0.34857638888888887</v>
      </c>
      <c r="D1321" s="12">
        <v>0.34998842592592594</v>
      </c>
    </row>
    <row r="1322" spans="1:4" x14ac:dyDescent="0.35">
      <c r="A1322" s="5">
        <v>7701901</v>
      </c>
      <c r="B1322" s="6">
        <v>42936</v>
      </c>
      <c r="C1322" s="7">
        <v>0.3533101851851852</v>
      </c>
      <c r="D1322" s="8">
        <v>0.3555787037037037</v>
      </c>
    </row>
    <row r="1323" spans="1:4" x14ac:dyDescent="0.35">
      <c r="A1323" s="9">
        <v>5900664</v>
      </c>
      <c r="B1323" s="10">
        <v>42936</v>
      </c>
      <c r="C1323" s="11">
        <v>0.3558912037037037</v>
      </c>
      <c r="D1323" s="12">
        <v>0.36550925925925926</v>
      </c>
    </row>
    <row r="1324" spans="1:4" x14ac:dyDescent="0.35">
      <c r="A1324" s="5">
        <v>4698731</v>
      </c>
      <c r="B1324" s="6">
        <v>42936</v>
      </c>
      <c r="C1324" s="7">
        <v>0.35894675925925928</v>
      </c>
      <c r="D1324" s="8">
        <v>0.3689351851851852</v>
      </c>
    </row>
    <row r="1325" spans="1:4" x14ac:dyDescent="0.35">
      <c r="A1325" s="9">
        <v>4606501</v>
      </c>
      <c r="B1325" s="10">
        <v>42936</v>
      </c>
      <c r="C1325" s="11">
        <v>0.36222222222222222</v>
      </c>
      <c r="D1325" s="12">
        <v>0.36548611111111112</v>
      </c>
    </row>
    <row r="1326" spans="1:4" x14ac:dyDescent="0.35">
      <c r="A1326" s="5">
        <v>3851940</v>
      </c>
      <c r="B1326" s="6">
        <v>42936</v>
      </c>
      <c r="C1326" s="7">
        <v>0.36473379629629632</v>
      </c>
      <c r="D1326" s="8">
        <v>0.36630787037037038</v>
      </c>
    </row>
    <row r="1327" spans="1:4" x14ac:dyDescent="0.35">
      <c r="A1327" s="9">
        <v>7972076</v>
      </c>
      <c r="B1327" s="10">
        <v>42936</v>
      </c>
      <c r="C1327" s="11">
        <v>0.37011574074074072</v>
      </c>
      <c r="D1327" s="12">
        <v>0.37928240740740743</v>
      </c>
    </row>
    <row r="1328" spans="1:4" x14ac:dyDescent="0.35">
      <c r="A1328" s="5">
        <v>1911796</v>
      </c>
      <c r="B1328" s="6">
        <v>42936</v>
      </c>
      <c r="C1328" s="7">
        <v>0.37506944444444446</v>
      </c>
      <c r="D1328" s="8">
        <v>0.38142361111111112</v>
      </c>
    </row>
    <row r="1329" spans="1:4" x14ac:dyDescent="0.35">
      <c r="A1329" s="9">
        <v>7362963</v>
      </c>
      <c r="B1329" s="10">
        <v>42936</v>
      </c>
      <c r="C1329" s="11">
        <v>0.37658564814814816</v>
      </c>
      <c r="D1329" s="12">
        <v>0.37936342592592592</v>
      </c>
    </row>
    <row r="1330" spans="1:4" x14ac:dyDescent="0.35">
      <c r="A1330" s="5">
        <v>24290062</v>
      </c>
      <c r="B1330" s="6">
        <v>42936</v>
      </c>
      <c r="C1330" s="7">
        <v>0.38047453703703704</v>
      </c>
      <c r="D1330" s="8">
        <v>0.39142361111111112</v>
      </c>
    </row>
    <row r="1331" spans="1:4" x14ac:dyDescent="0.35">
      <c r="A1331" s="9">
        <v>3086185</v>
      </c>
      <c r="B1331" s="10">
        <v>42936</v>
      </c>
      <c r="C1331" s="11">
        <v>0.38394675925925925</v>
      </c>
      <c r="D1331" s="12">
        <v>0.39547453703703705</v>
      </c>
    </row>
    <row r="1332" spans="1:4" x14ac:dyDescent="0.35">
      <c r="A1332" s="5">
        <v>7622819</v>
      </c>
      <c r="B1332" s="6">
        <v>42936</v>
      </c>
      <c r="C1332" s="7">
        <v>0.38599537037037035</v>
      </c>
      <c r="D1332" s="8">
        <v>0.39438657407407407</v>
      </c>
    </row>
    <row r="1333" spans="1:4" x14ac:dyDescent="0.35">
      <c r="A1333" s="9">
        <v>5610335</v>
      </c>
      <c r="B1333" s="10">
        <v>42936</v>
      </c>
      <c r="C1333" s="11">
        <v>0.39055555555555554</v>
      </c>
      <c r="D1333" s="12">
        <v>0.39101851851851854</v>
      </c>
    </row>
    <row r="1334" spans="1:4" x14ac:dyDescent="0.35">
      <c r="A1334" s="5">
        <v>97953696</v>
      </c>
      <c r="B1334" s="6">
        <v>42936</v>
      </c>
      <c r="C1334" s="7">
        <v>0.39373842592592595</v>
      </c>
      <c r="D1334" s="8">
        <v>0.40292824074074074</v>
      </c>
    </row>
    <row r="1335" spans="1:4" x14ac:dyDescent="0.35">
      <c r="A1335" s="9">
        <v>7432767</v>
      </c>
      <c r="B1335" s="10">
        <v>42936</v>
      </c>
      <c r="C1335" s="11">
        <v>0.39446759259259262</v>
      </c>
      <c r="D1335" s="12">
        <v>0.39841435185185187</v>
      </c>
    </row>
    <row r="1336" spans="1:4" x14ac:dyDescent="0.35">
      <c r="A1336" s="5">
        <v>2089993</v>
      </c>
      <c r="B1336" s="6">
        <v>42936</v>
      </c>
      <c r="C1336" s="7">
        <v>0.39810185185185187</v>
      </c>
      <c r="D1336" s="8">
        <v>0.39876157407407409</v>
      </c>
    </row>
    <row r="1337" spans="1:4" x14ac:dyDescent="0.35">
      <c r="A1337" s="9">
        <v>2635121</v>
      </c>
      <c r="B1337" s="10">
        <v>42936</v>
      </c>
      <c r="C1337" s="11">
        <v>0.39906249999999999</v>
      </c>
      <c r="D1337" s="12">
        <v>0.40487268518518521</v>
      </c>
    </row>
    <row r="1338" spans="1:4" x14ac:dyDescent="0.35">
      <c r="A1338" s="5">
        <v>6725216</v>
      </c>
      <c r="B1338" s="6">
        <v>42936</v>
      </c>
      <c r="C1338" s="7">
        <v>0.40190972222222221</v>
      </c>
      <c r="D1338" s="8">
        <v>0.40715277777777775</v>
      </c>
    </row>
    <row r="1339" spans="1:4" x14ac:dyDescent="0.35">
      <c r="A1339" s="9">
        <v>6530661</v>
      </c>
      <c r="B1339" s="10">
        <v>42936</v>
      </c>
      <c r="C1339" s="11">
        <v>0.40709490740740739</v>
      </c>
      <c r="D1339" s="12">
        <v>0.40795138888888888</v>
      </c>
    </row>
    <row r="1340" spans="1:4" x14ac:dyDescent="0.35">
      <c r="A1340" s="5">
        <v>8691743</v>
      </c>
      <c r="B1340" s="6">
        <v>42936</v>
      </c>
      <c r="C1340" s="7">
        <v>0.41228009259259257</v>
      </c>
      <c r="D1340" s="8">
        <v>0.42214120370370373</v>
      </c>
    </row>
    <row r="1341" spans="1:4" x14ac:dyDescent="0.35">
      <c r="A1341" s="9">
        <v>2771511</v>
      </c>
      <c r="B1341" s="10">
        <v>42936</v>
      </c>
      <c r="C1341" s="11">
        <v>0.41271990740740738</v>
      </c>
      <c r="D1341" s="12">
        <v>0.41487268518518516</v>
      </c>
    </row>
    <row r="1342" spans="1:4" x14ac:dyDescent="0.35">
      <c r="A1342" s="5">
        <v>7471152</v>
      </c>
      <c r="B1342" s="6">
        <v>42936</v>
      </c>
      <c r="C1342" s="7">
        <v>0.41456018518518517</v>
      </c>
      <c r="D1342" s="8">
        <v>0.41495370370370371</v>
      </c>
    </row>
    <row r="1343" spans="1:4" x14ac:dyDescent="0.35">
      <c r="A1343" s="9">
        <v>89691426</v>
      </c>
      <c r="B1343" s="10">
        <v>42936</v>
      </c>
      <c r="C1343" s="11">
        <v>0.41677083333333331</v>
      </c>
      <c r="D1343" s="12">
        <v>0.42192129629629632</v>
      </c>
    </row>
    <row r="1344" spans="1:4" x14ac:dyDescent="0.35">
      <c r="A1344" s="5">
        <v>5305478</v>
      </c>
      <c r="B1344" s="6">
        <v>42936</v>
      </c>
      <c r="C1344" s="7">
        <v>0.41980324074074077</v>
      </c>
      <c r="D1344" s="8">
        <v>0.42957175925925928</v>
      </c>
    </row>
    <row r="1345" spans="1:4" x14ac:dyDescent="0.35">
      <c r="A1345" s="9">
        <v>4305632</v>
      </c>
      <c r="B1345" s="10">
        <v>42936</v>
      </c>
      <c r="C1345" s="11">
        <v>0.42534722222222221</v>
      </c>
      <c r="D1345" s="12">
        <v>0.43634259259259262</v>
      </c>
    </row>
    <row r="1346" spans="1:4" x14ac:dyDescent="0.35">
      <c r="A1346" s="5">
        <v>9526179</v>
      </c>
      <c r="B1346" s="6">
        <v>42936</v>
      </c>
      <c r="C1346" s="7">
        <v>0.42761574074074077</v>
      </c>
      <c r="D1346" s="8">
        <v>0.4314236111111111</v>
      </c>
    </row>
    <row r="1347" spans="1:4" x14ac:dyDescent="0.35">
      <c r="A1347" s="9">
        <v>1268336</v>
      </c>
      <c r="B1347" s="10">
        <v>42936</v>
      </c>
      <c r="C1347" s="11">
        <v>0.43172453703703706</v>
      </c>
      <c r="D1347" s="12">
        <v>0.44153935185185184</v>
      </c>
    </row>
    <row r="1348" spans="1:4" x14ac:dyDescent="0.35">
      <c r="A1348" s="5">
        <v>7288626</v>
      </c>
      <c r="B1348" s="6">
        <v>42936</v>
      </c>
      <c r="C1348" s="7">
        <v>0.43606481481481479</v>
      </c>
      <c r="D1348" s="8">
        <v>0.44609953703703703</v>
      </c>
    </row>
    <row r="1349" spans="1:4" x14ac:dyDescent="0.35">
      <c r="A1349" s="9">
        <v>53117702</v>
      </c>
      <c r="B1349" s="10">
        <v>42936</v>
      </c>
      <c r="C1349" s="11">
        <v>0.44170138888888888</v>
      </c>
      <c r="D1349" s="12">
        <v>0.44903935185185184</v>
      </c>
    </row>
    <row r="1350" spans="1:4" x14ac:dyDescent="0.35">
      <c r="A1350" s="5">
        <v>10201038</v>
      </c>
      <c r="B1350" s="6">
        <v>42936</v>
      </c>
      <c r="C1350" s="7">
        <v>0.44615740740740739</v>
      </c>
      <c r="D1350" s="8">
        <v>0.45019675925925928</v>
      </c>
    </row>
    <row r="1351" spans="1:4" x14ac:dyDescent="0.35">
      <c r="A1351" s="9">
        <v>4738129</v>
      </c>
      <c r="B1351" s="10">
        <v>42936</v>
      </c>
      <c r="C1351" s="11">
        <v>0.4503935185185185</v>
      </c>
      <c r="D1351" s="12">
        <v>0.46037037037037037</v>
      </c>
    </row>
    <row r="1352" spans="1:4" x14ac:dyDescent="0.35">
      <c r="A1352" s="5">
        <v>3153023</v>
      </c>
      <c r="B1352" s="6">
        <v>42936</v>
      </c>
      <c r="C1352" s="7">
        <v>0.45503472222222224</v>
      </c>
      <c r="D1352" s="8">
        <v>0.45876157407407409</v>
      </c>
    </row>
    <row r="1353" spans="1:4" x14ac:dyDescent="0.35">
      <c r="A1353" s="9">
        <v>1747389</v>
      </c>
      <c r="B1353" s="10">
        <v>42936</v>
      </c>
      <c r="C1353" s="11">
        <v>0.45795138888888887</v>
      </c>
      <c r="D1353" s="12">
        <v>0.46004629629629629</v>
      </c>
    </row>
    <row r="1354" spans="1:4" x14ac:dyDescent="0.35">
      <c r="A1354" s="5">
        <v>5526425146</v>
      </c>
      <c r="B1354" s="6">
        <v>42936</v>
      </c>
      <c r="C1354" s="7">
        <v>0.46164351851851854</v>
      </c>
      <c r="D1354" s="8">
        <v>0.46197916666666666</v>
      </c>
    </row>
    <row r="1355" spans="1:4" x14ac:dyDescent="0.35">
      <c r="A1355" s="9">
        <v>93050839</v>
      </c>
      <c r="B1355" s="10">
        <v>42936</v>
      </c>
      <c r="C1355" s="11">
        <v>0.46225694444444443</v>
      </c>
      <c r="D1355" s="12">
        <v>0.46591435185185187</v>
      </c>
    </row>
    <row r="1356" spans="1:4" x14ac:dyDescent="0.35">
      <c r="A1356" s="5">
        <v>1288318920</v>
      </c>
      <c r="B1356" s="6">
        <v>42936</v>
      </c>
      <c r="C1356" s="7">
        <v>0.46606481481481482</v>
      </c>
      <c r="D1356" s="8">
        <v>0.47375</v>
      </c>
    </row>
    <row r="1357" spans="1:4" x14ac:dyDescent="0.35">
      <c r="A1357" s="9">
        <v>5613566</v>
      </c>
      <c r="B1357" s="10">
        <v>42936</v>
      </c>
      <c r="C1357" s="11">
        <v>0.47105324074074073</v>
      </c>
      <c r="D1357" s="12">
        <v>0.47146990740740741</v>
      </c>
    </row>
    <row r="1358" spans="1:4" x14ac:dyDescent="0.35">
      <c r="A1358" s="5">
        <v>2406196</v>
      </c>
      <c r="B1358" s="6">
        <v>42936</v>
      </c>
      <c r="C1358" s="7">
        <v>0.47244212962962961</v>
      </c>
      <c r="D1358" s="8">
        <v>0.48127314814814814</v>
      </c>
    </row>
    <row r="1359" spans="1:4" x14ac:dyDescent="0.35">
      <c r="A1359" s="9">
        <v>9046365</v>
      </c>
      <c r="B1359" s="10">
        <v>42936</v>
      </c>
      <c r="C1359" s="11">
        <v>0.47531250000000003</v>
      </c>
      <c r="D1359" s="12">
        <v>0.47684027777777777</v>
      </c>
    </row>
    <row r="1360" spans="1:4" x14ac:dyDescent="0.35">
      <c r="A1360" s="5">
        <v>5019634</v>
      </c>
      <c r="B1360" s="6">
        <v>42936</v>
      </c>
      <c r="C1360" s="7">
        <v>0.48032407407407407</v>
      </c>
      <c r="D1360" s="8">
        <v>0.4916550925925926</v>
      </c>
    </row>
    <row r="1361" spans="1:4" x14ac:dyDescent="0.35">
      <c r="A1361" s="9">
        <v>90993861</v>
      </c>
      <c r="B1361" s="10">
        <v>42936</v>
      </c>
      <c r="C1361" s="11">
        <v>0.48280092592592594</v>
      </c>
      <c r="D1361" s="12">
        <v>0.48798611111111112</v>
      </c>
    </row>
    <row r="1362" spans="1:4" x14ac:dyDescent="0.35">
      <c r="A1362" s="5">
        <v>4034491</v>
      </c>
      <c r="B1362" s="6">
        <v>42936</v>
      </c>
      <c r="C1362" s="7">
        <v>0.48813657407407407</v>
      </c>
      <c r="D1362" s="8">
        <v>0.49116898148148147</v>
      </c>
    </row>
    <row r="1363" spans="1:4" x14ac:dyDescent="0.35">
      <c r="A1363" s="9">
        <v>57395204</v>
      </c>
      <c r="B1363" s="10">
        <v>42936</v>
      </c>
      <c r="C1363" s="11">
        <v>0.49015046296296294</v>
      </c>
      <c r="D1363" s="12">
        <v>0.49456018518518519</v>
      </c>
    </row>
    <row r="1364" spans="1:4" x14ac:dyDescent="0.35">
      <c r="A1364" s="5">
        <v>9156106</v>
      </c>
      <c r="B1364" s="6">
        <v>42936</v>
      </c>
      <c r="C1364" s="7">
        <v>0.49103009259259262</v>
      </c>
      <c r="D1364" s="8">
        <v>0.4937037037037037</v>
      </c>
    </row>
    <row r="1365" spans="1:4" x14ac:dyDescent="0.35">
      <c r="A1365" s="9">
        <v>7076463</v>
      </c>
      <c r="B1365" s="10">
        <v>42936</v>
      </c>
      <c r="C1365" s="11">
        <v>0.49519675925925927</v>
      </c>
      <c r="D1365" s="12">
        <v>0.49532407407407408</v>
      </c>
    </row>
    <row r="1366" spans="1:4" x14ac:dyDescent="0.35">
      <c r="A1366" s="5">
        <v>3136675</v>
      </c>
      <c r="B1366" s="6">
        <v>42936</v>
      </c>
      <c r="C1366" s="7">
        <v>0.49833333333333335</v>
      </c>
      <c r="D1366" s="8">
        <v>0.50942129629629629</v>
      </c>
    </row>
    <row r="1367" spans="1:4" x14ac:dyDescent="0.35">
      <c r="A1367" s="9">
        <v>7826456</v>
      </c>
      <c r="B1367" s="10">
        <v>42936</v>
      </c>
      <c r="C1367" s="11">
        <v>0.50298611111111113</v>
      </c>
      <c r="D1367" s="12">
        <v>0.50312500000000004</v>
      </c>
    </row>
    <row r="1368" spans="1:4" x14ac:dyDescent="0.35">
      <c r="A1368" s="5">
        <v>4094662</v>
      </c>
      <c r="B1368" s="6">
        <v>42936</v>
      </c>
      <c r="C1368" s="7">
        <v>0.50581018518518517</v>
      </c>
      <c r="D1368" s="8">
        <v>0.51442129629629629</v>
      </c>
    </row>
    <row r="1369" spans="1:4" x14ac:dyDescent="0.35">
      <c r="A1369" s="9">
        <v>3134379</v>
      </c>
      <c r="B1369" s="10">
        <v>42936</v>
      </c>
      <c r="C1369" s="11">
        <v>0.508275462962963</v>
      </c>
      <c r="D1369" s="12">
        <v>0.51652777777777781</v>
      </c>
    </row>
    <row r="1370" spans="1:4" x14ac:dyDescent="0.35">
      <c r="A1370" s="5">
        <v>1119016</v>
      </c>
      <c r="B1370" s="6">
        <v>42936</v>
      </c>
      <c r="C1370" s="7">
        <v>0.50880787037037034</v>
      </c>
      <c r="D1370" s="8">
        <v>0.51409722222222221</v>
      </c>
    </row>
    <row r="1371" spans="1:4" x14ac:dyDescent="0.35">
      <c r="A1371" s="9">
        <v>3539762</v>
      </c>
      <c r="B1371" s="10">
        <v>42936</v>
      </c>
      <c r="C1371" s="11">
        <v>0.51028935185185187</v>
      </c>
      <c r="D1371" s="12">
        <v>0.52089120370370368</v>
      </c>
    </row>
    <row r="1372" spans="1:4" x14ac:dyDescent="0.35">
      <c r="A1372" s="5">
        <v>28601187</v>
      </c>
      <c r="B1372" s="6">
        <v>42936</v>
      </c>
      <c r="C1372" s="7">
        <v>0.51511574074074074</v>
      </c>
      <c r="D1372" s="8">
        <v>0.51787037037037043</v>
      </c>
    </row>
    <row r="1373" spans="1:4" x14ac:dyDescent="0.35">
      <c r="A1373" s="9">
        <v>2841969</v>
      </c>
      <c r="B1373" s="10">
        <v>42936</v>
      </c>
      <c r="C1373" s="11">
        <v>0.51512731481481477</v>
      </c>
      <c r="D1373" s="12">
        <v>0.51556712962962958</v>
      </c>
    </row>
    <row r="1374" spans="1:4" x14ac:dyDescent="0.35">
      <c r="A1374" s="5">
        <v>57957786</v>
      </c>
      <c r="B1374" s="6">
        <v>42936</v>
      </c>
      <c r="C1374" s="7">
        <v>0.51928240740740739</v>
      </c>
      <c r="D1374" s="8">
        <v>0.53030092592592593</v>
      </c>
    </row>
    <row r="1375" spans="1:4" x14ac:dyDescent="0.35">
      <c r="A1375" s="9">
        <v>6068132</v>
      </c>
      <c r="B1375" s="10">
        <v>42936</v>
      </c>
      <c r="C1375" s="11">
        <v>0.52225694444444448</v>
      </c>
      <c r="D1375" s="12">
        <v>0.5236574074074074</v>
      </c>
    </row>
    <row r="1376" spans="1:4" x14ac:dyDescent="0.35">
      <c r="A1376" s="5">
        <v>8195842</v>
      </c>
      <c r="B1376" s="6">
        <v>42936</v>
      </c>
      <c r="C1376" s="7">
        <v>0.52240740740740743</v>
      </c>
      <c r="D1376" s="8">
        <v>0.53074074074074074</v>
      </c>
    </row>
    <row r="1377" spans="1:4" x14ac:dyDescent="0.35">
      <c r="A1377" s="9">
        <v>98737794</v>
      </c>
      <c r="B1377" s="10">
        <v>42936</v>
      </c>
      <c r="C1377" s="11">
        <v>0.52379629629629632</v>
      </c>
      <c r="D1377" s="12">
        <v>0.52883101851851855</v>
      </c>
    </row>
    <row r="1378" spans="1:4" x14ac:dyDescent="0.35">
      <c r="A1378" s="5">
        <v>6523054</v>
      </c>
      <c r="B1378" s="6">
        <v>42936</v>
      </c>
      <c r="C1378" s="7">
        <v>0.52813657407407411</v>
      </c>
      <c r="D1378" s="8">
        <v>0.53877314814814814</v>
      </c>
    </row>
    <row r="1379" spans="1:4" x14ac:dyDescent="0.35">
      <c r="A1379" s="9">
        <v>26895957</v>
      </c>
      <c r="B1379" s="10">
        <v>42936</v>
      </c>
      <c r="C1379" s="11">
        <v>0.53083333333333338</v>
      </c>
      <c r="D1379" s="12">
        <v>0.53511574074074075</v>
      </c>
    </row>
    <row r="1380" spans="1:4" x14ac:dyDescent="0.35">
      <c r="A1380" s="5">
        <v>5254694</v>
      </c>
      <c r="B1380" s="6">
        <v>42936</v>
      </c>
      <c r="C1380" s="7">
        <v>0.5330555555555555</v>
      </c>
      <c r="D1380" s="8">
        <v>0.54049768518518515</v>
      </c>
    </row>
    <row r="1381" spans="1:4" x14ac:dyDescent="0.35">
      <c r="A1381" s="9">
        <v>3979680</v>
      </c>
      <c r="B1381" s="10">
        <v>42936</v>
      </c>
      <c r="C1381" s="11">
        <v>0.53820601851851857</v>
      </c>
      <c r="D1381" s="12">
        <v>0.54369212962962965</v>
      </c>
    </row>
    <row r="1382" spans="1:4" x14ac:dyDescent="0.35">
      <c r="A1382" s="5">
        <v>96424596</v>
      </c>
      <c r="B1382" s="6">
        <v>42936</v>
      </c>
      <c r="C1382" s="7">
        <v>0.53964120370370372</v>
      </c>
      <c r="D1382" s="8">
        <v>0.54423611111111114</v>
      </c>
    </row>
    <row r="1383" spans="1:4" x14ac:dyDescent="0.35">
      <c r="A1383" s="9">
        <v>4923459</v>
      </c>
      <c r="B1383" s="10">
        <v>42936</v>
      </c>
      <c r="C1383" s="11">
        <v>0.54450231481481481</v>
      </c>
      <c r="D1383" s="12">
        <v>0.55406250000000001</v>
      </c>
    </row>
    <row r="1384" spans="1:4" x14ac:dyDescent="0.35">
      <c r="A1384" s="5">
        <v>6719542</v>
      </c>
      <c r="B1384" s="6">
        <v>42936</v>
      </c>
      <c r="C1384" s="7">
        <v>0.54556712962962961</v>
      </c>
      <c r="D1384" s="8">
        <v>0.54894675925925929</v>
      </c>
    </row>
    <row r="1385" spans="1:4" x14ac:dyDescent="0.35">
      <c r="A1385" s="9">
        <v>81218024</v>
      </c>
      <c r="B1385" s="10">
        <v>42936</v>
      </c>
      <c r="C1385" s="11">
        <v>0.54946759259259259</v>
      </c>
      <c r="D1385" s="12">
        <v>0.55583333333333329</v>
      </c>
    </row>
    <row r="1386" spans="1:4" x14ac:dyDescent="0.35">
      <c r="A1386" s="5">
        <v>6552755</v>
      </c>
      <c r="B1386" s="6">
        <v>42936</v>
      </c>
      <c r="C1386" s="7">
        <v>0.55306712962962967</v>
      </c>
      <c r="D1386" s="8">
        <v>0.56304398148148149</v>
      </c>
    </row>
    <row r="1387" spans="1:4" x14ac:dyDescent="0.35">
      <c r="A1387" s="9">
        <v>44017210</v>
      </c>
      <c r="B1387" s="10">
        <v>42936</v>
      </c>
      <c r="C1387" s="11">
        <v>0.55476851851851849</v>
      </c>
      <c r="D1387" s="12">
        <v>0.56596064814814817</v>
      </c>
    </row>
    <row r="1388" spans="1:4" x14ac:dyDescent="0.35">
      <c r="A1388" s="5">
        <v>8679036</v>
      </c>
      <c r="B1388" s="6">
        <v>42936</v>
      </c>
      <c r="C1388" s="7">
        <v>0.55827546296296293</v>
      </c>
      <c r="D1388" s="8">
        <v>0.55864583333333329</v>
      </c>
    </row>
    <row r="1389" spans="1:4" x14ac:dyDescent="0.35">
      <c r="A1389" s="9">
        <v>64733982</v>
      </c>
      <c r="B1389" s="10">
        <v>42936</v>
      </c>
      <c r="C1389" s="11">
        <v>0.56180555555555556</v>
      </c>
      <c r="D1389" s="12">
        <v>0.56400462962962961</v>
      </c>
    </row>
    <row r="1390" spans="1:4" x14ac:dyDescent="0.35">
      <c r="A1390" s="5">
        <v>2289072</v>
      </c>
      <c r="B1390" s="6">
        <v>42936</v>
      </c>
      <c r="C1390" s="7">
        <v>0.56320601851851848</v>
      </c>
      <c r="D1390" s="8">
        <v>0.57020833333333332</v>
      </c>
    </row>
    <row r="1391" spans="1:4" x14ac:dyDescent="0.35">
      <c r="A1391" s="9">
        <v>71730854</v>
      </c>
      <c r="B1391" s="10">
        <v>42936</v>
      </c>
      <c r="C1391" s="11">
        <v>0.56537037037037041</v>
      </c>
      <c r="D1391" s="12">
        <v>0.57611111111111113</v>
      </c>
    </row>
    <row r="1392" spans="1:4" x14ac:dyDescent="0.35">
      <c r="A1392" s="5">
        <v>3757504</v>
      </c>
      <c r="B1392" s="6">
        <v>42936</v>
      </c>
      <c r="C1392" s="7">
        <v>0.57105324074074071</v>
      </c>
      <c r="D1392" s="8">
        <v>0.57465277777777779</v>
      </c>
    </row>
    <row r="1393" spans="1:4" x14ac:dyDescent="0.35">
      <c r="A1393" s="9">
        <v>8501225</v>
      </c>
      <c r="B1393" s="10">
        <v>42936</v>
      </c>
      <c r="C1393" s="11">
        <v>0.57517361111111109</v>
      </c>
      <c r="D1393" s="12">
        <v>0.57784722222222218</v>
      </c>
    </row>
    <row r="1394" spans="1:4" x14ac:dyDescent="0.35">
      <c r="A1394" s="5">
        <v>3704193</v>
      </c>
      <c r="B1394" s="6">
        <v>42936</v>
      </c>
      <c r="C1394" s="7">
        <v>0.57671296296296293</v>
      </c>
      <c r="D1394" s="8">
        <v>0.58539351851851851</v>
      </c>
    </row>
    <row r="1395" spans="1:4" x14ac:dyDescent="0.35">
      <c r="A1395" s="9">
        <v>4577789</v>
      </c>
      <c r="B1395" s="10">
        <v>42936</v>
      </c>
      <c r="C1395" s="11">
        <v>0.57781249999999995</v>
      </c>
      <c r="D1395" s="12">
        <v>0.57953703703703707</v>
      </c>
    </row>
    <row r="1396" spans="1:4" x14ac:dyDescent="0.35">
      <c r="A1396" s="5">
        <v>5730350</v>
      </c>
      <c r="B1396" s="6">
        <v>42936</v>
      </c>
      <c r="C1396" s="7">
        <v>0.58206018518518521</v>
      </c>
      <c r="D1396" s="8">
        <v>0.59037037037037032</v>
      </c>
    </row>
    <row r="1397" spans="1:4" x14ac:dyDescent="0.35">
      <c r="A1397" s="9">
        <v>8953850</v>
      </c>
      <c r="B1397" s="10">
        <v>42936</v>
      </c>
      <c r="C1397" s="11">
        <v>0.58328703703703699</v>
      </c>
      <c r="D1397" s="12">
        <v>0.5920023148148148</v>
      </c>
    </row>
    <row r="1398" spans="1:4" x14ac:dyDescent="0.35">
      <c r="A1398" s="5">
        <v>3109133</v>
      </c>
      <c r="B1398" s="6">
        <v>42936</v>
      </c>
      <c r="C1398" s="7">
        <v>0.58564814814814814</v>
      </c>
      <c r="D1398" s="8">
        <v>0.58964120370370365</v>
      </c>
    </row>
    <row r="1399" spans="1:4" x14ac:dyDescent="0.35">
      <c r="A1399" s="9">
        <v>3382699</v>
      </c>
      <c r="B1399" s="10">
        <v>42936</v>
      </c>
      <c r="C1399" s="11">
        <v>0.59053240740740742</v>
      </c>
      <c r="D1399" s="12">
        <v>0.59318287037037032</v>
      </c>
    </row>
    <row r="1400" spans="1:4" x14ac:dyDescent="0.35">
      <c r="A1400" s="5">
        <v>9132555</v>
      </c>
      <c r="B1400" s="6">
        <v>42936</v>
      </c>
      <c r="C1400" s="7">
        <v>0.59621527777777783</v>
      </c>
      <c r="D1400" s="8">
        <v>0.59906250000000005</v>
      </c>
    </row>
    <row r="1401" spans="1:4" x14ac:dyDescent="0.35">
      <c r="A1401" s="9">
        <v>5016981</v>
      </c>
      <c r="B1401" s="10">
        <v>42936</v>
      </c>
      <c r="C1401" s="11">
        <v>0.59693287037037035</v>
      </c>
      <c r="D1401" s="12">
        <v>0.59743055555555558</v>
      </c>
    </row>
    <row r="1402" spans="1:4" x14ac:dyDescent="0.35">
      <c r="A1402" s="5">
        <v>1294973</v>
      </c>
      <c r="B1402" s="6">
        <v>42936</v>
      </c>
      <c r="C1402" s="7">
        <v>0.59783564814814816</v>
      </c>
      <c r="D1402" s="8">
        <v>0.60715277777777776</v>
      </c>
    </row>
    <row r="1403" spans="1:4" x14ac:dyDescent="0.35">
      <c r="A1403" s="9">
        <v>7769531</v>
      </c>
      <c r="B1403" s="10">
        <v>42936</v>
      </c>
      <c r="C1403" s="11">
        <v>0.60048611111111116</v>
      </c>
      <c r="D1403" s="12">
        <v>0.60371527777777778</v>
      </c>
    </row>
    <row r="1404" spans="1:4" x14ac:dyDescent="0.35">
      <c r="A1404" s="5">
        <v>1068000</v>
      </c>
      <c r="B1404" s="6">
        <v>42936</v>
      </c>
      <c r="C1404" s="7">
        <v>0.60251157407407407</v>
      </c>
      <c r="D1404" s="8">
        <v>0.60608796296296297</v>
      </c>
    </row>
    <row r="1405" spans="1:4" x14ac:dyDescent="0.35">
      <c r="A1405" s="9">
        <v>1467591</v>
      </c>
      <c r="B1405" s="10">
        <v>42936</v>
      </c>
      <c r="C1405" s="11">
        <v>0.60277777777777775</v>
      </c>
      <c r="D1405" s="12">
        <v>0.61222222222222222</v>
      </c>
    </row>
    <row r="1406" spans="1:4" x14ac:dyDescent="0.35">
      <c r="A1406" s="5">
        <v>5980925</v>
      </c>
      <c r="B1406" s="6">
        <v>42936</v>
      </c>
      <c r="C1406" s="7">
        <v>0.60282407407407412</v>
      </c>
      <c r="D1406" s="8">
        <v>0.61041666666666672</v>
      </c>
    </row>
    <row r="1407" spans="1:4" x14ac:dyDescent="0.35">
      <c r="A1407" s="9">
        <v>9905075</v>
      </c>
      <c r="B1407" s="10">
        <v>42936</v>
      </c>
      <c r="C1407" s="11">
        <v>0.60693287037037036</v>
      </c>
      <c r="D1407" s="12">
        <v>0.61001157407407403</v>
      </c>
    </row>
    <row r="1408" spans="1:4" x14ac:dyDescent="0.35">
      <c r="A1408" s="5">
        <v>1043289</v>
      </c>
      <c r="B1408" s="6">
        <v>42936</v>
      </c>
      <c r="C1408" s="7">
        <v>0.60990740740740745</v>
      </c>
      <c r="D1408" s="8">
        <v>0.61383101851851851</v>
      </c>
    </row>
    <row r="1409" spans="1:4" x14ac:dyDescent="0.35">
      <c r="A1409" s="9">
        <v>8252939</v>
      </c>
      <c r="B1409" s="10">
        <v>42936</v>
      </c>
      <c r="C1409" s="11">
        <v>0.61320601851851853</v>
      </c>
      <c r="D1409" s="12">
        <v>0.62115740740740744</v>
      </c>
    </row>
    <row r="1410" spans="1:4" x14ac:dyDescent="0.35">
      <c r="A1410" s="5">
        <v>67748426</v>
      </c>
      <c r="B1410" s="6">
        <v>42936</v>
      </c>
      <c r="C1410" s="7">
        <v>0.61535879629629631</v>
      </c>
      <c r="D1410" s="8">
        <v>0.62503472222222223</v>
      </c>
    </row>
    <row r="1411" spans="1:4" x14ac:dyDescent="0.35">
      <c r="A1411" s="9">
        <v>4376637</v>
      </c>
      <c r="B1411" s="10">
        <v>42936</v>
      </c>
      <c r="C1411" s="11">
        <v>0.61559027777777775</v>
      </c>
      <c r="D1411" s="12">
        <v>0.62532407407407409</v>
      </c>
    </row>
    <row r="1412" spans="1:4" x14ac:dyDescent="0.35">
      <c r="A1412" s="5">
        <v>6426011</v>
      </c>
      <c r="B1412" s="6">
        <v>42936</v>
      </c>
      <c r="C1412" s="7">
        <v>0.62078703703703708</v>
      </c>
      <c r="D1412" s="8">
        <v>0.62863425925925931</v>
      </c>
    </row>
    <row r="1413" spans="1:4" x14ac:dyDescent="0.35">
      <c r="A1413" s="9">
        <v>9137235</v>
      </c>
      <c r="B1413" s="10">
        <v>42936</v>
      </c>
      <c r="C1413" s="11">
        <v>0.62524305555555559</v>
      </c>
      <c r="D1413" s="12">
        <v>0.62846064814814817</v>
      </c>
    </row>
    <row r="1414" spans="1:4" x14ac:dyDescent="0.35">
      <c r="A1414" s="5">
        <v>6735390</v>
      </c>
      <c r="B1414" s="6">
        <v>42937</v>
      </c>
      <c r="C1414" s="7">
        <v>0.33421296296296299</v>
      </c>
      <c r="D1414" s="8">
        <v>0.33674768518518516</v>
      </c>
    </row>
    <row r="1415" spans="1:4" x14ac:dyDescent="0.35">
      <c r="A1415" s="9">
        <v>7151490</v>
      </c>
      <c r="B1415" s="10">
        <v>42937</v>
      </c>
      <c r="C1415" s="11">
        <v>0.33513888888888888</v>
      </c>
      <c r="D1415" s="12">
        <v>0.33787037037037038</v>
      </c>
    </row>
    <row r="1416" spans="1:4" x14ac:dyDescent="0.35">
      <c r="A1416" s="5">
        <v>5138547</v>
      </c>
      <c r="B1416" s="6">
        <v>42937</v>
      </c>
      <c r="C1416" s="7">
        <v>0.33642361111111113</v>
      </c>
      <c r="D1416" s="8">
        <v>0.33778935185185183</v>
      </c>
    </row>
    <row r="1417" spans="1:4" x14ac:dyDescent="0.35">
      <c r="A1417" s="9">
        <v>79212542</v>
      </c>
      <c r="B1417" s="10">
        <v>42937</v>
      </c>
      <c r="C1417" s="11">
        <v>0.34157407407407409</v>
      </c>
      <c r="D1417" s="12">
        <v>0.34684027777777776</v>
      </c>
    </row>
    <row r="1418" spans="1:4" x14ac:dyDescent="0.35">
      <c r="A1418" s="5">
        <v>1507196</v>
      </c>
      <c r="B1418" s="6">
        <v>42937</v>
      </c>
      <c r="C1418" s="7">
        <v>0.34197916666666667</v>
      </c>
      <c r="D1418" s="8">
        <v>0.3460300925925926</v>
      </c>
    </row>
    <row r="1419" spans="1:4" x14ac:dyDescent="0.35">
      <c r="A1419" s="9">
        <v>8362094</v>
      </c>
      <c r="B1419" s="10">
        <v>42937</v>
      </c>
      <c r="C1419" s="11">
        <v>0.34567129629629628</v>
      </c>
      <c r="D1419" s="12">
        <v>0.34745370370370371</v>
      </c>
    </row>
    <row r="1420" spans="1:4" x14ac:dyDescent="0.35">
      <c r="A1420" s="5">
        <v>5379981</v>
      </c>
      <c r="B1420" s="6">
        <v>42937</v>
      </c>
      <c r="C1420" s="7">
        <v>0.34690972222222222</v>
      </c>
      <c r="D1420" s="8">
        <v>0.35206018518518517</v>
      </c>
    </row>
    <row r="1421" spans="1:4" x14ac:dyDescent="0.35">
      <c r="A1421" s="9">
        <v>4960672</v>
      </c>
      <c r="B1421" s="10">
        <v>42937</v>
      </c>
      <c r="C1421" s="11">
        <v>0.34745370370370371</v>
      </c>
      <c r="D1421" s="12">
        <v>0.3526273148148148</v>
      </c>
    </row>
    <row r="1422" spans="1:4" x14ac:dyDescent="0.35">
      <c r="A1422" s="5">
        <v>9052582</v>
      </c>
      <c r="B1422" s="6">
        <v>42937</v>
      </c>
      <c r="C1422" s="7">
        <v>0.34961805555555553</v>
      </c>
      <c r="D1422" s="8">
        <v>0.3535300925925926</v>
      </c>
    </row>
    <row r="1423" spans="1:4" x14ac:dyDescent="0.35">
      <c r="A1423" s="9">
        <v>2054346</v>
      </c>
      <c r="B1423" s="10">
        <v>42937</v>
      </c>
      <c r="C1423" s="11">
        <v>0.35003472222222221</v>
      </c>
      <c r="D1423" s="12">
        <v>0.35540509259259262</v>
      </c>
    </row>
    <row r="1424" spans="1:4" x14ac:dyDescent="0.35">
      <c r="A1424" s="5">
        <v>6070136</v>
      </c>
      <c r="B1424" s="6">
        <v>42937</v>
      </c>
      <c r="C1424" s="7">
        <v>0.3515625</v>
      </c>
      <c r="D1424" s="8">
        <v>0.35299768518518521</v>
      </c>
    </row>
    <row r="1425" spans="1:4" x14ac:dyDescent="0.35">
      <c r="A1425" s="9">
        <v>3086185</v>
      </c>
      <c r="B1425" s="10">
        <v>42937</v>
      </c>
      <c r="C1425" s="11">
        <v>0.35401620370370368</v>
      </c>
      <c r="D1425" s="12">
        <v>0.35944444444444446</v>
      </c>
    </row>
    <row r="1426" spans="1:4" x14ac:dyDescent="0.35">
      <c r="A1426" s="5">
        <v>6949463</v>
      </c>
      <c r="B1426" s="6">
        <v>42937</v>
      </c>
      <c r="C1426" s="7">
        <v>0.35912037037037037</v>
      </c>
      <c r="D1426" s="8">
        <v>0.36318287037037039</v>
      </c>
    </row>
    <row r="1427" spans="1:4" x14ac:dyDescent="0.35">
      <c r="A1427" s="9">
        <v>1626862</v>
      </c>
      <c r="B1427" s="10">
        <v>42937</v>
      </c>
      <c r="C1427" s="11">
        <v>0.36155092592592591</v>
      </c>
      <c r="D1427" s="12">
        <v>0.36355324074074075</v>
      </c>
    </row>
    <row r="1428" spans="1:4" x14ac:dyDescent="0.35">
      <c r="A1428" s="5">
        <v>99905503</v>
      </c>
      <c r="B1428" s="6">
        <v>42937</v>
      </c>
      <c r="C1428" s="7">
        <v>0.36631944444444442</v>
      </c>
      <c r="D1428" s="8">
        <v>0.37376157407407407</v>
      </c>
    </row>
    <row r="1429" spans="1:4" x14ac:dyDescent="0.35">
      <c r="A1429" s="9">
        <v>2753778</v>
      </c>
      <c r="B1429" s="10">
        <v>42937</v>
      </c>
      <c r="C1429" s="11">
        <v>0.37133101851851852</v>
      </c>
      <c r="D1429" s="12">
        <v>0.38075231481481481</v>
      </c>
    </row>
    <row r="1430" spans="1:4" x14ac:dyDescent="0.35">
      <c r="A1430" s="5">
        <v>3508755</v>
      </c>
      <c r="B1430" s="6">
        <v>42937</v>
      </c>
      <c r="C1430" s="7">
        <v>0.37569444444444444</v>
      </c>
      <c r="D1430" s="8">
        <v>0.38611111111111113</v>
      </c>
    </row>
    <row r="1431" spans="1:4" x14ac:dyDescent="0.35">
      <c r="A1431" s="9">
        <v>14783929</v>
      </c>
      <c r="B1431" s="10">
        <v>42937</v>
      </c>
      <c r="C1431" s="11">
        <v>0.37891203703703702</v>
      </c>
      <c r="D1431" s="12">
        <v>0.38443287037037038</v>
      </c>
    </row>
    <row r="1432" spans="1:4" x14ac:dyDescent="0.35">
      <c r="A1432" s="5">
        <v>1409543</v>
      </c>
      <c r="B1432" s="6">
        <v>42937</v>
      </c>
      <c r="C1432" s="7">
        <v>0.38086805555555553</v>
      </c>
      <c r="D1432" s="8">
        <v>0.38918981481481479</v>
      </c>
    </row>
    <row r="1433" spans="1:4" x14ac:dyDescent="0.35">
      <c r="A1433" s="9">
        <v>6891636</v>
      </c>
      <c r="B1433" s="10">
        <v>42937</v>
      </c>
      <c r="C1433" s="11">
        <v>0.38633101851851853</v>
      </c>
      <c r="D1433" s="12">
        <v>0.38923611111111112</v>
      </c>
    </row>
    <row r="1434" spans="1:4" x14ac:dyDescent="0.35">
      <c r="A1434" s="5">
        <v>8541151</v>
      </c>
      <c r="B1434" s="6">
        <v>42937</v>
      </c>
      <c r="C1434" s="7">
        <v>0.38848379629629631</v>
      </c>
      <c r="D1434" s="8">
        <v>0.39874999999999999</v>
      </c>
    </row>
    <row r="1435" spans="1:4" x14ac:dyDescent="0.35">
      <c r="A1435" s="9">
        <v>8322802</v>
      </c>
      <c r="B1435" s="10">
        <v>42937</v>
      </c>
      <c r="C1435" s="11">
        <v>0.39089120370370373</v>
      </c>
      <c r="D1435" s="12">
        <v>0.39620370370370372</v>
      </c>
    </row>
    <row r="1436" spans="1:4" x14ac:dyDescent="0.35">
      <c r="A1436" s="5">
        <v>30678431</v>
      </c>
      <c r="B1436" s="6">
        <v>42937</v>
      </c>
      <c r="C1436" s="7">
        <v>0.39469907407407406</v>
      </c>
      <c r="D1436" s="8">
        <v>0.40141203703703704</v>
      </c>
    </row>
    <row r="1437" spans="1:4" x14ac:dyDescent="0.35">
      <c r="A1437" s="9">
        <v>41837828</v>
      </c>
      <c r="B1437" s="10">
        <v>42937</v>
      </c>
      <c r="C1437" s="11">
        <v>0.39953703703703702</v>
      </c>
      <c r="D1437" s="12">
        <v>0.40038194444444447</v>
      </c>
    </row>
    <row r="1438" spans="1:4" x14ac:dyDescent="0.35">
      <c r="A1438" s="5">
        <v>13639748</v>
      </c>
      <c r="B1438" s="6">
        <v>42937</v>
      </c>
      <c r="C1438" s="7">
        <v>0.40379629629629632</v>
      </c>
      <c r="D1438" s="8">
        <v>0.40822916666666664</v>
      </c>
    </row>
    <row r="1439" spans="1:4" x14ac:dyDescent="0.35">
      <c r="A1439" s="9">
        <v>8972366</v>
      </c>
      <c r="B1439" s="10">
        <v>42937</v>
      </c>
      <c r="C1439" s="11">
        <v>0.40462962962962962</v>
      </c>
      <c r="D1439" s="12">
        <v>0.40875</v>
      </c>
    </row>
    <row r="1440" spans="1:4" x14ac:dyDescent="0.35">
      <c r="A1440" s="5">
        <v>5233531</v>
      </c>
      <c r="B1440" s="6">
        <v>42937</v>
      </c>
      <c r="C1440" s="7">
        <v>0.40465277777777775</v>
      </c>
      <c r="D1440" s="8">
        <v>0.40887731481481482</v>
      </c>
    </row>
    <row r="1441" spans="1:4" x14ac:dyDescent="0.35">
      <c r="A1441" s="9">
        <v>3691176</v>
      </c>
      <c r="B1441" s="10">
        <v>42937</v>
      </c>
      <c r="C1441" s="11">
        <v>0.40505787037037039</v>
      </c>
      <c r="D1441" s="12">
        <v>0.40561342592592592</v>
      </c>
    </row>
    <row r="1442" spans="1:4" x14ac:dyDescent="0.35">
      <c r="A1442" s="5">
        <v>66377806</v>
      </c>
      <c r="B1442" s="6">
        <v>42937</v>
      </c>
      <c r="C1442" s="7">
        <v>0.40694444444444444</v>
      </c>
      <c r="D1442" s="8">
        <v>0.40991898148148148</v>
      </c>
    </row>
    <row r="1443" spans="1:4" x14ac:dyDescent="0.35">
      <c r="A1443" s="9">
        <v>6357818</v>
      </c>
      <c r="B1443" s="10">
        <v>42937</v>
      </c>
      <c r="C1443" s="11">
        <v>0.41228009259259257</v>
      </c>
      <c r="D1443" s="12">
        <v>0.41648148148148151</v>
      </c>
    </row>
    <row r="1444" spans="1:4" x14ac:dyDescent="0.35">
      <c r="A1444" s="5">
        <v>7123731</v>
      </c>
      <c r="B1444" s="6">
        <v>42937</v>
      </c>
      <c r="C1444" s="7">
        <v>0.41494212962962962</v>
      </c>
      <c r="D1444" s="8">
        <v>0.41641203703703705</v>
      </c>
    </row>
    <row r="1445" spans="1:4" x14ac:dyDescent="0.35">
      <c r="A1445" s="9">
        <v>91907883</v>
      </c>
      <c r="B1445" s="10">
        <v>42937</v>
      </c>
      <c r="C1445" s="11">
        <v>0.42054398148148148</v>
      </c>
      <c r="D1445" s="12">
        <v>0.42721064814814813</v>
      </c>
    </row>
    <row r="1446" spans="1:4" x14ac:dyDescent="0.35">
      <c r="A1446" s="5">
        <v>69734527</v>
      </c>
      <c r="B1446" s="6">
        <v>42937</v>
      </c>
      <c r="C1446" s="7">
        <v>0.42084490740740743</v>
      </c>
      <c r="D1446" s="8">
        <v>0.43167824074074074</v>
      </c>
    </row>
    <row r="1447" spans="1:4" x14ac:dyDescent="0.35">
      <c r="A1447" s="9">
        <v>7536096</v>
      </c>
      <c r="B1447" s="10">
        <v>42937</v>
      </c>
      <c r="C1447" s="11">
        <v>0.42357638888888888</v>
      </c>
      <c r="D1447" s="12">
        <v>0.4322685185185185</v>
      </c>
    </row>
    <row r="1448" spans="1:4" x14ac:dyDescent="0.35">
      <c r="A1448" s="5">
        <v>60158843</v>
      </c>
      <c r="B1448" s="6">
        <v>42937</v>
      </c>
      <c r="C1448" s="7">
        <v>0.42814814814814817</v>
      </c>
      <c r="D1448" s="8">
        <v>0.43784722222222222</v>
      </c>
    </row>
    <row r="1449" spans="1:4" x14ac:dyDescent="0.35">
      <c r="A1449" s="9">
        <v>6942059</v>
      </c>
      <c r="B1449" s="10">
        <v>42937</v>
      </c>
      <c r="C1449" s="11">
        <v>0.43002314814814813</v>
      </c>
      <c r="D1449" s="12">
        <v>0.43030092592592595</v>
      </c>
    </row>
    <row r="1450" spans="1:4" x14ac:dyDescent="0.35">
      <c r="A1450" s="5">
        <v>28282891</v>
      </c>
      <c r="B1450" s="6">
        <v>42937</v>
      </c>
      <c r="C1450" s="7">
        <v>0.4307523148148148</v>
      </c>
      <c r="D1450" s="8">
        <v>0.4412847222222222</v>
      </c>
    </row>
    <row r="1451" spans="1:4" x14ac:dyDescent="0.35">
      <c r="A1451" s="9">
        <v>1617146</v>
      </c>
      <c r="B1451" s="10">
        <v>42937</v>
      </c>
      <c r="C1451" s="11">
        <v>0.43400462962962966</v>
      </c>
      <c r="D1451" s="12">
        <v>0.44041666666666668</v>
      </c>
    </row>
    <row r="1452" spans="1:4" x14ac:dyDescent="0.35">
      <c r="A1452" s="5">
        <v>2186880</v>
      </c>
      <c r="B1452" s="6">
        <v>42937</v>
      </c>
      <c r="C1452" s="7">
        <v>0.43582175925925926</v>
      </c>
      <c r="D1452" s="8">
        <v>0.44550925925925927</v>
      </c>
    </row>
    <row r="1453" spans="1:4" x14ac:dyDescent="0.35">
      <c r="A1453" s="9">
        <v>92461001</v>
      </c>
      <c r="B1453" s="10">
        <v>42937</v>
      </c>
      <c r="C1453" s="11">
        <v>0.43730324074074073</v>
      </c>
      <c r="D1453" s="12">
        <v>0.44869212962962962</v>
      </c>
    </row>
    <row r="1454" spans="1:4" x14ac:dyDescent="0.35">
      <c r="A1454" s="5">
        <v>4657345</v>
      </c>
      <c r="B1454" s="6">
        <v>42937</v>
      </c>
      <c r="C1454" s="7">
        <v>0.44291666666666668</v>
      </c>
      <c r="D1454" s="8">
        <v>0.45256944444444447</v>
      </c>
    </row>
    <row r="1455" spans="1:4" x14ac:dyDescent="0.35">
      <c r="A1455" s="9">
        <v>16775888</v>
      </c>
      <c r="B1455" s="10">
        <v>42937</v>
      </c>
      <c r="C1455" s="11">
        <v>0.4478240740740741</v>
      </c>
      <c r="D1455" s="12">
        <v>0.45548611111111109</v>
      </c>
    </row>
    <row r="1456" spans="1:4" x14ac:dyDescent="0.35">
      <c r="A1456" s="5">
        <v>97953696</v>
      </c>
      <c r="B1456" s="6">
        <v>42937</v>
      </c>
      <c r="C1456" s="7">
        <v>0.45187500000000003</v>
      </c>
      <c r="D1456" s="8">
        <v>0.45925925925925926</v>
      </c>
    </row>
    <row r="1457" spans="1:4" x14ac:dyDescent="0.35">
      <c r="A1457" s="9">
        <v>1166111</v>
      </c>
      <c r="B1457" s="10">
        <v>42937</v>
      </c>
      <c r="C1457" s="11">
        <v>0.45458333333333334</v>
      </c>
      <c r="D1457" s="12">
        <v>0.46295138888888887</v>
      </c>
    </row>
    <row r="1458" spans="1:4" x14ac:dyDescent="0.35">
      <c r="A1458" s="5">
        <v>91907883</v>
      </c>
      <c r="B1458" s="6">
        <v>42937</v>
      </c>
      <c r="C1458" s="7">
        <v>0.45689814814814816</v>
      </c>
      <c r="D1458" s="8">
        <v>0.4574537037037037</v>
      </c>
    </row>
    <row r="1459" spans="1:4" x14ac:dyDescent="0.35">
      <c r="A1459" s="9">
        <v>9225043</v>
      </c>
      <c r="B1459" s="10">
        <v>42937</v>
      </c>
      <c r="C1459" s="11">
        <v>0.4612384259259259</v>
      </c>
      <c r="D1459" s="12">
        <v>0.46285879629629628</v>
      </c>
    </row>
    <row r="1460" spans="1:4" x14ac:dyDescent="0.35">
      <c r="A1460" s="5">
        <v>6408952</v>
      </c>
      <c r="B1460" s="6">
        <v>42937</v>
      </c>
      <c r="C1460" s="7">
        <v>0.46553240740740742</v>
      </c>
      <c r="D1460" s="8">
        <v>0.47234953703703703</v>
      </c>
    </row>
    <row r="1461" spans="1:4" x14ac:dyDescent="0.35">
      <c r="A1461" s="9">
        <v>81010250</v>
      </c>
      <c r="B1461" s="10">
        <v>42937</v>
      </c>
      <c r="C1461" s="11">
        <v>0.47075231481481483</v>
      </c>
      <c r="D1461" s="12">
        <v>0.47239583333333335</v>
      </c>
    </row>
    <row r="1462" spans="1:4" x14ac:dyDescent="0.35">
      <c r="A1462" s="5">
        <v>8596442</v>
      </c>
      <c r="B1462" s="6">
        <v>42937</v>
      </c>
      <c r="C1462" s="7">
        <v>0.47105324074074073</v>
      </c>
      <c r="D1462" s="8">
        <v>0.48011574074074076</v>
      </c>
    </row>
    <row r="1463" spans="1:4" x14ac:dyDescent="0.35">
      <c r="A1463" s="9">
        <v>79890857</v>
      </c>
      <c r="B1463" s="10">
        <v>42937</v>
      </c>
      <c r="C1463" s="11">
        <v>0.47285879629629629</v>
      </c>
      <c r="D1463" s="12">
        <v>0.47846064814814815</v>
      </c>
    </row>
    <row r="1464" spans="1:4" x14ac:dyDescent="0.35">
      <c r="A1464" s="5">
        <v>3804078</v>
      </c>
      <c r="B1464" s="6">
        <v>42937</v>
      </c>
      <c r="C1464" s="7">
        <v>0.4729976851851852</v>
      </c>
      <c r="D1464" s="8">
        <v>0.48243055555555553</v>
      </c>
    </row>
    <row r="1465" spans="1:4" x14ac:dyDescent="0.35">
      <c r="A1465" s="9">
        <v>6312012</v>
      </c>
      <c r="B1465" s="10">
        <v>42937</v>
      </c>
      <c r="C1465" s="11">
        <v>0.47697916666666668</v>
      </c>
      <c r="D1465" s="12">
        <v>0.48678240740740741</v>
      </c>
    </row>
    <row r="1466" spans="1:4" x14ac:dyDescent="0.35">
      <c r="A1466" s="5">
        <v>7322741</v>
      </c>
      <c r="B1466" s="6">
        <v>42937</v>
      </c>
      <c r="C1466" s="7">
        <v>0.47833333333333333</v>
      </c>
      <c r="D1466" s="8">
        <v>0.48989583333333331</v>
      </c>
    </row>
    <row r="1467" spans="1:4" x14ac:dyDescent="0.35">
      <c r="A1467" s="9">
        <v>2354992</v>
      </c>
      <c r="B1467" s="10">
        <v>42937</v>
      </c>
      <c r="C1467" s="11">
        <v>0.4828587962962963</v>
      </c>
      <c r="D1467" s="12">
        <v>0.48295138888888889</v>
      </c>
    </row>
    <row r="1468" spans="1:4" x14ac:dyDescent="0.35">
      <c r="A1468" s="5">
        <v>1766133</v>
      </c>
      <c r="B1468" s="6">
        <v>42937</v>
      </c>
      <c r="C1468" s="7">
        <v>0.48439814814814813</v>
      </c>
      <c r="D1468" s="8">
        <v>0.4878587962962963</v>
      </c>
    </row>
    <row r="1469" spans="1:4" x14ac:dyDescent="0.35">
      <c r="A1469" s="9">
        <v>2922327</v>
      </c>
      <c r="B1469" s="10">
        <v>42937</v>
      </c>
      <c r="C1469" s="11">
        <v>0.48690972222222223</v>
      </c>
      <c r="D1469" s="12">
        <v>0.49665509259259261</v>
      </c>
    </row>
    <row r="1470" spans="1:4" x14ac:dyDescent="0.35">
      <c r="A1470" s="5">
        <v>8679036</v>
      </c>
      <c r="B1470" s="6">
        <v>42937</v>
      </c>
      <c r="C1470" s="7">
        <v>0.4924189814814815</v>
      </c>
      <c r="D1470" s="8">
        <v>0.49381944444444442</v>
      </c>
    </row>
    <row r="1471" spans="1:4" x14ac:dyDescent="0.35">
      <c r="A1471" s="9">
        <v>1469705</v>
      </c>
      <c r="B1471" s="10">
        <v>42937</v>
      </c>
      <c r="C1471" s="11">
        <v>0.49327546296296299</v>
      </c>
      <c r="D1471" s="12">
        <v>0.50351851851851848</v>
      </c>
    </row>
    <row r="1472" spans="1:4" x14ac:dyDescent="0.35">
      <c r="A1472" s="5">
        <v>8079505</v>
      </c>
      <c r="B1472" s="6">
        <v>42937</v>
      </c>
      <c r="C1472" s="7">
        <v>0.49811342592592595</v>
      </c>
      <c r="D1472" s="8">
        <v>0.5065277777777778</v>
      </c>
    </row>
    <row r="1473" spans="1:4" x14ac:dyDescent="0.35">
      <c r="A1473" s="9">
        <v>4661635</v>
      </c>
      <c r="B1473" s="10">
        <v>42937</v>
      </c>
      <c r="C1473" s="11">
        <v>0.50016203703703699</v>
      </c>
      <c r="D1473" s="12">
        <v>0.50506944444444446</v>
      </c>
    </row>
    <row r="1474" spans="1:4" x14ac:dyDescent="0.35">
      <c r="A1474" s="5">
        <v>4497624</v>
      </c>
      <c r="B1474" s="6">
        <v>42937</v>
      </c>
      <c r="C1474" s="7">
        <v>0.50284722222222222</v>
      </c>
      <c r="D1474" s="8">
        <v>0.51432870370370365</v>
      </c>
    </row>
    <row r="1475" spans="1:4" x14ac:dyDescent="0.35">
      <c r="A1475" s="9">
        <v>52468382</v>
      </c>
      <c r="B1475" s="10">
        <v>42937</v>
      </c>
      <c r="C1475" s="11">
        <v>0.50840277777777776</v>
      </c>
      <c r="D1475" s="12">
        <v>0.50968749999999996</v>
      </c>
    </row>
    <row r="1476" spans="1:4" x14ac:dyDescent="0.35">
      <c r="A1476" s="5">
        <v>5687077</v>
      </c>
      <c r="B1476" s="6">
        <v>42937</v>
      </c>
      <c r="C1476" s="7">
        <v>0.51200231481481484</v>
      </c>
      <c r="D1476" s="8">
        <v>0.52253472222222219</v>
      </c>
    </row>
    <row r="1477" spans="1:4" x14ac:dyDescent="0.35">
      <c r="A1477" s="9">
        <v>3914070</v>
      </c>
      <c r="B1477" s="10">
        <v>42937</v>
      </c>
      <c r="C1477" s="11">
        <v>0.51249999999999996</v>
      </c>
      <c r="D1477" s="12">
        <v>0.51405092592592594</v>
      </c>
    </row>
    <row r="1478" spans="1:4" x14ac:dyDescent="0.35">
      <c r="A1478" s="5">
        <v>84684423</v>
      </c>
      <c r="B1478" s="6">
        <v>42937</v>
      </c>
      <c r="C1478" s="7">
        <v>0.51520833333333338</v>
      </c>
      <c r="D1478" s="8">
        <v>0.51918981481481485</v>
      </c>
    </row>
    <row r="1479" spans="1:4" x14ac:dyDescent="0.35">
      <c r="A1479" s="9">
        <v>6493406</v>
      </c>
      <c r="B1479" s="10">
        <v>42937</v>
      </c>
      <c r="C1479" s="11">
        <v>0.51936342592592588</v>
      </c>
      <c r="D1479" s="12">
        <v>0.52559027777777778</v>
      </c>
    </row>
    <row r="1480" spans="1:4" x14ac:dyDescent="0.35">
      <c r="A1480" s="5">
        <v>1563816</v>
      </c>
      <c r="B1480" s="6">
        <v>42937</v>
      </c>
      <c r="C1480" s="7">
        <v>0.52243055555555551</v>
      </c>
      <c r="D1480" s="8">
        <v>0.52681712962962968</v>
      </c>
    </row>
    <row r="1481" spans="1:4" x14ac:dyDescent="0.35">
      <c r="A1481" s="9">
        <v>7779935</v>
      </c>
      <c r="B1481" s="10">
        <v>42937</v>
      </c>
      <c r="C1481" s="11">
        <v>0.52469907407407412</v>
      </c>
      <c r="D1481" s="12">
        <v>0.53218750000000004</v>
      </c>
    </row>
    <row r="1482" spans="1:4" x14ac:dyDescent="0.35">
      <c r="A1482" s="5">
        <v>4429479</v>
      </c>
      <c r="B1482" s="6">
        <v>42937</v>
      </c>
      <c r="C1482" s="7">
        <v>0.52749999999999997</v>
      </c>
      <c r="D1482" s="8">
        <v>0.53034722222222219</v>
      </c>
    </row>
    <row r="1483" spans="1:4" x14ac:dyDescent="0.35">
      <c r="A1483" s="9">
        <v>2963652</v>
      </c>
      <c r="B1483" s="10">
        <v>42937</v>
      </c>
      <c r="C1483" s="11">
        <v>0.53240740740740744</v>
      </c>
      <c r="D1483" s="12">
        <v>0.53785879629629629</v>
      </c>
    </row>
    <row r="1484" spans="1:4" x14ac:dyDescent="0.35">
      <c r="A1484" s="5">
        <v>91032395</v>
      </c>
      <c r="B1484" s="6">
        <v>42937</v>
      </c>
      <c r="C1484" s="7">
        <v>0.53811342592592593</v>
      </c>
      <c r="D1484" s="8">
        <v>0.54365740740740742</v>
      </c>
    </row>
    <row r="1485" spans="1:4" x14ac:dyDescent="0.35">
      <c r="A1485" s="9">
        <v>6999348</v>
      </c>
      <c r="B1485" s="10">
        <v>42937</v>
      </c>
      <c r="C1485" s="11">
        <v>0.53831018518518514</v>
      </c>
      <c r="D1485" s="12">
        <v>0.53998842592592589</v>
      </c>
    </row>
    <row r="1486" spans="1:4" x14ac:dyDescent="0.35">
      <c r="A1486" s="5">
        <v>4424322</v>
      </c>
      <c r="B1486" s="6">
        <v>42937</v>
      </c>
      <c r="C1486" s="7">
        <v>0.54233796296296299</v>
      </c>
      <c r="D1486" s="8">
        <v>0.55148148148148146</v>
      </c>
    </row>
    <row r="1487" spans="1:4" x14ac:dyDescent="0.35">
      <c r="A1487" s="9">
        <v>9500083</v>
      </c>
      <c r="B1487" s="10">
        <v>42937</v>
      </c>
      <c r="C1487" s="11">
        <v>0.54631944444444447</v>
      </c>
      <c r="D1487" s="12">
        <v>0.55652777777777773</v>
      </c>
    </row>
    <row r="1488" spans="1:4" x14ac:dyDescent="0.35">
      <c r="A1488" s="5">
        <v>2912297</v>
      </c>
      <c r="B1488" s="6">
        <v>42937</v>
      </c>
      <c r="C1488" s="7">
        <v>0.54761574074074071</v>
      </c>
      <c r="D1488" s="8">
        <v>0.55443287037037037</v>
      </c>
    </row>
    <row r="1489" spans="1:4" x14ac:dyDescent="0.35">
      <c r="A1489" s="9">
        <v>4303945</v>
      </c>
      <c r="B1489" s="10">
        <v>42937</v>
      </c>
      <c r="C1489" s="11">
        <v>0.54953703703703705</v>
      </c>
      <c r="D1489" s="12">
        <v>0.55783564814814812</v>
      </c>
    </row>
    <row r="1490" spans="1:4" x14ac:dyDescent="0.35">
      <c r="A1490" s="5">
        <v>3264546470</v>
      </c>
      <c r="B1490" s="6">
        <v>42937</v>
      </c>
      <c r="C1490" s="7">
        <v>0.55311342592592594</v>
      </c>
      <c r="D1490" s="8">
        <v>0.55469907407407404</v>
      </c>
    </row>
    <row r="1491" spans="1:4" x14ac:dyDescent="0.35">
      <c r="A1491" s="9">
        <v>7275091</v>
      </c>
      <c r="B1491" s="10">
        <v>42937</v>
      </c>
      <c r="C1491" s="11">
        <v>0.55652777777777773</v>
      </c>
      <c r="D1491" s="12">
        <v>0.56657407407407412</v>
      </c>
    </row>
    <row r="1492" spans="1:4" x14ac:dyDescent="0.35">
      <c r="A1492" s="5">
        <v>9021766</v>
      </c>
      <c r="B1492" s="6">
        <v>42937</v>
      </c>
      <c r="C1492" s="7">
        <v>0.5575</v>
      </c>
      <c r="D1492" s="8">
        <v>0.56418981481481478</v>
      </c>
    </row>
    <row r="1493" spans="1:4" x14ac:dyDescent="0.35">
      <c r="A1493" s="9">
        <v>1500342</v>
      </c>
      <c r="B1493" s="10">
        <v>42937</v>
      </c>
      <c r="C1493" s="11">
        <v>0.56297453703703704</v>
      </c>
      <c r="D1493" s="12">
        <v>0.56752314814814819</v>
      </c>
    </row>
    <row r="1494" spans="1:4" x14ac:dyDescent="0.35">
      <c r="A1494" s="5">
        <v>7295667</v>
      </c>
      <c r="B1494" s="6">
        <v>42937</v>
      </c>
      <c r="C1494" s="7">
        <v>0.56578703703703703</v>
      </c>
      <c r="D1494" s="8">
        <v>0.57518518518518513</v>
      </c>
    </row>
    <row r="1495" spans="1:4" x14ac:dyDescent="0.35">
      <c r="A1495" s="9">
        <v>5512237</v>
      </c>
      <c r="B1495" s="10">
        <v>42937</v>
      </c>
      <c r="C1495" s="11">
        <v>0.5713773148148148</v>
      </c>
      <c r="D1495" s="12">
        <v>0.58107638888888891</v>
      </c>
    </row>
    <row r="1496" spans="1:4" x14ac:dyDescent="0.35">
      <c r="A1496" s="5">
        <v>22266436</v>
      </c>
      <c r="B1496" s="6">
        <v>42937</v>
      </c>
      <c r="C1496" s="7">
        <v>0.57549768518518518</v>
      </c>
      <c r="D1496" s="8">
        <v>0.57925925925925925</v>
      </c>
    </row>
    <row r="1497" spans="1:4" x14ac:dyDescent="0.35">
      <c r="A1497" s="9">
        <v>60885211</v>
      </c>
      <c r="B1497" s="10">
        <v>42937</v>
      </c>
      <c r="C1497" s="11">
        <v>0.57828703703703699</v>
      </c>
      <c r="D1497" s="12">
        <v>0.58940972222222221</v>
      </c>
    </row>
    <row r="1498" spans="1:4" x14ac:dyDescent="0.35">
      <c r="A1498" s="5">
        <v>4379415</v>
      </c>
      <c r="B1498" s="6">
        <v>42937</v>
      </c>
      <c r="C1498" s="7">
        <v>0.57983796296296297</v>
      </c>
      <c r="D1498" s="8">
        <v>0.58756944444444448</v>
      </c>
    </row>
    <row r="1499" spans="1:4" x14ac:dyDescent="0.35">
      <c r="A1499" s="9">
        <v>22747425</v>
      </c>
      <c r="B1499" s="10">
        <v>42937</v>
      </c>
      <c r="C1499" s="11">
        <v>0.58520833333333333</v>
      </c>
      <c r="D1499" s="12">
        <v>0.59646990740740746</v>
      </c>
    </row>
    <row r="1500" spans="1:4" x14ac:dyDescent="0.35">
      <c r="A1500" s="5">
        <v>3858766</v>
      </c>
      <c r="B1500" s="6">
        <v>42937</v>
      </c>
      <c r="C1500" s="7">
        <v>0.59026620370370375</v>
      </c>
      <c r="D1500" s="8">
        <v>0.59652777777777777</v>
      </c>
    </row>
    <row r="1501" spans="1:4" x14ac:dyDescent="0.35">
      <c r="A1501" s="9">
        <v>6231537</v>
      </c>
      <c r="B1501" s="10">
        <v>42937</v>
      </c>
      <c r="C1501" s="11">
        <v>0.59401620370370367</v>
      </c>
      <c r="D1501" s="12">
        <v>0.60012731481481485</v>
      </c>
    </row>
    <row r="1502" spans="1:4" x14ac:dyDescent="0.35">
      <c r="A1502" s="5">
        <v>1296262</v>
      </c>
      <c r="B1502" s="6">
        <v>42937</v>
      </c>
      <c r="C1502" s="7">
        <v>0.59712962962962968</v>
      </c>
      <c r="D1502" s="8">
        <v>0.6026273148148148</v>
      </c>
    </row>
    <row r="1503" spans="1:4" x14ac:dyDescent="0.35">
      <c r="A1503" s="9">
        <v>6175467</v>
      </c>
      <c r="B1503" s="10">
        <v>42937</v>
      </c>
      <c r="C1503" s="11">
        <v>0.60185185185185186</v>
      </c>
      <c r="D1503" s="12">
        <v>0.61021990740740739</v>
      </c>
    </row>
    <row r="1504" spans="1:4" x14ac:dyDescent="0.35">
      <c r="A1504" s="5">
        <v>6434255</v>
      </c>
      <c r="B1504" s="6">
        <v>42937</v>
      </c>
      <c r="C1504" s="7">
        <v>0.60196759259259258</v>
      </c>
      <c r="D1504" s="8">
        <v>0.60356481481481483</v>
      </c>
    </row>
    <row r="1505" spans="1:4" x14ac:dyDescent="0.35">
      <c r="A1505" s="9">
        <v>2723614</v>
      </c>
      <c r="B1505" s="10">
        <v>42937</v>
      </c>
      <c r="C1505" s="11">
        <v>0.60465277777777782</v>
      </c>
      <c r="D1505" s="12">
        <v>0.60886574074074074</v>
      </c>
    </row>
    <row r="1506" spans="1:4" x14ac:dyDescent="0.35">
      <c r="A1506" s="5">
        <v>92326393</v>
      </c>
      <c r="B1506" s="6">
        <v>42937</v>
      </c>
      <c r="C1506" s="7">
        <v>0.60782407407407413</v>
      </c>
      <c r="D1506" s="8">
        <v>0.61331018518518521</v>
      </c>
    </row>
    <row r="1507" spans="1:4" x14ac:dyDescent="0.35">
      <c r="A1507" s="9">
        <v>5039266</v>
      </c>
      <c r="B1507" s="10">
        <v>42937</v>
      </c>
      <c r="C1507" s="11">
        <v>0.6121875</v>
      </c>
      <c r="D1507" s="12">
        <v>0.6181712962962963</v>
      </c>
    </row>
    <row r="1508" spans="1:4" x14ac:dyDescent="0.35">
      <c r="A1508" s="5">
        <v>3861280</v>
      </c>
      <c r="B1508" s="6">
        <v>42937</v>
      </c>
      <c r="C1508" s="7">
        <v>0.6147569444444444</v>
      </c>
      <c r="D1508" s="8">
        <v>0.62420138888888888</v>
      </c>
    </row>
    <row r="1509" spans="1:4" x14ac:dyDescent="0.35">
      <c r="A1509" s="9">
        <v>3982833</v>
      </c>
      <c r="B1509" s="10">
        <v>42937</v>
      </c>
      <c r="C1509" s="11">
        <v>0.61690972222222218</v>
      </c>
      <c r="D1509" s="12">
        <v>0.62290509259259264</v>
      </c>
    </row>
    <row r="1510" spans="1:4" x14ac:dyDescent="0.35">
      <c r="A1510" s="5">
        <v>5835972</v>
      </c>
      <c r="B1510" s="6">
        <v>42937</v>
      </c>
      <c r="C1510" s="7">
        <v>0.6206828703703704</v>
      </c>
      <c r="D1510" s="8">
        <v>0.62291666666666667</v>
      </c>
    </row>
    <row r="1511" spans="1:4" x14ac:dyDescent="0.35">
      <c r="A1511" s="9">
        <v>98382147</v>
      </c>
      <c r="B1511" s="10">
        <v>42937</v>
      </c>
      <c r="C1511" s="11">
        <v>0.62484953703703705</v>
      </c>
      <c r="D1511" s="12">
        <v>0.62848379629629625</v>
      </c>
    </row>
    <row r="1512" spans="1:4" x14ac:dyDescent="0.35">
      <c r="A1512" s="5">
        <v>9427353</v>
      </c>
      <c r="B1512" s="6">
        <v>42937</v>
      </c>
      <c r="C1512" s="7">
        <v>0.62612268518518521</v>
      </c>
      <c r="D1512" s="8">
        <v>0.62835648148148149</v>
      </c>
    </row>
    <row r="1513" spans="1:4" x14ac:dyDescent="0.35">
      <c r="A1513" s="9">
        <v>11274735</v>
      </c>
      <c r="B1513" s="10">
        <v>42940</v>
      </c>
      <c r="C1513" s="11">
        <v>0.33624999999999999</v>
      </c>
      <c r="D1513" s="12">
        <v>0.34670138888888891</v>
      </c>
    </row>
    <row r="1514" spans="1:4" x14ac:dyDescent="0.35">
      <c r="A1514" s="5">
        <v>9727873</v>
      </c>
      <c r="B1514" s="6">
        <v>42940</v>
      </c>
      <c r="C1514" s="7">
        <v>0.33728009259259262</v>
      </c>
      <c r="D1514" s="8">
        <v>0.34291666666666665</v>
      </c>
    </row>
    <row r="1515" spans="1:4" x14ac:dyDescent="0.35">
      <c r="A1515" s="9">
        <v>4804872</v>
      </c>
      <c r="B1515" s="10">
        <v>42940</v>
      </c>
      <c r="C1515" s="11">
        <v>0.3402662037037037</v>
      </c>
      <c r="D1515" s="12">
        <v>0.34250000000000003</v>
      </c>
    </row>
    <row r="1516" spans="1:4" x14ac:dyDescent="0.35">
      <c r="A1516" s="5">
        <v>22583033</v>
      </c>
      <c r="B1516" s="6">
        <v>42940</v>
      </c>
      <c r="C1516" s="7">
        <v>0.34495370370370371</v>
      </c>
      <c r="D1516" s="8">
        <v>0.3467824074074074</v>
      </c>
    </row>
    <row r="1517" spans="1:4" x14ac:dyDescent="0.35">
      <c r="A1517" s="9">
        <v>4056070</v>
      </c>
      <c r="B1517" s="10">
        <v>42940</v>
      </c>
      <c r="C1517" s="11">
        <v>0.3480787037037037</v>
      </c>
      <c r="D1517" s="12">
        <v>0.35413194444444446</v>
      </c>
    </row>
    <row r="1518" spans="1:4" x14ac:dyDescent="0.35">
      <c r="A1518" s="5">
        <v>2701816</v>
      </c>
      <c r="B1518" s="6">
        <v>42940</v>
      </c>
      <c r="C1518" s="7">
        <v>0.34879629629629627</v>
      </c>
      <c r="D1518" s="8">
        <v>0.35699074074074072</v>
      </c>
    </row>
    <row r="1519" spans="1:4" x14ac:dyDescent="0.35">
      <c r="A1519" s="9">
        <v>20735440</v>
      </c>
      <c r="B1519" s="10">
        <v>42940</v>
      </c>
      <c r="C1519" s="11">
        <v>0.35041666666666665</v>
      </c>
      <c r="D1519" s="12">
        <v>0.35834490740740743</v>
      </c>
    </row>
    <row r="1520" spans="1:4" x14ac:dyDescent="0.35">
      <c r="A1520" s="5">
        <v>9076015</v>
      </c>
      <c r="B1520" s="6">
        <v>42940</v>
      </c>
      <c r="C1520" s="7">
        <v>0.35129629629629627</v>
      </c>
      <c r="D1520" s="8">
        <v>0.35626157407407405</v>
      </c>
    </row>
    <row r="1521" spans="1:4" x14ac:dyDescent="0.35">
      <c r="A1521" s="9">
        <v>11070759</v>
      </c>
      <c r="B1521" s="10">
        <v>42940</v>
      </c>
      <c r="C1521" s="11">
        <v>0.35653935185185187</v>
      </c>
      <c r="D1521" s="12">
        <v>0.35864583333333333</v>
      </c>
    </row>
    <row r="1522" spans="1:4" x14ac:dyDescent="0.35">
      <c r="A1522" s="5">
        <v>22176115</v>
      </c>
      <c r="B1522" s="6">
        <v>42940</v>
      </c>
      <c r="C1522" s="7">
        <v>0.35991898148148149</v>
      </c>
      <c r="D1522" s="8">
        <v>0.36880787037037038</v>
      </c>
    </row>
    <row r="1523" spans="1:4" x14ac:dyDescent="0.35">
      <c r="A1523" s="9">
        <v>7456918</v>
      </c>
      <c r="B1523" s="10">
        <v>42940</v>
      </c>
      <c r="C1523" s="11">
        <v>0.36061342592592593</v>
      </c>
      <c r="D1523" s="12">
        <v>0.36667824074074074</v>
      </c>
    </row>
    <row r="1524" spans="1:4" x14ac:dyDescent="0.35">
      <c r="A1524" s="5">
        <v>6896787</v>
      </c>
      <c r="B1524" s="6">
        <v>42940</v>
      </c>
      <c r="C1524" s="7">
        <v>0.36243055555555553</v>
      </c>
      <c r="D1524" s="8">
        <v>0.36993055555555554</v>
      </c>
    </row>
    <row r="1525" spans="1:4" x14ac:dyDescent="0.35">
      <c r="A1525" s="9">
        <v>6561564994</v>
      </c>
      <c r="B1525" s="10">
        <v>42940</v>
      </c>
      <c r="C1525" s="11">
        <v>0.36334490740740738</v>
      </c>
      <c r="D1525" s="12">
        <v>0.3696875</v>
      </c>
    </row>
    <row r="1526" spans="1:4" x14ac:dyDescent="0.35">
      <c r="A1526" s="5">
        <v>8414788</v>
      </c>
      <c r="B1526" s="6">
        <v>42940</v>
      </c>
      <c r="C1526" s="7">
        <v>0.36887731481481484</v>
      </c>
      <c r="D1526" s="8">
        <v>0.37443287037037037</v>
      </c>
    </row>
    <row r="1527" spans="1:4" x14ac:dyDescent="0.35">
      <c r="A1527" s="9">
        <v>7896629</v>
      </c>
      <c r="B1527" s="10">
        <v>42940</v>
      </c>
      <c r="C1527" s="11">
        <v>0.37025462962962963</v>
      </c>
      <c r="D1527" s="12">
        <v>0.3785648148148148</v>
      </c>
    </row>
    <row r="1528" spans="1:4" x14ac:dyDescent="0.35">
      <c r="A1528" s="5">
        <v>5970183</v>
      </c>
      <c r="B1528" s="6">
        <v>42940</v>
      </c>
      <c r="C1528" s="7">
        <v>0.37150462962962966</v>
      </c>
      <c r="D1528" s="8">
        <v>0.37246527777777777</v>
      </c>
    </row>
    <row r="1529" spans="1:4" x14ac:dyDescent="0.35">
      <c r="A1529" s="9">
        <v>57891628</v>
      </c>
      <c r="B1529" s="10">
        <v>42940</v>
      </c>
      <c r="C1529" s="11">
        <v>0.37296296296296294</v>
      </c>
      <c r="D1529" s="12">
        <v>0.38413194444444443</v>
      </c>
    </row>
    <row r="1530" spans="1:4" x14ac:dyDescent="0.35">
      <c r="A1530" s="5">
        <v>53378457</v>
      </c>
      <c r="B1530" s="6">
        <v>42940</v>
      </c>
      <c r="C1530" s="7">
        <v>0.3777314814814815</v>
      </c>
      <c r="D1530" s="8">
        <v>0.38680555555555557</v>
      </c>
    </row>
    <row r="1531" spans="1:4" x14ac:dyDescent="0.35">
      <c r="A1531" s="9">
        <v>88666908</v>
      </c>
      <c r="B1531" s="10">
        <v>42940</v>
      </c>
      <c r="C1531" s="11">
        <v>0.37983796296296296</v>
      </c>
      <c r="D1531" s="12">
        <v>0.38929398148148148</v>
      </c>
    </row>
    <row r="1532" spans="1:4" x14ac:dyDescent="0.35">
      <c r="A1532" s="5">
        <v>9279730</v>
      </c>
      <c r="B1532" s="6">
        <v>42940</v>
      </c>
      <c r="C1532" s="7">
        <v>0.38046296296296295</v>
      </c>
      <c r="D1532" s="8">
        <v>0.38836805555555554</v>
      </c>
    </row>
    <row r="1533" spans="1:4" x14ac:dyDescent="0.35">
      <c r="A1533" s="9">
        <v>2928766</v>
      </c>
      <c r="B1533" s="10">
        <v>42940</v>
      </c>
      <c r="C1533" s="11">
        <v>0.38156250000000003</v>
      </c>
      <c r="D1533" s="12">
        <v>0.3893402777777778</v>
      </c>
    </row>
    <row r="1534" spans="1:4" x14ac:dyDescent="0.35">
      <c r="A1534" s="5">
        <v>4334364</v>
      </c>
      <c r="B1534" s="6">
        <v>42940</v>
      </c>
      <c r="C1534" s="7">
        <v>0.3837962962962963</v>
      </c>
      <c r="D1534" s="8">
        <v>0.39385416666666667</v>
      </c>
    </row>
    <row r="1535" spans="1:4" x14ac:dyDescent="0.35">
      <c r="A1535" s="9">
        <v>8405292</v>
      </c>
      <c r="B1535" s="10">
        <v>42940</v>
      </c>
      <c r="C1535" s="11">
        <v>0.38635416666666667</v>
      </c>
      <c r="D1535" s="12">
        <v>0.39378472222222222</v>
      </c>
    </row>
    <row r="1536" spans="1:4" x14ac:dyDescent="0.35">
      <c r="A1536" s="5">
        <v>9870841</v>
      </c>
      <c r="B1536" s="6">
        <v>42940</v>
      </c>
      <c r="C1536" s="7">
        <v>0.39209490740740743</v>
      </c>
      <c r="D1536" s="8">
        <v>0.39672453703703703</v>
      </c>
    </row>
    <row r="1537" spans="1:4" x14ac:dyDescent="0.35">
      <c r="A1537" s="9">
        <v>9722484</v>
      </c>
      <c r="B1537" s="10">
        <v>42940</v>
      </c>
      <c r="C1537" s="11">
        <v>0.39383101851851854</v>
      </c>
      <c r="D1537" s="12">
        <v>0.39630787037037035</v>
      </c>
    </row>
    <row r="1538" spans="1:4" x14ac:dyDescent="0.35">
      <c r="A1538" s="5">
        <v>1159432</v>
      </c>
      <c r="B1538" s="6">
        <v>42940</v>
      </c>
      <c r="C1538" s="7">
        <v>0.39391203703703703</v>
      </c>
      <c r="D1538" s="8">
        <v>0.39478009259259261</v>
      </c>
    </row>
    <row r="1539" spans="1:4" x14ac:dyDescent="0.35">
      <c r="A1539" s="9">
        <v>25194612</v>
      </c>
      <c r="B1539" s="10">
        <v>42940</v>
      </c>
      <c r="C1539" s="11">
        <v>0.39516203703703706</v>
      </c>
      <c r="D1539" s="12">
        <v>0.4057986111111111</v>
      </c>
    </row>
    <row r="1540" spans="1:4" x14ac:dyDescent="0.35">
      <c r="A1540" s="5">
        <v>1117628</v>
      </c>
      <c r="B1540" s="6">
        <v>42940</v>
      </c>
      <c r="C1540" s="7">
        <v>0.39614583333333331</v>
      </c>
      <c r="D1540" s="8">
        <v>0.39976851851851852</v>
      </c>
    </row>
    <row r="1541" spans="1:4" x14ac:dyDescent="0.35">
      <c r="A1541" s="9">
        <v>3624713</v>
      </c>
      <c r="B1541" s="10">
        <v>42940</v>
      </c>
      <c r="C1541" s="11">
        <v>0.39864583333333331</v>
      </c>
      <c r="D1541" s="12">
        <v>0.40440972222222221</v>
      </c>
    </row>
    <row r="1542" spans="1:4" x14ac:dyDescent="0.35">
      <c r="A1542" s="5">
        <v>5616210</v>
      </c>
      <c r="B1542" s="6">
        <v>42940</v>
      </c>
      <c r="C1542" s="7">
        <v>0.39956018518518521</v>
      </c>
      <c r="D1542" s="8">
        <v>0.40803240740740743</v>
      </c>
    </row>
    <row r="1543" spans="1:4" x14ac:dyDescent="0.35">
      <c r="A1543" s="9">
        <v>6772052</v>
      </c>
      <c r="B1543" s="10">
        <v>42940</v>
      </c>
      <c r="C1543" s="11">
        <v>0.40263888888888888</v>
      </c>
      <c r="D1543" s="12">
        <v>0.40825231481481483</v>
      </c>
    </row>
    <row r="1544" spans="1:4" x14ac:dyDescent="0.35">
      <c r="A1544" s="5">
        <v>3305212</v>
      </c>
      <c r="B1544" s="6">
        <v>42940</v>
      </c>
      <c r="C1544" s="7">
        <v>0.40641203703703704</v>
      </c>
      <c r="D1544" s="8">
        <v>0.41187499999999999</v>
      </c>
    </row>
    <row r="1545" spans="1:4" x14ac:dyDescent="0.35">
      <c r="A1545" s="9">
        <v>72701808</v>
      </c>
      <c r="B1545" s="10">
        <v>42940</v>
      </c>
      <c r="C1545" s="11">
        <v>0.40930555555555553</v>
      </c>
      <c r="D1545" s="12">
        <v>0.41968749999999999</v>
      </c>
    </row>
    <row r="1546" spans="1:4" x14ac:dyDescent="0.35">
      <c r="A1546" s="5">
        <v>4285095</v>
      </c>
      <c r="B1546" s="6">
        <v>42940</v>
      </c>
      <c r="C1546" s="7">
        <v>0.41351851851851851</v>
      </c>
      <c r="D1546" s="8">
        <v>0.41790509259259262</v>
      </c>
    </row>
    <row r="1547" spans="1:4" x14ac:dyDescent="0.35">
      <c r="A1547" s="9">
        <v>2585298</v>
      </c>
      <c r="B1547" s="10">
        <v>42940</v>
      </c>
      <c r="C1547" s="11">
        <v>0.41853009259259261</v>
      </c>
      <c r="D1547" s="12">
        <v>0.42252314814814818</v>
      </c>
    </row>
    <row r="1548" spans="1:4" x14ac:dyDescent="0.35">
      <c r="A1548" s="5">
        <v>2947035</v>
      </c>
      <c r="B1548" s="6">
        <v>42940</v>
      </c>
      <c r="C1548" s="7">
        <v>0.42241898148148149</v>
      </c>
      <c r="D1548" s="8">
        <v>0.42863425925925924</v>
      </c>
    </row>
    <row r="1549" spans="1:4" x14ac:dyDescent="0.35">
      <c r="A1549" s="9">
        <v>6615729</v>
      </c>
      <c r="B1549" s="10">
        <v>42940</v>
      </c>
      <c r="C1549" s="11">
        <v>0.42561342592592594</v>
      </c>
      <c r="D1549" s="12">
        <v>0.42799768518518516</v>
      </c>
    </row>
    <row r="1550" spans="1:4" x14ac:dyDescent="0.35">
      <c r="A1550" s="5">
        <v>2135609</v>
      </c>
      <c r="B1550" s="6">
        <v>42940</v>
      </c>
      <c r="C1550" s="7">
        <v>0.42563657407407407</v>
      </c>
      <c r="D1550" s="8">
        <v>0.42670138888888887</v>
      </c>
    </row>
    <row r="1551" spans="1:4" x14ac:dyDescent="0.35">
      <c r="A1551" s="9">
        <v>2697566</v>
      </c>
      <c r="B1551" s="10">
        <v>42940</v>
      </c>
      <c r="C1551" s="11">
        <v>0.42951388888888886</v>
      </c>
      <c r="D1551" s="12">
        <v>0.44059027777777776</v>
      </c>
    </row>
    <row r="1552" spans="1:4" x14ac:dyDescent="0.35">
      <c r="A1552" s="5">
        <v>2569721</v>
      </c>
      <c r="B1552" s="6">
        <v>42940</v>
      </c>
      <c r="C1552" s="7">
        <v>0.43133101851851852</v>
      </c>
      <c r="D1552" s="8">
        <v>0.43762731481481482</v>
      </c>
    </row>
    <row r="1553" spans="1:4" x14ac:dyDescent="0.35">
      <c r="A1553" s="9">
        <v>96375379</v>
      </c>
      <c r="B1553" s="10">
        <v>42940</v>
      </c>
      <c r="C1553" s="11">
        <v>0.43637731481481479</v>
      </c>
      <c r="D1553" s="12">
        <v>0.44526620370370368</v>
      </c>
    </row>
    <row r="1554" spans="1:4" x14ac:dyDescent="0.35">
      <c r="A1554" s="5">
        <v>3968528766</v>
      </c>
      <c r="B1554" s="6">
        <v>42940</v>
      </c>
      <c r="C1554" s="7">
        <v>0.44081018518518517</v>
      </c>
      <c r="D1554" s="8">
        <v>0.44767361111111109</v>
      </c>
    </row>
    <row r="1555" spans="1:4" x14ac:dyDescent="0.35">
      <c r="A1555" s="9">
        <v>8133585</v>
      </c>
      <c r="B1555" s="10">
        <v>42940</v>
      </c>
      <c r="C1555" s="11">
        <v>0.44185185185185183</v>
      </c>
      <c r="D1555" s="12">
        <v>0.44634259259259257</v>
      </c>
    </row>
    <row r="1556" spans="1:4" x14ac:dyDescent="0.35">
      <c r="A1556" s="5">
        <v>45232967</v>
      </c>
      <c r="B1556" s="6">
        <v>42940</v>
      </c>
      <c r="C1556" s="7">
        <v>0.4462962962962963</v>
      </c>
      <c r="D1556" s="8">
        <v>0.44753472222222224</v>
      </c>
    </row>
    <row r="1557" spans="1:4" x14ac:dyDescent="0.35">
      <c r="A1557" s="9">
        <v>8900603</v>
      </c>
      <c r="B1557" s="10">
        <v>42940</v>
      </c>
      <c r="C1557" s="11">
        <v>0.44680555555555557</v>
      </c>
      <c r="D1557" s="12">
        <v>0.45518518518518519</v>
      </c>
    </row>
    <row r="1558" spans="1:4" x14ac:dyDescent="0.35">
      <c r="A1558" s="5">
        <v>9413315</v>
      </c>
      <c r="B1558" s="6">
        <v>42940</v>
      </c>
      <c r="C1558" s="7">
        <v>0.4490277777777778</v>
      </c>
      <c r="D1558" s="8">
        <v>0.45984953703703701</v>
      </c>
    </row>
    <row r="1559" spans="1:4" x14ac:dyDescent="0.35">
      <c r="A1559" s="9">
        <v>9781981</v>
      </c>
      <c r="B1559" s="10">
        <v>42940</v>
      </c>
      <c r="C1559" s="11">
        <v>0.45392361111111112</v>
      </c>
      <c r="D1559" s="12">
        <v>0.4582060185185185</v>
      </c>
    </row>
    <row r="1560" spans="1:4" x14ac:dyDescent="0.35">
      <c r="A1560" s="5">
        <v>9527543</v>
      </c>
      <c r="B1560" s="6">
        <v>42940</v>
      </c>
      <c r="C1560" s="7">
        <v>0.45481481481481484</v>
      </c>
      <c r="D1560" s="8">
        <v>0.45863425925925927</v>
      </c>
    </row>
    <row r="1561" spans="1:4" x14ac:dyDescent="0.35">
      <c r="A1561" s="9">
        <v>91626903</v>
      </c>
      <c r="B1561" s="10">
        <v>42940</v>
      </c>
      <c r="C1561" s="11">
        <v>0.45930555555555558</v>
      </c>
      <c r="D1561" s="12">
        <v>0.46885416666666668</v>
      </c>
    </row>
    <row r="1562" spans="1:4" x14ac:dyDescent="0.35">
      <c r="A1562" s="5">
        <v>1475008</v>
      </c>
      <c r="B1562" s="6">
        <v>42940</v>
      </c>
      <c r="C1562" s="7">
        <v>0.46489583333333334</v>
      </c>
      <c r="D1562" s="8">
        <v>0.47530092592592593</v>
      </c>
    </row>
    <row r="1563" spans="1:4" x14ac:dyDescent="0.35">
      <c r="A1563" s="9">
        <v>4767842</v>
      </c>
      <c r="B1563" s="10">
        <v>42940</v>
      </c>
      <c r="C1563" s="11">
        <v>0.46971064814814817</v>
      </c>
      <c r="D1563" s="12">
        <v>0.47116898148148151</v>
      </c>
    </row>
    <row r="1564" spans="1:4" x14ac:dyDescent="0.35">
      <c r="A1564" s="5">
        <v>64586869</v>
      </c>
      <c r="B1564" s="6">
        <v>42940</v>
      </c>
      <c r="C1564" s="7">
        <v>0.47188657407407408</v>
      </c>
      <c r="D1564" s="8">
        <v>0.47260416666666666</v>
      </c>
    </row>
    <row r="1565" spans="1:4" x14ac:dyDescent="0.35">
      <c r="A1565" s="9">
        <v>7066389</v>
      </c>
      <c r="B1565" s="10">
        <v>42940</v>
      </c>
      <c r="C1565" s="11">
        <v>0.47590277777777779</v>
      </c>
      <c r="D1565" s="12">
        <v>0.47621527777777778</v>
      </c>
    </row>
    <row r="1566" spans="1:4" x14ac:dyDescent="0.35">
      <c r="A1566" s="5">
        <v>28791070</v>
      </c>
      <c r="B1566" s="6">
        <v>42940</v>
      </c>
      <c r="C1566" s="7">
        <v>0.48082175925925924</v>
      </c>
      <c r="D1566" s="8">
        <v>0.49135416666666665</v>
      </c>
    </row>
    <row r="1567" spans="1:4" x14ac:dyDescent="0.35">
      <c r="A1567" s="9">
        <v>5094248</v>
      </c>
      <c r="B1567" s="10">
        <v>42940</v>
      </c>
      <c r="C1567" s="11">
        <v>0.48358796296296297</v>
      </c>
      <c r="D1567" s="12">
        <v>0.48965277777777777</v>
      </c>
    </row>
    <row r="1568" spans="1:4" x14ac:dyDescent="0.35">
      <c r="A1568" s="5">
        <v>44882393</v>
      </c>
      <c r="B1568" s="6">
        <v>42940</v>
      </c>
      <c r="C1568" s="7">
        <v>0.4866550925925926</v>
      </c>
      <c r="D1568" s="8">
        <v>0.49528935185185186</v>
      </c>
    </row>
    <row r="1569" spans="1:4" x14ac:dyDescent="0.35">
      <c r="A1569" s="9">
        <v>29391132</v>
      </c>
      <c r="B1569" s="10">
        <v>42940</v>
      </c>
      <c r="C1569" s="11">
        <v>0.48770833333333335</v>
      </c>
      <c r="D1569" s="12">
        <v>0.49613425925925925</v>
      </c>
    </row>
    <row r="1570" spans="1:4" x14ac:dyDescent="0.35">
      <c r="A1570" s="5">
        <v>9892639</v>
      </c>
      <c r="B1570" s="6">
        <v>42940</v>
      </c>
      <c r="C1570" s="7">
        <v>0.48836805555555557</v>
      </c>
      <c r="D1570" s="8">
        <v>0.48893518518518519</v>
      </c>
    </row>
    <row r="1571" spans="1:4" x14ac:dyDescent="0.35">
      <c r="A1571" s="9">
        <v>3979295</v>
      </c>
      <c r="B1571" s="10">
        <v>42940</v>
      </c>
      <c r="C1571" s="11">
        <v>0.49062499999999998</v>
      </c>
      <c r="D1571" s="12">
        <v>0.49767361111111114</v>
      </c>
    </row>
    <row r="1572" spans="1:4" x14ac:dyDescent="0.35">
      <c r="A1572" s="5">
        <v>8471219</v>
      </c>
      <c r="B1572" s="6">
        <v>42940</v>
      </c>
      <c r="C1572" s="7">
        <v>0.49229166666666668</v>
      </c>
      <c r="D1572" s="8">
        <v>0.49554398148148149</v>
      </c>
    </row>
    <row r="1573" spans="1:4" x14ac:dyDescent="0.35">
      <c r="A1573" s="9">
        <v>5631380</v>
      </c>
      <c r="B1573" s="10">
        <v>42940</v>
      </c>
      <c r="C1573" s="11">
        <v>0.49274305555555553</v>
      </c>
      <c r="D1573" s="12">
        <v>0.50315972222222227</v>
      </c>
    </row>
    <row r="1574" spans="1:4" x14ac:dyDescent="0.35">
      <c r="A1574" s="5">
        <v>6309138</v>
      </c>
      <c r="B1574" s="6">
        <v>42940</v>
      </c>
      <c r="C1574" s="7">
        <v>0.49416666666666664</v>
      </c>
      <c r="D1574" s="8">
        <v>0.49465277777777777</v>
      </c>
    </row>
    <row r="1575" spans="1:4" x14ac:dyDescent="0.35">
      <c r="A1575" s="9">
        <v>72287838</v>
      </c>
      <c r="B1575" s="10">
        <v>42940</v>
      </c>
      <c r="C1575" s="11">
        <v>0.49633101851851852</v>
      </c>
      <c r="D1575" s="12">
        <v>0.50209490740740736</v>
      </c>
    </row>
    <row r="1576" spans="1:4" x14ac:dyDescent="0.35">
      <c r="A1576" s="5">
        <v>2515441</v>
      </c>
      <c r="B1576" s="6">
        <v>42940</v>
      </c>
      <c r="C1576" s="7">
        <v>0.49857638888888889</v>
      </c>
      <c r="D1576" s="8">
        <v>0.50195601851851857</v>
      </c>
    </row>
    <row r="1577" spans="1:4" x14ac:dyDescent="0.35">
      <c r="A1577" s="9">
        <v>8056387</v>
      </c>
      <c r="B1577" s="10">
        <v>42940</v>
      </c>
      <c r="C1577" s="11">
        <v>0.50306712962962963</v>
      </c>
      <c r="D1577" s="12">
        <v>0.51333333333333331</v>
      </c>
    </row>
    <row r="1578" spans="1:4" x14ac:dyDescent="0.35">
      <c r="A1578" s="5">
        <v>5489867</v>
      </c>
      <c r="B1578" s="6">
        <v>42940</v>
      </c>
      <c r="C1578" s="7">
        <v>0.50583333333333336</v>
      </c>
      <c r="D1578" s="8">
        <v>0.51407407407407413</v>
      </c>
    </row>
    <row r="1579" spans="1:4" x14ac:dyDescent="0.35">
      <c r="A1579" s="9">
        <v>5528648</v>
      </c>
      <c r="B1579" s="10">
        <v>42940</v>
      </c>
      <c r="C1579" s="11">
        <v>0.50611111111111107</v>
      </c>
      <c r="D1579" s="12">
        <v>0.51354166666666667</v>
      </c>
    </row>
    <row r="1580" spans="1:4" x14ac:dyDescent="0.35">
      <c r="A1580" s="5">
        <v>4293872</v>
      </c>
      <c r="B1580" s="6">
        <v>42940</v>
      </c>
      <c r="C1580" s="7">
        <v>0.50714120370370375</v>
      </c>
      <c r="D1580" s="8">
        <v>0.51232638888888893</v>
      </c>
    </row>
    <row r="1581" spans="1:4" x14ac:dyDescent="0.35">
      <c r="A1581" s="9">
        <v>99625946</v>
      </c>
      <c r="B1581" s="10">
        <v>42940</v>
      </c>
      <c r="C1581" s="11">
        <v>0.51270833333333332</v>
      </c>
      <c r="D1581" s="12">
        <v>0.52407407407407403</v>
      </c>
    </row>
    <row r="1582" spans="1:4" x14ac:dyDescent="0.35">
      <c r="A1582" s="5">
        <v>9827875</v>
      </c>
      <c r="B1582" s="6">
        <v>42940</v>
      </c>
      <c r="C1582" s="7">
        <v>0.51512731481481477</v>
      </c>
      <c r="D1582" s="8">
        <v>0.51954861111111106</v>
      </c>
    </row>
    <row r="1583" spans="1:4" x14ac:dyDescent="0.35">
      <c r="A1583" s="9">
        <v>40120881</v>
      </c>
      <c r="B1583" s="10">
        <v>42940</v>
      </c>
      <c r="C1583" s="11">
        <v>0.51746527777777773</v>
      </c>
      <c r="D1583" s="12">
        <v>0.52686342592592594</v>
      </c>
    </row>
    <row r="1584" spans="1:4" x14ac:dyDescent="0.35">
      <c r="A1584" s="5">
        <v>42373338</v>
      </c>
      <c r="B1584" s="6">
        <v>42940</v>
      </c>
      <c r="C1584" s="7">
        <v>0.51962962962962966</v>
      </c>
      <c r="D1584" s="8">
        <v>0.53030092592592593</v>
      </c>
    </row>
    <row r="1585" spans="1:4" x14ac:dyDescent="0.35">
      <c r="A1585" s="9">
        <v>39697250</v>
      </c>
      <c r="B1585" s="10">
        <v>42940</v>
      </c>
      <c r="C1585" s="11">
        <v>0.52520833333333339</v>
      </c>
      <c r="D1585" s="12">
        <v>0.52866898148148145</v>
      </c>
    </row>
    <row r="1586" spans="1:4" x14ac:dyDescent="0.35">
      <c r="A1586" s="5">
        <v>55464931</v>
      </c>
      <c r="B1586" s="6">
        <v>42940</v>
      </c>
      <c r="C1586" s="7">
        <v>0.5285185185185185</v>
      </c>
      <c r="D1586" s="8">
        <v>0.53349537037037043</v>
      </c>
    </row>
    <row r="1587" spans="1:4" x14ac:dyDescent="0.35">
      <c r="A1587" s="9">
        <v>3616291</v>
      </c>
      <c r="B1587" s="10">
        <v>42940</v>
      </c>
      <c r="C1587" s="11">
        <v>0.53403935185185181</v>
      </c>
      <c r="D1587" s="12">
        <v>0.54538194444444443</v>
      </c>
    </row>
    <row r="1588" spans="1:4" x14ac:dyDescent="0.35">
      <c r="A1588" s="5">
        <v>3473734</v>
      </c>
      <c r="B1588" s="6">
        <v>42940</v>
      </c>
      <c r="C1588" s="7">
        <v>0.53949074074074077</v>
      </c>
      <c r="D1588" s="8">
        <v>0.54844907407407406</v>
      </c>
    </row>
    <row r="1589" spans="1:4" x14ac:dyDescent="0.35">
      <c r="A1589" s="9">
        <v>63492662</v>
      </c>
      <c r="B1589" s="10">
        <v>42940</v>
      </c>
      <c r="C1589" s="11">
        <v>0.54060185185185183</v>
      </c>
      <c r="D1589" s="12">
        <v>0.54240740740740745</v>
      </c>
    </row>
    <row r="1590" spans="1:4" x14ac:dyDescent="0.35">
      <c r="A1590" s="5">
        <v>2104331</v>
      </c>
      <c r="B1590" s="6">
        <v>42940</v>
      </c>
      <c r="C1590" s="7">
        <v>0.54410879629629627</v>
      </c>
      <c r="D1590" s="8">
        <v>0.55207175925925922</v>
      </c>
    </row>
    <row r="1591" spans="1:4" x14ac:dyDescent="0.35">
      <c r="A1591" s="9">
        <v>9555643</v>
      </c>
      <c r="B1591" s="10">
        <v>42940</v>
      </c>
      <c r="C1591" s="11">
        <v>0.54478009259259264</v>
      </c>
      <c r="D1591" s="12">
        <v>0.55106481481481484</v>
      </c>
    </row>
    <row r="1592" spans="1:4" x14ac:dyDescent="0.35">
      <c r="A1592" s="5">
        <v>5220235</v>
      </c>
      <c r="B1592" s="6">
        <v>42940</v>
      </c>
      <c r="C1592" s="7">
        <v>0.54741898148148149</v>
      </c>
      <c r="D1592" s="8">
        <v>0.54915509259259254</v>
      </c>
    </row>
    <row r="1593" spans="1:4" x14ac:dyDescent="0.35">
      <c r="A1593" s="9">
        <v>26254490</v>
      </c>
      <c r="B1593" s="10">
        <v>42940</v>
      </c>
      <c r="C1593" s="11">
        <v>0.54773148148148143</v>
      </c>
      <c r="D1593" s="12">
        <v>0.55074074074074075</v>
      </c>
    </row>
    <row r="1594" spans="1:4" x14ac:dyDescent="0.35">
      <c r="A1594" s="5">
        <v>26463662</v>
      </c>
      <c r="B1594" s="6">
        <v>42940</v>
      </c>
      <c r="C1594" s="7">
        <v>0.55153935185185188</v>
      </c>
      <c r="D1594" s="8">
        <v>0.56090277777777775</v>
      </c>
    </row>
    <row r="1595" spans="1:4" x14ac:dyDescent="0.35">
      <c r="A1595" s="9">
        <v>2853860</v>
      </c>
      <c r="B1595" s="10">
        <v>42940</v>
      </c>
      <c r="C1595" s="11">
        <v>0.55491898148148144</v>
      </c>
      <c r="D1595" s="12">
        <v>0.55787037037037035</v>
      </c>
    </row>
    <row r="1596" spans="1:4" x14ac:dyDescent="0.35">
      <c r="A1596" s="5">
        <v>1829028</v>
      </c>
      <c r="B1596" s="6">
        <v>42940</v>
      </c>
      <c r="C1596" s="7">
        <v>0.5602893518518518</v>
      </c>
      <c r="D1596" s="8">
        <v>0.57128472222222226</v>
      </c>
    </row>
    <row r="1597" spans="1:4" x14ac:dyDescent="0.35">
      <c r="A1597" s="9">
        <v>1365581</v>
      </c>
      <c r="B1597" s="10">
        <v>42940</v>
      </c>
      <c r="C1597" s="11">
        <v>0.56196759259259255</v>
      </c>
      <c r="D1597" s="12">
        <v>0.57019675925925928</v>
      </c>
    </row>
    <row r="1598" spans="1:4" x14ac:dyDescent="0.35">
      <c r="A1598" s="5">
        <v>66800387</v>
      </c>
      <c r="B1598" s="6">
        <v>42940</v>
      </c>
      <c r="C1598" s="7">
        <v>0.5634837962962963</v>
      </c>
      <c r="D1598" s="8">
        <v>0.56763888888888892</v>
      </c>
    </row>
    <row r="1599" spans="1:4" x14ac:dyDescent="0.35">
      <c r="A1599" s="9">
        <v>9282666</v>
      </c>
      <c r="B1599" s="10">
        <v>42940</v>
      </c>
      <c r="C1599" s="11">
        <v>0.56879629629629624</v>
      </c>
      <c r="D1599" s="12">
        <v>0.56934027777777774</v>
      </c>
    </row>
    <row r="1600" spans="1:4" x14ac:dyDescent="0.35">
      <c r="A1600" s="5">
        <v>7994769</v>
      </c>
      <c r="B1600" s="6">
        <v>42940</v>
      </c>
      <c r="C1600" s="7">
        <v>0.56980324074074074</v>
      </c>
      <c r="D1600" s="8">
        <v>0.57826388888888891</v>
      </c>
    </row>
    <row r="1601" spans="1:4" x14ac:dyDescent="0.35">
      <c r="A1601" s="9">
        <v>3638038</v>
      </c>
      <c r="B1601" s="10">
        <v>42940</v>
      </c>
      <c r="C1601" s="11">
        <v>0.57262731481481477</v>
      </c>
      <c r="D1601" s="12">
        <v>0.57846064814814813</v>
      </c>
    </row>
    <row r="1602" spans="1:4" x14ac:dyDescent="0.35">
      <c r="A1602" s="5">
        <v>5221005</v>
      </c>
      <c r="B1602" s="6">
        <v>42940</v>
      </c>
      <c r="C1602" s="7">
        <v>0.57321759259259264</v>
      </c>
      <c r="D1602" s="8">
        <v>0.57461805555555556</v>
      </c>
    </row>
    <row r="1603" spans="1:4" x14ac:dyDescent="0.35">
      <c r="A1603" s="9">
        <v>3150344</v>
      </c>
      <c r="B1603" s="10">
        <v>42940</v>
      </c>
      <c r="C1603" s="11">
        <v>0.57322916666666668</v>
      </c>
      <c r="D1603" s="12">
        <v>0.58089120370370373</v>
      </c>
    </row>
    <row r="1604" spans="1:4" x14ac:dyDescent="0.35">
      <c r="A1604" s="5">
        <v>2780765</v>
      </c>
      <c r="B1604" s="6">
        <v>42940</v>
      </c>
      <c r="C1604" s="7">
        <v>0.57582175925925927</v>
      </c>
      <c r="D1604" s="8">
        <v>0.57693287037037033</v>
      </c>
    </row>
    <row r="1605" spans="1:4" x14ac:dyDescent="0.35">
      <c r="A1605" s="9">
        <v>3720500</v>
      </c>
      <c r="B1605" s="10">
        <v>42940</v>
      </c>
      <c r="C1605" s="11">
        <v>0.57660879629629624</v>
      </c>
      <c r="D1605" s="12">
        <v>0.58250000000000002</v>
      </c>
    </row>
    <row r="1606" spans="1:4" x14ac:dyDescent="0.35">
      <c r="A1606" s="5">
        <v>89419064</v>
      </c>
      <c r="B1606" s="6">
        <v>42940</v>
      </c>
      <c r="C1606" s="7">
        <v>0.57850694444444439</v>
      </c>
      <c r="D1606" s="8">
        <v>0.58456018518518515</v>
      </c>
    </row>
    <row r="1607" spans="1:4" x14ac:dyDescent="0.35">
      <c r="A1607" s="9">
        <v>9961121</v>
      </c>
      <c r="B1607" s="10">
        <v>42940</v>
      </c>
      <c r="C1607" s="11">
        <v>0.58304398148148151</v>
      </c>
      <c r="D1607" s="12">
        <v>0.58518518518518514</v>
      </c>
    </row>
    <row r="1608" spans="1:4" x14ac:dyDescent="0.35">
      <c r="A1608" s="5">
        <v>5303411</v>
      </c>
      <c r="B1608" s="6">
        <v>42940</v>
      </c>
      <c r="C1608" s="7">
        <v>0.58652777777777776</v>
      </c>
      <c r="D1608" s="8">
        <v>0.5917824074074074</v>
      </c>
    </row>
    <row r="1609" spans="1:4" x14ac:dyDescent="0.35">
      <c r="A1609" s="9">
        <v>4657345</v>
      </c>
      <c r="B1609" s="10">
        <v>42940</v>
      </c>
      <c r="C1609" s="11">
        <v>0.58981481481481479</v>
      </c>
      <c r="D1609" s="12">
        <v>0.59037037037037032</v>
      </c>
    </row>
    <row r="1610" spans="1:4" x14ac:dyDescent="0.35">
      <c r="A1610" s="5">
        <v>5850216</v>
      </c>
      <c r="B1610" s="6">
        <v>42940</v>
      </c>
      <c r="C1610" s="7">
        <v>0.59325231481481477</v>
      </c>
      <c r="D1610" s="8">
        <v>0.59866898148148151</v>
      </c>
    </row>
    <row r="1611" spans="1:4" x14ac:dyDescent="0.35">
      <c r="A1611" s="9">
        <v>4927402</v>
      </c>
      <c r="B1611" s="10">
        <v>42940</v>
      </c>
      <c r="C1611" s="11">
        <v>0.59351851851851856</v>
      </c>
      <c r="D1611" s="12">
        <v>0.60163194444444446</v>
      </c>
    </row>
    <row r="1612" spans="1:4" x14ac:dyDescent="0.35">
      <c r="A1612" s="5">
        <v>60113139</v>
      </c>
      <c r="B1612" s="6">
        <v>42940</v>
      </c>
      <c r="C1612" s="7">
        <v>0.59663194444444445</v>
      </c>
      <c r="D1612" s="8">
        <v>0.60359953703703706</v>
      </c>
    </row>
    <row r="1613" spans="1:4" x14ac:dyDescent="0.35">
      <c r="A1613" s="9">
        <v>2644526</v>
      </c>
      <c r="B1613" s="10">
        <v>42940</v>
      </c>
      <c r="C1613" s="11">
        <v>0.59864583333333332</v>
      </c>
      <c r="D1613" s="12">
        <v>0.6056597222222222</v>
      </c>
    </row>
    <row r="1614" spans="1:4" x14ac:dyDescent="0.35">
      <c r="A1614" s="5">
        <v>7226610</v>
      </c>
      <c r="B1614" s="6">
        <v>42940</v>
      </c>
      <c r="C1614" s="7">
        <v>0.6005787037037037</v>
      </c>
      <c r="D1614" s="8">
        <v>0.6107407407407407</v>
      </c>
    </row>
    <row r="1615" spans="1:4" x14ac:dyDescent="0.35">
      <c r="A1615" s="9">
        <v>9328179</v>
      </c>
      <c r="B1615" s="10">
        <v>42940</v>
      </c>
      <c r="C1615" s="11">
        <v>0.60211805555555553</v>
      </c>
      <c r="D1615" s="12">
        <v>0.60282407407407412</v>
      </c>
    </row>
    <row r="1616" spans="1:4" x14ac:dyDescent="0.35">
      <c r="A1616" s="5">
        <v>7457716</v>
      </c>
      <c r="B1616" s="6">
        <v>42940</v>
      </c>
      <c r="C1616" s="7">
        <v>0.6068634259259259</v>
      </c>
      <c r="D1616" s="8">
        <v>0.61152777777777778</v>
      </c>
    </row>
    <row r="1617" spans="1:4" x14ac:dyDescent="0.35">
      <c r="A1617" s="9">
        <v>1739364</v>
      </c>
      <c r="B1617" s="10">
        <v>42940</v>
      </c>
      <c r="C1617" s="11">
        <v>0.61100694444444448</v>
      </c>
      <c r="D1617" s="12">
        <v>0.62071759259259263</v>
      </c>
    </row>
    <row r="1618" spans="1:4" x14ac:dyDescent="0.35">
      <c r="A1618" s="5">
        <v>1677537</v>
      </c>
      <c r="B1618" s="6">
        <v>42940</v>
      </c>
      <c r="C1618" s="7">
        <v>0.61471064814814813</v>
      </c>
      <c r="D1618" s="8">
        <v>0.62232638888888892</v>
      </c>
    </row>
    <row r="1619" spans="1:4" x14ac:dyDescent="0.35">
      <c r="A1619" s="9">
        <v>55614678</v>
      </c>
      <c r="B1619" s="10">
        <v>42940</v>
      </c>
      <c r="C1619" s="11">
        <v>0.61826388888888884</v>
      </c>
      <c r="D1619" s="12">
        <v>0.62091435185185184</v>
      </c>
    </row>
    <row r="1620" spans="1:4" x14ac:dyDescent="0.35">
      <c r="A1620" s="5">
        <v>4272221</v>
      </c>
      <c r="B1620" s="6">
        <v>42940</v>
      </c>
      <c r="C1620" s="7">
        <v>0.62152777777777779</v>
      </c>
      <c r="D1620" s="8">
        <v>0.62572916666666667</v>
      </c>
    </row>
    <row r="1621" spans="1:4" x14ac:dyDescent="0.35">
      <c r="A1621" s="9">
        <v>1740380</v>
      </c>
      <c r="B1621" s="10">
        <v>42940</v>
      </c>
      <c r="C1621" s="11">
        <v>0.62605324074074076</v>
      </c>
      <c r="D1621" s="12">
        <v>0.63655092592592588</v>
      </c>
    </row>
    <row r="1622" spans="1:4" x14ac:dyDescent="0.35">
      <c r="A1622" s="5">
        <v>6005355</v>
      </c>
      <c r="B1622" s="6">
        <v>42941</v>
      </c>
      <c r="C1622" s="7">
        <v>0.33688657407407407</v>
      </c>
      <c r="D1622" s="8">
        <v>0.34452546296296294</v>
      </c>
    </row>
    <row r="1623" spans="1:4" x14ac:dyDescent="0.35">
      <c r="A1623" s="9">
        <v>2400590</v>
      </c>
      <c r="B1623" s="10">
        <v>42941</v>
      </c>
      <c r="C1623" s="11">
        <v>0.34145833333333331</v>
      </c>
      <c r="D1623" s="12">
        <v>0.34645833333333331</v>
      </c>
    </row>
    <row r="1624" spans="1:4" x14ac:dyDescent="0.35">
      <c r="A1624" s="5">
        <v>7918038</v>
      </c>
      <c r="B1624" s="6">
        <v>42941</v>
      </c>
      <c r="C1624" s="7">
        <v>0.34278935185185183</v>
      </c>
      <c r="D1624" s="8">
        <v>0.34370370370370368</v>
      </c>
    </row>
    <row r="1625" spans="1:4" x14ac:dyDescent="0.35">
      <c r="A1625" s="9">
        <v>7969038</v>
      </c>
      <c r="B1625" s="10">
        <v>42941</v>
      </c>
      <c r="C1625" s="11">
        <v>0.34605324074074073</v>
      </c>
      <c r="D1625" s="12">
        <v>0.35744212962962962</v>
      </c>
    </row>
    <row r="1626" spans="1:4" x14ac:dyDescent="0.35">
      <c r="A1626" s="5">
        <v>5833452</v>
      </c>
      <c r="B1626" s="6">
        <v>42941</v>
      </c>
      <c r="C1626" s="7">
        <v>0.34989583333333335</v>
      </c>
      <c r="D1626" s="8">
        <v>0.35214120370370372</v>
      </c>
    </row>
    <row r="1627" spans="1:4" x14ac:dyDescent="0.35">
      <c r="A1627" s="9">
        <v>11425383</v>
      </c>
      <c r="B1627" s="10">
        <v>42941</v>
      </c>
      <c r="C1627" s="11">
        <v>0.35267361111111112</v>
      </c>
      <c r="D1627" s="12">
        <v>0.36171296296296296</v>
      </c>
    </row>
    <row r="1628" spans="1:4" x14ac:dyDescent="0.35">
      <c r="A1628" s="5">
        <v>2900584</v>
      </c>
      <c r="B1628" s="6">
        <v>42941</v>
      </c>
      <c r="C1628" s="7">
        <v>0.35335648148148147</v>
      </c>
      <c r="D1628" s="8">
        <v>0.36329861111111111</v>
      </c>
    </row>
    <row r="1629" spans="1:4" x14ac:dyDescent="0.35">
      <c r="A1629" s="9">
        <v>77705897</v>
      </c>
      <c r="B1629" s="10">
        <v>42941</v>
      </c>
      <c r="C1629" s="11">
        <v>0.35603009259259261</v>
      </c>
      <c r="D1629" s="12">
        <v>0.35928240740740741</v>
      </c>
    </row>
    <row r="1630" spans="1:4" x14ac:dyDescent="0.35">
      <c r="A1630" s="5">
        <v>48497496</v>
      </c>
      <c r="B1630" s="6">
        <v>42941</v>
      </c>
      <c r="C1630" s="7">
        <v>0.35881944444444447</v>
      </c>
      <c r="D1630" s="8">
        <v>0.36379629629629628</v>
      </c>
    </row>
    <row r="1631" spans="1:4" x14ac:dyDescent="0.35">
      <c r="A1631" s="9">
        <v>98695684</v>
      </c>
      <c r="B1631" s="10">
        <v>42941</v>
      </c>
      <c r="C1631" s="11">
        <v>0.3634722222222222</v>
      </c>
      <c r="D1631" s="12">
        <v>0.37498842592592591</v>
      </c>
    </row>
    <row r="1632" spans="1:4" x14ac:dyDescent="0.35">
      <c r="A1632" s="5">
        <v>7712618</v>
      </c>
      <c r="B1632" s="6">
        <v>42941</v>
      </c>
      <c r="C1632" s="7">
        <v>0.36773148148148149</v>
      </c>
      <c r="D1632" s="8">
        <v>0.37118055555555557</v>
      </c>
    </row>
    <row r="1633" spans="1:4" x14ac:dyDescent="0.35">
      <c r="A1633" s="9">
        <v>8872311</v>
      </c>
      <c r="B1633" s="10">
        <v>42941</v>
      </c>
      <c r="C1633" s="11">
        <v>0.36854166666666666</v>
      </c>
      <c r="D1633" s="12">
        <v>0.37072916666666667</v>
      </c>
    </row>
    <row r="1634" spans="1:4" x14ac:dyDescent="0.35">
      <c r="A1634" s="5">
        <v>6056372</v>
      </c>
      <c r="B1634" s="6">
        <v>42941</v>
      </c>
      <c r="C1634" s="7">
        <v>0.36930555555555555</v>
      </c>
      <c r="D1634" s="8">
        <v>0.37615740740740738</v>
      </c>
    </row>
    <row r="1635" spans="1:4" x14ac:dyDescent="0.35">
      <c r="A1635" s="9">
        <v>8936656</v>
      </c>
      <c r="B1635" s="10">
        <v>42941</v>
      </c>
      <c r="C1635" s="11">
        <v>0.37222222222222223</v>
      </c>
      <c r="D1635" s="12">
        <v>0.37883101851851853</v>
      </c>
    </row>
    <row r="1636" spans="1:4" x14ac:dyDescent="0.35">
      <c r="A1636" s="5">
        <v>22966872</v>
      </c>
      <c r="B1636" s="6">
        <v>42941</v>
      </c>
      <c r="C1636" s="7">
        <v>0.37277777777777776</v>
      </c>
      <c r="D1636" s="8">
        <v>0.37791666666666668</v>
      </c>
    </row>
    <row r="1637" spans="1:4" x14ac:dyDescent="0.35">
      <c r="A1637" s="9">
        <v>3908162</v>
      </c>
      <c r="B1637" s="10">
        <v>42941</v>
      </c>
      <c r="C1637" s="11">
        <v>0.37805555555555553</v>
      </c>
      <c r="D1637" s="12">
        <v>0.38770833333333332</v>
      </c>
    </row>
    <row r="1638" spans="1:4" x14ac:dyDescent="0.35">
      <c r="A1638" s="5">
        <v>20485333</v>
      </c>
      <c r="B1638" s="6">
        <v>42941</v>
      </c>
      <c r="C1638" s="7">
        <v>0.38230324074074074</v>
      </c>
      <c r="D1638" s="8">
        <v>0.39293981481481483</v>
      </c>
    </row>
    <row r="1639" spans="1:4" x14ac:dyDescent="0.35">
      <c r="A1639" s="9">
        <v>78709747</v>
      </c>
      <c r="B1639" s="10">
        <v>42941</v>
      </c>
      <c r="C1639" s="11">
        <v>0.38638888888888889</v>
      </c>
      <c r="D1639" s="12">
        <v>0.38983796296296297</v>
      </c>
    </row>
    <row r="1640" spans="1:4" x14ac:dyDescent="0.35">
      <c r="A1640" s="5">
        <v>1859884</v>
      </c>
      <c r="B1640" s="6">
        <v>42941</v>
      </c>
      <c r="C1640" s="7">
        <v>0.38668981481481479</v>
      </c>
      <c r="D1640" s="8">
        <v>0.3913773148148148</v>
      </c>
    </row>
    <row r="1641" spans="1:4" x14ac:dyDescent="0.35">
      <c r="A1641" s="9">
        <v>2866546</v>
      </c>
      <c r="B1641" s="10">
        <v>42941</v>
      </c>
      <c r="C1641" s="11">
        <v>0.39038194444444446</v>
      </c>
      <c r="D1641" s="12">
        <v>0.39797453703703706</v>
      </c>
    </row>
    <row r="1642" spans="1:4" x14ac:dyDescent="0.35">
      <c r="A1642" s="5">
        <v>23715237</v>
      </c>
      <c r="B1642" s="6">
        <v>42941</v>
      </c>
      <c r="C1642" s="7">
        <v>0.39152777777777775</v>
      </c>
      <c r="D1642" s="8">
        <v>0.39559027777777778</v>
      </c>
    </row>
    <row r="1643" spans="1:4" x14ac:dyDescent="0.35">
      <c r="A1643" s="9">
        <v>6013508</v>
      </c>
      <c r="B1643" s="10">
        <v>42941</v>
      </c>
      <c r="C1643" s="11">
        <v>0.39195601851851852</v>
      </c>
      <c r="D1643" s="12">
        <v>0.39401620370370372</v>
      </c>
    </row>
    <row r="1644" spans="1:4" x14ac:dyDescent="0.35">
      <c r="A1644" s="5">
        <v>6175467</v>
      </c>
      <c r="B1644" s="6">
        <v>42941</v>
      </c>
      <c r="C1644" s="7">
        <v>0.39753472222222225</v>
      </c>
      <c r="D1644" s="8">
        <v>0.40424768518518517</v>
      </c>
    </row>
    <row r="1645" spans="1:4" x14ac:dyDescent="0.35">
      <c r="A1645" s="9">
        <v>22416837</v>
      </c>
      <c r="B1645" s="10">
        <v>42941</v>
      </c>
      <c r="C1645" s="11">
        <v>0.39881944444444445</v>
      </c>
      <c r="D1645" s="12">
        <v>0.40244212962962961</v>
      </c>
    </row>
    <row r="1646" spans="1:4" x14ac:dyDescent="0.35">
      <c r="A1646" s="5">
        <v>9065927</v>
      </c>
      <c r="B1646" s="6">
        <v>42941</v>
      </c>
      <c r="C1646" s="7">
        <v>0.3991898148148148</v>
      </c>
      <c r="D1646" s="8">
        <v>0.40934027777777776</v>
      </c>
    </row>
    <row r="1647" spans="1:4" x14ac:dyDescent="0.35">
      <c r="A1647" s="9">
        <v>8849918</v>
      </c>
      <c r="B1647" s="10">
        <v>42941</v>
      </c>
      <c r="C1647" s="11">
        <v>0.40263888888888888</v>
      </c>
      <c r="D1647" s="12">
        <v>0.40636574074074072</v>
      </c>
    </row>
    <row r="1648" spans="1:4" x14ac:dyDescent="0.35">
      <c r="A1648" s="5">
        <v>8250018</v>
      </c>
      <c r="B1648" s="6">
        <v>42941</v>
      </c>
      <c r="C1648" s="7">
        <v>0.40552083333333333</v>
      </c>
      <c r="D1648" s="8">
        <v>0.41104166666666669</v>
      </c>
    </row>
    <row r="1649" spans="1:4" x14ac:dyDescent="0.35">
      <c r="A1649" s="9">
        <v>20349502</v>
      </c>
      <c r="B1649" s="10">
        <v>42941</v>
      </c>
      <c r="C1649" s="11">
        <v>0.40979166666666667</v>
      </c>
      <c r="D1649" s="12">
        <v>0.41252314814814817</v>
      </c>
    </row>
    <row r="1650" spans="1:4" x14ac:dyDescent="0.35">
      <c r="A1650" s="5">
        <v>9894723</v>
      </c>
      <c r="B1650" s="6">
        <v>42941</v>
      </c>
      <c r="C1650" s="7">
        <v>0.40988425925925925</v>
      </c>
      <c r="D1650" s="8">
        <v>0.41157407407407409</v>
      </c>
    </row>
    <row r="1651" spans="1:4" x14ac:dyDescent="0.35">
      <c r="A1651" s="9">
        <v>9458504</v>
      </c>
      <c r="B1651" s="10">
        <v>42941</v>
      </c>
      <c r="C1651" s="11">
        <v>0.41054398148148147</v>
      </c>
      <c r="D1651" s="12">
        <v>0.41620370370370369</v>
      </c>
    </row>
    <row r="1652" spans="1:4" x14ac:dyDescent="0.35">
      <c r="A1652" s="5">
        <v>6741642</v>
      </c>
      <c r="B1652" s="6">
        <v>42941</v>
      </c>
      <c r="C1652" s="7">
        <v>0.41449074074074072</v>
      </c>
      <c r="D1652" s="8">
        <v>0.42371527777777779</v>
      </c>
    </row>
    <row r="1653" spans="1:4" x14ac:dyDescent="0.35">
      <c r="A1653" s="9">
        <v>4824710</v>
      </c>
      <c r="B1653" s="10">
        <v>42941</v>
      </c>
      <c r="C1653" s="11">
        <v>0.42008101851851853</v>
      </c>
      <c r="D1653" s="12">
        <v>0.4206597222222222</v>
      </c>
    </row>
    <row r="1654" spans="1:4" x14ac:dyDescent="0.35">
      <c r="A1654" s="5">
        <v>6465122</v>
      </c>
      <c r="B1654" s="6">
        <v>42941</v>
      </c>
      <c r="C1654" s="7">
        <v>0.42188657407407409</v>
      </c>
      <c r="D1654" s="8">
        <v>0.43138888888888888</v>
      </c>
    </row>
    <row r="1655" spans="1:4" x14ac:dyDescent="0.35">
      <c r="A1655" s="9">
        <v>6940373</v>
      </c>
      <c r="B1655" s="10">
        <v>42941</v>
      </c>
      <c r="C1655" s="11">
        <v>0.42711805555555554</v>
      </c>
      <c r="D1655" s="12">
        <v>0.43450231481481483</v>
      </c>
    </row>
    <row r="1656" spans="1:4" x14ac:dyDescent="0.35">
      <c r="A1656" s="5">
        <v>81613163</v>
      </c>
      <c r="B1656" s="6">
        <v>42941</v>
      </c>
      <c r="C1656" s="7">
        <v>0.43004629629629632</v>
      </c>
      <c r="D1656" s="8">
        <v>0.43855324074074076</v>
      </c>
    </row>
    <row r="1657" spans="1:4" x14ac:dyDescent="0.35">
      <c r="A1657" s="9">
        <v>9894998</v>
      </c>
      <c r="B1657" s="10">
        <v>42941</v>
      </c>
      <c r="C1657" s="11">
        <v>0.4344675925925926</v>
      </c>
      <c r="D1657" s="12">
        <v>0.44442129629629629</v>
      </c>
    </row>
    <row r="1658" spans="1:4" x14ac:dyDescent="0.35">
      <c r="A1658" s="5">
        <v>7663988</v>
      </c>
      <c r="B1658" s="6">
        <v>42941</v>
      </c>
      <c r="C1658" s="7">
        <v>0.43884259259259262</v>
      </c>
      <c r="D1658" s="8">
        <v>0.44464120370370369</v>
      </c>
    </row>
    <row r="1659" spans="1:4" x14ac:dyDescent="0.35">
      <c r="A1659" s="9">
        <v>29555837</v>
      </c>
      <c r="B1659" s="10">
        <v>42941</v>
      </c>
      <c r="C1659" s="11">
        <v>0.44231481481481483</v>
      </c>
      <c r="D1659" s="12">
        <v>0.45185185185185184</v>
      </c>
    </row>
    <row r="1660" spans="1:4" x14ac:dyDescent="0.35">
      <c r="A1660" s="5">
        <v>6890486</v>
      </c>
      <c r="B1660" s="6">
        <v>42941</v>
      </c>
      <c r="C1660" s="7">
        <v>0.44594907407407408</v>
      </c>
      <c r="D1660" s="8">
        <v>0.45099537037037035</v>
      </c>
    </row>
    <row r="1661" spans="1:4" x14ac:dyDescent="0.35">
      <c r="A1661" s="9">
        <v>1992079</v>
      </c>
      <c r="B1661" s="10">
        <v>42941</v>
      </c>
      <c r="C1661" s="11">
        <v>0.45004629629629628</v>
      </c>
      <c r="D1661" s="12">
        <v>0.45568287037037036</v>
      </c>
    </row>
    <row r="1662" spans="1:4" x14ac:dyDescent="0.35">
      <c r="A1662" s="5">
        <v>7599611</v>
      </c>
      <c r="B1662" s="6">
        <v>42941</v>
      </c>
      <c r="C1662" s="7">
        <v>0.45217592592592593</v>
      </c>
      <c r="D1662" s="8">
        <v>0.4568402777777778</v>
      </c>
    </row>
    <row r="1663" spans="1:4" x14ac:dyDescent="0.35">
      <c r="A1663" s="9">
        <v>1418351</v>
      </c>
      <c r="B1663" s="10">
        <v>42941</v>
      </c>
      <c r="C1663" s="11">
        <v>0.45377314814814818</v>
      </c>
      <c r="D1663" s="12">
        <v>0.45409722222222221</v>
      </c>
    </row>
    <row r="1664" spans="1:4" x14ac:dyDescent="0.35">
      <c r="A1664" s="5">
        <v>5883714</v>
      </c>
      <c r="B1664" s="6">
        <v>42941</v>
      </c>
      <c r="C1664" s="7">
        <v>0.45886574074074077</v>
      </c>
      <c r="D1664" s="8">
        <v>0.46630787037037036</v>
      </c>
    </row>
    <row r="1665" spans="1:4" x14ac:dyDescent="0.35">
      <c r="A1665" s="9">
        <v>1457083</v>
      </c>
      <c r="B1665" s="10">
        <v>42941</v>
      </c>
      <c r="C1665" s="11">
        <v>0.46381944444444445</v>
      </c>
      <c r="D1665" s="12">
        <v>0.47520833333333334</v>
      </c>
    </row>
    <row r="1666" spans="1:4" x14ac:dyDescent="0.35">
      <c r="A1666" s="5">
        <v>9948096</v>
      </c>
      <c r="B1666" s="6">
        <v>42941</v>
      </c>
      <c r="C1666" s="7">
        <v>0.46564814814814814</v>
      </c>
      <c r="D1666" s="8">
        <v>0.47028935185185183</v>
      </c>
    </row>
    <row r="1667" spans="1:4" x14ac:dyDescent="0.35">
      <c r="A1667" s="9">
        <v>2567031</v>
      </c>
      <c r="B1667" s="10">
        <v>42941</v>
      </c>
      <c r="C1667" s="11">
        <v>0.47077546296296297</v>
      </c>
      <c r="D1667" s="12">
        <v>0.47538194444444443</v>
      </c>
    </row>
    <row r="1668" spans="1:4" x14ac:dyDescent="0.35">
      <c r="A1668" s="5">
        <v>5952625</v>
      </c>
      <c r="B1668" s="6">
        <v>42941</v>
      </c>
      <c r="C1668" s="7">
        <v>0.4729976851851852</v>
      </c>
      <c r="D1668" s="8">
        <v>0.47553240740740743</v>
      </c>
    </row>
    <row r="1669" spans="1:4" x14ac:dyDescent="0.35">
      <c r="A1669" s="9">
        <v>8284495</v>
      </c>
      <c r="B1669" s="10">
        <v>42941</v>
      </c>
      <c r="C1669" s="11">
        <v>0.47385416666666669</v>
      </c>
      <c r="D1669" s="12">
        <v>0.47505787037037039</v>
      </c>
    </row>
    <row r="1670" spans="1:4" x14ac:dyDescent="0.35">
      <c r="A1670" s="5">
        <v>5354141</v>
      </c>
      <c r="B1670" s="6">
        <v>42941</v>
      </c>
      <c r="C1670" s="7">
        <v>0.47591435185185182</v>
      </c>
      <c r="D1670" s="8">
        <v>0.47734953703703703</v>
      </c>
    </row>
    <row r="1671" spans="1:4" x14ac:dyDescent="0.35">
      <c r="A1671" s="9">
        <v>5713477</v>
      </c>
      <c r="B1671" s="10">
        <v>42941</v>
      </c>
      <c r="C1671" s="11">
        <v>0.4770138888888889</v>
      </c>
      <c r="D1671" s="12">
        <v>0.48685185185185187</v>
      </c>
    </row>
    <row r="1672" spans="1:4" x14ac:dyDescent="0.35">
      <c r="A1672" s="5">
        <v>6865322</v>
      </c>
      <c r="B1672" s="6">
        <v>42941</v>
      </c>
      <c r="C1672" s="7">
        <v>0.47781249999999997</v>
      </c>
      <c r="D1672" s="8">
        <v>0.48425925925925928</v>
      </c>
    </row>
    <row r="1673" spans="1:4" x14ac:dyDescent="0.35">
      <c r="A1673" s="9">
        <v>9007177570</v>
      </c>
      <c r="B1673" s="10">
        <v>42941</v>
      </c>
      <c r="C1673" s="11">
        <v>0.47957175925925927</v>
      </c>
      <c r="D1673" s="12">
        <v>0.48254629629629631</v>
      </c>
    </row>
    <row r="1674" spans="1:4" x14ac:dyDescent="0.35">
      <c r="A1674" s="5">
        <v>49920930</v>
      </c>
      <c r="B1674" s="6">
        <v>42941</v>
      </c>
      <c r="C1674" s="7">
        <v>0.48457175925925927</v>
      </c>
      <c r="D1674" s="8">
        <v>0.48851851851851852</v>
      </c>
    </row>
    <row r="1675" spans="1:4" x14ac:dyDescent="0.35">
      <c r="A1675" s="9">
        <v>3624713</v>
      </c>
      <c r="B1675" s="10">
        <v>42941</v>
      </c>
      <c r="C1675" s="11">
        <v>0.48563657407407407</v>
      </c>
      <c r="D1675" s="12">
        <v>0.49687500000000001</v>
      </c>
    </row>
    <row r="1676" spans="1:4" x14ac:dyDescent="0.35">
      <c r="A1676" s="5">
        <v>39848401</v>
      </c>
      <c r="B1676" s="6">
        <v>42941</v>
      </c>
      <c r="C1676" s="7">
        <v>0.48615740740740743</v>
      </c>
      <c r="D1676" s="8">
        <v>0.49478009259259259</v>
      </c>
    </row>
    <row r="1677" spans="1:4" x14ac:dyDescent="0.35">
      <c r="A1677" s="9">
        <v>4131448</v>
      </c>
      <c r="B1677" s="10">
        <v>42941</v>
      </c>
      <c r="C1677" s="11">
        <v>0.48975694444444445</v>
      </c>
      <c r="D1677" s="12">
        <v>0.49530092592592595</v>
      </c>
    </row>
    <row r="1678" spans="1:4" x14ac:dyDescent="0.35">
      <c r="A1678" s="5">
        <v>2239958</v>
      </c>
      <c r="B1678" s="6">
        <v>42941</v>
      </c>
      <c r="C1678" s="7">
        <v>0.49523148148148149</v>
      </c>
      <c r="D1678" s="8">
        <v>0.49962962962962965</v>
      </c>
    </row>
    <row r="1679" spans="1:4" x14ac:dyDescent="0.35">
      <c r="A1679" s="9">
        <v>3680149</v>
      </c>
      <c r="B1679" s="10">
        <v>42941</v>
      </c>
      <c r="C1679" s="11">
        <v>0.49556712962962962</v>
      </c>
      <c r="D1679" s="12">
        <v>0.49927083333333333</v>
      </c>
    </row>
    <row r="1680" spans="1:4" x14ac:dyDescent="0.35">
      <c r="A1680" s="5">
        <v>3654212</v>
      </c>
      <c r="B1680" s="6">
        <v>42941</v>
      </c>
      <c r="C1680" s="7">
        <v>0.49739583333333331</v>
      </c>
      <c r="D1680" s="8">
        <v>0.49787037037037035</v>
      </c>
    </row>
    <row r="1681" spans="1:4" x14ac:dyDescent="0.35">
      <c r="A1681" s="9">
        <v>3192053</v>
      </c>
      <c r="B1681" s="10">
        <v>42941</v>
      </c>
      <c r="C1681" s="11">
        <v>0.49796296296296294</v>
      </c>
      <c r="D1681" s="12">
        <v>0.5053009259259259</v>
      </c>
    </row>
    <row r="1682" spans="1:4" x14ac:dyDescent="0.35">
      <c r="A1682" s="5">
        <v>2355456</v>
      </c>
      <c r="B1682" s="6">
        <v>42941</v>
      </c>
      <c r="C1682" s="7">
        <v>0.50027777777777782</v>
      </c>
      <c r="D1682" s="8">
        <v>0.50983796296296291</v>
      </c>
    </row>
    <row r="1683" spans="1:4" x14ac:dyDescent="0.35">
      <c r="A1683" s="9">
        <v>64932677</v>
      </c>
      <c r="B1683" s="10">
        <v>42941</v>
      </c>
      <c r="C1683" s="11">
        <v>0.50436342592592598</v>
      </c>
      <c r="D1683" s="12">
        <v>0.51339120370370372</v>
      </c>
    </row>
    <row r="1684" spans="1:4" x14ac:dyDescent="0.35">
      <c r="A1684" s="5">
        <v>9419117</v>
      </c>
      <c r="B1684" s="6">
        <v>42941</v>
      </c>
      <c r="C1684" s="7">
        <v>0.50545138888888885</v>
      </c>
      <c r="D1684" s="8">
        <v>0.50761574074074078</v>
      </c>
    </row>
    <row r="1685" spans="1:4" x14ac:dyDescent="0.35">
      <c r="A1685" s="9">
        <v>2509631</v>
      </c>
      <c r="B1685" s="10">
        <v>42941</v>
      </c>
      <c r="C1685" s="11">
        <v>0.51025462962962964</v>
      </c>
      <c r="D1685" s="12">
        <v>0.52134259259259264</v>
      </c>
    </row>
    <row r="1686" spans="1:4" x14ac:dyDescent="0.35">
      <c r="A1686" s="5">
        <v>4505950</v>
      </c>
      <c r="B1686" s="6">
        <v>42941</v>
      </c>
      <c r="C1686" s="7">
        <v>0.51373842592592589</v>
      </c>
      <c r="D1686" s="8">
        <v>0.52304398148148146</v>
      </c>
    </row>
    <row r="1687" spans="1:4" x14ac:dyDescent="0.35">
      <c r="A1687" s="9">
        <v>39663331</v>
      </c>
      <c r="B1687" s="10">
        <v>42941</v>
      </c>
      <c r="C1687" s="11">
        <v>0.51447916666666671</v>
      </c>
      <c r="D1687" s="12">
        <v>0.51800925925925922</v>
      </c>
    </row>
    <row r="1688" spans="1:4" x14ac:dyDescent="0.35">
      <c r="A1688" s="5">
        <v>73350537</v>
      </c>
      <c r="B1688" s="6">
        <v>42941</v>
      </c>
      <c r="C1688" s="7">
        <v>0.51847222222222222</v>
      </c>
      <c r="D1688" s="8">
        <v>0.5267708333333333</v>
      </c>
    </row>
    <row r="1689" spans="1:4" x14ac:dyDescent="0.35">
      <c r="A1689" s="9">
        <v>36929553</v>
      </c>
      <c r="B1689" s="10">
        <v>42941</v>
      </c>
      <c r="C1689" s="11">
        <v>0.52155092592592589</v>
      </c>
      <c r="D1689" s="12">
        <v>0.52667824074074077</v>
      </c>
    </row>
    <row r="1690" spans="1:4" x14ac:dyDescent="0.35">
      <c r="A1690" s="5">
        <v>74135093</v>
      </c>
      <c r="B1690" s="6">
        <v>42941</v>
      </c>
      <c r="C1690" s="7">
        <v>0.52232638888888894</v>
      </c>
      <c r="D1690" s="8">
        <v>0.52666666666666662</v>
      </c>
    </row>
    <row r="1691" spans="1:4" x14ac:dyDescent="0.35">
      <c r="A1691" s="9">
        <v>3505978</v>
      </c>
      <c r="B1691" s="10">
        <v>42941</v>
      </c>
      <c r="C1691" s="11">
        <v>0.52393518518518523</v>
      </c>
      <c r="D1691" s="12">
        <v>0.53479166666666667</v>
      </c>
    </row>
    <row r="1692" spans="1:4" x14ac:dyDescent="0.35">
      <c r="A1692" s="5">
        <v>4483996</v>
      </c>
      <c r="B1692" s="6">
        <v>42941</v>
      </c>
      <c r="C1692" s="7">
        <v>0.52584490740740741</v>
      </c>
      <c r="D1692" s="8">
        <v>0.53660879629629632</v>
      </c>
    </row>
    <row r="1693" spans="1:4" x14ac:dyDescent="0.35">
      <c r="A1693" s="9">
        <v>6264844</v>
      </c>
      <c r="B1693" s="10">
        <v>42941</v>
      </c>
      <c r="C1693" s="11">
        <v>0.52655092592592589</v>
      </c>
      <c r="D1693" s="12">
        <v>0.52703703703703708</v>
      </c>
    </row>
    <row r="1694" spans="1:4" x14ac:dyDescent="0.35">
      <c r="A1694" s="5">
        <v>92127966</v>
      </c>
      <c r="B1694" s="6">
        <v>42941</v>
      </c>
      <c r="C1694" s="7">
        <v>0.5317708333333333</v>
      </c>
      <c r="D1694" s="8">
        <v>0.53724537037037035</v>
      </c>
    </row>
    <row r="1695" spans="1:4" x14ac:dyDescent="0.35">
      <c r="A1695" s="9">
        <v>7353916</v>
      </c>
      <c r="B1695" s="10">
        <v>42941</v>
      </c>
      <c r="C1695" s="11">
        <v>0.53456018518518522</v>
      </c>
      <c r="D1695" s="12">
        <v>0.53718750000000004</v>
      </c>
    </row>
    <row r="1696" spans="1:4" x14ac:dyDescent="0.35">
      <c r="A1696" s="5">
        <v>5440420</v>
      </c>
      <c r="B1696" s="6">
        <v>42941</v>
      </c>
      <c r="C1696" s="7">
        <v>0.53535879629629635</v>
      </c>
      <c r="D1696" s="8">
        <v>0.54219907407407408</v>
      </c>
    </row>
    <row r="1697" spans="1:4" x14ac:dyDescent="0.35">
      <c r="A1697" s="9">
        <v>8840288</v>
      </c>
      <c r="B1697" s="10">
        <v>42941</v>
      </c>
      <c r="C1697" s="11">
        <v>0.53964120370370372</v>
      </c>
      <c r="D1697" s="12">
        <v>0.54101851851851857</v>
      </c>
    </row>
    <row r="1698" spans="1:4" x14ac:dyDescent="0.35">
      <c r="A1698" s="5">
        <v>9007177570</v>
      </c>
      <c r="B1698" s="6">
        <v>42941</v>
      </c>
      <c r="C1698" s="7">
        <v>0.54324074074074069</v>
      </c>
      <c r="D1698" s="8">
        <v>0.54956018518518523</v>
      </c>
    </row>
    <row r="1699" spans="1:4" x14ac:dyDescent="0.35">
      <c r="A1699" s="9">
        <v>24850212</v>
      </c>
      <c r="B1699" s="10">
        <v>42941</v>
      </c>
      <c r="C1699" s="11">
        <v>0.54350694444444447</v>
      </c>
      <c r="D1699" s="12">
        <v>0.54767361111111112</v>
      </c>
    </row>
    <row r="1700" spans="1:4" x14ac:dyDescent="0.35">
      <c r="A1700" s="5">
        <v>7857206</v>
      </c>
      <c r="B1700" s="6">
        <v>42941</v>
      </c>
      <c r="C1700" s="7">
        <v>0.54858796296296297</v>
      </c>
      <c r="D1700" s="8">
        <v>0.55077546296296298</v>
      </c>
    </row>
    <row r="1701" spans="1:4" x14ac:dyDescent="0.35">
      <c r="A1701" s="9">
        <v>9007177570</v>
      </c>
      <c r="B1701" s="10">
        <v>42941</v>
      </c>
      <c r="C1701" s="11">
        <v>0.5519560185185185</v>
      </c>
      <c r="D1701" s="12">
        <v>0.55625000000000002</v>
      </c>
    </row>
    <row r="1702" spans="1:4" x14ac:dyDescent="0.35">
      <c r="A1702" s="5">
        <v>96375379</v>
      </c>
      <c r="B1702" s="6">
        <v>42941</v>
      </c>
      <c r="C1702" s="7">
        <v>0.55320601851851847</v>
      </c>
      <c r="D1702" s="8">
        <v>0.55569444444444449</v>
      </c>
    </row>
    <row r="1703" spans="1:4" x14ac:dyDescent="0.35">
      <c r="A1703" s="9">
        <v>6146223</v>
      </c>
      <c r="B1703" s="10">
        <v>42941</v>
      </c>
      <c r="C1703" s="11">
        <v>0.55517361111111108</v>
      </c>
      <c r="D1703" s="12">
        <v>0.56013888888888885</v>
      </c>
    </row>
    <row r="1704" spans="1:4" x14ac:dyDescent="0.35">
      <c r="A1704" s="5">
        <v>7119239917</v>
      </c>
      <c r="B1704" s="6">
        <v>42941</v>
      </c>
      <c r="C1704" s="7">
        <v>0.56033564814814818</v>
      </c>
      <c r="D1704" s="8">
        <v>0.56570601851851854</v>
      </c>
    </row>
    <row r="1705" spans="1:4" x14ac:dyDescent="0.35">
      <c r="A1705" s="9">
        <v>8622421</v>
      </c>
      <c r="B1705" s="10">
        <v>42941</v>
      </c>
      <c r="C1705" s="11">
        <v>0.56459490740740736</v>
      </c>
      <c r="D1705" s="12">
        <v>0.56638888888888894</v>
      </c>
    </row>
    <row r="1706" spans="1:4" x14ac:dyDescent="0.35">
      <c r="A1706" s="5">
        <v>2304726</v>
      </c>
      <c r="B1706" s="6">
        <v>42941</v>
      </c>
      <c r="C1706" s="7">
        <v>0.56620370370370365</v>
      </c>
      <c r="D1706" s="8">
        <v>0.57226851851851857</v>
      </c>
    </row>
    <row r="1707" spans="1:4" x14ac:dyDescent="0.35">
      <c r="A1707" s="9">
        <v>9183185</v>
      </c>
      <c r="B1707" s="10">
        <v>42941</v>
      </c>
      <c r="C1707" s="11">
        <v>0.56643518518518521</v>
      </c>
      <c r="D1707" s="12">
        <v>0.5687268518518519</v>
      </c>
    </row>
    <row r="1708" spans="1:4" x14ac:dyDescent="0.35">
      <c r="A1708" s="5">
        <v>2185216</v>
      </c>
      <c r="B1708" s="6">
        <v>42941</v>
      </c>
      <c r="C1708" s="7">
        <v>0.56959490740740737</v>
      </c>
      <c r="D1708" s="8">
        <v>0.57927083333333329</v>
      </c>
    </row>
    <row r="1709" spans="1:4" x14ac:dyDescent="0.35">
      <c r="A1709" s="9">
        <v>9664191</v>
      </c>
      <c r="B1709" s="10">
        <v>42941</v>
      </c>
      <c r="C1709" s="11">
        <v>0.56974537037037032</v>
      </c>
      <c r="D1709" s="12">
        <v>0.57015046296296301</v>
      </c>
    </row>
    <row r="1710" spans="1:4" x14ac:dyDescent="0.35">
      <c r="A1710" s="5">
        <v>8743781</v>
      </c>
      <c r="B1710" s="6">
        <v>42941</v>
      </c>
      <c r="C1710" s="7">
        <v>0.57284722222222217</v>
      </c>
      <c r="D1710" s="8">
        <v>0.58149305555555553</v>
      </c>
    </row>
    <row r="1711" spans="1:4" x14ac:dyDescent="0.35">
      <c r="A1711" s="9">
        <v>97997759</v>
      </c>
      <c r="B1711" s="10">
        <v>42941</v>
      </c>
      <c r="C1711" s="11">
        <v>0.57335648148148144</v>
      </c>
      <c r="D1711" s="12">
        <v>0.5735069444444445</v>
      </c>
    </row>
    <row r="1712" spans="1:4" x14ac:dyDescent="0.35">
      <c r="A1712" s="5">
        <v>4100331</v>
      </c>
      <c r="B1712" s="6">
        <v>42941</v>
      </c>
      <c r="C1712" s="7">
        <v>0.57863425925925926</v>
      </c>
      <c r="D1712" s="8">
        <v>0.58030092592592597</v>
      </c>
    </row>
    <row r="1713" spans="1:4" x14ac:dyDescent="0.35">
      <c r="A1713" s="9">
        <v>7215284</v>
      </c>
      <c r="B1713" s="10">
        <v>42941</v>
      </c>
      <c r="C1713" s="11">
        <v>0.57974537037037033</v>
      </c>
      <c r="D1713" s="12">
        <v>0.59083333333333332</v>
      </c>
    </row>
    <row r="1714" spans="1:4" x14ac:dyDescent="0.35">
      <c r="A1714" s="5">
        <v>9474267</v>
      </c>
      <c r="B1714" s="6">
        <v>42941</v>
      </c>
      <c r="C1714" s="7">
        <v>0.58423611111111107</v>
      </c>
      <c r="D1714" s="8">
        <v>0.59392361111111114</v>
      </c>
    </row>
    <row r="1715" spans="1:4" x14ac:dyDescent="0.35">
      <c r="A1715" s="9">
        <v>3200206</v>
      </c>
      <c r="B1715" s="10">
        <v>42941</v>
      </c>
      <c r="C1715" s="11">
        <v>0.58784722222222219</v>
      </c>
      <c r="D1715" s="12">
        <v>0.59894675925925922</v>
      </c>
    </row>
    <row r="1716" spans="1:4" x14ac:dyDescent="0.35">
      <c r="A1716" s="5">
        <v>72014227</v>
      </c>
      <c r="B1716" s="6">
        <v>42941</v>
      </c>
      <c r="C1716" s="7">
        <v>0.58899305555555559</v>
      </c>
      <c r="D1716" s="8">
        <v>0.59116898148148145</v>
      </c>
    </row>
    <row r="1717" spans="1:4" x14ac:dyDescent="0.35">
      <c r="A1717" s="9">
        <v>3976931</v>
      </c>
      <c r="B1717" s="10">
        <v>42941</v>
      </c>
      <c r="C1717" s="11">
        <v>0.59350694444444441</v>
      </c>
      <c r="D1717" s="12">
        <v>0.59811342592592598</v>
      </c>
    </row>
    <row r="1718" spans="1:4" x14ac:dyDescent="0.35">
      <c r="A1718" s="5">
        <v>6717763</v>
      </c>
      <c r="B1718" s="6">
        <v>42941</v>
      </c>
      <c r="C1718" s="7">
        <v>0.596099537037037</v>
      </c>
      <c r="D1718" s="8">
        <v>0.60069444444444442</v>
      </c>
    </row>
    <row r="1719" spans="1:4" x14ac:dyDescent="0.35">
      <c r="A1719" s="9">
        <v>2117176</v>
      </c>
      <c r="B1719" s="10">
        <v>42941</v>
      </c>
      <c r="C1719" s="11">
        <v>0.5995138888888889</v>
      </c>
      <c r="D1719" s="12">
        <v>0.60322916666666671</v>
      </c>
    </row>
    <row r="1720" spans="1:4" x14ac:dyDescent="0.35">
      <c r="A1720" s="5">
        <v>67688044</v>
      </c>
      <c r="B1720" s="6">
        <v>42941</v>
      </c>
      <c r="C1720" s="7">
        <v>0.60341435185185188</v>
      </c>
      <c r="D1720" s="8">
        <v>0.60423611111111108</v>
      </c>
    </row>
    <row r="1721" spans="1:4" x14ac:dyDescent="0.35">
      <c r="A1721" s="9">
        <v>3824371</v>
      </c>
      <c r="B1721" s="10">
        <v>42941</v>
      </c>
      <c r="C1721" s="11">
        <v>0.60442129629629626</v>
      </c>
      <c r="D1721" s="12">
        <v>0.61266203703703703</v>
      </c>
    </row>
    <row r="1722" spans="1:4" x14ac:dyDescent="0.35">
      <c r="A1722" s="5">
        <v>3025855</v>
      </c>
      <c r="B1722" s="6">
        <v>42941</v>
      </c>
      <c r="C1722" s="7">
        <v>0.60601851851851851</v>
      </c>
      <c r="D1722" s="8">
        <v>0.60782407407407413</v>
      </c>
    </row>
    <row r="1723" spans="1:4" x14ac:dyDescent="0.35">
      <c r="A1723" s="9">
        <v>8773356</v>
      </c>
      <c r="B1723" s="10">
        <v>42941</v>
      </c>
      <c r="C1723" s="11">
        <v>0.60879629629629628</v>
      </c>
      <c r="D1723" s="12">
        <v>0.61106481481481478</v>
      </c>
    </row>
    <row r="1724" spans="1:4" x14ac:dyDescent="0.35">
      <c r="A1724" s="5">
        <v>1211446</v>
      </c>
      <c r="B1724" s="6">
        <v>42941</v>
      </c>
      <c r="C1724" s="7">
        <v>0.61202546296296301</v>
      </c>
      <c r="D1724" s="8">
        <v>0.62135416666666665</v>
      </c>
    </row>
    <row r="1725" spans="1:4" x14ac:dyDescent="0.35">
      <c r="A1725" s="9">
        <v>3607585</v>
      </c>
      <c r="B1725" s="10">
        <v>42941</v>
      </c>
      <c r="C1725" s="11">
        <v>0.61460648148148145</v>
      </c>
      <c r="D1725" s="12">
        <v>0.62116898148148147</v>
      </c>
    </row>
    <row r="1726" spans="1:4" x14ac:dyDescent="0.35">
      <c r="A1726" s="5">
        <v>5492379</v>
      </c>
      <c r="B1726" s="6">
        <v>42941</v>
      </c>
      <c r="C1726" s="7">
        <v>0.61895833333333339</v>
      </c>
      <c r="D1726" s="8">
        <v>0.61971064814814814</v>
      </c>
    </row>
    <row r="1727" spans="1:4" x14ac:dyDescent="0.35">
      <c r="A1727" s="9">
        <v>84589848</v>
      </c>
      <c r="B1727" s="10">
        <v>42941</v>
      </c>
      <c r="C1727" s="11">
        <v>0.61971064814814814</v>
      </c>
      <c r="D1727" s="12">
        <v>0.62334490740740744</v>
      </c>
    </row>
    <row r="1728" spans="1:4" x14ac:dyDescent="0.35">
      <c r="A1728" s="5">
        <v>7622848</v>
      </c>
      <c r="B1728" s="6">
        <v>42941</v>
      </c>
      <c r="C1728" s="7">
        <v>0.62008101851851849</v>
      </c>
      <c r="D1728" s="8">
        <v>0.62776620370370373</v>
      </c>
    </row>
    <row r="1729" spans="1:4" x14ac:dyDescent="0.35">
      <c r="A1729" s="9">
        <v>7883595</v>
      </c>
      <c r="B1729" s="10">
        <v>42941</v>
      </c>
      <c r="C1729" s="11">
        <v>0.62149305555555556</v>
      </c>
      <c r="D1729" s="12">
        <v>0.624537037037037</v>
      </c>
    </row>
    <row r="1730" spans="1:4" x14ac:dyDescent="0.35">
      <c r="A1730" s="5">
        <v>4804872</v>
      </c>
      <c r="B1730" s="6">
        <v>42941</v>
      </c>
      <c r="C1730" s="7">
        <v>0.62472222222222218</v>
      </c>
      <c r="D1730" s="8">
        <v>0.6360069444444445</v>
      </c>
    </row>
    <row r="1731" spans="1:4" x14ac:dyDescent="0.35">
      <c r="A1731" s="9">
        <v>61812355</v>
      </c>
      <c r="B1731" s="10">
        <v>42941</v>
      </c>
      <c r="C1731" s="11">
        <v>0.6292592592592593</v>
      </c>
      <c r="D1731" s="12">
        <v>0.63806712962962964</v>
      </c>
    </row>
    <row r="1732" spans="1:4" x14ac:dyDescent="0.35">
      <c r="A1732" s="5">
        <v>6493766</v>
      </c>
      <c r="B1732" s="6">
        <v>42942</v>
      </c>
      <c r="C1732" s="7">
        <v>0.33584490740740741</v>
      </c>
      <c r="D1732" s="8">
        <v>0.33677083333333335</v>
      </c>
    </row>
    <row r="1733" spans="1:4" x14ac:dyDescent="0.35">
      <c r="A1733" s="9">
        <v>4965118</v>
      </c>
      <c r="B1733" s="10">
        <v>42942</v>
      </c>
      <c r="C1733" s="11">
        <v>0.33710648148148148</v>
      </c>
      <c r="D1733" s="12">
        <v>0.34759259259259262</v>
      </c>
    </row>
    <row r="1734" spans="1:4" x14ac:dyDescent="0.35">
      <c r="A1734" s="5">
        <v>7973476</v>
      </c>
      <c r="B1734" s="6">
        <v>42942</v>
      </c>
      <c r="C1734" s="7">
        <v>0.34250000000000003</v>
      </c>
      <c r="D1734" s="8">
        <v>0.35003472222222221</v>
      </c>
    </row>
    <row r="1735" spans="1:4" x14ac:dyDescent="0.35">
      <c r="A1735" s="9">
        <v>6642574</v>
      </c>
      <c r="B1735" s="10">
        <v>42942</v>
      </c>
      <c r="C1735" s="11">
        <v>0.34575231481481483</v>
      </c>
      <c r="D1735" s="12">
        <v>0.35645833333333332</v>
      </c>
    </row>
    <row r="1736" spans="1:4" x14ac:dyDescent="0.35">
      <c r="A1736" s="5">
        <v>2325155</v>
      </c>
      <c r="B1736" s="6">
        <v>42942</v>
      </c>
      <c r="C1736" s="7">
        <v>0.34759259259259262</v>
      </c>
      <c r="D1736" s="8">
        <v>0.35511574074074076</v>
      </c>
    </row>
    <row r="1737" spans="1:4" x14ac:dyDescent="0.35">
      <c r="A1737" s="9">
        <v>1340323</v>
      </c>
      <c r="B1737" s="10">
        <v>42942</v>
      </c>
      <c r="C1737" s="11">
        <v>0.34994212962962962</v>
      </c>
      <c r="D1737" s="12">
        <v>0.35781249999999998</v>
      </c>
    </row>
    <row r="1738" spans="1:4" x14ac:dyDescent="0.35">
      <c r="A1738" s="5">
        <v>8957203</v>
      </c>
      <c r="B1738" s="6">
        <v>42942</v>
      </c>
      <c r="C1738" s="7">
        <v>0.35454861111111113</v>
      </c>
      <c r="D1738" s="8">
        <v>0.3629398148148148</v>
      </c>
    </row>
    <row r="1739" spans="1:4" x14ac:dyDescent="0.35">
      <c r="A1739" s="9">
        <v>8276893</v>
      </c>
      <c r="B1739" s="10">
        <v>42942</v>
      </c>
      <c r="C1739" s="11">
        <v>0.3590740740740741</v>
      </c>
      <c r="D1739" s="12">
        <v>0.36600694444444443</v>
      </c>
    </row>
    <row r="1740" spans="1:4" x14ac:dyDescent="0.35">
      <c r="A1740" s="5">
        <v>7894591002</v>
      </c>
      <c r="B1740" s="6">
        <v>42942</v>
      </c>
      <c r="C1740" s="7">
        <v>0.36476851851851849</v>
      </c>
      <c r="D1740" s="8">
        <v>0.37505787037037036</v>
      </c>
    </row>
    <row r="1741" spans="1:4" x14ac:dyDescent="0.35">
      <c r="A1741" s="9">
        <v>26891502</v>
      </c>
      <c r="B1741" s="10">
        <v>42942</v>
      </c>
      <c r="C1741" s="11">
        <v>0.3697685185185185</v>
      </c>
      <c r="D1741" s="12">
        <v>0.37656250000000002</v>
      </c>
    </row>
    <row r="1742" spans="1:4" x14ac:dyDescent="0.35">
      <c r="A1742" s="5">
        <v>71021004</v>
      </c>
      <c r="B1742" s="6">
        <v>42942</v>
      </c>
      <c r="C1742" s="7">
        <v>0.37305555555555553</v>
      </c>
      <c r="D1742" s="8">
        <v>0.38090277777777776</v>
      </c>
    </row>
    <row r="1743" spans="1:4" x14ac:dyDescent="0.35">
      <c r="A1743" s="9">
        <v>17314583</v>
      </c>
      <c r="B1743" s="10">
        <v>42942</v>
      </c>
      <c r="C1743" s="11">
        <v>0.37843749999999998</v>
      </c>
      <c r="D1743" s="12">
        <v>0.38879629629629631</v>
      </c>
    </row>
    <row r="1744" spans="1:4" x14ac:dyDescent="0.35">
      <c r="A1744" s="5">
        <v>3972159</v>
      </c>
      <c r="B1744" s="6">
        <v>42942</v>
      </c>
      <c r="C1744" s="7">
        <v>0.37895833333333334</v>
      </c>
      <c r="D1744" s="8">
        <v>0.38263888888888886</v>
      </c>
    </row>
    <row r="1745" spans="1:4" x14ac:dyDescent="0.35">
      <c r="A1745" s="9">
        <v>94989369</v>
      </c>
      <c r="B1745" s="10">
        <v>42942</v>
      </c>
      <c r="C1745" s="11">
        <v>0.37965277777777778</v>
      </c>
      <c r="D1745" s="12">
        <v>0.39068287037037036</v>
      </c>
    </row>
    <row r="1746" spans="1:4" x14ac:dyDescent="0.35">
      <c r="A1746" s="5">
        <v>4857453</v>
      </c>
      <c r="B1746" s="6">
        <v>42942</v>
      </c>
      <c r="C1746" s="7">
        <v>0.38013888888888892</v>
      </c>
      <c r="D1746" s="8">
        <v>0.385625</v>
      </c>
    </row>
    <row r="1747" spans="1:4" x14ac:dyDescent="0.35">
      <c r="A1747" s="9">
        <v>7980513</v>
      </c>
      <c r="B1747" s="10">
        <v>42942</v>
      </c>
      <c r="C1747" s="11">
        <v>0.38197916666666665</v>
      </c>
      <c r="D1747" s="12">
        <v>0.38288194444444446</v>
      </c>
    </row>
    <row r="1748" spans="1:4" x14ac:dyDescent="0.35">
      <c r="A1748" s="5">
        <v>6896175</v>
      </c>
      <c r="B1748" s="6">
        <v>42942</v>
      </c>
      <c r="C1748" s="7">
        <v>0.38309027777777777</v>
      </c>
      <c r="D1748" s="8">
        <v>0.38425925925925924</v>
      </c>
    </row>
    <row r="1749" spans="1:4" x14ac:dyDescent="0.35">
      <c r="A1749" s="9">
        <v>1689993</v>
      </c>
      <c r="B1749" s="10">
        <v>42942</v>
      </c>
      <c r="C1749" s="11">
        <v>0.38337962962962963</v>
      </c>
      <c r="D1749" s="12">
        <v>0.38748842592592592</v>
      </c>
    </row>
    <row r="1750" spans="1:4" x14ac:dyDescent="0.35">
      <c r="A1750" s="5">
        <v>1183006</v>
      </c>
      <c r="B1750" s="6">
        <v>42942</v>
      </c>
      <c r="C1750" s="7">
        <v>0.38601851851851854</v>
      </c>
      <c r="D1750" s="8">
        <v>0.39283564814814814</v>
      </c>
    </row>
    <row r="1751" spans="1:4" x14ac:dyDescent="0.35">
      <c r="A1751" s="9">
        <v>9446278</v>
      </c>
      <c r="B1751" s="10">
        <v>42942</v>
      </c>
      <c r="C1751" s="11">
        <v>0.38871527777777776</v>
      </c>
      <c r="D1751" s="12">
        <v>0.38982638888888888</v>
      </c>
    </row>
    <row r="1752" spans="1:4" x14ac:dyDescent="0.35">
      <c r="A1752" s="5">
        <v>2445944</v>
      </c>
      <c r="B1752" s="6">
        <v>42942</v>
      </c>
      <c r="C1752" s="7">
        <v>0.3895601851851852</v>
      </c>
      <c r="D1752" s="8">
        <v>0.39548611111111109</v>
      </c>
    </row>
    <row r="1753" spans="1:4" x14ac:dyDescent="0.35">
      <c r="A1753" s="9">
        <v>4404713</v>
      </c>
      <c r="B1753" s="10">
        <v>42942</v>
      </c>
      <c r="C1753" s="11">
        <v>0.39533564814814814</v>
      </c>
      <c r="D1753" s="12">
        <v>0.39599537037037036</v>
      </c>
    </row>
    <row r="1754" spans="1:4" x14ac:dyDescent="0.35">
      <c r="A1754" s="5">
        <v>6495153</v>
      </c>
      <c r="B1754" s="6">
        <v>42942</v>
      </c>
      <c r="C1754" s="7">
        <v>0.4001736111111111</v>
      </c>
      <c r="D1754" s="8">
        <v>0.40406249999999999</v>
      </c>
    </row>
    <row r="1755" spans="1:4" x14ac:dyDescent="0.35">
      <c r="A1755" s="9">
        <v>2684831</v>
      </c>
      <c r="B1755" s="10">
        <v>42942</v>
      </c>
      <c r="C1755" s="11">
        <v>0.40130787037037036</v>
      </c>
      <c r="D1755" s="12">
        <v>0.40658564814814813</v>
      </c>
    </row>
    <row r="1756" spans="1:4" x14ac:dyDescent="0.35">
      <c r="A1756" s="5">
        <v>8748493</v>
      </c>
      <c r="B1756" s="6">
        <v>42942</v>
      </c>
      <c r="C1756" s="7">
        <v>0.40415509259259258</v>
      </c>
      <c r="D1756" s="8">
        <v>0.40443287037037035</v>
      </c>
    </row>
    <row r="1757" spans="1:4" x14ac:dyDescent="0.35">
      <c r="A1757" s="9">
        <v>7230252</v>
      </c>
      <c r="B1757" s="10">
        <v>42942</v>
      </c>
      <c r="C1757" s="11">
        <v>0.40771990740740743</v>
      </c>
      <c r="D1757" s="12">
        <v>0.41290509259259262</v>
      </c>
    </row>
    <row r="1758" spans="1:4" x14ac:dyDescent="0.35">
      <c r="A1758" s="5">
        <v>5082463</v>
      </c>
      <c r="B1758" s="6">
        <v>42942</v>
      </c>
      <c r="C1758" s="7">
        <v>0.41269675925925925</v>
      </c>
      <c r="D1758" s="8">
        <v>0.42046296296296298</v>
      </c>
    </row>
    <row r="1759" spans="1:4" x14ac:dyDescent="0.35">
      <c r="A1759" s="9">
        <v>1830054</v>
      </c>
      <c r="B1759" s="10">
        <v>42942</v>
      </c>
      <c r="C1759" s="11">
        <v>0.41390046296296296</v>
      </c>
      <c r="D1759" s="12">
        <v>0.42016203703703703</v>
      </c>
    </row>
    <row r="1760" spans="1:4" x14ac:dyDescent="0.35">
      <c r="A1760" s="5">
        <v>5223970</v>
      </c>
      <c r="B1760" s="6">
        <v>42942</v>
      </c>
      <c r="C1760" s="7">
        <v>0.41413194444444446</v>
      </c>
      <c r="D1760" s="8">
        <v>0.41684027777777777</v>
      </c>
    </row>
    <row r="1761" spans="1:4" x14ac:dyDescent="0.35">
      <c r="A1761" s="9">
        <v>8369071681</v>
      </c>
      <c r="B1761" s="10">
        <v>42942</v>
      </c>
      <c r="C1761" s="11">
        <v>0.41935185185185186</v>
      </c>
      <c r="D1761" s="12">
        <v>0.42133101851851851</v>
      </c>
    </row>
    <row r="1762" spans="1:4" x14ac:dyDescent="0.35">
      <c r="A1762" s="5">
        <v>5582631</v>
      </c>
      <c r="B1762" s="6">
        <v>42942</v>
      </c>
      <c r="C1762" s="7">
        <v>0.42229166666666668</v>
      </c>
      <c r="D1762" s="8">
        <v>0.42271990740740739</v>
      </c>
    </row>
    <row r="1763" spans="1:4" x14ac:dyDescent="0.35">
      <c r="A1763" s="9">
        <v>68043713</v>
      </c>
      <c r="B1763" s="10">
        <v>42942</v>
      </c>
      <c r="C1763" s="11">
        <v>0.42366898148148147</v>
      </c>
      <c r="D1763" s="12">
        <v>0.42792824074074076</v>
      </c>
    </row>
    <row r="1764" spans="1:4" x14ac:dyDescent="0.35">
      <c r="A1764" s="5">
        <v>89263578</v>
      </c>
      <c r="B1764" s="6">
        <v>42942</v>
      </c>
      <c r="C1764" s="7">
        <v>0.42912037037037037</v>
      </c>
      <c r="D1764" s="8">
        <v>0.43753472222222223</v>
      </c>
    </row>
    <row r="1765" spans="1:4" x14ac:dyDescent="0.35">
      <c r="A1765" s="9">
        <v>7511410</v>
      </c>
      <c r="B1765" s="10">
        <v>42942</v>
      </c>
      <c r="C1765" s="11">
        <v>0.43304398148148149</v>
      </c>
      <c r="D1765" s="12">
        <v>0.43761574074074072</v>
      </c>
    </row>
    <row r="1766" spans="1:4" x14ac:dyDescent="0.35">
      <c r="A1766" s="5">
        <v>2128803</v>
      </c>
      <c r="B1766" s="6">
        <v>42942</v>
      </c>
      <c r="C1766" s="7">
        <v>0.43815972222222221</v>
      </c>
      <c r="D1766" s="8">
        <v>0.44572916666666668</v>
      </c>
    </row>
    <row r="1767" spans="1:4" x14ac:dyDescent="0.35">
      <c r="A1767" s="9">
        <v>3135285</v>
      </c>
      <c r="B1767" s="10">
        <v>42942</v>
      </c>
      <c r="C1767" s="11">
        <v>0.43896990740740743</v>
      </c>
      <c r="D1767" s="12">
        <v>0.44863425925925926</v>
      </c>
    </row>
    <row r="1768" spans="1:4" x14ac:dyDescent="0.35">
      <c r="A1768" s="5">
        <v>5231877</v>
      </c>
      <c r="B1768" s="6">
        <v>42942</v>
      </c>
      <c r="C1768" s="7">
        <v>0.44265046296296295</v>
      </c>
      <c r="D1768" s="8">
        <v>0.45337962962962963</v>
      </c>
    </row>
    <row r="1769" spans="1:4" x14ac:dyDescent="0.35">
      <c r="A1769" s="9">
        <v>98391891</v>
      </c>
      <c r="B1769" s="10">
        <v>42942</v>
      </c>
      <c r="C1769" s="11">
        <v>0.44289351851851849</v>
      </c>
      <c r="D1769" s="12">
        <v>0.44364583333333335</v>
      </c>
    </row>
    <row r="1770" spans="1:4" x14ac:dyDescent="0.35">
      <c r="A1770" s="5">
        <v>9865524</v>
      </c>
      <c r="B1770" s="6">
        <v>42942</v>
      </c>
      <c r="C1770" s="7">
        <v>0.44298611111111114</v>
      </c>
      <c r="D1770" s="8">
        <v>0.45023148148148145</v>
      </c>
    </row>
    <row r="1771" spans="1:4" x14ac:dyDescent="0.35">
      <c r="A1771" s="9">
        <v>7988607</v>
      </c>
      <c r="B1771" s="10">
        <v>42942</v>
      </c>
      <c r="C1771" s="11">
        <v>0.44300925925925927</v>
      </c>
      <c r="D1771" s="12">
        <v>0.4513773148148148</v>
      </c>
    </row>
    <row r="1772" spans="1:4" x14ac:dyDescent="0.35">
      <c r="A1772" s="5">
        <v>4599598</v>
      </c>
      <c r="B1772" s="6">
        <v>42942</v>
      </c>
      <c r="C1772" s="7">
        <v>0.44710648148148147</v>
      </c>
      <c r="D1772" s="8">
        <v>0.45658564814814817</v>
      </c>
    </row>
    <row r="1773" spans="1:4" x14ac:dyDescent="0.35">
      <c r="A1773" s="9">
        <v>59984179</v>
      </c>
      <c r="B1773" s="10">
        <v>42942</v>
      </c>
      <c r="C1773" s="11">
        <v>0.44815972222222222</v>
      </c>
      <c r="D1773" s="12">
        <v>0.45435185185185184</v>
      </c>
    </row>
    <row r="1774" spans="1:4" x14ac:dyDescent="0.35">
      <c r="A1774" s="5">
        <v>9763924</v>
      </c>
      <c r="B1774" s="6">
        <v>42942</v>
      </c>
      <c r="C1774" s="7">
        <v>0.44972222222222225</v>
      </c>
      <c r="D1774" s="8">
        <v>0.45559027777777777</v>
      </c>
    </row>
    <row r="1775" spans="1:4" x14ac:dyDescent="0.35">
      <c r="A1775" s="9">
        <v>1531672</v>
      </c>
      <c r="B1775" s="10">
        <v>42942</v>
      </c>
      <c r="C1775" s="11">
        <v>0.45021990740740742</v>
      </c>
      <c r="D1775" s="12">
        <v>0.46079861111111109</v>
      </c>
    </row>
    <row r="1776" spans="1:4" x14ac:dyDescent="0.35">
      <c r="A1776" s="5">
        <v>59723258</v>
      </c>
      <c r="B1776" s="6">
        <v>42942</v>
      </c>
      <c r="C1776" s="7">
        <v>0.4503125</v>
      </c>
      <c r="D1776" s="8">
        <v>0.4601736111111111</v>
      </c>
    </row>
    <row r="1777" spans="1:4" x14ac:dyDescent="0.35">
      <c r="A1777" s="9">
        <v>6878722</v>
      </c>
      <c r="B1777" s="10">
        <v>42942</v>
      </c>
      <c r="C1777" s="11">
        <v>0.45333333333333331</v>
      </c>
      <c r="D1777" s="12">
        <v>0.45443287037037039</v>
      </c>
    </row>
    <row r="1778" spans="1:4" x14ac:dyDescent="0.35">
      <c r="A1778" s="5">
        <v>49278984</v>
      </c>
      <c r="B1778" s="6">
        <v>42942</v>
      </c>
      <c r="C1778" s="7">
        <v>0.45531250000000001</v>
      </c>
      <c r="D1778" s="8">
        <v>0.45717592592592593</v>
      </c>
    </row>
    <row r="1779" spans="1:4" x14ac:dyDescent="0.35">
      <c r="A1779" s="9">
        <v>5672312</v>
      </c>
      <c r="B1779" s="10">
        <v>42942</v>
      </c>
      <c r="C1779" s="11">
        <v>0.45554398148148151</v>
      </c>
      <c r="D1779" s="12">
        <v>0.45913194444444444</v>
      </c>
    </row>
    <row r="1780" spans="1:4" x14ac:dyDescent="0.35">
      <c r="A1780" s="5">
        <v>9716545</v>
      </c>
      <c r="B1780" s="6">
        <v>42942</v>
      </c>
      <c r="C1780" s="7">
        <v>0.45726851851851852</v>
      </c>
      <c r="D1780" s="8">
        <v>0.46751157407407407</v>
      </c>
    </row>
    <row r="1781" spans="1:4" x14ac:dyDescent="0.35">
      <c r="A1781" s="9">
        <v>97953696</v>
      </c>
      <c r="B1781" s="10">
        <v>42942</v>
      </c>
      <c r="C1781" s="11">
        <v>0.46297453703703706</v>
      </c>
      <c r="D1781" s="12">
        <v>0.47129629629629627</v>
      </c>
    </row>
    <row r="1782" spans="1:4" x14ac:dyDescent="0.35">
      <c r="A1782" s="5">
        <v>18636086</v>
      </c>
      <c r="B1782" s="6">
        <v>42942</v>
      </c>
      <c r="C1782" s="7">
        <v>0.46431712962962962</v>
      </c>
      <c r="D1782" s="8">
        <v>0.47060185185185183</v>
      </c>
    </row>
    <row r="1783" spans="1:4" x14ac:dyDescent="0.35">
      <c r="A1783" s="9">
        <v>2071691</v>
      </c>
      <c r="B1783" s="10">
        <v>42942</v>
      </c>
      <c r="C1783" s="11">
        <v>0.46703703703703703</v>
      </c>
      <c r="D1783" s="12">
        <v>0.47262731481481479</v>
      </c>
    </row>
    <row r="1784" spans="1:4" x14ac:dyDescent="0.35">
      <c r="A1784" s="5">
        <v>8023179</v>
      </c>
      <c r="B1784" s="6">
        <v>42942</v>
      </c>
      <c r="C1784" s="7">
        <v>0.46703703703703703</v>
      </c>
      <c r="D1784" s="8">
        <v>0.47568287037037038</v>
      </c>
    </row>
    <row r="1785" spans="1:4" x14ac:dyDescent="0.35">
      <c r="A1785" s="9">
        <v>3533421</v>
      </c>
      <c r="B1785" s="10">
        <v>42942</v>
      </c>
      <c r="C1785" s="11">
        <v>0.47266203703703702</v>
      </c>
      <c r="D1785" s="12">
        <v>0.48297453703703702</v>
      </c>
    </row>
    <row r="1786" spans="1:4" x14ac:dyDescent="0.35">
      <c r="A1786" s="5">
        <v>1160932</v>
      </c>
      <c r="B1786" s="6">
        <v>42942</v>
      </c>
      <c r="C1786" s="7">
        <v>0.47515046296296298</v>
      </c>
      <c r="D1786" s="8">
        <v>0.47552083333333334</v>
      </c>
    </row>
    <row r="1787" spans="1:4" x14ac:dyDescent="0.35">
      <c r="A1787" s="9">
        <v>6320579</v>
      </c>
      <c r="B1787" s="10">
        <v>42942</v>
      </c>
      <c r="C1787" s="11">
        <v>0.48082175925925924</v>
      </c>
      <c r="D1787" s="12">
        <v>0.48585648148148147</v>
      </c>
    </row>
    <row r="1788" spans="1:4" x14ac:dyDescent="0.35">
      <c r="A1788" s="5">
        <v>6021417</v>
      </c>
      <c r="B1788" s="6">
        <v>42942</v>
      </c>
      <c r="C1788" s="7">
        <v>0.48534722222222221</v>
      </c>
      <c r="D1788" s="8">
        <v>0.48814814814814816</v>
      </c>
    </row>
    <row r="1789" spans="1:4" x14ac:dyDescent="0.35">
      <c r="A1789" s="9">
        <v>3638658</v>
      </c>
      <c r="B1789" s="10">
        <v>42942</v>
      </c>
      <c r="C1789" s="11">
        <v>0.48700231481481482</v>
      </c>
      <c r="D1789" s="12">
        <v>0.49305555555555558</v>
      </c>
    </row>
    <row r="1790" spans="1:4" x14ac:dyDescent="0.35">
      <c r="A1790" s="5">
        <v>7595348</v>
      </c>
      <c r="B1790" s="6">
        <v>42942</v>
      </c>
      <c r="C1790" s="7">
        <v>0.48849537037037039</v>
      </c>
      <c r="D1790" s="8">
        <v>0.49665509259259261</v>
      </c>
    </row>
    <row r="1791" spans="1:4" x14ac:dyDescent="0.35">
      <c r="A1791" s="9">
        <v>6637746981</v>
      </c>
      <c r="B1791" s="10">
        <v>42942</v>
      </c>
      <c r="C1791" s="11">
        <v>0.49020833333333336</v>
      </c>
      <c r="D1791" s="12">
        <v>0.49932870370370369</v>
      </c>
    </row>
    <row r="1792" spans="1:4" x14ac:dyDescent="0.35">
      <c r="A1792" s="5">
        <v>8501947</v>
      </c>
      <c r="B1792" s="6">
        <v>42942</v>
      </c>
      <c r="C1792" s="7">
        <v>0.49135416666666665</v>
      </c>
      <c r="D1792" s="8">
        <v>0.49472222222222223</v>
      </c>
    </row>
    <row r="1793" spans="1:4" x14ac:dyDescent="0.35">
      <c r="A1793" s="9">
        <v>85666950</v>
      </c>
      <c r="B1793" s="10">
        <v>42942</v>
      </c>
      <c r="C1793" s="11">
        <v>0.49417824074074074</v>
      </c>
      <c r="D1793" s="12">
        <v>0.50312500000000004</v>
      </c>
    </row>
    <row r="1794" spans="1:4" x14ac:dyDescent="0.35">
      <c r="A1794" s="5">
        <v>72289518</v>
      </c>
      <c r="B1794" s="6">
        <v>42942</v>
      </c>
      <c r="C1794" s="7">
        <v>0.49541666666666667</v>
      </c>
      <c r="D1794" s="8">
        <v>0.49947916666666664</v>
      </c>
    </row>
    <row r="1795" spans="1:4" x14ac:dyDescent="0.35">
      <c r="A1795" s="9">
        <v>4419123</v>
      </c>
      <c r="B1795" s="10">
        <v>42942</v>
      </c>
      <c r="C1795" s="11">
        <v>0.49952546296296296</v>
      </c>
      <c r="D1795" s="12">
        <v>0.50207175925925929</v>
      </c>
    </row>
    <row r="1796" spans="1:4" x14ac:dyDescent="0.35">
      <c r="A1796" s="5">
        <v>75645195</v>
      </c>
      <c r="B1796" s="6">
        <v>42942</v>
      </c>
      <c r="C1796" s="7">
        <v>0.5046180555555555</v>
      </c>
      <c r="D1796" s="8">
        <v>0.50491898148148151</v>
      </c>
    </row>
    <row r="1797" spans="1:4" x14ac:dyDescent="0.35">
      <c r="A1797" s="9">
        <v>4305960</v>
      </c>
      <c r="B1797" s="10">
        <v>42942</v>
      </c>
      <c r="C1797" s="11">
        <v>0.50671296296296298</v>
      </c>
      <c r="D1797" s="12">
        <v>0.51233796296296297</v>
      </c>
    </row>
    <row r="1798" spans="1:4" x14ac:dyDescent="0.35">
      <c r="A1798" s="5">
        <v>21681406</v>
      </c>
      <c r="B1798" s="6">
        <v>42942</v>
      </c>
      <c r="C1798" s="7">
        <v>0.50876157407407407</v>
      </c>
      <c r="D1798" s="8">
        <v>0.51472222222222219</v>
      </c>
    </row>
    <row r="1799" spans="1:4" x14ac:dyDescent="0.35">
      <c r="A1799" s="9">
        <v>6401011</v>
      </c>
      <c r="B1799" s="10">
        <v>42942</v>
      </c>
      <c r="C1799" s="11">
        <v>0.51140046296296293</v>
      </c>
      <c r="D1799" s="12">
        <v>0.5186574074074074</v>
      </c>
    </row>
    <row r="1800" spans="1:4" x14ac:dyDescent="0.35">
      <c r="A1800" s="5">
        <v>1879412</v>
      </c>
      <c r="B1800" s="6">
        <v>42942</v>
      </c>
      <c r="C1800" s="7">
        <v>0.51546296296296301</v>
      </c>
      <c r="D1800" s="8">
        <v>0.52481481481481485</v>
      </c>
    </row>
    <row r="1801" spans="1:4" x14ac:dyDescent="0.35">
      <c r="A1801" s="9">
        <v>6218089</v>
      </c>
      <c r="B1801" s="10">
        <v>42942</v>
      </c>
      <c r="C1801" s="11">
        <v>0.51712962962962961</v>
      </c>
      <c r="D1801" s="12">
        <v>0.52177083333333329</v>
      </c>
    </row>
    <row r="1802" spans="1:4" x14ac:dyDescent="0.35">
      <c r="A1802" s="5">
        <v>3408462348</v>
      </c>
      <c r="B1802" s="6">
        <v>42942</v>
      </c>
      <c r="C1802" s="7">
        <v>0.52173611111111107</v>
      </c>
      <c r="D1802" s="8">
        <v>0.52998842592592588</v>
      </c>
    </row>
    <row r="1803" spans="1:4" x14ac:dyDescent="0.35">
      <c r="A1803" s="9">
        <v>9535780</v>
      </c>
      <c r="B1803" s="10">
        <v>42942</v>
      </c>
      <c r="C1803" s="11">
        <v>0.52265046296296291</v>
      </c>
      <c r="D1803" s="12">
        <v>0.53091435185185187</v>
      </c>
    </row>
    <row r="1804" spans="1:4" x14ac:dyDescent="0.35">
      <c r="A1804" s="5">
        <v>4945889</v>
      </c>
      <c r="B1804" s="6">
        <v>42942</v>
      </c>
      <c r="C1804" s="7">
        <v>0.52790509259259255</v>
      </c>
      <c r="D1804" s="8">
        <v>0.53581018518518519</v>
      </c>
    </row>
    <row r="1805" spans="1:4" x14ac:dyDescent="0.35">
      <c r="A1805" s="9">
        <v>8985437</v>
      </c>
      <c r="B1805" s="10">
        <v>42942</v>
      </c>
      <c r="C1805" s="11">
        <v>0.52937500000000004</v>
      </c>
      <c r="D1805" s="12">
        <v>0.53609953703703705</v>
      </c>
    </row>
    <row r="1806" spans="1:4" x14ac:dyDescent="0.35">
      <c r="A1806" s="5">
        <v>57891628</v>
      </c>
      <c r="B1806" s="6">
        <v>42942</v>
      </c>
      <c r="C1806" s="7">
        <v>0.53282407407407406</v>
      </c>
      <c r="D1806" s="8">
        <v>0.53501157407407407</v>
      </c>
    </row>
    <row r="1807" spans="1:4" x14ac:dyDescent="0.35">
      <c r="A1807" s="9">
        <v>9772824</v>
      </c>
      <c r="B1807" s="10">
        <v>42942</v>
      </c>
      <c r="C1807" s="11">
        <v>0.53344907407407405</v>
      </c>
      <c r="D1807" s="12">
        <v>0.54386574074074079</v>
      </c>
    </row>
    <row r="1808" spans="1:4" x14ac:dyDescent="0.35">
      <c r="A1808" s="5">
        <v>4154521</v>
      </c>
      <c r="B1808" s="6">
        <v>42942</v>
      </c>
      <c r="C1808" s="7">
        <v>0.53439814814814812</v>
      </c>
      <c r="D1808" s="8">
        <v>0.53813657407407411</v>
      </c>
    </row>
    <row r="1809" spans="1:4" x14ac:dyDescent="0.35">
      <c r="A1809" s="9">
        <v>96977805</v>
      </c>
      <c r="B1809" s="10">
        <v>42942</v>
      </c>
      <c r="C1809" s="11">
        <v>0.53601851851851856</v>
      </c>
      <c r="D1809" s="12">
        <v>0.54394675925925928</v>
      </c>
    </row>
    <row r="1810" spans="1:4" x14ac:dyDescent="0.35">
      <c r="A1810" s="5">
        <v>24665933</v>
      </c>
      <c r="B1810" s="6">
        <v>42942</v>
      </c>
      <c r="C1810" s="7">
        <v>0.53666666666666663</v>
      </c>
      <c r="D1810" s="8">
        <v>0.5370949074074074</v>
      </c>
    </row>
    <row r="1811" spans="1:4" x14ac:dyDescent="0.35">
      <c r="A1811" s="9">
        <v>5465004</v>
      </c>
      <c r="B1811" s="10">
        <v>42942</v>
      </c>
      <c r="C1811" s="11">
        <v>0.54017361111111106</v>
      </c>
      <c r="D1811" s="12">
        <v>0.54915509259259254</v>
      </c>
    </row>
    <row r="1812" spans="1:4" x14ac:dyDescent="0.35">
      <c r="A1812" s="5">
        <v>9560827</v>
      </c>
      <c r="B1812" s="6">
        <v>42942</v>
      </c>
      <c r="C1812" s="7">
        <v>0.54069444444444448</v>
      </c>
      <c r="D1812" s="8">
        <v>0.55103009259259261</v>
      </c>
    </row>
    <row r="1813" spans="1:4" x14ac:dyDescent="0.35">
      <c r="A1813" s="9">
        <v>3443287</v>
      </c>
      <c r="B1813" s="10">
        <v>42942</v>
      </c>
      <c r="C1813" s="11">
        <v>0.54593749999999996</v>
      </c>
      <c r="D1813" s="12">
        <v>0.55622685185185183</v>
      </c>
    </row>
    <row r="1814" spans="1:4" x14ac:dyDescent="0.35">
      <c r="A1814" s="5">
        <v>7551668</v>
      </c>
      <c r="B1814" s="6">
        <v>42942</v>
      </c>
      <c r="C1814" s="7">
        <v>0.55053240740740739</v>
      </c>
      <c r="D1814" s="8">
        <v>0.55672453703703706</v>
      </c>
    </row>
    <row r="1815" spans="1:4" x14ac:dyDescent="0.35">
      <c r="A1815" s="9">
        <v>3189059</v>
      </c>
      <c r="B1815" s="10">
        <v>42942</v>
      </c>
      <c r="C1815" s="11">
        <v>0.55462962962962958</v>
      </c>
      <c r="D1815" s="12">
        <v>0.56101851851851847</v>
      </c>
    </row>
    <row r="1816" spans="1:4" x14ac:dyDescent="0.35">
      <c r="A1816" s="5">
        <v>9061957</v>
      </c>
      <c r="B1816" s="6">
        <v>42942</v>
      </c>
      <c r="C1816" s="7">
        <v>0.55604166666666666</v>
      </c>
      <c r="D1816" s="8">
        <v>0.56381944444444443</v>
      </c>
    </row>
    <row r="1817" spans="1:4" x14ac:dyDescent="0.35">
      <c r="A1817" s="9">
        <v>2109147679</v>
      </c>
      <c r="B1817" s="10">
        <v>42942</v>
      </c>
      <c r="C1817" s="11">
        <v>0.56098379629629624</v>
      </c>
      <c r="D1817" s="12">
        <v>0.56753472222222223</v>
      </c>
    </row>
    <row r="1818" spans="1:4" x14ac:dyDescent="0.35">
      <c r="A1818" s="5">
        <v>59508384</v>
      </c>
      <c r="B1818" s="6">
        <v>42942</v>
      </c>
      <c r="C1818" s="7">
        <v>0.56232638888888886</v>
      </c>
      <c r="D1818" s="8">
        <v>0.56594907407407402</v>
      </c>
    </row>
    <row r="1819" spans="1:4" x14ac:dyDescent="0.35">
      <c r="A1819" s="9">
        <v>48529464</v>
      </c>
      <c r="B1819" s="10">
        <v>42942</v>
      </c>
      <c r="C1819" s="11">
        <v>0.56283564814814813</v>
      </c>
      <c r="D1819" s="12">
        <v>0.56427083333333339</v>
      </c>
    </row>
    <row r="1820" spans="1:4" x14ac:dyDescent="0.35">
      <c r="A1820" s="5">
        <v>4082744</v>
      </c>
      <c r="B1820" s="6">
        <v>42942</v>
      </c>
      <c r="C1820" s="7">
        <v>0.56481481481481477</v>
      </c>
      <c r="D1820" s="8">
        <v>0.57565972222222217</v>
      </c>
    </row>
    <row r="1821" spans="1:4" x14ac:dyDescent="0.35">
      <c r="A1821" s="9">
        <v>2395447</v>
      </c>
      <c r="B1821" s="10">
        <v>42942</v>
      </c>
      <c r="C1821" s="11">
        <v>0.56805555555555554</v>
      </c>
      <c r="D1821" s="12">
        <v>0.56937499999999996</v>
      </c>
    </row>
    <row r="1822" spans="1:4" x14ac:dyDescent="0.35">
      <c r="A1822" s="5">
        <v>96620804</v>
      </c>
      <c r="B1822" s="6">
        <v>42942</v>
      </c>
      <c r="C1822" s="7">
        <v>0.56945601851851857</v>
      </c>
      <c r="D1822" s="8">
        <v>0.5776041666666667</v>
      </c>
    </row>
    <row r="1823" spans="1:4" x14ac:dyDescent="0.35">
      <c r="A1823" s="9">
        <v>9489003225</v>
      </c>
      <c r="B1823" s="10">
        <v>42942</v>
      </c>
      <c r="C1823" s="11">
        <v>0.57263888888888892</v>
      </c>
      <c r="D1823" s="12">
        <v>0.57309027777777777</v>
      </c>
    </row>
    <row r="1824" spans="1:4" x14ac:dyDescent="0.35">
      <c r="A1824" s="5">
        <v>6897893</v>
      </c>
      <c r="B1824" s="6">
        <v>42942</v>
      </c>
      <c r="C1824" s="7">
        <v>0.57662037037037039</v>
      </c>
      <c r="D1824" s="8">
        <v>0.58204861111111106</v>
      </c>
    </row>
    <row r="1825" spans="1:4" x14ac:dyDescent="0.35">
      <c r="A1825" s="9">
        <v>9759222</v>
      </c>
      <c r="B1825" s="10">
        <v>42942</v>
      </c>
      <c r="C1825" s="11">
        <v>0.58021990740740736</v>
      </c>
      <c r="D1825" s="12">
        <v>0.58726851851851847</v>
      </c>
    </row>
    <row r="1826" spans="1:4" x14ac:dyDescent="0.35">
      <c r="A1826" s="5">
        <v>39793981</v>
      </c>
      <c r="B1826" s="6">
        <v>42942</v>
      </c>
      <c r="C1826" s="7">
        <v>0.58101851851851849</v>
      </c>
      <c r="D1826" s="8">
        <v>0.58164351851851848</v>
      </c>
    </row>
    <row r="1827" spans="1:4" x14ac:dyDescent="0.35">
      <c r="A1827" s="9">
        <v>3759991</v>
      </c>
      <c r="B1827" s="10">
        <v>42942</v>
      </c>
      <c r="C1827" s="11">
        <v>0.58408564814814812</v>
      </c>
      <c r="D1827" s="12">
        <v>0.58677083333333335</v>
      </c>
    </row>
    <row r="1828" spans="1:4" x14ac:dyDescent="0.35">
      <c r="A1828" s="5">
        <v>37838778</v>
      </c>
      <c r="B1828" s="6">
        <v>42942</v>
      </c>
      <c r="C1828" s="7">
        <v>0.58770833333333339</v>
      </c>
      <c r="D1828" s="8">
        <v>0.59591435185185182</v>
      </c>
    </row>
    <row r="1829" spans="1:4" x14ac:dyDescent="0.35">
      <c r="A1829" s="9">
        <v>3785540</v>
      </c>
      <c r="B1829" s="10">
        <v>42942</v>
      </c>
      <c r="C1829" s="11">
        <v>0.59261574074074075</v>
      </c>
      <c r="D1829" s="12">
        <v>0.60343749999999996</v>
      </c>
    </row>
    <row r="1830" spans="1:4" x14ac:dyDescent="0.35">
      <c r="A1830" s="5">
        <v>9689833</v>
      </c>
      <c r="B1830" s="6">
        <v>42942</v>
      </c>
      <c r="C1830" s="7">
        <v>0.5932291666666667</v>
      </c>
      <c r="D1830" s="8">
        <v>0.59943287037037041</v>
      </c>
    </row>
    <row r="1831" spans="1:4" x14ac:dyDescent="0.35">
      <c r="A1831" s="9">
        <v>8136309</v>
      </c>
      <c r="B1831" s="10">
        <v>42942</v>
      </c>
      <c r="C1831" s="11">
        <v>0.59876157407407404</v>
      </c>
      <c r="D1831" s="12">
        <v>0.60951388888888891</v>
      </c>
    </row>
    <row r="1832" spans="1:4" x14ac:dyDescent="0.35">
      <c r="A1832" s="5">
        <v>1177203</v>
      </c>
      <c r="B1832" s="6">
        <v>42942</v>
      </c>
      <c r="C1832" s="7">
        <v>0.60384259259259254</v>
      </c>
      <c r="D1832" s="8">
        <v>0.60452546296296295</v>
      </c>
    </row>
    <row r="1833" spans="1:4" x14ac:dyDescent="0.35">
      <c r="A1833" s="9">
        <v>6060835</v>
      </c>
      <c r="B1833" s="10">
        <v>42942</v>
      </c>
      <c r="C1833" s="11">
        <v>0.60623842592592592</v>
      </c>
      <c r="D1833" s="12">
        <v>0.61055555555555552</v>
      </c>
    </row>
    <row r="1834" spans="1:4" x14ac:dyDescent="0.35">
      <c r="A1834" s="5">
        <v>8534481</v>
      </c>
      <c r="B1834" s="6">
        <v>42942</v>
      </c>
      <c r="C1834" s="7">
        <v>0.60950231481481476</v>
      </c>
      <c r="D1834" s="8">
        <v>0.61940972222222224</v>
      </c>
    </row>
    <row r="1835" spans="1:4" x14ac:dyDescent="0.35">
      <c r="A1835" s="9">
        <v>4959594</v>
      </c>
      <c r="B1835" s="10">
        <v>42942</v>
      </c>
      <c r="C1835" s="11">
        <v>0.61371527777777779</v>
      </c>
      <c r="D1835" s="12">
        <v>0.6235532407407407</v>
      </c>
    </row>
    <row r="1836" spans="1:4" x14ac:dyDescent="0.35">
      <c r="A1836" s="5">
        <v>1047809</v>
      </c>
      <c r="B1836" s="6">
        <v>42942</v>
      </c>
      <c r="C1836" s="7">
        <v>0.61724537037037042</v>
      </c>
      <c r="D1836" s="8">
        <v>0.62866898148148154</v>
      </c>
    </row>
    <row r="1837" spans="1:4" x14ac:dyDescent="0.35">
      <c r="A1837" s="9">
        <v>3437033</v>
      </c>
      <c r="B1837" s="10">
        <v>42942</v>
      </c>
      <c r="C1837" s="11">
        <v>0.62089120370370365</v>
      </c>
      <c r="D1837" s="12">
        <v>0.62159722222222225</v>
      </c>
    </row>
    <row r="1838" spans="1:4" x14ac:dyDescent="0.35">
      <c r="A1838" s="5">
        <v>6801890</v>
      </c>
      <c r="B1838" s="6">
        <v>42942</v>
      </c>
      <c r="C1838" s="7">
        <v>0.62467592592592591</v>
      </c>
      <c r="D1838" s="8">
        <v>0.62690972222222219</v>
      </c>
    </row>
    <row r="1839" spans="1:4" x14ac:dyDescent="0.35">
      <c r="A1839" s="9">
        <v>2604004</v>
      </c>
      <c r="B1839" s="10">
        <v>42942</v>
      </c>
      <c r="C1839" s="11">
        <v>0.6277314814814815</v>
      </c>
      <c r="D1839" s="12">
        <v>0.63423611111111111</v>
      </c>
    </row>
    <row r="1840" spans="1:4" x14ac:dyDescent="0.35">
      <c r="A1840" s="5">
        <v>4379524</v>
      </c>
      <c r="B1840" s="6">
        <v>42943</v>
      </c>
      <c r="C1840" s="7">
        <v>0.33751157407407406</v>
      </c>
      <c r="D1840" s="8">
        <v>0.33754629629629629</v>
      </c>
    </row>
    <row r="1841" spans="1:4" x14ac:dyDescent="0.35">
      <c r="A1841" s="9">
        <v>12377650</v>
      </c>
      <c r="B1841" s="10">
        <v>42943</v>
      </c>
      <c r="C1841" s="11">
        <v>0.33943287037037034</v>
      </c>
      <c r="D1841" s="12">
        <v>0.34292824074074074</v>
      </c>
    </row>
    <row r="1842" spans="1:4" x14ac:dyDescent="0.35">
      <c r="A1842" s="5">
        <v>77869622</v>
      </c>
      <c r="B1842" s="6">
        <v>42943</v>
      </c>
      <c r="C1842" s="7">
        <v>0.34219907407407407</v>
      </c>
      <c r="D1842" s="8">
        <v>0.35170138888888891</v>
      </c>
    </row>
    <row r="1843" spans="1:4" x14ac:dyDescent="0.35">
      <c r="A1843" s="9">
        <v>3414247278</v>
      </c>
      <c r="B1843" s="10">
        <v>42943</v>
      </c>
      <c r="C1843" s="11">
        <v>0.34658564814814813</v>
      </c>
      <c r="D1843" s="12">
        <v>0.34666666666666668</v>
      </c>
    </row>
    <row r="1844" spans="1:4" x14ac:dyDescent="0.35">
      <c r="A1844" s="5">
        <v>5839324907</v>
      </c>
      <c r="B1844" s="6">
        <v>42943</v>
      </c>
      <c r="C1844" s="7">
        <v>0.3490509259259259</v>
      </c>
      <c r="D1844" s="8">
        <v>0.35481481481481481</v>
      </c>
    </row>
    <row r="1845" spans="1:4" x14ac:dyDescent="0.35">
      <c r="A1845" s="9">
        <v>4852863</v>
      </c>
      <c r="B1845" s="10">
        <v>42943</v>
      </c>
      <c r="C1845" s="11">
        <v>0.34975694444444444</v>
      </c>
      <c r="D1845" s="12">
        <v>0.35971064814814813</v>
      </c>
    </row>
    <row r="1846" spans="1:4" x14ac:dyDescent="0.35">
      <c r="A1846" s="5">
        <v>3245936</v>
      </c>
      <c r="B1846" s="6">
        <v>42943</v>
      </c>
      <c r="C1846" s="7">
        <v>0.35116898148148146</v>
      </c>
      <c r="D1846" s="8">
        <v>0.35408564814814814</v>
      </c>
    </row>
    <row r="1847" spans="1:4" x14ac:dyDescent="0.35">
      <c r="A1847" s="9">
        <v>6674505</v>
      </c>
      <c r="B1847" s="10">
        <v>42943</v>
      </c>
      <c r="C1847" s="11">
        <v>0.35136574074074073</v>
      </c>
      <c r="D1847" s="12">
        <v>0.35390046296296296</v>
      </c>
    </row>
    <row r="1848" spans="1:4" x14ac:dyDescent="0.35">
      <c r="A1848" s="5">
        <v>9591892</v>
      </c>
      <c r="B1848" s="6">
        <v>42943</v>
      </c>
      <c r="C1848" s="7">
        <v>0.35487268518518517</v>
      </c>
      <c r="D1848" s="8">
        <v>0.36251157407407408</v>
      </c>
    </row>
    <row r="1849" spans="1:4" x14ac:dyDescent="0.35">
      <c r="A1849" s="9">
        <v>96404523</v>
      </c>
      <c r="B1849" s="10">
        <v>42943</v>
      </c>
      <c r="C1849" s="11">
        <v>0.35592592592592592</v>
      </c>
      <c r="D1849" s="12">
        <v>0.36366898148148147</v>
      </c>
    </row>
    <row r="1850" spans="1:4" x14ac:dyDescent="0.35">
      <c r="A1850" s="5">
        <v>1405478</v>
      </c>
      <c r="B1850" s="6">
        <v>42943</v>
      </c>
      <c r="C1850" s="7">
        <v>0.35940972222222223</v>
      </c>
      <c r="D1850" s="8">
        <v>0.36412037037037037</v>
      </c>
    </row>
    <row r="1851" spans="1:4" x14ac:dyDescent="0.35">
      <c r="A1851" s="9">
        <v>5900506</v>
      </c>
      <c r="B1851" s="10">
        <v>42943</v>
      </c>
      <c r="C1851" s="11">
        <v>0.36026620370370371</v>
      </c>
      <c r="D1851" s="12">
        <v>0.36319444444444443</v>
      </c>
    </row>
    <row r="1852" spans="1:4" x14ac:dyDescent="0.35">
      <c r="A1852" s="5">
        <v>6060835</v>
      </c>
      <c r="B1852" s="6">
        <v>42943</v>
      </c>
      <c r="C1852" s="7">
        <v>0.36148148148148146</v>
      </c>
      <c r="D1852" s="8">
        <v>0.3721990740740741</v>
      </c>
    </row>
    <row r="1853" spans="1:4" x14ac:dyDescent="0.35">
      <c r="A1853" s="9">
        <v>8880275</v>
      </c>
      <c r="B1853" s="10">
        <v>42943</v>
      </c>
      <c r="C1853" s="11">
        <v>0.36598379629629629</v>
      </c>
      <c r="D1853" s="12">
        <v>0.37474537037037037</v>
      </c>
    </row>
    <row r="1854" spans="1:4" x14ac:dyDescent="0.35">
      <c r="A1854" s="5">
        <v>57101974</v>
      </c>
      <c r="B1854" s="6">
        <v>42943</v>
      </c>
      <c r="C1854" s="7">
        <v>0.37133101851851852</v>
      </c>
      <c r="D1854" s="8">
        <v>0.37923611111111111</v>
      </c>
    </row>
    <row r="1855" spans="1:4" x14ac:dyDescent="0.35">
      <c r="A1855" s="9">
        <v>2096100</v>
      </c>
      <c r="B1855" s="10">
        <v>42943</v>
      </c>
      <c r="C1855" s="11">
        <v>0.3717361111111111</v>
      </c>
      <c r="D1855" s="12">
        <v>0.37253472222222223</v>
      </c>
    </row>
    <row r="1856" spans="1:4" x14ac:dyDescent="0.35">
      <c r="A1856" s="5">
        <v>2366545</v>
      </c>
      <c r="B1856" s="6">
        <v>42943</v>
      </c>
      <c r="C1856" s="7">
        <v>0.3737152777777778</v>
      </c>
      <c r="D1856" s="8">
        <v>0.37967592592592592</v>
      </c>
    </row>
    <row r="1857" spans="1:4" x14ac:dyDescent="0.35">
      <c r="A1857" s="9">
        <v>2260131</v>
      </c>
      <c r="B1857" s="10">
        <v>42943</v>
      </c>
      <c r="C1857" s="11">
        <v>0.37664351851851852</v>
      </c>
      <c r="D1857" s="12">
        <v>0.38442129629629629</v>
      </c>
    </row>
    <row r="1858" spans="1:4" x14ac:dyDescent="0.35">
      <c r="A1858" s="5">
        <v>75818182</v>
      </c>
      <c r="B1858" s="6">
        <v>42943</v>
      </c>
      <c r="C1858" s="7">
        <v>0.37973379629629628</v>
      </c>
      <c r="D1858" s="8">
        <v>0.38395833333333335</v>
      </c>
    </row>
    <row r="1859" spans="1:4" x14ac:dyDescent="0.35">
      <c r="A1859" s="9">
        <v>1247125</v>
      </c>
      <c r="B1859" s="10">
        <v>42943</v>
      </c>
      <c r="C1859" s="11">
        <v>0.38461805555555556</v>
      </c>
      <c r="D1859" s="12">
        <v>0.39339120370370373</v>
      </c>
    </row>
    <row r="1860" spans="1:4" x14ac:dyDescent="0.35">
      <c r="A1860" s="5">
        <v>3733011</v>
      </c>
      <c r="B1860" s="6">
        <v>42943</v>
      </c>
      <c r="C1860" s="7">
        <v>0.38571759259259258</v>
      </c>
      <c r="D1860" s="8">
        <v>0.39556712962962964</v>
      </c>
    </row>
    <row r="1861" spans="1:4" x14ac:dyDescent="0.35">
      <c r="A1861" s="9">
        <v>6615729</v>
      </c>
      <c r="B1861" s="10">
        <v>42943</v>
      </c>
      <c r="C1861" s="11">
        <v>0.38997685185185182</v>
      </c>
      <c r="D1861" s="12">
        <v>0.39743055555555556</v>
      </c>
    </row>
    <row r="1862" spans="1:4" x14ac:dyDescent="0.35">
      <c r="A1862" s="5">
        <v>6844342</v>
      </c>
      <c r="B1862" s="6">
        <v>42943</v>
      </c>
      <c r="C1862" s="7">
        <v>0.39451388888888889</v>
      </c>
      <c r="D1862" s="8">
        <v>0.39609953703703704</v>
      </c>
    </row>
    <row r="1863" spans="1:4" x14ac:dyDescent="0.35">
      <c r="A1863" s="9">
        <v>8369815</v>
      </c>
      <c r="B1863" s="10">
        <v>42943</v>
      </c>
      <c r="C1863" s="11">
        <v>0.3967013888888889</v>
      </c>
      <c r="D1863" s="12">
        <v>0.40182870370370372</v>
      </c>
    </row>
    <row r="1864" spans="1:4" x14ac:dyDescent="0.35">
      <c r="A1864" s="5">
        <v>9304830</v>
      </c>
      <c r="B1864" s="6">
        <v>42943</v>
      </c>
      <c r="C1864" s="7">
        <v>0.39812500000000001</v>
      </c>
      <c r="D1864" s="8">
        <v>0.39895833333333336</v>
      </c>
    </row>
    <row r="1865" spans="1:4" x14ac:dyDescent="0.35">
      <c r="A1865" s="9">
        <v>1117708</v>
      </c>
      <c r="B1865" s="10">
        <v>42943</v>
      </c>
      <c r="C1865" s="11">
        <v>0.40266203703703701</v>
      </c>
      <c r="D1865" s="12">
        <v>0.4073148148148148</v>
      </c>
    </row>
    <row r="1866" spans="1:4" x14ac:dyDescent="0.35">
      <c r="A1866" s="5">
        <v>6055986</v>
      </c>
      <c r="B1866" s="6">
        <v>42943</v>
      </c>
      <c r="C1866" s="7">
        <v>0.40710648148148149</v>
      </c>
      <c r="D1866" s="8">
        <v>0.40740740740740738</v>
      </c>
    </row>
    <row r="1867" spans="1:4" x14ac:dyDescent="0.35">
      <c r="A1867" s="9">
        <v>4569864426</v>
      </c>
      <c r="B1867" s="10">
        <v>42943</v>
      </c>
      <c r="C1867" s="11">
        <v>0.40751157407407407</v>
      </c>
      <c r="D1867" s="12">
        <v>0.41725694444444444</v>
      </c>
    </row>
    <row r="1868" spans="1:4" x14ac:dyDescent="0.35">
      <c r="A1868" s="5">
        <v>2781512</v>
      </c>
      <c r="B1868" s="6">
        <v>42943</v>
      </c>
      <c r="C1868" s="7">
        <v>0.41244212962962962</v>
      </c>
      <c r="D1868" s="8">
        <v>0.41619212962962965</v>
      </c>
    </row>
    <row r="1869" spans="1:4" x14ac:dyDescent="0.35">
      <c r="A1869" s="9">
        <v>3093964</v>
      </c>
      <c r="B1869" s="10">
        <v>42943</v>
      </c>
      <c r="C1869" s="11">
        <v>0.41363425925925928</v>
      </c>
      <c r="D1869" s="12">
        <v>0.41902777777777778</v>
      </c>
    </row>
    <row r="1870" spans="1:4" x14ac:dyDescent="0.35">
      <c r="A1870" s="5">
        <v>9413315</v>
      </c>
      <c r="B1870" s="6">
        <v>42943</v>
      </c>
      <c r="C1870" s="7">
        <v>0.41783564814814816</v>
      </c>
      <c r="D1870" s="8">
        <v>0.42383101851851851</v>
      </c>
    </row>
    <row r="1871" spans="1:4" x14ac:dyDescent="0.35">
      <c r="A1871" s="9">
        <v>1890121</v>
      </c>
      <c r="B1871" s="10">
        <v>42943</v>
      </c>
      <c r="C1871" s="11">
        <v>0.42357638888888888</v>
      </c>
      <c r="D1871" s="12">
        <v>0.43</v>
      </c>
    </row>
    <row r="1872" spans="1:4" x14ac:dyDescent="0.35">
      <c r="A1872" s="5">
        <v>9906846123</v>
      </c>
      <c r="B1872" s="6">
        <v>42943</v>
      </c>
      <c r="C1872" s="7">
        <v>0.424375</v>
      </c>
      <c r="D1872" s="8">
        <v>0.42505787037037035</v>
      </c>
    </row>
    <row r="1873" spans="1:4" x14ac:dyDescent="0.35">
      <c r="A1873" s="9">
        <v>12063341</v>
      </c>
      <c r="B1873" s="10">
        <v>42943</v>
      </c>
      <c r="C1873" s="11">
        <v>0.42849537037037039</v>
      </c>
      <c r="D1873" s="12">
        <v>0.4372800925925926</v>
      </c>
    </row>
    <row r="1874" spans="1:4" x14ac:dyDescent="0.35">
      <c r="A1874" s="5">
        <v>27798660</v>
      </c>
      <c r="B1874" s="6">
        <v>42943</v>
      </c>
      <c r="C1874" s="7">
        <v>0.42925925925925928</v>
      </c>
      <c r="D1874" s="8">
        <v>0.43239583333333331</v>
      </c>
    </row>
    <row r="1875" spans="1:4" x14ac:dyDescent="0.35">
      <c r="A1875" s="9">
        <v>37077953</v>
      </c>
      <c r="B1875" s="10">
        <v>42943</v>
      </c>
      <c r="C1875" s="11">
        <v>0.43262731481481481</v>
      </c>
      <c r="D1875" s="12">
        <v>0.43929398148148147</v>
      </c>
    </row>
    <row r="1876" spans="1:4" x14ac:dyDescent="0.35">
      <c r="A1876" s="5">
        <v>70606958</v>
      </c>
      <c r="B1876" s="6">
        <v>42943</v>
      </c>
      <c r="C1876" s="7">
        <v>0.43387731481481484</v>
      </c>
      <c r="D1876" s="8">
        <v>0.44252314814814814</v>
      </c>
    </row>
    <row r="1877" spans="1:4" x14ac:dyDescent="0.35">
      <c r="A1877" s="9">
        <v>21303266</v>
      </c>
      <c r="B1877" s="10">
        <v>42943</v>
      </c>
      <c r="C1877" s="11">
        <v>0.4384953703703704</v>
      </c>
      <c r="D1877" s="12">
        <v>0.44209490740740742</v>
      </c>
    </row>
    <row r="1878" spans="1:4" x14ac:dyDescent="0.35">
      <c r="A1878" s="5">
        <v>66871690</v>
      </c>
      <c r="B1878" s="6">
        <v>42943</v>
      </c>
      <c r="C1878" s="7">
        <v>0.44003472222222223</v>
      </c>
      <c r="D1878" s="8">
        <v>0.44219907407407405</v>
      </c>
    </row>
    <row r="1879" spans="1:4" x14ac:dyDescent="0.35">
      <c r="A1879" s="9">
        <v>88366261</v>
      </c>
      <c r="B1879" s="10">
        <v>42943</v>
      </c>
      <c r="C1879" s="11">
        <v>0.44006944444444446</v>
      </c>
      <c r="D1879" s="12">
        <v>0.44208333333333333</v>
      </c>
    </row>
    <row r="1880" spans="1:4" x14ac:dyDescent="0.35">
      <c r="A1880" s="5">
        <v>9506446</v>
      </c>
      <c r="B1880" s="6">
        <v>42943</v>
      </c>
      <c r="C1880" s="7">
        <v>0.44490740740740742</v>
      </c>
      <c r="D1880" s="8">
        <v>0.45071759259259259</v>
      </c>
    </row>
    <row r="1881" spans="1:4" x14ac:dyDescent="0.35">
      <c r="A1881" s="9">
        <v>9225807</v>
      </c>
      <c r="B1881" s="10">
        <v>42943</v>
      </c>
      <c r="C1881" s="11">
        <v>0.44996527777777778</v>
      </c>
      <c r="D1881" s="12">
        <v>0.45952546296296298</v>
      </c>
    </row>
    <row r="1882" spans="1:4" x14ac:dyDescent="0.35">
      <c r="A1882" s="5">
        <v>6956143</v>
      </c>
      <c r="B1882" s="6">
        <v>42943</v>
      </c>
      <c r="C1882" s="7">
        <v>0.45157407407407407</v>
      </c>
      <c r="D1882" s="8">
        <v>0.455625</v>
      </c>
    </row>
    <row r="1883" spans="1:4" x14ac:dyDescent="0.35">
      <c r="A1883" s="9">
        <v>1472253</v>
      </c>
      <c r="B1883" s="10">
        <v>42943</v>
      </c>
      <c r="C1883" s="11">
        <v>0.45729166666666665</v>
      </c>
      <c r="D1883" s="12">
        <v>0.46041666666666664</v>
      </c>
    </row>
    <row r="1884" spans="1:4" x14ac:dyDescent="0.35">
      <c r="A1884" s="5">
        <v>4025325</v>
      </c>
      <c r="B1884" s="6">
        <v>42943</v>
      </c>
      <c r="C1884" s="7">
        <v>0.46151620370370372</v>
      </c>
      <c r="D1884" s="8">
        <v>0.46604166666666669</v>
      </c>
    </row>
    <row r="1885" spans="1:4" x14ac:dyDescent="0.35">
      <c r="A1885" s="9">
        <v>6220398</v>
      </c>
      <c r="B1885" s="10">
        <v>42943</v>
      </c>
      <c r="C1885" s="11">
        <v>0.46175925925925926</v>
      </c>
      <c r="D1885" s="12">
        <v>0.46263888888888888</v>
      </c>
    </row>
    <row r="1886" spans="1:4" x14ac:dyDescent="0.35">
      <c r="A1886" s="5">
        <v>6326108</v>
      </c>
      <c r="B1886" s="6">
        <v>42943</v>
      </c>
      <c r="C1886" s="7">
        <v>0.46474537037037039</v>
      </c>
      <c r="D1886" s="8">
        <v>0.47486111111111112</v>
      </c>
    </row>
    <row r="1887" spans="1:4" x14ac:dyDescent="0.35">
      <c r="A1887" s="9">
        <v>88929709</v>
      </c>
      <c r="B1887" s="10">
        <v>42943</v>
      </c>
      <c r="C1887" s="11">
        <v>0.46687499999999998</v>
      </c>
      <c r="D1887" s="12">
        <v>0.47510416666666666</v>
      </c>
    </row>
    <row r="1888" spans="1:4" x14ac:dyDescent="0.35">
      <c r="A1888" s="5">
        <v>3004967</v>
      </c>
      <c r="B1888" s="6">
        <v>42943</v>
      </c>
      <c r="C1888" s="7">
        <v>0.4707175925925926</v>
      </c>
      <c r="D1888" s="8">
        <v>0.47547453703703701</v>
      </c>
    </row>
    <row r="1889" spans="1:4" x14ac:dyDescent="0.35">
      <c r="A1889" s="9">
        <v>1721264</v>
      </c>
      <c r="B1889" s="10">
        <v>42943</v>
      </c>
      <c r="C1889" s="11">
        <v>0.47394675925925928</v>
      </c>
      <c r="D1889" s="12">
        <v>0.47922453703703705</v>
      </c>
    </row>
    <row r="1890" spans="1:4" x14ac:dyDescent="0.35">
      <c r="A1890" s="5">
        <v>5231877</v>
      </c>
      <c r="B1890" s="6">
        <v>42943</v>
      </c>
      <c r="C1890" s="7">
        <v>0.47550925925925924</v>
      </c>
      <c r="D1890" s="8">
        <v>0.47930555555555554</v>
      </c>
    </row>
    <row r="1891" spans="1:4" x14ac:dyDescent="0.35">
      <c r="A1891" s="9">
        <v>92414932</v>
      </c>
      <c r="B1891" s="10">
        <v>42943</v>
      </c>
      <c r="C1891" s="11">
        <v>0.48085648148148147</v>
      </c>
      <c r="D1891" s="12">
        <v>0.48893518518518519</v>
      </c>
    </row>
    <row r="1892" spans="1:4" x14ac:dyDescent="0.35">
      <c r="A1892" s="5">
        <v>3202610</v>
      </c>
      <c r="B1892" s="6">
        <v>42943</v>
      </c>
      <c r="C1892" s="7">
        <v>0.48528935185185185</v>
      </c>
      <c r="D1892" s="8">
        <v>0.48694444444444446</v>
      </c>
    </row>
    <row r="1893" spans="1:4" x14ac:dyDescent="0.35">
      <c r="A1893" s="9">
        <v>2825289</v>
      </c>
      <c r="B1893" s="10">
        <v>42943</v>
      </c>
      <c r="C1893" s="11">
        <v>0.4855902777777778</v>
      </c>
      <c r="D1893" s="12">
        <v>0.49710648148148145</v>
      </c>
    </row>
    <row r="1894" spans="1:4" x14ac:dyDescent="0.35">
      <c r="A1894" s="5">
        <v>7915936</v>
      </c>
      <c r="B1894" s="6">
        <v>42943</v>
      </c>
      <c r="C1894" s="7">
        <v>0.49075231481481479</v>
      </c>
      <c r="D1894" s="8">
        <v>0.49836805555555558</v>
      </c>
    </row>
    <row r="1895" spans="1:4" x14ac:dyDescent="0.35">
      <c r="A1895" s="9">
        <v>3680072</v>
      </c>
      <c r="B1895" s="10">
        <v>42943</v>
      </c>
      <c r="C1895" s="11">
        <v>0.49561342592592594</v>
      </c>
      <c r="D1895" s="12">
        <v>0.49716435185185187</v>
      </c>
    </row>
    <row r="1896" spans="1:4" x14ac:dyDescent="0.35">
      <c r="A1896" s="5">
        <v>6980867</v>
      </c>
      <c r="B1896" s="6">
        <v>42943</v>
      </c>
      <c r="C1896" s="7">
        <v>0.49716435185185187</v>
      </c>
      <c r="D1896" s="8">
        <v>0.50270833333333331</v>
      </c>
    </row>
    <row r="1897" spans="1:4" x14ac:dyDescent="0.35">
      <c r="A1897" s="9">
        <v>3656681</v>
      </c>
      <c r="B1897" s="10">
        <v>42943</v>
      </c>
      <c r="C1897" s="11">
        <v>0.50123842592592593</v>
      </c>
      <c r="D1897" s="12">
        <v>0.5084143518518518</v>
      </c>
    </row>
    <row r="1898" spans="1:4" x14ac:dyDescent="0.35">
      <c r="A1898" s="5">
        <v>4445684</v>
      </c>
      <c r="B1898" s="6">
        <v>42943</v>
      </c>
      <c r="C1898" s="7">
        <v>0.50361111111111112</v>
      </c>
      <c r="D1898" s="8">
        <v>0.51285879629629627</v>
      </c>
    </row>
    <row r="1899" spans="1:4" x14ac:dyDescent="0.35">
      <c r="A1899" s="9">
        <v>9864502</v>
      </c>
      <c r="B1899" s="10">
        <v>42943</v>
      </c>
      <c r="C1899" s="11">
        <v>0.50722222222222224</v>
      </c>
      <c r="D1899" s="12">
        <v>0.50762731481481482</v>
      </c>
    </row>
    <row r="1900" spans="1:4" x14ac:dyDescent="0.35">
      <c r="A1900" s="5">
        <v>5881130</v>
      </c>
      <c r="B1900" s="6">
        <v>42943</v>
      </c>
      <c r="C1900" s="7">
        <v>0.51086805555555559</v>
      </c>
      <c r="D1900" s="8">
        <v>0.516087962962963</v>
      </c>
    </row>
    <row r="1901" spans="1:4" x14ac:dyDescent="0.35">
      <c r="A1901" s="9">
        <v>2056567</v>
      </c>
      <c r="B1901" s="10">
        <v>42943</v>
      </c>
      <c r="C1901" s="11">
        <v>0.51563657407407404</v>
      </c>
      <c r="D1901" s="12">
        <v>0.52396990740740745</v>
      </c>
    </row>
    <row r="1902" spans="1:4" x14ac:dyDescent="0.35">
      <c r="A1902" s="5">
        <v>62150310</v>
      </c>
      <c r="B1902" s="6">
        <v>42943</v>
      </c>
      <c r="C1902" s="7">
        <v>0.52003472222222225</v>
      </c>
      <c r="D1902" s="8">
        <v>0.52927083333333336</v>
      </c>
    </row>
    <row r="1903" spans="1:4" x14ac:dyDescent="0.35">
      <c r="A1903" s="9">
        <v>9340299</v>
      </c>
      <c r="B1903" s="10">
        <v>42943</v>
      </c>
      <c r="C1903" s="11">
        <v>0.52034722222222218</v>
      </c>
      <c r="D1903" s="12">
        <v>0.52137731481481486</v>
      </c>
    </row>
    <row r="1904" spans="1:4" x14ac:dyDescent="0.35">
      <c r="A1904" s="5">
        <v>3912924</v>
      </c>
      <c r="B1904" s="6">
        <v>42943</v>
      </c>
      <c r="C1904" s="7">
        <v>0.52368055555555559</v>
      </c>
      <c r="D1904" s="8">
        <v>0.52627314814814818</v>
      </c>
    </row>
    <row r="1905" spans="1:4" x14ac:dyDescent="0.35">
      <c r="A1905" s="9">
        <v>8159466</v>
      </c>
      <c r="B1905" s="10">
        <v>42943</v>
      </c>
      <c r="C1905" s="11">
        <v>0.52460648148148148</v>
      </c>
      <c r="D1905" s="12">
        <v>0.52971064814814817</v>
      </c>
    </row>
    <row r="1906" spans="1:4" x14ac:dyDescent="0.35">
      <c r="A1906" s="5">
        <v>7467198</v>
      </c>
      <c r="B1906" s="6">
        <v>42943</v>
      </c>
      <c r="C1906" s="7">
        <v>0.52993055555555557</v>
      </c>
      <c r="D1906" s="8">
        <v>0.53739583333333329</v>
      </c>
    </row>
    <row r="1907" spans="1:4" x14ac:dyDescent="0.35">
      <c r="A1907" s="9">
        <v>4703748</v>
      </c>
      <c r="B1907" s="10">
        <v>42943</v>
      </c>
      <c r="C1907" s="11">
        <v>0.53315972222222219</v>
      </c>
      <c r="D1907" s="12">
        <v>0.53454861111111107</v>
      </c>
    </row>
    <row r="1908" spans="1:4" x14ac:dyDescent="0.35">
      <c r="A1908" s="5">
        <v>1165705</v>
      </c>
      <c r="B1908" s="6">
        <v>42943</v>
      </c>
      <c r="C1908" s="7">
        <v>0.53666666666666663</v>
      </c>
      <c r="D1908" s="8">
        <v>0.54100694444444442</v>
      </c>
    </row>
    <row r="1909" spans="1:4" x14ac:dyDescent="0.35">
      <c r="A1909" s="9">
        <v>90762334</v>
      </c>
      <c r="B1909" s="10">
        <v>42943</v>
      </c>
      <c r="C1909" s="11">
        <v>0.54144675925925922</v>
      </c>
      <c r="D1909" s="12">
        <v>0.54313657407407412</v>
      </c>
    </row>
    <row r="1910" spans="1:4" x14ac:dyDescent="0.35">
      <c r="A1910" s="5">
        <v>16527855</v>
      </c>
      <c r="B1910" s="6">
        <v>42943</v>
      </c>
      <c r="C1910" s="7">
        <v>0.54194444444444445</v>
      </c>
      <c r="D1910" s="8">
        <v>0.5513541666666667</v>
      </c>
    </row>
    <row r="1911" spans="1:4" x14ac:dyDescent="0.35">
      <c r="A1911" s="9">
        <v>1055495</v>
      </c>
      <c r="B1911" s="10">
        <v>42943</v>
      </c>
      <c r="C1911" s="11">
        <v>0.54600694444444442</v>
      </c>
      <c r="D1911" s="12">
        <v>0.54866898148148147</v>
      </c>
    </row>
    <row r="1912" spans="1:4" x14ac:dyDescent="0.35">
      <c r="A1912" s="5">
        <v>9120318</v>
      </c>
      <c r="B1912" s="6">
        <v>42943</v>
      </c>
      <c r="C1912" s="7">
        <v>0.54690972222222223</v>
      </c>
      <c r="D1912" s="8">
        <v>0.54707175925925922</v>
      </c>
    </row>
    <row r="1913" spans="1:4" x14ac:dyDescent="0.35">
      <c r="A1913" s="9">
        <v>4030817</v>
      </c>
      <c r="B1913" s="10">
        <v>42943</v>
      </c>
      <c r="C1913" s="11">
        <v>0.55092592592592593</v>
      </c>
      <c r="D1913" s="12">
        <v>0.56030092592592595</v>
      </c>
    </row>
    <row r="1914" spans="1:4" x14ac:dyDescent="0.35">
      <c r="A1914" s="5">
        <v>1025756</v>
      </c>
      <c r="B1914" s="6">
        <v>42943</v>
      </c>
      <c r="C1914" s="7">
        <v>0.55116898148148152</v>
      </c>
      <c r="D1914" s="8">
        <v>0.56047453703703709</v>
      </c>
    </row>
    <row r="1915" spans="1:4" x14ac:dyDescent="0.35">
      <c r="A1915" s="9">
        <v>29880225</v>
      </c>
      <c r="B1915" s="10">
        <v>42943</v>
      </c>
      <c r="C1915" s="11">
        <v>0.55174768518518513</v>
      </c>
      <c r="D1915" s="12">
        <v>0.55920138888888893</v>
      </c>
    </row>
    <row r="1916" spans="1:4" x14ac:dyDescent="0.35">
      <c r="A1916" s="5">
        <v>4791902</v>
      </c>
      <c r="B1916" s="6">
        <v>42943</v>
      </c>
      <c r="C1916" s="7">
        <v>0.55718749999999995</v>
      </c>
      <c r="D1916" s="8">
        <v>0.55753472222222222</v>
      </c>
    </row>
    <row r="1917" spans="1:4" x14ac:dyDescent="0.35">
      <c r="A1917" s="9">
        <v>5228419</v>
      </c>
      <c r="B1917" s="10">
        <v>42943</v>
      </c>
      <c r="C1917" s="11">
        <v>0.55995370370370368</v>
      </c>
      <c r="D1917" s="12">
        <v>0.56405092592592587</v>
      </c>
    </row>
    <row r="1918" spans="1:4" x14ac:dyDescent="0.35">
      <c r="A1918" s="5">
        <v>8991671</v>
      </c>
      <c r="B1918" s="6">
        <v>42943</v>
      </c>
      <c r="C1918" s="7">
        <v>0.56268518518518518</v>
      </c>
      <c r="D1918" s="8">
        <v>0.56517361111111108</v>
      </c>
    </row>
    <row r="1919" spans="1:4" x14ac:dyDescent="0.35">
      <c r="A1919" s="9">
        <v>8045338707</v>
      </c>
      <c r="B1919" s="10">
        <v>42943</v>
      </c>
      <c r="C1919" s="11">
        <v>0.56680555555555556</v>
      </c>
      <c r="D1919" s="12">
        <v>0.56877314814814817</v>
      </c>
    </row>
    <row r="1920" spans="1:4" x14ac:dyDescent="0.35">
      <c r="A1920" s="5">
        <v>9192546</v>
      </c>
      <c r="B1920" s="6">
        <v>42943</v>
      </c>
      <c r="C1920" s="7">
        <v>0.57233796296296291</v>
      </c>
      <c r="D1920" s="8">
        <v>0.57620370370370366</v>
      </c>
    </row>
    <row r="1921" spans="1:4" x14ac:dyDescent="0.35">
      <c r="A1921" s="9">
        <v>9664752</v>
      </c>
      <c r="B1921" s="10">
        <v>42943</v>
      </c>
      <c r="C1921" s="11">
        <v>0.57563657407407409</v>
      </c>
      <c r="D1921" s="12">
        <v>0.57976851851851852</v>
      </c>
    </row>
    <row r="1922" spans="1:4" x14ac:dyDescent="0.35">
      <c r="A1922" s="5">
        <v>62653835</v>
      </c>
      <c r="B1922" s="6">
        <v>42943</v>
      </c>
      <c r="C1922" s="7">
        <v>0.58034722222222224</v>
      </c>
      <c r="D1922" s="8">
        <v>0.58803240740740736</v>
      </c>
    </row>
    <row r="1923" spans="1:4" x14ac:dyDescent="0.35">
      <c r="A1923" s="9">
        <v>6087301</v>
      </c>
      <c r="B1923" s="10">
        <v>42943</v>
      </c>
      <c r="C1923" s="11">
        <v>0.58589120370370373</v>
      </c>
      <c r="D1923" s="12">
        <v>0.59706018518518522</v>
      </c>
    </row>
    <row r="1924" spans="1:4" x14ac:dyDescent="0.35">
      <c r="A1924" s="5">
        <v>3864488</v>
      </c>
      <c r="B1924" s="6">
        <v>42943</v>
      </c>
      <c r="C1924" s="7">
        <v>0.58601851851851849</v>
      </c>
      <c r="D1924" s="8">
        <v>0.58971064814814811</v>
      </c>
    </row>
    <row r="1925" spans="1:4" x14ac:dyDescent="0.35">
      <c r="A1925" s="9">
        <v>5604405</v>
      </c>
      <c r="B1925" s="10">
        <v>42943</v>
      </c>
      <c r="C1925" s="11">
        <v>0.58655092592592595</v>
      </c>
      <c r="D1925" s="12">
        <v>0.59761574074074075</v>
      </c>
    </row>
    <row r="1926" spans="1:4" x14ac:dyDescent="0.35">
      <c r="A1926" s="5">
        <v>4774889</v>
      </c>
      <c r="B1926" s="6">
        <v>42943</v>
      </c>
      <c r="C1926" s="7">
        <v>0.58733796296296292</v>
      </c>
      <c r="D1926" s="8">
        <v>0.59475694444444449</v>
      </c>
    </row>
    <row r="1927" spans="1:4" x14ac:dyDescent="0.35">
      <c r="A1927" s="9">
        <v>4017213</v>
      </c>
      <c r="B1927" s="10">
        <v>42943</v>
      </c>
      <c r="C1927" s="11">
        <v>0.59228009259259262</v>
      </c>
      <c r="D1927" s="12">
        <v>0.60034722222222225</v>
      </c>
    </row>
    <row r="1928" spans="1:4" x14ac:dyDescent="0.35">
      <c r="A1928" s="5">
        <v>4720934</v>
      </c>
      <c r="B1928" s="6">
        <v>42943</v>
      </c>
      <c r="C1928" s="7">
        <v>0.59624999999999995</v>
      </c>
      <c r="D1928" s="8">
        <v>0.59810185185185183</v>
      </c>
    </row>
    <row r="1929" spans="1:4" x14ac:dyDescent="0.35">
      <c r="A1929" s="9">
        <v>13494237</v>
      </c>
      <c r="B1929" s="10">
        <v>42943</v>
      </c>
      <c r="C1929" s="11">
        <v>0.60160879629629627</v>
      </c>
      <c r="D1929" s="12">
        <v>0.61234953703703698</v>
      </c>
    </row>
    <row r="1930" spans="1:4" x14ac:dyDescent="0.35">
      <c r="A1930" s="5">
        <v>71807686</v>
      </c>
      <c r="B1930" s="6">
        <v>42943</v>
      </c>
      <c r="C1930" s="7">
        <v>0.60339120370370369</v>
      </c>
      <c r="D1930" s="8">
        <v>0.61410879629629633</v>
      </c>
    </row>
    <row r="1931" spans="1:4" x14ac:dyDescent="0.35">
      <c r="A1931" s="9">
        <v>7865609</v>
      </c>
      <c r="B1931" s="10">
        <v>42943</v>
      </c>
      <c r="C1931" s="11">
        <v>0.60826388888888894</v>
      </c>
      <c r="D1931" s="12">
        <v>0.61071759259259262</v>
      </c>
    </row>
    <row r="1932" spans="1:4" x14ac:dyDescent="0.35">
      <c r="A1932" s="5">
        <v>5318850</v>
      </c>
      <c r="B1932" s="6">
        <v>42943</v>
      </c>
      <c r="C1932" s="7">
        <v>0.61053240740740744</v>
      </c>
      <c r="D1932" s="8">
        <v>0.61406249999999996</v>
      </c>
    </row>
    <row r="1933" spans="1:4" x14ac:dyDescent="0.35">
      <c r="A1933" s="9">
        <v>63613334</v>
      </c>
      <c r="B1933" s="10">
        <v>42943</v>
      </c>
      <c r="C1933" s="11">
        <v>0.61393518518518519</v>
      </c>
      <c r="D1933" s="12">
        <v>0.61831018518518521</v>
      </c>
    </row>
    <row r="1934" spans="1:4" x14ac:dyDescent="0.35">
      <c r="A1934" s="5">
        <v>2256093</v>
      </c>
      <c r="B1934" s="6">
        <v>42943</v>
      </c>
      <c r="C1934" s="7">
        <v>0.61958333333333337</v>
      </c>
      <c r="D1934" s="8">
        <v>0.62275462962962957</v>
      </c>
    </row>
    <row r="1935" spans="1:4" x14ac:dyDescent="0.35">
      <c r="A1935" s="9">
        <v>7421094</v>
      </c>
      <c r="B1935" s="10">
        <v>42943</v>
      </c>
      <c r="C1935" s="11">
        <v>0.62206018518518513</v>
      </c>
      <c r="D1935" s="12">
        <v>0.62554398148148149</v>
      </c>
    </row>
    <row r="1936" spans="1:4" x14ac:dyDescent="0.35">
      <c r="A1936" s="5">
        <v>5376362</v>
      </c>
      <c r="B1936" s="6">
        <v>42943</v>
      </c>
      <c r="C1936" s="7">
        <v>0.6255208333333333</v>
      </c>
      <c r="D1936" s="8">
        <v>0.63026620370370368</v>
      </c>
    </row>
    <row r="1937" spans="1:4" x14ac:dyDescent="0.35">
      <c r="A1937" s="9">
        <v>8967842</v>
      </c>
      <c r="B1937" s="10">
        <v>42944</v>
      </c>
      <c r="C1937" s="11">
        <v>0.3369328703703704</v>
      </c>
      <c r="D1937" s="12">
        <v>0.34400462962962963</v>
      </c>
    </row>
    <row r="1938" spans="1:4" x14ac:dyDescent="0.35">
      <c r="A1938" s="5">
        <v>76644634</v>
      </c>
      <c r="B1938" s="6">
        <v>42944</v>
      </c>
      <c r="C1938" s="7">
        <v>0.33696759259259257</v>
      </c>
      <c r="D1938" s="8">
        <v>0.33809027777777778</v>
      </c>
    </row>
    <row r="1939" spans="1:4" x14ac:dyDescent="0.35">
      <c r="A1939" s="9">
        <v>7622819</v>
      </c>
      <c r="B1939" s="10">
        <v>42944</v>
      </c>
      <c r="C1939" s="11">
        <v>0.33831018518518519</v>
      </c>
      <c r="D1939" s="12">
        <v>0.34758101851851853</v>
      </c>
    </row>
    <row r="1940" spans="1:4" x14ac:dyDescent="0.35">
      <c r="A1940" s="5">
        <v>3524259</v>
      </c>
      <c r="B1940" s="6">
        <v>42944</v>
      </c>
      <c r="C1940" s="7">
        <v>0.33927083333333335</v>
      </c>
      <c r="D1940" s="8">
        <v>0.34861111111111109</v>
      </c>
    </row>
    <row r="1941" spans="1:4" x14ac:dyDescent="0.35">
      <c r="A1941" s="9">
        <v>5550678</v>
      </c>
      <c r="B1941" s="10">
        <v>42944</v>
      </c>
      <c r="C1941" s="11">
        <v>0.34497685185185184</v>
      </c>
      <c r="D1941" s="12">
        <v>0.35487268518518517</v>
      </c>
    </row>
    <row r="1942" spans="1:4" x14ac:dyDescent="0.35">
      <c r="A1942" s="5">
        <v>41852472</v>
      </c>
      <c r="B1942" s="6">
        <v>42944</v>
      </c>
      <c r="C1942" s="7">
        <v>0.34826388888888887</v>
      </c>
      <c r="D1942" s="8">
        <v>0.34871527777777778</v>
      </c>
    </row>
    <row r="1943" spans="1:4" x14ac:dyDescent="0.35">
      <c r="A1943" s="9">
        <v>8799570155</v>
      </c>
      <c r="B1943" s="10">
        <v>42944</v>
      </c>
      <c r="C1943" s="11">
        <v>0.34932870370370372</v>
      </c>
      <c r="D1943" s="12">
        <v>0.35365740740740742</v>
      </c>
    </row>
    <row r="1944" spans="1:4" x14ac:dyDescent="0.35">
      <c r="A1944" s="5">
        <v>9329226</v>
      </c>
      <c r="B1944" s="6">
        <v>42944</v>
      </c>
      <c r="C1944" s="7">
        <v>0.34983796296296299</v>
      </c>
      <c r="D1944" s="8">
        <v>0.35505787037037034</v>
      </c>
    </row>
    <row r="1945" spans="1:4" x14ac:dyDescent="0.35">
      <c r="A1945" s="9">
        <v>9219408</v>
      </c>
      <c r="B1945" s="10">
        <v>42944</v>
      </c>
      <c r="C1945" s="11">
        <v>0.35519675925925925</v>
      </c>
      <c r="D1945" s="12">
        <v>0.36072916666666666</v>
      </c>
    </row>
    <row r="1946" spans="1:4" x14ac:dyDescent="0.35">
      <c r="A1946" s="5">
        <v>2163209</v>
      </c>
      <c r="B1946" s="6">
        <v>42944</v>
      </c>
      <c r="C1946" s="7">
        <v>0.35749999999999998</v>
      </c>
      <c r="D1946" s="8">
        <v>0.36791666666666667</v>
      </c>
    </row>
    <row r="1947" spans="1:4" x14ac:dyDescent="0.35">
      <c r="A1947" s="9">
        <v>98021540</v>
      </c>
      <c r="B1947" s="10">
        <v>42944</v>
      </c>
      <c r="C1947" s="11">
        <v>0.35806712962962961</v>
      </c>
      <c r="D1947" s="12">
        <v>0.36835648148148148</v>
      </c>
    </row>
    <row r="1948" spans="1:4" x14ac:dyDescent="0.35">
      <c r="A1948" s="5">
        <v>58420185</v>
      </c>
      <c r="B1948" s="6">
        <v>42944</v>
      </c>
      <c r="C1948" s="7">
        <v>0.35957175925925927</v>
      </c>
      <c r="D1948" s="8">
        <v>0.3616435185185185</v>
      </c>
    </row>
    <row r="1949" spans="1:4" x14ac:dyDescent="0.35">
      <c r="A1949" s="9">
        <v>2188847</v>
      </c>
      <c r="B1949" s="10">
        <v>42944</v>
      </c>
      <c r="C1949" s="11">
        <v>0.36321759259259262</v>
      </c>
      <c r="D1949" s="12">
        <v>0.36689814814814814</v>
      </c>
    </row>
    <row r="1950" spans="1:4" x14ac:dyDescent="0.35">
      <c r="A1950" s="5">
        <v>2419817</v>
      </c>
      <c r="B1950" s="6">
        <v>42944</v>
      </c>
      <c r="C1950" s="7">
        <v>0.36768518518518517</v>
      </c>
      <c r="D1950" s="8">
        <v>0.3742476851851852</v>
      </c>
    </row>
    <row r="1951" spans="1:4" x14ac:dyDescent="0.35">
      <c r="A1951" s="9">
        <v>8938444</v>
      </c>
      <c r="B1951" s="10">
        <v>42944</v>
      </c>
      <c r="C1951" s="11">
        <v>0.37162037037037038</v>
      </c>
      <c r="D1951" s="12">
        <v>0.37275462962962963</v>
      </c>
    </row>
    <row r="1952" spans="1:4" x14ac:dyDescent="0.35">
      <c r="A1952" s="5">
        <v>8512255</v>
      </c>
      <c r="B1952" s="6">
        <v>42944</v>
      </c>
      <c r="C1952" s="7">
        <v>0.37327546296296299</v>
      </c>
      <c r="D1952" s="8">
        <v>0.37962962962962965</v>
      </c>
    </row>
    <row r="1953" spans="1:4" x14ac:dyDescent="0.35">
      <c r="A1953" s="9">
        <v>7488966</v>
      </c>
      <c r="B1953" s="10">
        <v>42944</v>
      </c>
      <c r="C1953" s="11">
        <v>0.37513888888888891</v>
      </c>
      <c r="D1953" s="12">
        <v>0.3775</v>
      </c>
    </row>
    <row r="1954" spans="1:4" x14ac:dyDescent="0.35">
      <c r="A1954" s="5">
        <v>6068132</v>
      </c>
      <c r="B1954" s="6">
        <v>42944</v>
      </c>
      <c r="C1954" s="7">
        <v>0.37793981481481481</v>
      </c>
      <c r="D1954" s="8">
        <v>0.3873611111111111</v>
      </c>
    </row>
    <row r="1955" spans="1:4" x14ac:dyDescent="0.35">
      <c r="A1955" s="9">
        <v>6131743</v>
      </c>
      <c r="B1955" s="10">
        <v>42944</v>
      </c>
      <c r="C1955" s="11">
        <v>0.38305555555555554</v>
      </c>
      <c r="D1955" s="12">
        <v>0.38718750000000002</v>
      </c>
    </row>
    <row r="1956" spans="1:4" x14ac:dyDescent="0.35">
      <c r="A1956" s="5">
        <v>71564278</v>
      </c>
      <c r="B1956" s="6">
        <v>42944</v>
      </c>
      <c r="C1956" s="7">
        <v>0.38849537037037035</v>
      </c>
      <c r="D1956" s="8">
        <v>0.39708333333333334</v>
      </c>
    </row>
    <row r="1957" spans="1:4" x14ac:dyDescent="0.35">
      <c r="A1957" s="9">
        <v>4529192</v>
      </c>
      <c r="B1957" s="10">
        <v>42944</v>
      </c>
      <c r="C1957" s="11">
        <v>0.39005787037037037</v>
      </c>
      <c r="D1957" s="12">
        <v>0.39561342592592591</v>
      </c>
    </row>
    <row r="1958" spans="1:4" x14ac:dyDescent="0.35">
      <c r="A1958" s="5">
        <v>2193730</v>
      </c>
      <c r="B1958" s="6">
        <v>42944</v>
      </c>
      <c r="C1958" s="7">
        <v>0.39269675925925923</v>
      </c>
      <c r="D1958" s="8">
        <v>0.40126157407407409</v>
      </c>
    </row>
    <row r="1959" spans="1:4" x14ac:dyDescent="0.35">
      <c r="A1959" s="9">
        <v>3120387</v>
      </c>
      <c r="B1959" s="10">
        <v>42944</v>
      </c>
      <c r="C1959" s="11">
        <v>0.39303240740740741</v>
      </c>
      <c r="D1959" s="12">
        <v>0.39657407407407408</v>
      </c>
    </row>
    <row r="1960" spans="1:4" x14ac:dyDescent="0.35">
      <c r="A1960" s="5">
        <v>5726531</v>
      </c>
      <c r="B1960" s="6">
        <v>42944</v>
      </c>
      <c r="C1960" s="7">
        <v>0.39825231481481482</v>
      </c>
      <c r="D1960" s="8">
        <v>0.39855324074074072</v>
      </c>
    </row>
    <row r="1961" spans="1:4" x14ac:dyDescent="0.35">
      <c r="A1961" s="9">
        <v>5076649</v>
      </c>
      <c r="B1961" s="10">
        <v>42944</v>
      </c>
      <c r="C1961" s="11">
        <v>0.39922453703703703</v>
      </c>
      <c r="D1961" s="12">
        <v>0.40482638888888889</v>
      </c>
    </row>
    <row r="1962" spans="1:4" x14ac:dyDescent="0.35">
      <c r="A1962" s="5">
        <v>98939809</v>
      </c>
      <c r="B1962" s="6">
        <v>42944</v>
      </c>
      <c r="C1962" s="7">
        <v>0.40277777777777779</v>
      </c>
      <c r="D1962" s="8">
        <v>0.40599537037037037</v>
      </c>
    </row>
    <row r="1963" spans="1:4" x14ac:dyDescent="0.35">
      <c r="A1963" s="9">
        <v>2005653</v>
      </c>
      <c r="B1963" s="10">
        <v>42944</v>
      </c>
      <c r="C1963" s="11">
        <v>0.40842592592592591</v>
      </c>
      <c r="D1963" s="12">
        <v>0.41866898148148146</v>
      </c>
    </row>
    <row r="1964" spans="1:4" x14ac:dyDescent="0.35">
      <c r="A1964" s="5">
        <v>4659808</v>
      </c>
      <c r="B1964" s="6">
        <v>42944</v>
      </c>
      <c r="C1964" s="7">
        <v>0.40956018518518517</v>
      </c>
      <c r="D1964" s="8">
        <v>0.41278935185185184</v>
      </c>
    </row>
    <row r="1965" spans="1:4" x14ac:dyDescent="0.35">
      <c r="A1965" s="9">
        <v>60113139</v>
      </c>
      <c r="B1965" s="10">
        <v>42944</v>
      </c>
      <c r="C1965" s="11">
        <v>0.41228009259259257</v>
      </c>
      <c r="D1965" s="12">
        <v>0.41718749999999999</v>
      </c>
    </row>
    <row r="1966" spans="1:4" x14ac:dyDescent="0.35">
      <c r="A1966" s="5">
        <v>55896338</v>
      </c>
      <c r="B1966" s="6">
        <v>42944</v>
      </c>
      <c r="C1966" s="7">
        <v>0.41521990740740738</v>
      </c>
      <c r="D1966" s="8">
        <v>0.41893518518518519</v>
      </c>
    </row>
    <row r="1967" spans="1:4" x14ac:dyDescent="0.35">
      <c r="A1967" s="9">
        <v>9747403</v>
      </c>
      <c r="B1967" s="10">
        <v>42944</v>
      </c>
      <c r="C1967" s="11">
        <v>0.42093750000000002</v>
      </c>
      <c r="D1967" s="12">
        <v>0.42825231481481479</v>
      </c>
    </row>
    <row r="1968" spans="1:4" x14ac:dyDescent="0.35">
      <c r="A1968" s="5">
        <v>5687447</v>
      </c>
      <c r="B1968" s="6">
        <v>42944</v>
      </c>
      <c r="C1968" s="7">
        <v>0.42295138888888889</v>
      </c>
      <c r="D1968" s="8">
        <v>0.42423611111111109</v>
      </c>
    </row>
    <row r="1969" spans="1:4" x14ac:dyDescent="0.35">
      <c r="A1969" s="9">
        <v>78940032</v>
      </c>
      <c r="B1969" s="10">
        <v>42944</v>
      </c>
      <c r="C1969" s="11">
        <v>0.42478009259259258</v>
      </c>
      <c r="D1969" s="12">
        <v>0.43118055555555557</v>
      </c>
    </row>
    <row r="1970" spans="1:4" x14ac:dyDescent="0.35">
      <c r="A1970" s="5">
        <v>1094486764</v>
      </c>
      <c r="B1970" s="6">
        <v>42944</v>
      </c>
      <c r="C1970" s="7">
        <v>0.42781249999999998</v>
      </c>
      <c r="D1970" s="8">
        <v>0.43763888888888891</v>
      </c>
    </row>
    <row r="1971" spans="1:4" x14ac:dyDescent="0.35">
      <c r="A1971" s="9">
        <v>2611045</v>
      </c>
      <c r="B1971" s="10">
        <v>42944</v>
      </c>
      <c r="C1971" s="11">
        <v>0.43131944444444442</v>
      </c>
      <c r="D1971" s="12">
        <v>0.4387152777777778</v>
      </c>
    </row>
    <row r="1972" spans="1:4" x14ac:dyDescent="0.35">
      <c r="A1972" s="5">
        <v>6047761</v>
      </c>
      <c r="B1972" s="6">
        <v>42944</v>
      </c>
      <c r="C1972" s="7">
        <v>0.43351851851851853</v>
      </c>
      <c r="D1972" s="8">
        <v>0.4412152777777778</v>
      </c>
    </row>
    <row r="1973" spans="1:4" x14ac:dyDescent="0.35">
      <c r="A1973" s="9">
        <v>4154521</v>
      </c>
      <c r="B1973" s="10">
        <v>42944</v>
      </c>
      <c r="C1973" s="11">
        <v>0.43552083333333336</v>
      </c>
      <c r="D1973" s="12">
        <v>0.44587962962962963</v>
      </c>
    </row>
    <row r="1974" spans="1:4" x14ac:dyDescent="0.35">
      <c r="A1974" s="5">
        <v>8895257</v>
      </c>
      <c r="B1974" s="6">
        <v>42944</v>
      </c>
      <c r="C1974" s="7">
        <v>0.43975694444444446</v>
      </c>
      <c r="D1974" s="8">
        <v>0.4472800925925926</v>
      </c>
    </row>
    <row r="1975" spans="1:4" x14ac:dyDescent="0.35">
      <c r="A1975" s="9">
        <v>2199311</v>
      </c>
      <c r="B1975" s="10">
        <v>42944</v>
      </c>
      <c r="C1975" s="11">
        <v>0.44490740740740742</v>
      </c>
      <c r="D1975" s="12">
        <v>0.44578703703703704</v>
      </c>
    </row>
    <row r="1976" spans="1:4" x14ac:dyDescent="0.35">
      <c r="A1976" s="5">
        <v>17864361</v>
      </c>
      <c r="B1976" s="6">
        <v>42944</v>
      </c>
      <c r="C1976" s="7">
        <v>0.44605324074074076</v>
      </c>
      <c r="D1976" s="8">
        <v>0.45253472222222224</v>
      </c>
    </row>
    <row r="1977" spans="1:4" x14ac:dyDescent="0.35">
      <c r="A1977" s="9">
        <v>6943996503</v>
      </c>
      <c r="B1977" s="10">
        <v>42944</v>
      </c>
      <c r="C1977" s="11">
        <v>0.4506134259259259</v>
      </c>
      <c r="D1977" s="12">
        <v>0.45674768518518516</v>
      </c>
    </row>
    <row r="1978" spans="1:4" x14ac:dyDescent="0.35">
      <c r="A1978" s="5">
        <v>9547712</v>
      </c>
      <c r="B1978" s="6">
        <v>42944</v>
      </c>
      <c r="C1978" s="7">
        <v>0.45546296296296296</v>
      </c>
      <c r="D1978" s="8">
        <v>0.46259259259259261</v>
      </c>
    </row>
    <row r="1979" spans="1:4" x14ac:dyDescent="0.35">
      <c r="A1979" s="9">
        <v>3925701</v>
      </c>
      <c r="B1979" s="10">
        <v>42944</v>
      </c>
      <c r="C1979" s="11">
        <v>0.45756944444444442</v>
      </c>
      <c r="D1979" s="12">
        <v>0.46141203703703704</v>
      </c>
    </row>
    <row r="1980" spans="1:4" x14ac:dyDescent="0.35">
      <c r="A1980" s="5">
        <v>97317489</v>
      </c>
      <c r="B1980" s="6">
        <v>42944</v>
      </c>
      <c r="C1980" s="7">
        <v>0.46269675925925924</v>
      </c>
      <c r="D1980" s="8">
        <v>0.46620370370370373</v>
      </c>
    </row>
    <row r="1981" spans="1:4" x14ac:dyDescent="0.35">
      <c r="A1981" s="9">
        <v>78009874</v>
      </c>
      <c r="B1981" s="10">
        <v>42944</v>
      </c>
      <c r="C1981" s="11">
        <v>0.46400462962962963</v>
      </c>
      <c r="D1981" s="12">
        <v>0.46545138888888887</v>
      </c>
    </row>
    <row r="1982" spans="1:4" x14ac:dyDescent="0.35">
      <c r="A1982" s="5">
        <v>8590206</v>
      </c>
      <c r="B1982" s="6">
        <v>42944</v>
      </c>
      <c r="C1982" s="7">
        <v>0.46763888888888888</v>
      </c>
      <c r="D1982" s="8">
        <v>0.47359953703703705</v>
      </c>
    </row>
    <row r="1983" spans="1:4" x14ac:dyDescent="0.35">
      <c r="A1983" s="9">
        <v>7273239</v>
      </c>
      <c r="B1983" s="10">
        <v>42944</v>
      </c>
      <c r="C1983" s="11">
        <v>0.47111111111111109</v>
      </c>
      <c r="D1983" s="12">
        <v>0.48017361111111112</v>
      </c>
    </row>
    <row r="1984" spans="1:4" x14ac:dyDescent="0.35">
      <c r="A1984" s="5">
        <v>9975967</v>
      </c>
      <c r="B1984" s="6">
        <v>42944</v>
      </c>
      <c r="C1984" s="7">
        <v>0.47454861111111113</v>
      </c>
      <c r="D1984" s="8">
        <v>0.47562500000000002</v>
      </c>
    </row>
    <row r="1985" spans="1:4" x14ac:dyDescent="0.35">
      <c r="A1985" s="9">
        <v>2134315</v>
      </c>
      <c r="B1985" s="10">
        <v>42944</v>
      </c>
      <c r="C1985" s="11">
        <v>0.47733796296296294</v>
      </c>
      <c r="D1985" s="12">
        <v>0.48003472222222221</v>
      </c>
    </row>
    <row r="1986" spans="1:4" x14ac:dyDescent="0.35">
      <c r="A1986" s="5">
        <v>6919928</v>
      </c>
      <c r="B1986" s="6">
        <v>42944</v>
      </c>
      <c r="C1986" s="7">
        <v>0.4783101851851852</v>
      </c>
      <c r="D1986" s="8">
        <v>0.48770833333333335</v>
      </c>
    </row>
    <row r="1987" spans="1:4" x14ac:dyDescent="0.35">
      <c r="A1987" s="9">
        <v>45081794</v>
      </c>
      <c r="B1987" s="10">
        <v>42944</v>
      </c>
      <c r="C1987" s="11">
        <v>0.47928240740740741</v>
      </c>
      <c r="D1987" s="12">
        <v>0.481875</v>
      </c>
    </row>
    <row r="1988" spans="1:4" x14ac:dyDescent="0.35">
      <c r="A1988" s="5">
        <v>1661633</v>
      </c>
      <c r="B1988" s="6">
        <v>42944</v>
      </c>
      <c r="C1988" s="7">
        <v>0.48042824074074075</v>
      </c>
      <c r="D1988" s="8">
        <v>0.48422453703703705</v>
      </c>
    </row>
    <row r="1989" spans="1:4" x14ac:dyDescent="0.35">
      <c r="A1989" s="9">
        <v>1639829</v>
      </c>
      <c r="B1989" s="10">
        <v>42944</v>
      </c>
      <c r="C1989" s="11">
        <v>0.4815740740740741</v>
      </c>
      <c r="D1989" s="12">
        <v>0.48802083333333335</v>
      </c>
    </row>
    <row r="1990" spans="1:4" x14ac:dyDescent="0.35">
      <c r="A1990" s="5">
        <v>8585321</v>
      </c>
      <c r="B1990" s="6">
        <v>42944</v>
      </c>
      <c r="C1990" s="7">
        <v>0.4836111111111111</v>
      </c>
      <c r="D1990" s="8">
        <v>0.48996527777777776</v>
      </c>
    </row>
    <row r="1991" spans="1:4" x14ac:dyDescent="0.35">
      <c r="A1991" s="9">
        <v>1661643168</v>
      </c>
      <c r="B1991" s="10">
        <v>42944</v>
      </c>
      <c r="C1991" s="11">
        <v>0.48609953703703701</v>
      </c>
      <c r="D1991" s="12">
        <v>0.48850694444444442</v>
      </c>
    </row>
    <row r="1992" spans="1:4" x14ac:dyDescent="0.35">
      <c r="A1992" s="5">
        <v>5136126</v>
      </c>
      <c r="B1992" s="6">
        <v>42944</v>
      </c>
      <c r="C1992" s="7">
        <v>0.49048611111111112</v>
      </c>
      <c r="D1992" s="8">
        <v>0.49685185185185188</v>
      </c>
    </row>
    <row r="1993" spans="1:4" x14ac:dyDescent="0.35">
      <c r="A1993" s="9">
        <v>9747700</v>
      </c>
      <c r="B1993" s="10">
        <v>42944</v>
      </c>
      <c r="C1993" s="11">
        <v>0.49305555555555558</v>
      </c>
      <c r="D1993" s="12">
        <v>0.50435185185185183</v>
      </c>
    </row>
    <row r="1994" spans="1:4" x14ac:dyDescent="0.35">
      <c r="A1994" s="5">
        <v>8387594</v>
      </c>
      <c r="B1994" s="6">
        <v>42944</v>
      </c>
      <c r="C1994" s="7">
        <v>0.49401620370370369</v>
      </c>
      <c r="D1994" s="8">
        <v>0.49682870370370369</v>
      </c>
    </row>
    <row r="1995" spans="1:4" x14ac:dyDescent="0.35">
      <c r="A1995" s="9">
        <v>65166542</v>
      </c>
      <c r="B1995" s="10">
        <v>42944</v>
      </c>
      <c r="C1995" s="11">
        <v>0.49554398148148149</v>
      </c>
      <c r="D1995" s="12">
        <v>0.49667824074074074</v>
      </c>
    </row>
    <row r="1996" spans="1:4" x14ac:dyDescent="0.35">
      <c r="A1996" s="5">
        <v>77607017</v>
      </c>
      <c r="B1996" s="6">
        <v>42944</v>
      </c>
      <c r="C1996" s="7">
        <v>0.49858796296296298</v>
      </c>
      <c r="D1996" s="8">
        <v>0.50891203703703702</v>
      </c>
    </row>
    <row r="1997" spans="1:4" x14ac:dyDescent="0.35">
      <c r="A1997" s="9">
        <v>9028434625</v>
      </c>
      <c r="B1997" s="10">
        <v>42944</v>
      </c>
      <c r="C1997" s="11">
        <v>0.50208333333333333</v>
      </c>
      <c r="D1997" s="12">
        <v>0.5110069444444445</v>
      </c>
    </row>
    <row r="1998" spans="1:4" x14ac:dyDescent="0.35">
      <c r="A1998" s="5">
        <v>7503173</v>
      </c>
      <c r="B1998" s="6">
        <v>42944</v>
      </c>
      <c r="C1998" s="7">
        <v>0.50390046296296298</v>
      </c>
      <c r="D1998" s="8">
        <v>0.50619212962962967</v>
      </c>
    </row>
    <row r="1999" spans="1:4" x14ac:dyDescent="0.35">
      <c r="A1999" s="9">
        <v>9039872</v>
      </c>
      <c r="B1999" s="10">
        <v>42944</v>
      </c>
      <c r="C1999" s="11">
        <v>0.50825231481481481</v>
      </c>
      <c r="D1999" s="12">
        <v>0.5168518518518519</v>
      </c>
    </row>
    <row r="2000" spans="1:4" x14ac:dyDescent="0.35">
      <c r="A2000" s="5">
        <v>45940361</v>
      </c>
      <c r="B2000" s="6">
        <v>42944</v>
      </c>
      <c r="C2000" s="7">
        <v>0.50982638888888887</v>
      </c>
      <c r="D2000" s="8">
        <v>0.51537037037037037</v>
      </c>
    </row>
    <row r="2001" spans="1:4" x14ac:dyDescent="0.35">
      <c r="A2001" s="9">
        <v>6242177</v>
      </c>
      <c r="B2001" s="10">
        <v>42944</v>
      </c>
      <c r="C2001" s="11">
        <v>0.5138773148148148</v>
      </c>
      <c r="D2001" s="12">
        <v>0.52096064814814813</v>
      </c>
    </row>
    <row r="2002" spans="1:4" x14ac:dyDescent="0.35">
      <c r="A2002" s="5">
        <v>60454232</v>
      </c>
      <c r="B2002" s="6">
        <v>42944</v>
      </c>
      <c r="C2002" s="7">
        <v>0.5149421296296296</v>
      </c>
      <c r="D2002" s="8">
        <v>0.5248032407407407</v>
      </c>
    </row>
    <row r="2003" spans="1:4" x14ac:dyDescent="0.35">
      <c r="A2003" s="9">
        <v>4060894</v>
      </c>
      <c r="B2003" s="10">
        <v>42944</v>
      </c>
      <c r="C2003" s="11">
        <v>0.51730324074074074</v>
      </c>
      <c r="D2003" s="12">
        <v>0.51848379629629626</v>
      </c>
    </row>
    <row r="2004" spans="1:4" x14ac:dyDescent="0.35">
      <c r="A2004" s="5">
        <v>8223406</v>
      </c>
      <c r="B2004" s="6">
        <v>42944</v>
      </c>
      <c r="C2004" s="7">
        <v>0.51908564814814817</v>
      </c>
      <c r="D2004" s="8">
        <v>0.51929398148148154</v>
      </c>
    </row>
    <row r="2005" spans="1:4" x14ac:dyDescent="0.35">
      <c r="A2005" s="9">
        <v>43109897</v>
      </c>
      <c r="B2005" s="10">
        <v>42944</v>
      </c>
      <c r="C2005" s="11">
        <v>0.52467592592592593</v>
      </c>
      <c r="D2005" s="12">
        <v>0.53178240740740745</v>
      </c>
    </row>
    <row r="2006" spans="1:4" x14ac:dyDescent="0.35">
      <c r="A2006" s="5">
        <v>95805020</v>
      </c>
      <c r="B2006" s="6">
        <v>42944</v>
      </c>
      <c r="C2006" s="7">
        <v>0.52603009259259259</v>
      </c>
      <c r="D2006" s="8">
        <v>0.53304398148148147</v>
      </c>
    </row>
    <row r="2007" spans="1:4" x14ac:dyDescent="0.35">
      <c r="A2007" s="9">
        <v>2849439</v>
      </c>
      <c r="B2007" s="10">
        <v>42944</v>
      </c>
      <c r="C2007" s="11">
        <v>0.52813657407407411</v>
      </c>
      <c r="D2007" s="12">
        <v>0.53039351851851857</v>
      </c>
    </row>
    <row r="2008" spans="1:4" x14ac:dyDescent="0.35">
      <c r="A2008" s="5">
        <v>9589060</v>
      </c>
      <c r="B2008" s="6">
        <v>42944</v>
      </c>
      <c r="C2008" s="7">
        <v>0.53310185185185188</v>
      </c>
      <c r="D2008" s="8">
        <v>0.53871527777777772</v>
      </c>
    </row>
    <row r="2009" spans="1:4" x14ac:dyDescent="0.35">
      <c r="A2009" s="9">
        <v>2603125</v>
      </c>
      <c r="B2009" s="10">
        <v>42944</v>
      </c>
      <c r="C2009" s="11">
        <v>0.53541666666666665</v>
      </c>
      <c r="D2009" s="12">
        <v>0.53666666666666663</v>
      </c>
    </row>
    <row r="2010" spans="1:4" x14ac:dyDescent="0.35">
      <c r="A2010" s="5">
        <v>8770898</v>
      </c>
      <c r="B2010" s="6">
        <v>42944</v>
      </c>
      <c r="C2010" s="7">
        <v>0.53773148148148153</v>
      </c>
      <c r="D2010" s="8">
        <v>0.54628472222222224</v>
      </c>
    </row>
    <row r="2011" spans="1:4" x14ac:dyDescent="0.35">
      <c r="A2011" s="9">
        <v>3224960</v>
      </c>
      <c r="B2011" s="10">
        <v>42944</v>
      </c>
      <c r="C2011" s="11">
        <v>0.54221064814814812</v>
      </c>
      <c r="D2011" s="12">
        <v>0.54947916666666663</v>
      </c>
    </row>
    <row r="2012" spans="1:4" x14ac:dyDescent="0.35">
      <c r="A2012" s="5">
        <v>4150421</v>
      </c>
      <c r="B2012" s="6">
        <v>42944</v>
      </c>
      <c r="C2012" s="7">
        <v>0.54599537037037038</v>
      </c>
      <c r="D2012" s="8">
        <v>0.54759259259259263</v>
      </c>
    </row>
    <row r="2013" spans="1:4" x14ac:dyDescent="0.35">
      <c r="A2013" s="9">
        <v>44302763</v>
      </c>
      <c r="B2013" s="10">
        <v>42944</v>
      </c>
      <c r="C2013" s="11">
        <v>0.54905092592592597</v>
      </c>
      <c r="D2013" s="12">
        <v>0.55343750000000003</v>
      </c>
    </row>
    <row r="2014" spans="1:4" x14ac:dyDescent="0.35">
      <c r="A2014" s="5">
        <v>1922212</v>
      </c>
      <c r="B2014" s="6">
        <v>42944</v>
      </c>
      <c r="C2014" s="7">
        <v>0.55334490740740738</v>
      </c>
      <c r="D2014" s="8">
        <v>0.56339120370370366</v>
      </c>
    </row>
    <row r="2015" spans="1:4" x14ac:dyDescent="0.35">
      <c r="A2015" s="9">
        <v>9603024</v>
      </c>
      <c r="B2015" s="10">
        <v>42944</v>
      </c>
      <c r="C2015" s="11">
        <v>0.55806712962962968</v>
      </c>
      <c r="D2015" s="12">
        <v>0.55923611111111116</v>
      </c>
    </row>
    <row r="2016" spans="1:4" x14ac:dyDescent="0.35">
      <c r="A2016" s="5">
        <v>1640513</v>
      </c>
      <c r="B2016" s="6">
        <v>42944</v>
      </c>
      <c r="C2016" s="7">
        <v>0.56162037037037038</v>
      </c>
      <c r="D2016" s="8">
        <v>0.56876157407407413</v>
      </c>
    </row>
    <row r="2017" spans="1:4" x14ac:dyDescent="0.35">
      <c r="A2017" s="9">
        <v>16592072</v>
      </c>
      <c r="B2017" s="10">
        <v>42944</v>
      </c>
      <c r="C2017" s="11">
        <v>0.56673611111111111</v>
      </c>
      <c r="D2017" s="12">
        <v>0.57725694444444442</v>
      </c>
    </row>
    <row r="2018" spans="1:4" x14ac:dyDescent="0.35">
      <c r="A2018" s="5">
        <v>4895290</v>
      </c>
      <c r="B2018" s="6">
        <v>42944</v>
      </c>
      <c r="C2018" s="7">
        <v>0.56821759259259264</v>
      </c>
      <c r="D2018" s="8">
        <v>0.5773611111111111</v>
      </c>
    </row>
    <row r="2019" spans="1:4" x14ac:dyDescent="0.35">
      <c r="A2019" s="9">
        <v>5277660</v>
      </c>
      <c r="B2019" s="10">
        <v>42944</v>
      </c>
      <c r="C2019" s="11">
        <v>0.57050925925925922</v>
      </c>
      <c r="D2019" s="12">
        <v>0.58049768518518519</v>
      </c>
    </row>
    <row r="2020" spans="1:4" x14ac:dyDescent="0.35">
      <c r="A2020" s="5">
        <v>8715278</v>
      </c>
      <c r="B2020" s="6">
        <v>42944</v>
      </c>
      <c r="C2020" s="7">
        <v>0.57146990740740744</v>
      </c>
      <c r="D2020" s="8">
        <v>0.57642361111111107</v>
      </c>
    </row>
    <row r="2021" spans="1:4" x14ac:dyDescent="0.35">
      <c r="A2021" s="9">
        <v>1462418</v>
      </c>
      <c r="B2021" s="10">
        <v>42944</v>
      </c>
      <c r="C2021" s="11">
        <v>0.57186342592592587</v>
      </c>
      <c r="D2021" s="12">
        <v>0.57379629629629625</v>
      </c>
    </row>
    <row r="2022" spans="1:4" x14ac:dyDescent="0.35">
      <c r="A2022" s="5">
        <v>8077806</v>
      </c>
      <c r="B2022" s="6">
        <v>42944</v>
      </c>
      <c r="C2022" s="7">
        <v>0.57629629629629631</v>
      </c>
      <c r="D2022" s="8">
        <v>0.58628472222222228</v>
      </c>
    </row>
    <row r="2023" spans="1:4" x14ac:dyDescent="0.35">
      <c r="A2023" s="9">
        <v>5759409</v>
      </c>
      <c r="B2023" s="10">
        <v>42944</v>
      </c>
      <c r="C2023" s="11">
        <v>0.57835648148148144</v>
      </c>
      <c r="D2023" s="12">
        <v>0.58644675925925926</v>
      </c>
    </row>
    <row r="2024" spans="1:4" x14ac:dyDescent="0.35">
      <c r="A2024" s="5">
        <v>6257971</v>
      </c>
      <c r="B2024" s="6">
        <v>42944</v>
      </c>
      <c r="C2024" s="7">
        <v>0.58331018518518518</v>
      </c>
      <c r="D2024" s="8">
        <v>0.58539351851851851</v>
      </c>
    </row>
    <row r="2025" spans="1:4" x14ac:dyDescent="0.35">
      <c r="A2025" s="9">
        <v>91129571</v>
      </c>
      <c r="B2025" s="10">
        <v>42944</v>
      </c>
      <c r="C2025" s="11">
        <v>0.58353009259259259</v>
      </c>
      <c r="D2025" s="12">
        <v>0.58950231481481485</v>
      </c>
    </row>
    <row r="2026" spans="1:4" x14ac:dyDescent="0.35">
      <c r="A2026" s="5">
        <v>6884037</v>
      </c>
      <c r="B2026" s="6">
        <v>42944</v>
      </c>
      <c r="C2026" s="7">
        <v>0.58892361111111113</v>
      </c>
      <c r="D2026" s="8">
        <v>0.59381944444444446</v>
      </c>
    </row>
    <row r="2027" spans="1:4" x14ac:dyDescent="0.35">
      <c r="A2027" s="9">
        <v>6657074</v>
      </c>
      <c r="B2027" s="10">
        <v>42944</v>
      </c>
      <c r="C2027" s="11">
        <v>0.59035879629629628</v>
      </c>
      <c r="D2027" s="12">
        <v>0.5992939814814815</v>
      </c>
    </row>
    <row r="2028" spans="1:4" x14ac:dyDescent="0.35">
      <c r="A2028" s="5">
        <v>2211277198</v>
      </c>
      <c r="B2028" s="6">
        <v>42944</v>
      </c>
      <c r="C2028" s="7">
        <v>0.59439814814814818</v>
      </c>
      <c r="D2028" s="8">
        <v>0.60048611111111116</v>
      </c>
    </row>
    <row r="2029" spans="1:4" x14ac:dyDescent="0.35">
      <c r="A2029" s="9">
        <v>26766818</v>
      </c>
      <c r="B2029" s="10">
        <v>42944</v>
      </c>
      <c r="C2029" s="11">
        <v>0.59788194444444442</v>
      </c>
      <c r="D2029" s="12">
        <v>0.60576388888888888</v>
      </c>
    </row>
    <row r="2030" spans="1:4" x14ac:dyDescent="0.35">
      <c r="A2030" s="5">
        <v>4473835</v>
      </c>
      <c r="B2030" s="6">
        <v>42944</v>
      </c>
      <c r="C2030" s="7">
        <v>0.60322916666666671</v>
      </c>
      <c r="D2030" s="8">
        <v>0.60628472222222218</v>
      </c>
    </row>
    <row r="2031" spans="1:4" x14ac:dyDescent="0.35">
      <c r="A2031" s="9">
        <v>9941776</v>
      </c>
      <c r="B2031" s="10">
        <v>42944</v>
      </c>
      <c r="C2031" s="11">
        <v>0.60745370370370366</v>
      </c>
      <c r="D2031" s="12">
        <v>0.61017361111111112</v>
      </c>
    </row>
    <row r="2032" spans="1:4" x14ac:dyDescent="0.35">
      <c r="A2032" s="5">
        <v>9045402</v>
      </c>
      <c r="B2032" s="6">
        <v>42944</v>
      </c>
      <c r="C2032" s="7">
        <v>0.61322916666666671</v>
      </c>
      <c r="D2032" s="8">
        <v>0.62153935185185183</v>
      </c>
    </row>
    <row r="2033" spans="1:4" x14ac:dyDescent="0.35">
      <c r="A2033" s="9">
        <v>7662302259</v>
      </c>
      <c r="B2033" s="10">
        <v>42944</v>
      </c>
      <c r="C2033" s="11">
        <v>0.61570601851851847</v>
      </c>
      <c r="D2033" s="12">
        <v>0.62429398148148152</v>
      </c>
    </row>
    <row r="2034" spans="1:4" x14ac:dyDescent="0.35">
      <c r="A2034" s="5">
        <v>2756059784</v>
      </c>
      <c r="B2034" s="6">
        <v>42944</v>
      </c>
      <c r="C2034" s="7">
        <v>0.61962962962962964</v>
      </c>
      <c r="D2034" s="8">
        <v>0.62399305555555551</v>
      </c>
    </row>
    <row r="2035" spans="1:4" x14ac:dyDescent="0.35">
      <c r="A2035" s="9">
        <v>8667012</v>
      </c>
      <c r="B2035" s="10">
        <v>42944</v>
      </c>
      <c r="C2035" s="11">
        <v>0.62204861111111109</v>
      </c>
      <c r="D2035" s="12">
        <v>0.62440972222222224</v>
      </c>
    </row>
    <row r="2036" spans="1:4" x14ac:dyDescent="0.35">
      <c r="A2036" s="5">
        <v>34964547</v>
      </c>
      <c r="B2036" s="6">
        <v>42944</v>
      </c>
      <c r="C2036" s="7">
        <v>0.62502314814814819</v>
      </c>
      <c r="D2036" s="8">
        <v>0.63574074074074072</v>
      </c>
    </row>
    <row r="2037" spans="1:4" x14ac:dyDescent="0.35">
      <c r="A2037" s="9">
        <v>9357185</v>
      </c>
      <c r="B2037" s="10">
        <v>42947</v>
      </c>
      <c r="C2037" s="11">
        <v>0.3342013888888889</v>
      </c>
      <c r="D2037" s="12">
        <v>0.34159722222222222</v>
      </c>
    </row>
    <row r="2038" spans="1:4" x14ac:dyDescent="0.35">
      <c r="A2038" s="5">
        <v>12471534</v>
      </c>
      <c r="B2038" s="6">
        <v>42947</v>
      </c>
      <c r="C2038" s="7">
        <v>0.33929398148148149</v>
      </c>
      <c r="D2038" s="8">
        <v>0.34349537037037037</v>
      </c>
    </row>
    <row r="2039" spans="1:4" x14ac:dyDescent="0.35">
      <c r="A2039" s="9">
        <v>1003402</v>
      </c>
      <c r="B2039" s="10">
        <v>42947</v>
      </c>
      <c r="C2039" s="11">
        <v>0.34378472222222223</v>
      </c>
      <c r="D2039" s="12">
        <v>0.34677083333333331</v>
      </c>
    </row>
    <row r="2040" spans="1:4" x14ac:dyDescent="0.35">
      <c r="A2040" s="5">
        <v>4509550</v>
      </c>
      <c r="B2040" s="6">
        <v>42947</v>
      </c>
      <c r="C2040" s="7">
        <v>0.34609953703703705</v>
      </c>
      <c r="D2040" s="8">
        <v>0.35118055555555555</v>
      </c>
    </row>
    <row r="2041" spans="1:4" x14ac:dyDescent="0.35">
      <c r="A2041" s="9">
        <v>5356824</v>
      </c>
      <c r="B2041" s="10">
        <v>42947</v>
      </c>
      <c r="C2041" s="11">
        <v>0.35167824074074072</v>
      </c>
      <c r="D2041" s="12">
        <v>0.35538194444444443</v>
      </c>
    </row>
    <row r="2042" spans="1:4" x14ac:dyDescent="0.35">
      <c r="A2042" s="5">
        <v>4293872</v>
      </c>
      <c r="B2042" s="6">
        <v>42947</v>
      </c>
      <c r="C2042" s="7">
        <v>0.35333333333333333</v>
      </c>
      <c r="D2042" s="8">
        <v>0.35844907407407406</v>
      </c>
    </row>
    <row r="2043" spans="1:4" x14ac:dyDescent="0.35">
      <c r="A2043" s="9">
        <v>5086182</v>
      </c>
      <c r="B2043" s="10">
        <v>42947</v>
      </c>
      <c r="C2043" s="11">
        <v>0.35793981481481479</v>
      </c>
      <c r="D2043" s="12">
        <v>0.36571759259259257</v>
      </c>
    </row>
    <row r="2044" spans="1:4" x14ac:dyDescent="0.35">
      <c r="A2044" s="5">
        <v>6175467</v>
      </c>
      <c r="B2044" s="6">
        <v>42947</v>
      </c>
      <c r="C2044" s="7">
        <v>0.35976851851851854</v>
      </c>
      <c r="D2044" s="8">
        <v>0.36883101851851852</v>
      </c>
    </row>
    <row r="2045" spans="1:4" x14ac:dyDescent="0.35">
      <c r="A2045" s="9">
        <v>2107985</v>
      </c>
      <c r="B2045" s="10">
        <v>42947</v>
      </c>
      <c r="C2045" s="11">
        <v>0.36394675925925923</v>
      </c>
      <c r="D2045" s="12">
        <v>0.37373842592592593</v>
      </c>
    </row>
    <row r="2046" spans="1:4" x14ac:dyDescent="0.35">
      <c r="A2046" s="5">
        <v>9388066</v>
      </c>
      <c r="B2046" s="6">
        <v>42947</v>
      </c>
      <c r="C2046" s="7">
        <v>0.36552083333333335</v>
      </c>
      <c r="D2046" s="8">
        <v>0.3696990740740741</v>
      </c>
    </row>
    <row r="2047" spans="1:4" x14ac:dyDescent="0.35">
      <c r="A2047" s="9">
        <v>4614100</v>
      </c>
      <c r="B2047" s="10">
        <v>42947</v>
      </c>
      <c r="C2047" s="11">
        <v>0.36776620370370372</v>
      </c>
      <c r="D2047" s="12">
        <v>0.37584490740740739</v>
      </c>
    </row>
    <row r="2048" spans="1:4" x14ac:dyDescent="0.35">
      <c r="A2048" s="5">
        <v>8279741</v>
      </c>
      <c r="B2048" s="6">
        <v>42947</v>
      </c>
      <c r="C2048" s="7">
        <v>0.37170138888888887</v>
      </c>
      <c r="D2048" s="8">
        <v>0.38305555555555554</v>
      </c>
    </row>
    <row r="2049" spans="1:4" x14ac:dyDescent="0.35">
      <c r="A2049" s="9">
        <v>9564752674</v>
      </c>
      <c r="B2049" s="10">
        <v>42947</v>
      </c>
      <c r="C2049" s="11">
        <v>0.37239583333333331</v>
      </c>
      <c r="D2049" s="12">
        <v>0.37680555555555556</v>
      </c>
    </row>
    <row r="2050" spans="1:4" x14ac:dyDescent="0.35">
      <c r="A2050" s="5">
        <v>1451455</v>
      </c>
      <c r="B2050" s="6">
        <v>42947</v>
      </c>
      <c r="C2050" s="7">
        <v>0.37714120370370369</v>
      </c>
      <c r="D2050" s="8">
        <v>0.38119212962962962</v>
      </c>
    </row>
    <row r="2051" spans="1:4" x14ac:dyDescent="0.35">
      <c r="A2051" s="9">
        <v>8156713</v>
      </c>
      <c r="B2051" s="10">
        <v>42947</v>
      </c>
      <c r="C2051" s="11">
        <v>0.38130787037037039</v>
      </c>
      <c r="D2051" s="12">
        <v>0.38280092592592591</v>
      </c>
    </row>
    <row r="2052" spans="1:4" x14ac:dyDescent="0.35">
      <c r="A2052" s="5">
        <v>24024164</v>
      </c>
      <c r="B2052" s="6">
        <v>42947</v>
      </c>
      <c r="C2052" s="7">
        <v>0.38135416666666666</v>
      </c>
      <c r="D2052" s="8">
        <v>0.38210648148148146</v>
      </c>
    </row>
    <row r="2053" spans="1:4" x14ac:dyDescent="0.35">
      <c r="A2053" s="9">
        <v>75122204</v>
      </c>
      <c r="B2053" s="10">
        <v>42947</v>
      </c>
      <c r="C2053" s="11">
        <v>0.38641203703703703</v>
      </c>
      <c r="D2053" s="12">
        <v>0.39549768518518519</v>
      </c>
    </row>
    <row r="2054" spans="1:4" x14ac:dyDescent="0.35">
      <c r="A2054" s="5">
        <v>33166727</v>
      </c>
      <c r="B2054" s="6">
        <v>42947</v>
      </c>
      <c r="C2054" s="7">
        <v>0.38927083333333334</v>
      </c>
      <c r="D2054" s="8">
        <v>0.39721064814814816</v>
      </c>
    </row>
    <row r="2055" spans="1:4" x14ac:dyDescent="0.35">
      <c r="A2055" s="9">
        <v>4293872</v>
      </c>
      <c r="B2055" s="10">
        <v>42947</v>
      </c>
      <c r="C2055" s="11">
        <v>0.39023148148148146</v>
      </c>
      <c r="D2055" s="12">
        <v>0.39748842592592593</v>
      </c>
    </row>
    <row r="2056" spans="1:4" x14ac:dyDescent="0.35">
      <c r="A2056" s="5">
        <v>3017523</v>
      </c>
      <c r="B2056" s="6">
        <v>42947</v>
      </c>
      <c r="C2056" s="7">
        <v>0.3934259259259259</v>
      </c>
      <c r="D2056" s="8">
        <v>0.40181712962962962</v>
      </c>
    </row>
    <row r="2057" spans="1:4" x14ac:dyDescent="0.35">
      <c r="A2057" s="9">
        <v>5087484</v>
      </c>
      <c r="B2057" s="10">
        <v>42947</v>
      </c>
      <c r="C2057" s="11">
        <v>0.39766203703703706</v>
      </c>
      <c r="D2057" s="12">
        <v>0.39957175925925925</v>
      </c>
    </row>
    <row r="2058" spans="1:4" x14ac:dyDescent="0.35">
      <c r="A2058" s="5">
        <v>47615054</v>
      </c>
      <c r="B2058" s="6">
        <v>42947</v>
      </c>
      <c r="C2058" s="7">
        <v>0.39878472222222222</v>
      </c>
      <c r="D2058" s="8">
        <v>0.40041666666666664</v>
      </c>
    </row>
    <row r="2059" spans="1:4" x14ac:dyDescent="0.35">
      <c r="A2059" s="9">
        <v>7775602353</v>
      </c>
      <c r="B2059" s="10">
        <v>42947</v>
      </c>
      <c r="C2059" s="11">
        <v>0.40313657407407405</v>
      </c>
      <c r="D2059" s="12">
        <v>0.40773148148148147</v>
      </c>
    </row>
    <row r="2060" spans="1:4" x14ac:dyDescent="0.35">
      <c r="A2060" s="5">
        <v>9533304954</v>
      </c>
      <c r="B2060" s="6">
        <v>42947</v>
      </c>
      <c r="C2060" s="7">
        <v>0.40328703703703705</v>
      </c>
      <c r="D2060" s="8">
        <v>0.41405092592592591</v>
      </c>
    </row>
    <row r="2061" spans="1:4" x14ac:dyDescent="0.35">
      <c r="A2061" s="9">
        <v>5147651</v>
      </c>
      <c r="B2061" s="10">
        <v>42947</v>
      </c>
      <c r="C2061" s="11">
        <v>0.40497685185185184</v>
      </c>
      <c r="D2061" s="12">
        <v>0.41167824074074072</v>
      </c>
    </row>
    <row r="2062" spans="1:4" x14ac:dyDescent="0.35">
      <c r="A2062" s="5">
        <v>7564861</v>
      </c>
      <c r="B2062" s="6">
        <v>42947</v>
      </c>
      <c r="C2062" s="7">
        <v>0.40725694444444444</v>
      </c>
      <c r="D2062" s="8">
        <v>0.41819444444444442</v>
      </c>
    </row>
    <row r="2063" spans="1:4" x14ac:dyDescent="0.35">
      <c r="A2063" s="9">
        <v>8163790</v>
      </c>
      <c r="B2063" s="10">
        <v>42947</v>
      </c>
      <c r="C2063" s="11">
        <v>0.40787037037037038</v>
      </c>
      <c r="D2063" s="12">
        <v>0.40846064814814814</v>
      </c>
    </row>
    <row r="2064" spans="1:4" x14ac:dyDescent="0.35">
      <c r="A2064" s="5">
        <v>37930610</v>
      </c>
      <c r="B2064" s="6">
        <v>42947</v>
      </c>
      <c r="C2064" s="7">
        <v>0.41334490740740742</v>
      </c>
      <c r="D2064" s="8">
        <v>0.4239236111111111</v>
      </c>
    </row>
    <row r="2065" spans="1:4" x14ac:dyDescent="0.35">
      <c r="A2065" s="9">
        <v>7518300</v>
      </c>
      <c r="B2065" s="10">
        <v>42947</v>
      </c>
      <c r="C2065" s="11">
        <v>0.41337962962962965</v>
      </c>
      <c r="D2065" s="12">
        <v>0.41743055555555558</v>
      </c>
    </row>
    <row r="2066" spans="1:4" x14ac:dyDescent="0.35">
      <c r="A2066" s="5">
        <v>9233918039</v>
      </c>
      <c r="B2066" s="6">
        <v>42947</v>
      </c>
      <c r="C2066" s="7">
        <v>0.41523148148148148</v>
      </c>
      <c r="D2066" s="8">
        <v>0.42322916666666666</v>
      </c>
    </row>
    <row r="2067" spans="1:4" x14ac:dyDescent="0.35">
      <c r="A2067" s="9">
        <v>5744555</v>
      </c>
      <c r="B2067" s="10">
        <v>42947</v>
      </c>
      <c r="C2067" s="11">
        <v>0.41841435185185183</v>
      </c>
      <c r="D2067" s="12">
        <v>0.42677083333333332</v>
      </c>
    </row>
    <row r="2068" spans="1:4" x14ac:dyDescent="0.35">
      <c r="A2068" s="5">
        <v>17005785</v>
      </c>
      <c r="B2068" s="6">
        <v>42947</v>
      </c>
      <c r="C2068" s="7">
        <v>0.41873842592592592</v>
      </c>
      <c r="D2068" s="8">
        <v>0.42502314814814812</v>
      </c>
    </row>
    <row r="2069" spans="1:4" x14ac:dyDescent="0.35">
      <c r="A2069" s="9">
        <v>35281950</v>
      </c>
      <c r="B2069" s="10">
        <v>42947</v>
      </c>
      <c r="C2069" s="11">
        <v>0.41952546296296295</v>
      </c>
      <c r="D2069" s="12">
        <v>0.42105324074074074</v>
      </c>
    </row>
    <row r="2070" spans="1:4" x14ac:dyDescent="0.35">
      <c r="A2070" s="5">
        <v>54840810</v>
      </c>
      <c r="B2070" s="6">
        <v>42947</v>
      </c>
      <c r="C2070" s="7">
        <v>0.4211111111111111</v>
      </c>
      <c r="D2070" s="8">
        <v>0.42442129629629627</v>
      </c>
    </row>
    <row r="2071" spans="1:4" x14ac:dyDescent="0.35">
      <c r="A2071" s="9">
        <v>3236046</v>
      </c>
      <c r="B2071" s="10">
        <v>42947</v>
      </c>
      <c r="C2071" s="11">
        <v>0.42247685185185185</v>
      </c>
      <c r="D2071" s="12">
        <v>0.4268865740740741</v>
      </c>
    </row>
    <row r="2072" spans="1:4" x14ac:dyDescent="0.35">
      <c r="A2072" s="5">
        <v>20149106</v>
      </c>
      <c r="B2072" s="6">
        <v>42947</v>
      </c>
      <c r="C2072" s="7">
        <v>0.42586805555555557</v>
      </c>
      <c r="D2072" s="8">
        <v>0.42711805555555554</v>
      </c>
    </row>
    <row r="2073" spans="1:4" x14ac:dyDescent="0.35">
      <c r="A2073" s="9">
        <v>6124638</v>
      </c>
      <c r="B2073" s="10">
        <v>42947</v>
      </c>
      <c r="C2073" s="11">
        <v>0.43162037037037038</v>
      </c>
      <c r="D2073" s="12">
        <v>0.44153935185185184</v>
      </c>
    </row>
    <row r="2074" spans="1:4" x14ac:dyDescent="0.35">
      <c r="A2074" s="5">
        <v>1090396060</v>
      </c>
      <c r="B2074" s="6">
        <v>42947</v>
      </c>
      <c r="C2074" s="7">
        <v>0.43663194444444442</v>
      </c>
      <c r="D2074" s="8">
        <v>0.43993055555555555</v>
      </c>
    </row>
    <row r="2075" spans="1:4" x14ac:dyDescent="0.35">
      <c r="A2075" s="9">
        <v>9355422</v>
      </c>
      <c r="B2075" s="10">
        <v>42947</v>
      </c>
      <c r="C2075" s="11">
        <v>0.43686342592592592</v>
      </c>
      <c r="D2075" s="12">
        <v>0.44393518518518521</v>
      </c>
    </row>
    <row r="2076" spans="1:4" x14ac:dyDescent="0.35">
      <c r="A2076" s="5">
        <v>9950462</v>
      </c>
      <c r="B2076" s="6">
        <v>42947</v>
      </c>
      <c r="C2076" s="7">
        <v>0.44243055555555555</v>
      </c>
      <c r="D2076" s="8">
        <v>0.45349537037037035</v>
      </c>
    </row>
    <row r="2077" spans="1:4" x14ac:dyDescent="0.35">
      <c r="A2077" s="9">
        <v>2474506</v>
      </c>
      <c r="B2077" s="10">
        <v>42947</v>
      </c>
      <c r="C2077" s="11">
        <v>0.44802083333333331</v>
      </c>
      <c r="D2077" s="12">
        <v>0.45892361111111113</v>
      </c>
    </row>
    <row r="2078" spans="1:4" x14ac:dyDescent="0.35">
      <c r="A2078" s="5">
        <v>2462682</v>
      </c>
      <c r="B2078" s="6">
        <v>42947</v>
      </c>
      <c r="C2078" s="7">
        <v>0.45243055555555556</v>
      </c>
      <c r="D2078" s="8">
        <v>0.45275462962962965</v>
      </c>
    </row>
    <row r="2079" spans="1:4" x14ac:dyDescent="0.35">
      <c r="A2079" s="9">
        <v>8159788</v>
      </c>
      <c r="B2079" s="10">
        <v>42947</v>
      </c>
      <c r="C2079" s="11">
        <v>0.45399305555555558</v>
      </c>
      <c r="D2079" s="12">
        <v>0.46392361111111113</v>
      </c>
    </row>
    <row r="2080" spans="1:4" x14ac:dyDescent="0.35">
      <c r="A2080" s="5">
        <v>8802222</v>
      </c>
      <c r="B2080" s="6">
        <v>42947</v>
      </c>
      <c r="C2080" s="7">
        <v>0.4572222222222222</v>
      </c>
      <c r="D2080" s="8">
        <v>0.45910879629629631</v>
      </c>
    </row>
    <row r="2081" spans="1:4" x14ac:dyDescent="0.35">
      <c r="A2081" s="9">
        <v>6384230</v>
      </c>
      <c r="B2081" s="10">
        <v>42947</v>
      </c>
      <c r="C2081" s="11">
        <v>0.45846064814814813</v>
      </c>
      <c r="D2081" s="12">
        <v>0.46900462962962963</v>
      </c>
    </row>
    <row r="2082" spans="1:4" x14ac:dyDescent="0.35">
      <c r="A2082" s="5">
        <v>48676568</v>
      </c>
      <c r="B2082" s="6">
        <v>42947</v>
      </c>
      <c r="C2082" s="7">
        <v>0.45945601851851853</v>
      </c>
      <c r="D2082" s="8">
        <v>0.46525462962962966</v>
      </c>
    </row>
    <row r="2083" spans="1:4" x14ac:dyDescent="0.35">
      <c r="A2083" s="9">
        <v>3691457</v>
      </c>
      <c r="B2083" s="10">
        <v>42947</v>
      </c>
      <c r="C2083" s="11">
        <v>0.46119212962962963</v>
      </c>
      <c r="D2083" s="12">
        <v>0.4725347222222222</v>
      </c>
    </row>
    <row r="2084" spans="1:4" x14ac:dyDescent="0.35">
      <c r="A2084" s="5">
        <v>3263854</v>
      </c>
      <c r="B2084" s="6">
        <v>42947</v>
      </c>
      <c r="C2084" s="7">
        <v>0.46311342592592591</v>
      </c>
      <c r="D2084" s="8">
        <v>0.46394675925925927</v>
      </c>
    </row>
    <row r="2085" spans="1:4" x14ac:dyDescent="0.35">
      <c r="A2085" s="9">
        <v>8489588</v>
      </c>
      <c r="B2085" s="10">
        <v>42947</v>
      </c>
      <c r="C2085" s="11">
        <v>0.46803240740740742</v>
      </c>
      <c r="D2085" s="12">
        <v>0.47423611111111114</v>
      </c>
    </row>
    <row r="2086" spans="1:4" x14ac:dyDescent="0.35">
      <c r="A2086" s="5">
        <v>57211290</v>
      </c>
      <c r="B2086" s="6">
        <v>42947</v>
      </c>
      <c r="C2086" s="7">
        <v>0.46987268518518521</v>
      </c>
      <c r="D2086" s="8">
        <v>0.47664351851851849</v>
      </c>
    </row>
    <row r="2087" spans="1:4" x14ac:dyDescent="0.35">
      <c r="A2087" s="9">
        <v>67748426</v>
      </c>
      <c r="B2087" s="10">
        <v>42947</v>
      </c>
      <c r="C2087" s="11">
        <v>0.47158564814814813</v>
      </c>
      <c r="D2087" s="12">
        <v>0.47471064814814817</v>
      </c>
    </row>
    <row r="2088" spans="1:4" x14ac:dyDescent="0.35">
      <c r="A2088" s="5">
        <v>7225111</v>
      </c>
      <c r="B2088" s="6">
        <v>42947</v>
      </c>
      <c r="C2088" s="7">
        <v>0.47314814814814815</v>
      </c>
      <c r="D2088" s="8">
        <v>0.47643518518518518</v>
      </c>
    </row>
    <row r="2089" spans="1:4" x14ac:dyDescent="0.35">
      <c r="A2089" s="9">
        <v>5418543</v>
      </c>
      <c r="B2089" s="10">
        <v>42947</v>
      </c>
      <c r="C2089" s="11">
        <v>0.47315972222222225</v>
      </c>
      <c r="D2089" s="12">
        <v>0.47687499999999999</v>
      </c>
    </row>
    <row r="2090" spans="1:4" x14ac:dyDescent="0.35">
      <c r="A2090" s="5">
        <v>6439414</v>
      </c>
      <c r="B2090" s="6">
        <v>42947</v>
      </c>
      <c r="C2090" s="7">
        <v>0.47349537037037037</v>
      </c>
      <c r="D2090" s="8">
        <v>0.47881944444444446</v>
      </c>
    </row>
    <row r="2091" spans="1:4" x14ac:dyDescent="0.35">
      <c r="A2091" s="9">
        <v>3478173</v>
      </c>
      <c r="B2091" s="10">
        <v>42947</v>
      </c>
      <c r="C2091" s="11">
        <v>0.47357638888888887</v>
      </c>
      <c r="D2091" s="12">
        <v>0.47564814814814815</v>
      </c>
    </row>
    <row r="2092" spans="1:4" x14ac:dyDescent="0.35">
      <c r="A2092" s="5">
        <v>3691457</v>
      </c>
      <c r="B2092" s="6">
        <v>42947</v>
      </c>
      <c r="C2092" s="7">
        <v>0.47366898148148145</v>
      </c>
      <c r="D2092" s="8">
        <v>0.48020833333333335</v>
      </c>
    </row>
    <row r="2093" spans="1:4" x14ac:dyDescent="0.35">
      <c r="A2093" s="9">
        <v>6717763</v>
      </c>
      <c r="B2093" s="10">
        <v>42947</v>
      </c>
      <c r="C2093" s="11">
        <v>0.47851851851851851</v>
      </c>
      <c r="D2093" s="12">
        <v>0.48517361111111112</v>
      </c>
    </row>
    <row r="2094" spans="1:4" x14ac:dyDescent="0.35">
      <c r="A2094" s="5">
        <v>61228399</v>
      </c>
      <c r="B2094" s="6">
        <v>42947</v>
      </c>
      <c r="C2094" s="7">
        <v>0.48053240740740738</v>
      </c>
      <c r="D2094" s="8">
        <v>0.48828703703703702</v>
      </c>
    </row>
    <row r="2095" spans="1:4" x14ac:dyDescent="0.35">
      <c r="A2095" s="9">
        <v>9282166</v>
      </c>
      <c r="B2095" s="10">
        <v>42947</v>
      </c>
      <c r="C2095" s="11">
        <v>0.48141203703703705</v>
      </c>
      <c r="D2095" s="12">
        <v>0.49063657407407407</v>
      </c>
    </row>
    <row r="2096" spans="1:4" x14ac:dyDescent="0.35">
      <c r="A2096" s="5">
        <v>6426246</v>
      </c>
      <c r="B2096" s="6">
        <v>42947</v>
      </c>
      <c r="C2096" s="7">
        <v>0.48174768518518518</v>
      </c>
      <c r="D2096" s="8">
        <v>0.48682870370370368</v>
      </c>
    </row>
    <row r="2097" spans="1:4" x14ac:dyDescent="0.35">
      <c r="A2097" s="9">
        <v>8585321</v>
      </c>
      <c r="B2097" s="10">
        <v>42947</v>
      </c>
      <c r="C2097" s="11">
        <v>0.48424768518518518</v>
      </c>
      <c r="D2097" s="12">
        <v>0.48873842592592592</v>
      </c>
    </row>
    <row r="2098" spans="1:4" x14ac:dyDescent="0.35">
      <c r="A2098" s="5">
        <v>9791237</v>
      </c>
      <c r="B2098" s="6">
        <v>42947</v>
      </c>
      <c r="C2098" s="7">
        <v>0.48635416666666664</v>
      </c>
      <c r="D2098" s="8">
        <v>0.49025462962962962</v>
      </c>
    </row>
    <row r="2099" spans="1:4" x14ac:dyDescent="0.35">
      <c r="A2099" s="9">
        <v>1830251</v>
      </c>
      <c r="B2099" s="10">
        <v>42947</v>
      </c>
      <c r="C2099" s="11">
        <v>0.48893518518518519</v>
      </c>
      <c r="D2099" s="12">
        <v>0.49787037037037035</v>
      </c>
    </row>
    <row r="2100" spans="1:4" x14ac:dyDescent="0.35">
      <c r="A2100" s="5">
        <v>42603700</v>
      </c>
      <c r="B2100" s="6">
        <v>42947</v>
      </c>
      <c r="C2100" s="7">
        <v>0.49409722222222224</v>
      </c>
      <c r="D2100" s="8">
        <v>0.50521990740740741</v>
      </c>
    </row>
    <row r="2101" spans="1:4" x14ac:dyDescent="0.35">
      <c r="A2101" s="9">
        <v>3983714</v>
      </c>
      <c r="B2101" s="10">
        <v>42947</v>
      </c>
      <c r="C2101" s="11">
        <v>0.49849537037037039</v>
      </c>
      <c r="D2101" s="12">
        <v>0.5092592592592593</v>
      </c>
    </row>
    <row r="2102" spans="1:4" x14ac:dyDescent="0.35">
      <c r="A2102" s="5">
        <v>4520226</v>
      </c>
      <c r="B2102" s="6">
        <v>42947</v>
      </c>
      <c r="C2102" s="7">
        <v>0.49903935185185183</v>
      </c>
      <c r="D2102" s="8">
        <v>0.51059027777777777</v>
      </c>
    </row>
    <row r="2103" spans="1:4" x14ac:dyDescent="0.35">
      <c r="A2103" s="9">
        <v>6999348</v>
      </c>
      <c r="B2103" s="10">
        <v>42947</v>
      </c>
      <c r="C2103" s="11">
        <v>0.50065972222222221</v>
      </c>
      <c r="D2103" s="12">
        <v>0.50898148148148148</v>
      </c>
    </row>
    <row r="2104" spans="1:4" x14ac:dyDescent="0.35">
      <c r="A2104" s="5">
        <v>3767866</v>
      </c>
      <c r="B2104" s="6">
        <v>42947</v>
      </c>
      <c r="C2104" s="7">
        <v>0.5040972222222222</v>
      </c>
      <c r="D2104" s="8">
        <v>0.50971064814814815</v>
      </c>
    </row>
    <row r="2105" spans="1:4" x14ac:dyDescent="0.35">
      <c r="A2105" s="9">
        <v>49342013</v>
      </c>
      <c r="B2105" s="10">
        <v>42947</v>
      </c>
      <c r="C2105" s="11">
        <v>0.50410879629629635</v>
      </c>
      <c r="D2105" s="12">
        <v>0.50539351851851855</v>
      </c>
    </row>
    <row r="2106" spans="1:4" x14ac:dyDescent="0.35">
      <c r="A2106" s="5">
        <v>6051341</v>
      </c>
      <c r="B2106" s="6">
        <v>42947</v>
      </c>
      <c r="C2106" s="7">
        <v>0.50980324074074079</v>
      </c>
      <c r="D2106" s="8">
        <v>0.51123842592592594</v>
      </c>
    </row>
    <row r="2107" spans="1:4" x14ac:dyDescent="0.35">
      <c r="A2107" s="9">
        <v>4326245</v>
      </c>
      <c r="B2107" s="10">
        <v>42947</v>
      </c>
      <c r="C2107" s="11">
        <v>0.51331018518518523</v>
      </c>
      <c r="D2107" s="12">
        <v>0.51490740740740737</v>
      </c>
    </row>
    <row r="2108" spans="1:4" x14ac:dyDescent="0.35">
      <c r="A2108" s="5">
        <v>5356378</v>
      </c>
      <c r="B2108" s="6">
        <v>42947</v>
      </c>
      <c r="C2108" s="7">
        <v>0.51811342592592591</v>
      </c>
      <c r="D2108" s="8">
        <v>0.51965277777777774</v>
      </c>
    </row>
    <row r="2109" spans="1:4" x14ac:dyDescent="0.35">
      <c r="A2109" s="9">
        <v>1302842</v>
      </c>
      <c r="B2109" s="10">
        <v>42947</v>
      </c>
      <c r="C2109" s="11">
        <v>0.52203703703703708</v>
      </c>
      <c r="D2109" s="12">
        <v>0.53162037037037035</v>
      </c>
    </row>
    <row r="2110" spans="1:4" x14ac:dyDescent="0.35">
      <c r="A2110" s="5">
        <v>2025194</v>
      </c>
      <c r="B2110" s="6">
        <v>42947</v>
      </c>
      <c r="C2110" s="7">
        <v>0.52238425925925924</v>
      </c>
      <c r="D2110" s="8">
        <v>0.52749999999999997</v>
      </c>
    </row>
    <row r="2111" spans="1:4" x14ac:dyDescent="0.35">
      <c r="A2111" s="9">
        <v>6703754</v>
      </c>
      <c r="B2111" s="10">
        <v>42947</v>
      </c>
      <c r="C2111" s="11">
        <v>0.5237384259259259</v>
      </c>
      <c r="D2111" s="12">
        <v>0.52431712962962962</v>
      </c>
    </row>
    <row r="2112" spans="1:4" x14ac:dyDescent="0.35">
      <c r="A2112" s="5">
        <v>86965710</v>
      </c>
      <c r="B2112" s="6">
        <v>42947</v>
      </c>
      <c r="C2112" s="7">
        <v>0.52516203703703701</v>
      </c>
      <c r="D2112" s="8">
        <v>0.52825231481481483</v>
      </c>
    </row>
    <row r="2113" spans="1:4" x14ac:dyDescent="0.35">
      <c r="A2113" s="9">
        <v>9797571</v>
      </c>
      <c r="B2113" s="10">
        <v>42947</v>
      </c>
      <c r="C2113" s="11">
        <v>0.53011574074074075</v>
      </c>
      <c r="D2113" s="12">
        <v>0.5342824074074074</v>
      </c>
    </row>
    <row r="2114" spans="1:4" x14ac:dyDescent="0.35">
      <c r="A2114" s="5">
        <v>34628061</v>
      </c>
      <c r="B2114" s="6">
        <v>42947</v>
      </c>
      <c r="C2114" s="7">
        <v>0.53206018518518516</v>
      </c>
      <c r="D2114" s="8">
        <v>0.53396990740740746</v>
      </c>
    </row>
    <row r="2115" spans="1:4" x14ac:dyDescent="0.35">
      <c r="A2115" s="9">
        <v>6716140</v>
      </c>
      <c r="B2115" s="10">
        <v>42947</v>
      </c>
      <c r="C2115" s="11">
        <v>0.53451388888888884</v>
      </c>
      <c r="D2115" s="12">
        <v>0.54087962962962965</v>
      </c>
    </row>
    <row r="2116" spans="1:4" x14ac:dyDescent="0.35">
      <c r="A2116" s="5">
        <v>9709339</v>
      </c>
      <c r="B2116" s="6">
        <v>42947</v>
      </c>
      <c r="C2116" s="7">
        <v>0.53622685185185182</v>
      </c>
      <c r="D2116" s="8">
        <v>0.54399305555555555</v>
      </c>
    </row>
    <row r="2117" spans="1:4" x14ac:dyDescent="0.35">
      <c r="A2117" s="9">
        <v>1331802</v>
      </c>
      <c r="B2117" s="10">
        <v>42947</v>
      </c>
      <c r="C2117" s="11">
        <v>0.5376967592592593</v>
      </c>
      <c r="D2117" s="12">
        <v>0.54113425925925929</v>
      </c>
    </row>
    <row r="2118" spans="1:4" x14ac:dyDescent="0.35">
      <c r="A2118" s="5">
        <v>9413315</v>
      </c>
      <c r="B2118" s="6">
        <v>42947</v>
      </c>
      <c r="C2118" s="7">
        <v>0.53961805555555553</v>
      </c>
      <c r="D2118" s="8">
        <v>0.54870370370370369</v>
      </c>
    </row>
    <row r="2119" spans="1:4" x14ac:dyDescent="0.35">
      <c r="A2119" s="9">
        <v>9555643</v>
      </c>
      <c r="B2119" s="10">
        <v>42947</v>
      </c>
      <c r="C2119" s="11">
        <v>0.5415740740740741</v>
      </c>
      <c r="D2119" s="12">
        <v>0.54230324074074077</v>
      </c>
    </row>
    <row r="2120" spans="1:4" x14ac:dyDescent="0.35">
      <c r="A2120" s="5">
        <v>4824250</v>
      </c>
      <c r="B2120" s="6">
        <v>42947</v>
      </c>
      <c r="C2120" s="7">
        <v>0.54670138888888886</v>
      </c>
      <c r="D2120" s="8">
        <v>0.55440972222222218</v>
      </c>
    </row>
    <row r="2121" spans="1:4" x14ac:dyDescent="0.35">
      <c r="A2121" s="9">
        <v>3931914</v>
      </c>
      <c r="B2121" s="10">
        <v>42947</v>
      </c>
      <c r="C2121" s="11">
        <v>0.55063657407407407</v>
      </c>
      <c r="D2121" s="12">
        <v>0.55451388888888886</v>
      </c>
    </row>
    <row r="2122" spans="1:4" x14ac:dyDescent="0.35">
      <c r="A2122" s="5">
        <v>79698655</v>
      </c>
      <c r="B2122" s="6">
        <v>42947</v>
      </c>
      <c r="C2122" s="7">
        <v>0.55182870370370374</v>
      </c>
      <c r="D2122" s="8">
        <v>0.55775462962962963</v>
      </c>
    </row>
    <row r="2123" spans="1:4" x14ac:dyDescent="0.35">
      <c r="A2123" s="9">
        <v>5387521845</v>
      </c>
      <c r="B2123" s="10">
        <v>42947</v>
      </c>
      <c r="C2123" s="11">
        <v>0.55717592592592591</v>
      </c>
      <c r="D2123" s="12">
        <v>0.56000000000000005</v>
      </c>
    </row>
    <row r="2124" spans="1:4" x14ac:dyDescent="0.35">
      <c r="A2124" s="5">
        <v>84589848</v>
      </c>
      <c r="B2124" s="6">
        <v>42947</v>
      </c>
      <c r="C2124" s="7">
        <v>0.56119212962962961</v>
      </c>
      <c r="D2124" s="8">
        <v>0.56221064814814814</v>
      </c>
    </row>
    <row r="2125" spans="1:4" x14ac:dyDescent="0.35">
      <c r="A2125" s="9">
        <v>1927908</v>
      </c>
      <c r="B2125" s="10">
        <v>42947</v>
      </c>
      <c r="C2125" s="11">
        <v>0.56452546296296291</v>
      </c>
      <c r="D2125" s="12">
        <v>0.5725231481481482</v>
      </c>
    </row>
    <row r="2126" spans="1:4" x14ac:dyDescent="0.35">
      <c r="A2126" s="5">
        <v>7975900</v>
      </c>
      <c r="B2126" s="6">
        <v>42947</v>
      </c>
      <c r="C2126" s="7">
        <v>0.56582175925925926</v>
      </c>
      <c r="D2126" s="8">
        <v>0.57314814814814818</v>
      </c>
    </row>
    <row r="2127" spans="1:4" x14ac:dyDescent="0.35">
      <c r="A2127" s="9">
        <v>1731500345</v>
      </c>
      <c r="B2127" s="10">
        <v>42947</v>
      </c>
      <c r="C2127" s="11">
        <v>0.56916666666666671</v>
      </c>
      <c r="D2127" s="12">
        <v>0.57851851851851854</v>
      </c>
    </row>
    <row r="2128" spans="1:4" x14ac:dyDescent="0.35">
      <c r="A2128" s="5">
        <v>5926011</v>
      </c>
      <c r="B2128" s="6">
        <v>42947</v>
      </c>
      <c r="C2128" s="7">
        <v>0.57268518518518519</v>
      </c>
      <c r="D2128" s="8">
        <v>0.58170138888888889</v>
      </c>
    </row>
    <row r="2129" spans="1:4" x14ac:dyDescent="0.35">
      <c r="A2129" s="9">
        <v>6408952</v>
      </c>
      <c r="B2129" s="10">
        <v>42947</v>
      </c>
      <c r="C2129" s="11">
        <v>0.57740740740740737</v>
      </c>
      <c r="D2129" s="12">
        <v>0.58895833333333336</v>
      </c>
    </row>
    <row r="2130" spans="1:4" x14ac:dyDescent="0.35">
      <c r="A2130" s="5">
        <v>53370610</v>
      </c>
      <c r="B2130" s="6">
        <v>42947</v>
      </c>
      <c r="C2130" s="7">
        <v>0.57822916666666668</v>
      </c>
      <c r="D2130" s="8">
        <v>0.57994212962962965</v>
      </c>
    </row>
    <row r="2131" spans="1:4" x14ac:dyDescent="0.35">
      <c r="A2131" s="9">
        <v>8060169</v>
      </c>
      <c r="B2131" s="10">
        <v>42947</v>
      </c>
      <c r="C2131" s="11">
        <v>0.57874999999999999</v>
      </c>
      <c r="D2131" s="12">
        <v>0.58307870370370374</v>
      </c>
    </row>
    <row r="2132" spans="1:4" x14ac:dyDescent="0.35">
      <c r="A2132" s="5">
        <v>9147613</v>
      </c>
      <c r="B2132" s="6">
        <v>42947</v>
      </c>
      <c r="C2132" s="7">
        <v>0.57952546296296292</v>
      </c>
      <c r="D2132" s="8">
        <v>0.58090277777777777</v>
      </c>
    </row>
    <row r="2133" spans="1:4" x14ac:dyDescent="0.35">
      <c r="A2133" s="9">
        <v>4505950</v>
      </c>
      <c r="B2133" s="10">
        <v>42947</v>
      </c>
      <c r="C2133" s="11">
        <v>0.58163194444444444</v>
      </c>
      <c r="D2133" s="12">
        <v>0.5872222222222222</v>
      </c>
    </row>
    <row r="2134" spans="1:4" x14ac:dyDescent="0.35">
      <c r="A2134" s="5">
        <v>3537655</v>
      </c>
      <c r="B2134" s="6">
        <v>42947</v>
      </c>
      <c r="C2134" s="7">
        <v>0.58287037037037037</v>
      </c>
      <c r="D2134" s="8">
        <v>0.58347222222222217</v>
      </c>
    </row>
    <row r="2135" spans="1:4" x14ac:dyDescent="0.35">
      <c r="A2135" s="9">
        <v>1583683</v>
      </c>
      <c r="B2135" s="10">
        <v>42947</v>
      </c>
      <c r="C2135" s="11">
        <v>0.58784722222222219</v>
      </c>
      <c r="D2135" s="12">
        <v>0.58940972222222221</v>
      </c>
    </row>
    <row r="2136" spans="1:4" x14ac:dyDescent="0.35">
      <c r="A2136" s="5">
        <v>96302157</v>
      </c>
      <c r="B2136" s="6">
        <v>42947</v>
      </c>
      <c r="C2136" s="7">
        <v>0.59052083333333338</v>
      </c>
      <c r="D2136" s="8">
        <v>0.59702546296296299</v>
      </c>
    </row>
    <row r="2137" spans="1:4" x14ac:dyDescent="0.35">
      <c r="A2137" s="9">
        <v>1809111</v>
      </c>
      <c r="B2137" s="10">
        <v>42947</v>
      </c>
      <c r="C2137" s="11">
        <v>0.59290509259259261</v>
      </c>
      <c r="D2137" s="12">
        <v>0.60322916666666671</v>
      </c>
    </row>
    <row r="2138" spans="1:4" x14ac:dyDescent="0.35">
      <c r="A2138" s="5">
        <v>8493652</v>
      </c>
      <c r="B2138" s="6">
        <v>42947</v>
      </c>
      <c r="C2138" s="7">
        <v>0.59569444444444442</v>
      </c>
      <c r="D2138" s="8">
        <v>0.60372685185185182</v>
      </c>
    </row>
    <row r="2139" spans="1:4" x14ac:dyDescent="0.35">
      <c r="A2139" s="9">
        <v>1026326</v>
      </c>
      <c r="B2139" s="10">
        <v>42947</v>
      </c>
      <c r="C2139" s="11">
        <v>0.59736111111111112</v>
      </c>
      <c r="D2139" s="12">
        <v>0.60046296296296298</v>
      </c>
    </row>
    <row r="2140" spans="1:4" x14ac:dyDescent="0.35">
      <c r="A2140" s="5">
        <v>1475165</v>
      </c>
      <c r="B2140" s="6">
        <v>42947</v>
      </c>
      <c r="C2140" s="7">
        <v>0.60197916666666662</v>
      </c>
      <c r="D2140" s="8">
        <v>0.60856481481481484</v>
      </c>
    </row>
    <row r="2141" spans="1:4" x14ac:dyDescent="0.35">
      <c r="A2141" s="9">
        <v>6264844</v>
      </c>
      <c r="B2141" s="10">
        <v>42947</v>
      </c>
      <c r="C2141" s="11">
        <v>0.60348379629629634</v>
      </c>
      <c r="D2141" s="12">
        <v>0.61365740740740737</v>
      </c>
    </row>
    <row r="2142" spans="1:4" x14ac:dyDescent="0.35">
      <c r="A2142" s="5">
        <v>9861652</v>
      </c>
      <c r="B2142" s="6">
        <v>42947</v>
      </c>
      <c r="C2142" s="7">
        <v>0.60519675925925931</v>
      </c>
      <c r="D2142" s="8">
        <v>0.61221064814814818</v>
      </c>
    </row>
    <row r="2143" spans="1:4" x14ac:dyDescent="0.35">
      <c r="A2143" s="9">
        <v>5446203</v>
      </c>
      <c r="B2143" s="10">
        <v>42947</v>
      </c>
      <c r="C2143" s="11">
        <v>0.60825231481481479</v>
      </c>
      <c r="D2143" s="12">
        <v>0.61048611111111106</v>
      </c>
    </row>
    <row r="2144" spans="1:4" x14ac:dyDescent="0.35">
      <c r="A2144" s="5">
        <v>7762020</v>
      </c>
      <c r="B2144" s="6">
        <v>42947</v>
      </c>
      <c r="C2144" s="7">
        <v>0.61159722222222224</v>
      </c>
      <c r="D2144" s="8">
        <v>0.61434027777777778</v>
      </c>
    </row>
    <row r="2145" spans="1:4" x14ac:dyDescent="0.35">
      <c r="A2145" s="9">
        <v>4045129075</v>
      </c>
      <c r="B2145" s="10">
        <v>42947</v>
      </c>
      <c r="C2145" s="11">
        <v>0.61328703703703702</v>
      </c>
      <c r="D2145" s="12">
        <v>0.61828703703703702</v>
      </c>
    </row>
    <row r="2146" spans="1:4" x14ac:dyDescent="0.35">
      <c r="A2146" s="5">
        <v>96736796</v>
      </c>
      <c r="B2146" s="6">
        <v>42947</v>
      </c>
      <c r="C2146" s="7">
        <v>0.61524305555555558</v>
      </c>
      <c r="D2146" s="8">
        <v>0.62432870370370375</v>
      </c>
    </row>
    <row r="2147" spans="1:4" x14ac:dyDescent="0.35">
      <c r="A2147" s="9">
        <v>1035023</v>
      </c>
      <c r="B2147" s="10">
        <v>42947</v>
      </c>
      <c r="C2147" s="11">
        <v>0.61821759259259257</v>
      </c>
      <c r="D2147" s="12">
        <v>0.62706018518518514</v>
      </c>
    </row>
    <row r="2148" spans="1:4" x14ac:dyDescent="0.35">
      <c r="A2148" s="5">
        <v>9941776</v>
      </c>
      <c r="B2148" s="6">
        <v>42947</v>
      </c>
      <c r="C2148" s="7">
        <v>0.62299768518518517</v>
      </c>
      <c r="D2148" s="8">
        <v>0.62311342592592589</v>
      </c>
    </row>
    <row r="2149" spans="1:4" x14ac:dyDescent="0.35">
      <c r="A2149" s="1">
        <v>6401011</v>
      </c>
      <c r="B2149" s="13">
        <v>42947</v>
      </c>
      <c r="C2149" s="14">
        <v>0.62693287037037038</v>
      </c>
      <c r="D2149" s="15">
        <v>0.62837962962962968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16E4-C3D1-40D3-9AF3-D8F3E006224D}">
  <dimension ref="A1:H2149"/>
  <sheetViews>
    <sheetView workbookViewId="0">
      <selection activeCell="G6" sqref="G6:H8"/>
    </sheetView>
  </sheetViews>
  <sheetFormatPr defaultRowHeight="14.5" x14ac:dyDescent="0.35"/>
  <cols>
    <col min="1" max="1" width="10.81640625" bestFit="1" customWidth="1"/>
    <col min="2" max="2" width="9.90625" bestFit="1" customWidth="1"/>
    <col min="3" max="3" width="12.81640625" bestFit="1" customWidth="1"/>
    <col min="4" max="4" width="13.26953125" bestFit="1" customWidth="1"/>
    <col min="5" max="5" width="9.6328125" bestFit="1" customWidth="1"/>
    <col min="7" max="7" width="16.54296875" bestFit="1" customWidth="1"/>
    <col min="8" max="8" width="16.08984375" bestFit="1" customWidth="1"/>
  </cols>
  <sheetData>
    <row r="1" spans="1:8" x14ac:dyDescent="0.35">
      <c r="A1" s="2" t="s">
        <v>0</v>
      </c>
      <c r="B1" s="3" t="s">
        <v>1</v>
      </c>
      <c r="C1" s="3" t="s">
        <v>2</v>
      </c>
      <c r="D1" s="4" t="s">
        <v>3</v>
      </c>
      <c r="E1" s="16" t="s">
        <v>4</v>
      </c>
    </row>
    <row r="2" spans="1:8" x14ac:dyDescent="0.35">
      <c r="A2" s="5">
        <v>3539762</v>
      </c>
      <c r="B2" s="6">
        <v>42919</v>
      </c>
      <c r="C2" s="7">
        <v>0.33673611111111112</v>
      </c>
      <c r="D2" s="8">
        <v>0.34821759259259261</v>
      </c>
      <c r="E2">
        <v>1</v>
      </c>
    </row>
    <row r="3" spans="1:8" x14ac:dyDescent="0.35">
      <c r="A3" s="9">
        <v>4546455</v>
      </c>
      <c r="B3" s="10">
        <v>42919</v>
      </c>
      <c r="C3" s="11">
        <v>0.34037037037037038</v>
      </c>
      <c r="D3" s="12">
        <v>0.34983796296296299</v>
      </c>
      <c r="E3">
        <v>1</v>
      </c>
      <c r="G3" s="17" t="s">
        <v>4</v>
      </c>
      <c r="H3" t="s">
        <v>8</v>
      </c>
    </row>
    <row r="4" spans="1:8" x14ac:dyDescent="0.35">
      <c r="A4" s="5">
        <v>4546455</v>
      </c>
      <c r="B4" s="6">
        <v>42919</v>
      </c>
      <c r="C4" s="7">
        <v>0.34042824074074074</v>
      </c>
      <c r="D4" s="8">
        <v>0.35046296296296298</v>
      </c>
      <c r="E4">
        <v>1</v>
      </c>
    </row>
    <row r="5" spans="1:8" x14ac:dyDescent="0.35">
      <c r="A5" s="9">
        <v>6900303</v>
      </c>
      <c r="B5" s="10">
        <v>42919</v>
      </c>
      <c r="C5" s="11">
        <v>0.34362268518518518</v>
      </c>
      <c r="D5" s="12">
        <v>0.3482986111111111</v>
      </c>
      <c r="E5">
        <v>1</v>
      </c>
      <c r="G5" s="17" t="s">
        <v>5</v>
      </c>
      <c r="H5" t="s">
        <v>7</v>
      </c>
    </row>
    <row r="6" spans="1:8" x14ac:dyDescent="0.35">
      <c r="A6" s="5">
        <v>4250194</v>
      </c>
      <c r="B6" s="6">
        <v>42919</v>
      </c>
      <c r="C6" s="7">
        <v>0.34399305555555554</v>
      </c>
      <c r="D6" s="8">
        <v>0.34872685185185187</v>
      </c>
      <c r="E6">
        <v>1</v>
      </c>
      <c r="G6" s="18">
        <v>4546455</v>
      </c>
      <c r="H6">
        <v>8</v>
      </c>
    </row>
    <row r="7" spans="1:8" x14ac:dyDescent="0.35">
      <c r="A7" s="9">
        <v>54586484</v>
      </c>
      <c r="B7" s="10">
        <v>42919</v>
      </c>
      <c r="C7" s="11">
        <v>0.3460185185185185</v>
      </c>
      <c r="D7" s="12">
        <v>0.34969907407407408</v>
      </c>
      <c r="E7">
        <v>1</v>
      </c>
      <c r="G7" s="18">
        <v>3505978</v>
      </c>
      <c r="H7">
        <v>7</v>
      </c>
    </row>
    <row r="8" spans="1:8" x14ac:dyDescent="0.35">
      <c r="A8" s="5">
        <v>26204415</v>
      </c>
      <c r="B8" s="6">
        <v>42919</v>
      </c>
      <c r="C8" s="7">
        <v>0.34880787037037037</v>
      </c>
      <c r="D8" s="8">
        <v>0.35023148148148148</v>
      </c>
      <c r="E8">
        <v>1</v>
      </c>
      <c r="G8" s="18">
        <v>4657345</v>
      </c>
      <c r="H8">
        <v>6</v>
      </c>
    </row>
    <row r="9" spans="1:8" x14ac:dyDescent="0.35">
      <c r="A9" s="9">
        <v>8596929</v>
      </c>
      <c r="B9" s="10">
        <v>42919</v>
      </c>
      <c r="C9" s="11">
        <v>0.35322916666666665</v>
      </c>
      <c r="D9" s="12">
        <v>0.35968749999999999</v>
      </c>
      <c r="E9">
        <v>1</v>
      </c>
      <c r="G9" s="18">
        <v>2109147679</v>
      </c>
      <c r="H9">
        <v>5</v>
      </c>
    </row>
    <row r="10" spans="1:8" x14ac:dyDescent="0.35">
      <c r="A10" s="5">
        <v>4546455</v>
      </c>
      <c r="B10" s="6">
        <v>42919</v>
      </c>
      <c r="C10" s="7">
        <v>0.35723379629629631</v>
      </c>
      <c r="D10" s="8">
        <v>0.36699074074074073</v>
      </c>
      <c r="E10">
        <v>1</v>
      </c>
      <c r="G10" s="18">
        <v>97953696</v>
      </c>
      <c r="H10">
        <v>5</v>
      </c>
    </row>
    <row r="11" spans="1:8" x14ac:dyDescent="0.35">
      <c r="A11" s="9">
        <v>44937926</v>
      </c>
      <c r="B11" s="10">
        <v>42919</v>
      </c>
      <c r="C11" s="11">
        <v>0.36178240740740741</v>
      </c>
      <c r="D11" s="12">
        <v>0.37260416666666668</v>
      </c>
      <c r="E11">
        <v>1</v>
      </c>
      <c r="G11" s="18">
        <v>96375379</v>
      </c>
      <c r="H11">
        <v>4</v>
      </c>
    </row>
    <row r="12" spans="1:8" x14ac:dyDescent="0.35">
      <c r="A12" s="5">
        <v>5816822</v>
      </c>
      <c r="B12" s="6">
        <v>42919</v>
      </c>
      <c r="C12" s="7">
        <v>0.36702546296296296</v>
      </c>
      <c r="D12" s="8">
        <v>0.37568287037037035</v>
      </c>
      <c r="E12">
        <v>1</v>
      </c>
      <c r="G12" s="18">
        <v>93696449</v>
      </c>
      <c r="H12">
        <v>4</v>
      </c>
    </row>
    <row r="13" spans="1:8" x14ac:dyDescent="0.35">
      <c r="A13" s="9">
        <v>96191858</v>
      </c>
      <c r="B13" s="10">
        <v>42919</v>
      </c>
      <c r="C13" s="11">
        <v>0.36861111111111111</v>
      </c>
      <c r="D13" s="12">
        <v>0.37554398148148149</v>
      </c>
      <c r="E13">
        <v>1</v>
      </c>
      <c r="G13" s="18">
        <v>13484133</v>
      </c>
      <c r="H13">
        <v>4</v>
      </c>
    </row>
    <row r="14" spans="1:8" x14ac:dyDescent="0.35">
      <c r="A14" s="5">
        <v>47261256</v>
      </c>
      <c r="B14" s="6">
        <v>42919</v>
      </c>
      <c r="C14" s="7">
        <v>0.37017361111111113</v>
      </c>
      <c r="D14" s="8">
        <v>0.37328703703703703</v>
      </c>
      <c r="E14">
        <v>1</v>
      </c>
      <c r="G14" s="18">
        <v>9413315</v>
      </c>
      <c r="H14">
        <v>4</v>
      </c>
    </row>
    <row r="15" spans="1:8" x14ac:dyDescent="0.35">
      <c r="A15" s="9">
        <v>26204415</v>
      </c>
      <c r="B15" s="10">
        <v>42919</v>
      </c>
      <c r="C15" s="11">
        <v>0.37516203703703704</v>
      </c>
      <c r="D15" s="12">
        <v>0.38424768518518521</v>
      </c>
      <c r="E15">
        <v>1</v>
      </c>
      <c r="G15" s="18">
        <v>5790304</v>
      </c>
      <c r="H15">
        <v>4</v>
      </c>
    </row>
    <row r="16" spans="1:8" x14ac:dyDescent="0.35">
      <c r="A16" s="5">
        <v>22747425</v>
      </c>
      <c r="B16" s="6">
        <v>42919</v>
      </c>
      <c r="C16" s="7">
        <v>0.37719907407407405</v>
      </c>
      <c r="D16" s="8">
        <v>0.38513888888888886</v>
      </c>
      <c r="E16">
        <v>1</v>
      </c>
      <c r="G16" s="18">
        <v>5094248</v>
      </c>
      <c r="H16">
        <v>4</v>
      </c>
    </row>
    <row r="17" spans="1:8" x14ac:dyDescent="0.35">
      <c r="A17" s="9">
        <v>96191858</v>
      </c>
      <c r="B17" s="10">
        <v>42919</v>
      </c>
      <c r="C17" s="11">
        <v>0.37987268518518519</v>
      </c>
      <c r="D17" s="12">
        <v>0.38802083333333331</v>
      </c>
      <c r="E17">
        <v>1</v>
      </c>
      <c r="G17" s="18">
        <v>4555937</v>
      </c>
      <c r="H17">
        <v>4</v>
      </c>
    </row>
    <row r="18" spans="1:8" x14ac:dyDescent="0.35">
      <c r="A18" s="5">
        <v>5816822</v>
      </c>
      <c r="B18" s="6">
        <v>42919</v>
      </c>
      <c r="C18" s="7">
        <v>0.38123842592592594</v>
      </c>
      <c r="D18" s="8">
        <v>0.38390046296296299</v>
      </c>
      <c r="E18">
        <v>1</v>
      </c>
      <c r="G18" s="18">
        <v>5076649</v>
      </c>
      <c r="H18">
        <v>4</v>
      </c>
    </row>
    <row r="19" spans="1:8" x14ac:dyDescent="0.35">
      <c r="A19" s="9">
        <v>3352943</v>
      </c>
      <c r="B19" s="10">
        <v>42919</v>
      </c>
      <c r="C19" s="11">
        <v>0.38701388888888888</v>
      </c>
      <c r="D19" s="12">
        <v>0.3943402777777778</v>
      </c>
      <c r="E19">
        <v>1</v>
      </c>
      <c r="G19" s="18">
        <v>3095218</v>
      </c>
      <c r="H19">
        <v>4</v>
      </c>
    </row>
    <row r="20" spans="1:8" x14ac:dyDescent="0.35">
      <c r="A20" s="5">
        <v>35634368</v>
      </c>
      <c r="B20" s="6">
        <v>42919</v>
      </c>
      <c r="C20" s="7">
        <v>0.39181712962962961</v>
      </c>
      <c r="D20" s="8">
        <v>0.40334490740740742</v>
      </c>
      <c r="E20">
        <v>1</v>
      </c>
      <c r="G20" s="18">
        <v>3178616</v>
      </c>
      <c r="H20">
        <v>4</v>
      </c>
    </row>
    <row r="21" spans="1:8" x14ac:dyDescent="0.35">
      <c r="A21" s="9">
        <v>8313390</v>
      </c>
      <c r="B21" s="10">
        <v>42919</v>
      </c>
      <c r="C21" s="11">
        <v>0.39571759259259259</v>
      </c>
      <c r="D21" s="12">
        <v>0.39844907407407409</v>
      </c>
      <c r="E21">
        <v>1</v>
      </c>
      <c r="G21" s="18">
        <v>96191858</v>
      </c>
      <c r="H21">
        <v>3</v>
      </c>
    </row>
    <row r="22" spans="1:8" x14ac:dyDescent="0.35">
      <c r="A22" s="5">
        <v>3954712</v>
      </c>
      <c r="B22" s="6">
        <v>42919</v>
      </c>
      <c r="C22" s="7">
        <v>0.39876157407407409</v>
      </c>
      <c r="D22" s="8">
        <v>0.40207175925925925</v>
      </c>
      <c r="E22">
        <v>1</v>
      </c>
      <c r="G22" s="18">
        <v>5107477025</v>
      </c>
      <c r="H22">
        <v>3</v>
      </c>
    </row>
    <row r="23" spans="1:8" x14ac:dyDescent="0.35">
      <c r="A23" s="9">
        <v>2109147679</v>
      </c>
      <c r="B23" s="10">
        <v>42919</v>
      </c>
      <c r="C23" s="11">
        <v>0.40035879629629628</v>
      </c>
      <c r="D23" s="12">
        <v>0.41166666666666668</v>
      </c>
      <c r="E23">
        <v>1</v>
      </c>
      <c r="G23" s="18">
        <v>97798921</v>
      </c>
      <c r="H23">
        <v>3</v>
      </c>
    </row>
    <row r="24" spans="1:8" x14ac:dyDescent="0.35">
      <c r="A24" s="5">
        <v>1787732</v>
      </c>
      <c r="B24" s="6">
        <v>42919</v>
      </c>
      <c r="C24" s="7">
        <v>0.4052546296296296</v>
      </c>
      <c r="D24" s="8">
        <v>0.41048611111111111</v>
      </c>
      <c r="E24">
        <v>1</v>
      </c>
      <c r="G24" s="18">
        <v>66800387</v>
      </c>
      <c r="H24">
        <v>3</v>
      </c>
    </row>
    <row r="25" spans="1:8" x14ac:dyDescent="0.35">
      <c r="A25" s="9">
        <v>7834807</v>
      </c>
      <c r="B25" s="10">
        <v>42919</v>
      </c>
      <c r="C25" s="11">
        <v>0.40980324074074076</v>
      </c>
      <c r="D25" s="12">
        <v>0.41035879629629629</v>
      </c>
      <c r="E25">
        <v>1</v>
      </c>
      <c r="G25" s="18">
        <v>9007177570</v>
      </c>
      <c r="H25">
        <v>3</v>
      </c>
    </row>
    <row r="26" spans="1:8" x14ac:dyDescent="0.35">
      <c r="A26" s="5">
        <v>33320202</v>
      </c>
      <c r="B26" s="6">
        <v>42919</v>
      </c>
      <c r="C26" s="7">
        <v>0.41506944444444444</v>
      </c>
      <c r="D26" s="8">
        <v>0.42621527777777779</v>
      </c>
      <c r="E26">
        <v>1</v>
      </c>
      <c r="G26" s="18">
        <v>84589848</v>
      </c>
      <c r="H26">
        <v>3</v>
      </c>
    </row>
    <row r="27" spans="1:8" x14ac:dyDescent="0.35">
      <c r="A27" s="9">
        <v>1488369</v>
      </c>
      <c r="B27" s="10">
        <v>42919</v>
      </c>
      <c r="C27" s="11">
        <v>0.41612268518518519</v>
      </c>
      <c r="D27" s="12">
        <v>0.41756944444444444</v>
      </c>
      <c r="E27">
        <v>1</v>
      </c>
      <c r="G27" s="18">
        <v>45948073</v>
      </c>
      <c r="H27">
        <v>3</v>
      </c>
    </row>
    <row r="28" spans="1:8" x14ac:dyDescent="0.35">
      <c r="A28" s="5">
        <v>2631285</v>
      </c>
      <c r="B28" s="6">
        <v>42919</v>
      </c>
      <c r="C28" s="7">
        <v>0.4176273148148148</v>
      </c>
      <c r="D28" s="8">
        <v>0.42375000000000002</v>
      </c>
      <c r="E28">
        <v>1</v>
      </c>
      <c r="G28" s="18">
        <v>38535407</v>
      </c>
      <c r="H28">
        <v>3</v>
      </c>
    </row>
    <row r="29" spans="1:8" x14ac:dyDescent="0.35">
      <c r="A29" s="9">
        <v>7415603</v>
      </c>
      <c r="B29" s="10">
        <v>42919</v>
      </c>
      <c r="C29" s="11">
        <v>0.42078703703703701</v>
      </c>
      <c r="D29" s="12">
        <v>0.43216435185185187</v>
      </c>
      <c r="E29">
        <v>1</v>
      </c>
      <c r="G29" s="18">
        <v>54586484</v>
      </c>
      <c r="H29">
        <v>3</v>
      </c>
    </row>
    <row r="30" spans="1:8" x14ac:dyDescent="0.35">
      <c r="A30" s="5">
        <v>96375379</v>
      </c>
      <c r="B30" s="6">
        <v>42919</v>
      </c>
      <c r="C30" s="7">
        <v>0.42447916666666669</v>
      </c>
      <c r="D30" s="8">
        <v>0.42660879629629628</v>
      </c>
      <c r="E30">
        <v>1</v>
      </c>
      <c r="G30" s="18">
        <v>38244568</v>
      </c>
      <c r="H30">
        <v>3</v>
      </c>
    </row>
    <row r="31" spans="1:8" x14ac:dyDescent="0.35">
      <c r="A31" s="9">
        <v>6976431</v>
      </c>
      <c r="B31" s="10">
        <v>42919</v>
      </c>
      <c r="C31" s="11">
        <v>0.4281712962962963</v>
      </c>
      <c r="D31" s="12">
        <v>0.43692129629629628</v>
      </c>
      <c r="E31">
        <v>1</v>
      </c>
      <c r="G31" s="18">
        <v>20679187</v>
      </c>
      <c r="H31">
        <v>3</v>
      </c>
    </row>
    <row r="32" spans="1:8" x14ac:dyDescent="0.35">
      <c r="A32" s="5">
        <v>4093292</v>
      </c>
      <c r="B32" s="6">
        <v>42919</v>
      </c>
      <c r="C32" s="7">
        <v>0.43038194444444444</v>
      </c>
      <c r="D32" s="8">
        <v>0.43494212962962964</v>
      </c>
      <c r="E32">
        <v>1</v>
      </c>
      <c r="G32" s="18">
        <v>26204415</v>
      </c>
      <c r="H32">
        <v>3</v>
      </c>
    </row>
    <row r="33" spans="1:8" x14ac:dyDescent="0.35">
      <c r="A33" s="9">
        <v>6312575</v>
      </c>
      <c r="B33" s="10">
        <v>42919</v>
      </c>
      <c r="C33" s="11">
        <v>0.4309837962962963</v>
      </c>
      <c r="D33" s="12">
        <v>0.43748842592592591</v>
      </c>
      <c r="E33">
        <v>1</v>
      </c>
      <c r="G33" s="18">
        <v>27791497</v>
      </c>
      <c r="H33">
        <v>3</v>
      </c>
    </row>
    <row r="34" spans="1:8" x14ac:dyDescent="0.35">
      <c r="A34" s="5">
        <v>38535407</v>
      </c>
      <c r="B34" s="6">
        <v>42919</v>
      </c>
      <c r="C34" s="7">
        <v>0.43593749999999998</v>
      </c>
      <c r="D34" s="8">
        <v>0.44417824074074075</v>
      </c>
      <c r="E34">
        <v>1</v>
      </c>
      <c r="G34" s="18">
        <v>8679036</v>
      </c>
      <c r="H34">
        <v>3</v>
      </c>
    </row>
    <row r="35" spans="1:8" x14ac:dyDescent="0.35">
      <c r="A35" s="9">
        <v>38535407</v>
      </c>
      <c r="B35" s="10">
        <v>42919</v>
      </c>
      <c r="C35" s="11">
        <v>0.43824074074074076</v>
      </c>
      <c r="D35" s="12">
        <v>0.43913194444444442</v>
      </c>
      <c r="E35">
        <v>1</v>
      </c>
      <c r="G35" s="18">
        <v>8870498</v>
      </c>
      <c r="H35">
        <v>3</v>
      </c>
    </row>
    <row r="36" spans="1:8" x14ac:dyDescent="0.35">
      <c r="A36" s="5">
        <v>9413315</v>
      </c>
      <c r="B36" s="6">
        <v>42919</v>
      </c>
      <c r="C36" s="7">
        <v>0.44313657407407409</v>
      </c>
      <c r="D36" s="8">
        <v>0.45300925925925928</v>
      </c>
      <c r="E36">
        <v>1</v>
      </c>
      <c r="G36" s="18">
        <v>6999348</v>
      </c>
      <c r="H36">
        <v>3</v>
      </c>
    </row>
    <row r="37" spans="1:8" x14ac:dyDescent="0.35">
      <c r="A37" s="9">
        <v>8514016</v>
      </c>
      <c r="B37" s="10">
        <v>42919</v>
      </c>
      <c r="C37" s="11">
        <v>0.44778935185185187</v>
      </c>
      <c r="D37" s="12">
        <v>0.44998842592592592</v>
      </c>
      <c r="E37">
        <v>1</v>
      </c>
      <c r="G37" s="18">
        <v>7795911</v>
      </c>
      <c r="H37">
        <v>3</v>
      </c>
    </row>
    <row r="38" spans="1:8" x14ac:dyDescent="0.35">
      <c r="A38" s="5">
        <v>40965486</v>
      </c>
      <c r="B38" s="6">
        <v>42919</v>
      </c>
      <c r="C38" s="7">
        <v>0.44945601851851852</v>
      </c>
      <c r="D38" s="8">
        <v>0.46011574074074074</v>
      </c>
      <c r="E38">
        <v>1</v>
      </c>
      <c r="G38" s="18">
        <v>7415603</v>
      </c>
      <c r="H38">
        <v>3</v>
      </c>
    </row>
    <row r="39" spans="1:8" x14ac:dyDescent="0.35">
      <c r="A39" s="9">
        <v>4546455</v>
      </c>
      <c r="B39" s="10">
        <v>42919</v>
      </c>
      <c r="C39" s="11">
        <v>0.45270833333333332</v>
      </c>
      <c r="D39" s="12">
        <v>0.45620370370370372</v>
      </c>
      <c r="E39">
        <v>1</v>
      </c>
      <c r="G39" s="18">
        <v>6689117</v>
      </c>
      <c r="H39">
        <v>3</v>
      </c>
    </row>
    <row r="40" spans="1:8" x14ac:dyDescent="0.35">
      <c r="A40" s="5">
        <v>1435049</v>
      </c>
      <c r="B40" s="6">
        <v>42919</v>
      </c>
      <c r="C40" s="7">
        <v>0.45494212962962965</v>
      </c>
      <c r="D40" s="8">
        <v>0.45567129629629627</v>
      </c>
      <c r="E40">
        <v>1</v>
      </c>
      <c r="G40" s="18">
        <v>6772052</v>
      </c>
      <c r="H40">
        <v>3</v>
      </c>
    </row>
    <row r="41" spans="1:8" x14ac:dyDescent="0.35">
      <c r="A41" s="9">
        <v>85598139</v>
      </c>
      <c r="B41" s="10">
        <v>42919</v>
      </c>
      <c r="C41" s="11">
        <v>0.45608796296296295</v>
      </c>
      <c r="D41" s="12">
        <v>0.46314814814814814</v>
      </c>
      <c r="E41">
        <v>1</v>
      </c>
      <c r="G41" s="18">
        <v>7236035</v>
      </c>
      <c r="H41">
        <v>3</v>
      </c>
    </row>
    <row r="42" spans="1:8" x14ac:dyDescent="0.35">
      <c r="A42" s="5">
        <v>1787732</v>
      </c>
      <c r="B42" s="6">
        <v>42919</v>
      </c>
      <c r="C42" s="7">
        <v>0.46151620370370372</v>
      </c>
      <c r="D42" s="8">
        <v>0.46546296296296297</v>
      </c>
      <c r="E42">
        <v>1</v>
      </c>
      <c r="G42" s="18">
        <v>5087066</v>
      </c>
      <c r="H42">
        <v>3</v>
      </c>
    </row>
    <row r="43" spans="1:8" x14ac:dyDescent="0.35">
      <c r="A43" s="9">
        <v>1926053</v>
      </c>
      <c r="B43" s="10">
        <v>42919</v>
      </c>
      <c r="C43" s="11">
        <v>0.46155092592592595</v>
      </c>
      <c r="D43" s="12">
        <v>0.46766203703703701</v>
      </c>
      <c r="E43">
        <v>1</v>
      </c>
      <c r="G43" s="18">
        <v>5816822</v>
      </c>
      <c r="H43">
        <v>3</v>
      </c>
    </row>
    <row r="44" spans="1:8" x14ac:dyDescent="0.35">
      <c r="A44" s="5">
        <v>82949156</v>
      </c>
      <c r="B44" s="6">
        <v>42919</v>
      </c>
      <c r="C44" s="7">
        <v>0.46224537037037039</v>
      </c>
      <c r="D44" s="8">
        <v>0.46390046296296295</v>
      </c>
      <c r="E44">
        <v>1</v>
      </c>
      <c r="G44" s="18">
        <v>6175467</v>
      </c>
      <c r="H44">
        <v>3</v>
      </c>
    </row>
    <row r="45" spans="1:8" x14ac:dyDescent="0.35">
      <c r="A45" s="9">
        <v>73690742</v>
      </c>
      <c r="B45" s="10">
        <v>42919</v>
      </c>
      <c r="C45" s="11">
        <v>0.46766203703703701</v>
      </c>
      <c r="D45" s="12">
        <v>0.4767939814814815</v>
      </c>
      <c r="E45">
        <v>1</v>
      </c>
      <c r="G45" s="18">
        <v>4293872</v>
      </c>
      <c r="H45">
        <v>3</v>
      </c>
    </row>
    <row r="46" spans="1:8" x14ac:dyDescent="0.35">
      <c r="A46" s="5">
        <v>5107477025</v>
      </c>
      <c r="B46" s="6">
        <v>42919</v>
      </c>
      <c r="C46" s="7">
        <v>0.47125</v>
      </c>
      <c r="D46" s="8">
        <v>0.47871527777777778</v>
      </c>
      <c r="E46">
        <v>1</v>
      </c>
      <c r="G46" s="18">
        <v>3539762</v>
      </c>
      <c r="H46">
        <v>3</v>
      </c>
    </row>
    <row r="47" spans="1:8" x14ac:dyDescent="0.35">
      <c r="A47" s="9">
        <v>4787793</v>
      </c>
      <c r="B47" s="10">
        <v>42919</v>
      </c>
      <c r="C47" s="11">
        <v>0.47584490740740742</v>
      </c>
      <c r="D47" s="12">
        <v>0.48518518518518516</v>
      </c>
      <c r="E47">
        <v>1</v>
      </c>
      <c r="G47" s="18">
        <v>3017523</v>
      </c>
      <c r="H47">
        <v>3</v>
      </c>
    </row>
    <row r="48" spans="1:8" x14ac:dyDescent="0.35">
      <c r="A48" s="5">
        <v>79381100</v>
      </c>
      <c r="B48" s="6">
        <v>42919</v>
      </c>
      <c r="C48" s="7">
        <v>0.48078703703703701</v>
      </c>
      <c r="D48" s="8">
        <v>0.48550925925925925</v>
      </c>
      <c r="E48">
        <v>1</v>
      </c>
      <c r="G48" s="18">
        <v>3691457</v>
      </c>
      <c r="H48">
        <v>3</v>
      </c>
    </row>
    <row r="49" spans="1:8" x14ac:dyDescent="0.35">
      <c r="A49" s="9">
        <v>4146159</v>
      </c>
      <c r="B49" s="10">
        <v>42919</v>
      </c>
      <c r="C49" s="11">
        <v>0.48123842592592592</v>
      </c>
      <c r="D49" s="12">
        <v>0.49261574074074072</v>
      </c>
      <c r="E49">
        <v>1</v>
      </c>
      <c r="G49" s="18">
        <v>2826868</v>
      </c>
      <c r="H49">
        <v>3</v>
      </c>
    </row>
    <row r="50" spans="1:8" x14ac:dyDescent="0.35">
      <c r="A50" s="5">
        <v>13484133</v>
      </c>
      <c r="B50" s="6">
        <v>42919</v>
      </c>
      <c r="C50" s="7">
        <v>0.48254629629629631</v>
      </c>
      <c r="D50" s="8">
        <v>0.48739583333333331</v>
      </c>
      <c r="E50">
        <v>1</v>
      </c>
      <c r="G50" s="18">
        <v>3434934</v>
      </c>
      <c r="H50">
        <v>3</v>
      </c>
    </row>
    <row r="51" spans="1:8" x14ac:dyDescent="0.35">
      <c r="A51" s="9">
        <v>4657345</v>
      </c>
      <c r="B51" s="10">
        <v>42919</v>
      </c>
      <c r="C51" s="11">
        <v>0.48489583333333336</v>
      </c>
      <c r="D51" s="12">
        <v>0.48734953703703704</v>
      </c>
      <c r="E51">
        <v>1</v>
      </c>
      <c r="G51" s="18">
        <v>3437033</v>
      </c>
      <c r="H51">
        <v>3</v>
      </c>
    </row>
    <row r="52" spans="1:8" x14ac:dyDescent="0.35">
      <c r="A52" s="5">
        <v>3697935</v>
      </c>
      <c r="B52" s="6">
        <v>42919</v>
      </c>
      <c r="C52" s="7">
        <v>0.49054398148148148</v>
      </c>
      <c r="D52" s="8">
        <v>0.49251157407407409</v>
      </c>
      <c r="E52">
        <v>1</v>
      </c>
      <c r="G52" s="18">
        <v>2235911</v>
      </c>
      <c r="H52">
        <v>3</v>
      </c>
    </row>
    <row r="53" spans="1:8" x14ac:dyDescent="0.35">
      <c r="A53" s="9">
        <v>2668991</v>
      </c>
      <c r="B53" s="10">
        <v>42919</v>
      </c>
      <c r="C53" s="11">
        <v>0.49284722222222221</v>
      </c>
      <c r="D53" s="12">
        <v>0.50354166666666667</v>
      </c>
      <c r="E53">
        <v>1</v>
      </c>
      <c r="G53" s="18">
        <v>1223943</v>
      </c>
      <c r="H53">
        <v>3</v>
      </c>
    </row>
    <row r="54" spans="1:8" x14ac:dyDescent="0.35">
      <c r="A54" s="5">
        <v>3520189</v>
      </c>
      <c r="B54" s="6">
        <v>42919</v>
      </c>
      <c r="C54" s="7">
        <v>0.49862268518518521</v>
      </c>
      <c r="D54" s="8">
        <v>0.50287037037037041</v>
      </c>
      <c r="E54">
        <v>1</v>
      </c>
      <c r="G54" s="18">
        <v>1119740</v>
      </c>
      <c r="H54">
        <v>3</v>
      </c>
    </row>
    <row r="55" spans="1:8" x14ac:dyDescent="0.35">
      <c r="A55" s="9">
        <v>4546455</v>
      </c>
      <c r="B55" s="10">
        <v>42919</v>
      </c>
      <c r="C55" s="11">
        <v>0.50089120370370366</v>
      </c>
      <c r="D55" s="12">
        <v>0.50876157407407407</v>
      </c>
      <c r="E55">
        <v>1</v>
      </c>
      <c r="G55" s="18">
        <v>1488369</v>
      </c>
      <c r="H55">
        <v>3</v>
      </c>
    </row>
    <row r="56" spans="1:8" x14ac:dyDescent="0.35">
      <c r="A56" s="5">
        <v>3897347</v>
      </c>
      <c r="B56" s="6">
        <v>42919</v>
      </c>
      <c r="C56" s="7">
        <v>0.50549768518518523</v>
      </c>
      <c r="D56" s="8">
        <v>0.5100231481481482</v>
      </c>
      <c r="E56">
        <v>1</v>
      </c>
      <c r="G56" s="18">
        <v>97317489</v>
      </c>
      <c r="H56">
        <v>2</v>
      </c>
    </row>
    <row r="57" spans="1:8" x14ac:dyDescent="0.35">
      <c r="A57" s="9">
        <v>1867016</v>
      </c>
      <c r="B57" s="10">
        <v>42919</v>
      </c>
      <c r="C57" s="11">
        <v>0.50910879629629635</v>
      </c>
      <c r="D57" s="12">
        <v>0.50930555555555557</v>
      </c>
      <c r="E57">
        <v>1</v>
      </c>
      <c r="G57" s="18">
        <v>4600571814</v>
      </c>
      <c r="H57">
        <v>2</v>
      </c>
    </row>
    <row r="58" spans="1:8" x14ac:dyDescent="0.35">
      <c r="A58" s="5">
        <v>96949751</v>
      </c>
      <c r="B58" s="6">
        <v>42919</v>
      </c>
      <c r="C58" s="7">
        <v>0.51262731481481483</v>
      </c>
      <c r="D58" s="8">
        <v>0.5142592592592593</v>
      </c>
      <c r="E58">
        <v>1</v>
      </c>
      <c r="G58" s="18">
        <v>1088377750</v>
      </c>
      <c r="H58">
        <v>2</v>
      </c>
    </row>
    <row r="59" spans="1:8" x14ac:dyDescent="0.35">
      <c r="A59" s="9">
        <v>81613163</v>
      </c>
      <c r="B59" s="10">
        <v>42919</v>
      </c>
      <c r="C59" s="11">
        <v>0.5175925925925926</v>
      </c>
      <c r="D59" s="12">
        <v>0.52021990740740742</v>
      </c>
      <c r="E59">
        <v>1</v>
      </c>
      <c r="G59" s="18">
        <v>73350537</v>
      </c>
      <c r="H59">
        <v>2</v>
      </c>
    </row>
    <row r="60" spans="1:8" x14ac:dyDescent="0.35">
      <c r="A60" s="5">
        <v>4250194</v>
      </c>
      <c r="B60" s="6">
        <v>42919</v>
      </c>
      <c r="C60" s="7">
        <v>0.52217592592592588</v>
      </c>
      <c r="D60" s="8">
        <v>0.52918981481481486</v>
      </c>
      <c r="E60">
        <v>1</v>
      </c>
      <c r="G60" s="18">
        <v>67064385</v>
      </c>
      <c r="H60">
        <v>2</v>
      </c>
    </row>
    <row r="61" spans="1:8" x14ac:dyDescent="0.35">
      <c r="A61" s="9">
        <v>6050344</v>
      </c>
      <c r="B61" s="10">
        <v>42919</v>
      </c>
      <c r="C61" s="11">
        <v>0.52444444444444449</v>
      </c>
      <c r="D61" s="12">
        <v>0.52681712962962968</v>
      </c>
      <c r="E61">
        <v>1</v>
      </c>
      <c r="G61" s="18">
        <v>73690742</v>
      </c>
      <c r="H61">
        <v>2</v>
      </c>
    </row>
    <row r="62" spans="1:8" x14ac:dyDescent="0.35">
      <c r="A62" s="5">
        <v>4546455</v>
      </c>
      <c r="B62" s="6">
        <v>42919</v>
      </c>
      <c r="C62" s="7">
        <v>0.5258680555555556</v>
      </c>
      <c r="D62" s="8">
        <v>0.53531249999999997</v>
      </c>
      <c r="E62">
        <v>1</v>
      </c>
      <c r="G62" s="18">
        <v>98939809</v>
      </c>
      <c r="H62">
        <v>2</v>
      </c>
    </row>
    <row r="63" spans="1:8" x14ac:dyDescent="0.35">
      <c r="A63" s="9">
        <v>7727942</v>
      </c>
      <c r="B63" s="10">
        <v>42919</v>
      </c>
      <c r="C63" s="11">
        <v>0.53013888888888894</v>
      </c>
      <c r="D63" s="12">
        <v>0.53707175925925921</v>
      </c>
      <c r="E63">
        <v>1</v>
      </c>
      <c r="G63" s="18">
        <v>77705897</v>
      </c>
      <c r="H63">
        <v>2</v>
      </c>
    </row>
    <row r="64" spans="1:8" x14ac:dyDescent="0.35">
      <c r="A64" s="5">
        <v>8249721</v>
      </c>
      <c r="B64" s="6">
        <v>42919</v>
      </c>
      <c r="C64" s="7">
        <v>0.53486111111111112</v>
      </c>
      <c r="D64" s="8">
        <v>0.53756944444444443</v>
      </c>
      <c r="E64">
        <v>1</v>
      </c>
      <c r="G64" s="18">
        <v>2211277198</v>
      </c>
      <c r="H64">
        <v>2</v>
      </c>
    </row>
    <row r="65" spans="1:8" x14ac:dyDescent="0.35">
      <c r="A65" s="9">
        <v>6894270</v>
      </c>
      <c r="B65" s="10">
        <v>42919</v>
      </c>
      <c r="C65" s="11">
        <v>0.53488425925925931</v>
      </c>
      <c r="D65" s="12">
        <v>0.53523148148148147</v>
      </c>
      <c r="E65">
        <v>1</v>
      </c>
      <c r="G65" s="18">
        <v>79381100</v>
      </c>
      <c r="H65">
        <v>2</v>
      </c>
    </row>
    <row r="66" spans="1:8" x14ac:dyDescent="0.35">
      <c r="A66" s="5">
        <v>3095218</v>
      </c>
      <c r="B66" s="6">
        <v>42919</v>
      </c>
      <c r="C66" s="7">
        <v>0.5358680555555555</v>
      </c>
      <c r="D66" s="8">
        <v>0.54329861111111111</v>
      </c>
      <c r="E66">
        <v>1</v>
      </c>
      <c r="G66" s="18">
        <v>5111892302</v>
      </c>
      <c r="H66">
        <v>2</v>
      </c>
    </row>
    <row r="67" spans="1:8" x14ac:dyDescent="0.35">
      <c r="A67" s="9">
        <v>45081794</v>
      </c>
      <c r="B67" s="10">
        <v>42919</v>
      </c>
      <c r="C67" s="11">
        <v>0.54016203703703702</v>
      </c>
      <c r="D67" s="12">
        <v>0.54297453703703702</v>
      </c>
      <c r="E67">
        <v>1</v>
      </c>
      <c r="G67" s="18">
        <v>79890857</v>
      </c>
      <c r="H67">
        <v>2</v>
      </c>
    </row>
    <row r="68" spans="1:8" x14ac:dyDescent="0.35">
      <c r="A68" s="5">
        <v>3533271</v>
      </c>
      <c r="B68" s="6">
        <v>42919</v>
      </c>
      <c r="C68" s="7">
        <v>0.54280092592592588</v>
      </c>
      <c r="D68" s="8">
        <v>0.54478009259259264</v>
      </c>
      <c r="E68">
        <v>1</v>
      </c>
      <c r="G68" s="18">
        <v>96949751</v>
      </c>
      <c r="H68">
        <v>2</v>
      </c>
    </row>
    <row r="69" spans="1:8" x14ac:dyDescent="0.35">
      <c r="A69" s="9">
        <v>7415603</v>
      </c>
      <c r="B69" s="10">
        <v>42919</v>
      </c>
      <c r="C69" s="11">
        <v>0.54848379629629629</v>
      </c>
      <c r="D69" s="12">
        <v>0.5578819444444445</v>
      </c>
      <c r="E69">
        <v>1</v>
      </c>
      <c r="G69" s="18">
        <v>80038636</v>
      </c>
      <c r="H69">
        <v>2</v>
      </c>
    </row>
    <row r="70" spans="1:8" x14ac:dyDescent="0.35">
      <c r="A70" s="5">
        <v>9088452</v>
      </c>
      <c r="B70" s="6">
        <v>42919</v>
      </c>
      <c r="C70" s="7">
        <v>0.55283564814814812</v>
      </c>
      <c r="D70" s="8">
        <v>0.55756944444444445</v>
      </c>
      <c r="E70">
        <v>1</v>
      </c>
      <c r="G70" s="18">
        <v>67748426</v>
      </c>
      <c r="H70">
        <v>2</v>
      </c>
    </row>
    <row r="71" spans="1:8" x14ac:dyDescent="0.35">
      <c r="A71" s="9">
        <v>3379401</v>
      </c>
      <c r="B71" s="10">
        <v>42919</v>
      </c>
      <c r="C71" s="11">
        <v>0.55576388888888884</v>
      </c>
      <c r="D71" s="12">
        <v>0.56342592592592589</v>
      </c>
      <c r="E71">
        <v>1</v>
      </c>
      <c r="G71" s="18">
        <v>81613163</v>
      </c>
      <c r="H71">
        <v>2</v>
      </c>
    </row>
    <row r="72" spans="1:8" x14ac:dyDescent="0.35">
      <c r="A72" s="5">
        <v>73350537</v>
      </c>
      <c r="B72" s="6">
        <v>42919</v>
      </c>
      <c r="C72" s="7">
        <v>0.55722222222222217</v>
      </c>
      <c r="D72" s="8">
        <v>0.55787037037037035</v>
      </c>
      <c r="E72">
        <v>1</v>
      </c>
      <c r="G72" s="18">
        <v>99162491</v>
      </c>
      <c r="H72">
        <v>2</v>
      </c>
    </row>
    <row r="73" spans="1:8" x14ac:dyDescent="0.35">
      <c r="A73" s="9">
        <v>83707586</v>
      </c>
      <c r="B73" s="10">
        <v>42919</v>
      </c>
      <c r="C73" s="11">
        <v>0.55803240740740745</v>
      </c>
      <c r="D73" s="12">
        <v>0.56174768518518514</v>
      </c>
      <c r="E73">
        <v>1</v>
      </c>
      <c r="G73" s="18">
        <v>83559673</v>
      </c>
      <c r="H73">
        <v>2</v>
      </c>
    </row>
    <row r="74" spans="1:8" x14ac:dyDescent="0.35">
      <c r="A74" s="5">
        <v>5107477025</v>
      </c>
      <c r="B74" s="6">
        <v>42919</v>
      </c>
      <c r="C74" s="7">
        <v>0.55888888888888888</v>
      </c>
      <c r="D74" s="8">
        <v>0.56745370370370374</v>
      </c>
      <c r="E74">
        <v>1</v>
      </c>
      <c r="G74" s="18">
        <v>1973826522</v>
      </c>
      <c r="H74">
        <v>2</v>
      </c>
    </row>
    <row r="75" spans="1:8" x14ac:dyDescent="0.35">
      <c r="A75" s="9">
        <v>1480206</v>
      </c>
      <c r="B75" s="10">
        <v>42919</v>
      </c>
      <c r="C75" s="11">
        <v>0.5645486111111111</v>
      </c>
      <c r="D75" s="12">
        <v>0.56458333333333333</v>
      </c>
      <c r="E75">
        <v>1</v>
      </c>
      <c r="G75" s="18">
        <v>5341697748</v>
      </c>
      <c r="H75">
        <v>2</v>
      </c>
    </row>
    <row r="76" spans="1:8" x14ac:dyDescent="0.35">
      <c r="A76" s="5">
        <v>3095218</v>
      </c>
      <c r="B76" s="6">
        <v>42919</v>
      </c>
      <c r="C76" s="7">
        <v>0.56555555555555559</v>
      </c>
      <c r="D76" s="8">
        <v>0.56557870370370367</v>
      </c>
      <c r="E76">
        <v>1</v>
      </c>
      <c r="G76" s="18">
        <v>2890519255</v>
      </c>
      <c r="H76">
        <v>2</v>
      </c>
    </row>
    <row r="77" spans="1:8" x14ac:dyDescent="0.35">
      <c r="A77" s="9">
        <v>2028923</v>
      </c>
      <c r="B77" s="10">
        <v>42919</v>
      </c>
      <c r="C77" s="11">
        <v>0.56800925925925927</v>
      </c>
      <c r="D77" s="12">
        <v>0.57093749999999999</v>
      </c>
      <c r="E77">
        <v>1</v>
      </c>
      <c r="G77" s="18">
        <v>6275284312</v>
      </c>
      <c r="H77">
        <v>2</v>
      </c>
    </row>
    <row r="78" spans="1:8" x14ac:dyDescent="0.35">
      <c r="A78" s="5">
        <v>81880891</v>
      </c>
      <c r="B78" s="6">
        <v>42919</v>
      </c>
      <c r="C78" s="7">
        <v>0.57141203703703702</v>
      </c>
      <c r="D78" s="8">
        <v>0.57547453703703699</v>
      </c>
      <c r="E78">
        <v>1</v>
      </c>
      <c r="G78" s="18">
        <v>67964973</v>
      </c>
      <c r="H78">
        <v>2</v>
      </c>
    </row>
    <row r="79" spans="1:8" x14ac:dyDescent="0.35">
      <c r="A79" s="9">
        <v>4274149</v>
      </c>
      <c r="B79" s="10">
        <v>42919</v>
      </c>
      <c r="C79" s="11">
        <v>0.5717592592592593</v>
      </c>
      <c r="D79" s="12">
        <v>0.58065972222222217</v>
      </c>
      <c r="E79">
        <v>1</v>
      </c>
      <c r="G79" s="18">
        <v>91907883</v>
      </c>
      <c r="H79">
        <v>2</v>
      </c>
    </row>
    <row r="80" spans="1:8" x14ac:dyDescent="0.35">
      <c r="A80" s="5">
        <v>3505978</v>
      </c>
      <c r="B80" s="6">
        <v>42919</v>
      </c>
      <c r="C80" s="7">
        <v>0.57642361111111107</v>
      </c>
      <c r="D80" s="8">
        <v>0.5799305555555555</v>
      </c>
      <c r="E80">
        <v>1</v>
      </c>
      <c r="G80" s="18">
        <v>70730125</v>
      </c>
      <c r="H80">
        <v>2</v>
      </c>
    </row>
    <row r="81" spans="1:8" x14ac:dyDescent="0.35">
      <c r="A81" s="9">
        <v>8504601</v>
      </c>
      <c r="B81" s="10">
        <v>42919</v>
      </c>
      <c r="C81" s="11">
        <v>0.57958333333333334</v>
      </c>
      <c r="D81" s="12">
        <v>0.58056712962962964</v>
      </c>
      <c r="E81">
        <v>1</v>
      </c>
      <c r="G81" s="18">
        <v>66871690</v>
      </c>
      <c r="H81">
        <v>2</v>
      </c>
    </row>
    <row r="82" spans="1:8" x14ac:dyDescent="0.35">
      <c r="A82" s="5">
        <v>8214927</v>
      </c>
      <c r="B82" s="6">
        <v>42919</v>
      </c>
      <c r="C82" s="7">
        <v>0.5819212962962963</v>
      </c>
      <c r="D82" s="8">
        <v>0.59106481481481477</v>
      </c>
      <c r="E82">
        <v>1</v>
      </c>
      <c r="G82" s="18">
        <v>6561564994</v>
      </c>
      <c r="H82">
        <v>2</v>
      </c>
    </row>
    <row r="83" spans="1:8" x14ac:dyDescent="0.35">
      <c r="A83" s="9">
        <v>5913547</v>
      </c>
      <c r="B83" s="10">
        <v>42919</v>
      </c>
      <c r="C83" s="11">
        <v>0.58414351851851853</v>
      </c>
      <c r="D83" s="12">
        <v>0.5861574074074074</v>
      </c>
      <c r="E83">
        <v>1</v>
      </c>
      <c r="G83" s="18">
        <v>87702896</v>
      </c>
      <c r="H83">
        <v>2</v>
      </c>
    </row>
    <row r="84" spans="1:8" x14ac:dyDescent="0.35">
      <c r="A84" s="5">
        <v>3505978</v>
      </c>
      <c r="B84" s="6">
        <v>42919</v>
      </c>
      <c r="C84" s="7">
        <v>0.58699074074074076</v>
      </c>
      <c r="D84" s="8">
        <v>0.59060185185185188</v>
      </c>
      <c r="E84">
        <v>1</v>
      </c>
      <c r="G84" s="18">
        <v>93611539</v>
      </c>
      <c r="H84">
        <v>2</v>
      </c>
    </row>
    <row r="85" spans="1:8" x14ac:dyDescent="0.35">
      <c r="A85" s="9">
        <v>14783929</v>
      </c>
      <c r="B85" s="10">
        <v>42919</v>
      </c>
      <c r="C85" s="11">
        <v>0.5902546296296296</v>
      </c>
      <c r="D85" s="12">
        <v>0.59516203703703707</v>
      </c>
      <c r="E85">
        <v>1</v>
      </c>
      <c r="G85" s="18">
        <v>41852472</v>
      </c>
      <c r="H85">
        <v>2</v>
      </c>
    </row>
    <row r="86" spans="1:8" x14ac:dyDescent="0.35">
      <c r="A86" s="5">
        <v>2915745</v>
      </c>
      <c r="B86" s="6">
        <v>42919</v>
      </c>
      <c r="C86" s="7">
        <v>0.59324074074074074</v>
      </c>
      <c r="D86" s="8">
        <v>0.6029282407407407</v>
      </c>
      <c r="E86">
        <v>1</v>
      </c>
      <c r="G86" s="18">
        <v>22747425</v>
      </c>
      <c r="H86">
        <v>2</v>
      </c>
    </row>
    <row r="87" spans="1:8" x14ac:dyDescent="0.35">
      <c r="A87" s="9">
        <v>1100142</v>
      </c>
      <c r="B87" s="10">
        <v>42919</v>
      </c>
      <c r="C87" s="11">
        <v>0.59710648148148149</v>
      </c>
      <c r="D87" s="12">
        <v>0.6003356481481481</v>
      </c>
      <c r="E87">
        <v>1</v>
      </c>
      <c r="G87" s="18">
        <v>58420185</v>
      </c>
      <c r="H87">
        <v>2</v>
      </c>
    </row>
    <row r="88" spans="1:8" x14ac:dyDescent="0.35">
      <c r="A88" s="5">
        <v>7795911</v>
      </c>
      <c r="B88" s="6">
        <v>42919</v>
      </c>
      <c r="C88" s="7">
        <v>0.60196759259259258</v>
      </c>
      <c r="D88" s="8">
        <v>0.61259259259259258</v>
      </c>
      <c r="E88">
        <v>1</v>
      </c>
      <c r="G88" s="18">
        <v>24290062</v>
      </c>
      <c r="H88">
        <v>2</v>
      </c>
    </row>
    <row r="89" spans="1:8" x14ac:dyDescent="0.35">
      <c r="A89" s="9">
        <v>1709455</v>
      </c>
      <c r="B89" s="10">
        <v>42919</v>
      </c>
      <c r="C89" s="11">
        <v>0.60313657407407406</v>
      </c>
      <c r="D89" s="12">
        <v>0.60765046296296299</v>
      </c>
      <c r="E89">
        <v>1</v>
      </c>
      <c r="G89" s="18">
        <v>39697250</v>
      </c>
      <c r="H89">
        <v>2</v>
      </c>
    </row>
    <row r="90" spans="1:8" x14ac:dyDescent="0.35">
      <c r="A90" s="5">
        <v>54586484</v>
      </c>
      <c r="B90" s="6">
        <v>42919</v>
      </c>
      <c r="C90" s="7">
        <v>0.60753472222222227</v>
      </c>
      <c r="D90" s="8">
        <v>0.61120370370370369</v>
      </c>
      <c r="E90">
        <v>1</v>
      </c>
      <c r="G90" s="18">
        <v>24665933</v>
      </c>
      <c r="H90">
        <v>2</v>
      </c>
    </row>
    <row r="91" spans="1:8" x14ac:dyDescent="0.35">
      <c r="A91" s="9">
        <v>6674505</v>
      </c>
      <c r="B91" s="10">
        <v>42919</v>
      </c>
      <c r="C91" s="11">
        <v>0.61243055555555559</v>
      </c>
      <c r="D91" s="12">
        <v>0.62267361111111108</v>
      </c>
      <c r="E91">
        <v>1</v>
      </c>
      <c r="G91" s="18">
        <v>45081794</v>
      </c>
      <c r="H91">
        <v>2</v>
      </c>
    </row>
    <row r="92" spans="1:8" x14ac:dyDescent="0.35">
      <c r="A92" s="5">
        <v>6920814</v>
      </c>
      <c r="B92" s="6">
        <v>42919</v>
      </c>
      <c r="C92" s="7">
        <v>0.6141550925925926</v>
      </c>
      <c r="D92" s="8">
        <v>0.61440972222222223</v>
      </c>
      <c r="E92">
        <v>1</v>
      </c>
      <c r="G92" s="18">
        <v>11274735</v>
      </c>
      <c r="H92">
        <v>2</v>
      </c>
    </row>
    <row r="93" spans="1:8" x14ac:dyDescent="0.35">
      <c r="A93" s="9">
        <v>6161675</v>
      </c>
      <c r="B93" s="10">
        <v>42919</v>
      </c>
      <c r="C93" s="11">
        <v>0.61449074074074073</v>
      </c>
      <c r="D93" s="12">
        <v>0.62415509259259261</v>
      </c>
      <c r="E93">
        <v>1</v>
      </c>
      <c r="G93" s="18">
        <v>12063341</v>
      </c>
      <c r="H93">
        <v>2</v>
      </c>
    </row>
    <row r="94" spans="1:8" x14ac:dyDescent="0.35">
      <c r="A94" s="5">
        <v>8498076</v>
      </c>
      <c r="B94" s="6">
        <v>42919</v>
      </c>
      <c r="C94" s="7">
        <v>0.61523148148148143</v>
      </c>
      <c r="D94" s="8">
        <v>0.62223379629629627</v>
      </c>
      <c r="E94">
        <v>1</v>
      </c>
      <c r="G94" s="18">
        <v>14783929</v>
      </c>
      <c r="H94">
        <v>2</v>
      </c>
    </row>
    <row r="95" spans="1:8" x14ac:dyDescent="0.35">
      <c r="A95" s="9">
        <v>4174785</v>
      </c>
      <c r="B95" s="10">
        <v>42919</v>
      </c>
      <c r="C95" s="11">
        <v>0.61624999999999996</v>
      </c>
      <c r="D95" s="12">
        <v>0.62702546296296291</v>
      </c>
      <c r="E95">
        <v>1</v>
      </c>
      <c r="G95" s="18">
        <v>39669014</v>
      </c>
      <c r="H95">
        <v>2</v>
      </c>
    </row>
    <row r="96" spans="1:8" x14ac:dyDescent="0.35">
      <c r="A96" s="5">
        <v>3776937</v>
      </c>
      <c r="B96" s="6">
        <v>42919</v>
      </c>
      <c r="C96" s="7">
        <v>0.61767361111111108</v>
      </c>
      <c r="D96" s="8">
        <v>0.6234143518518519</v>
      </c>
      <c r="E96">
        <v>1</v>
      </c>
      <c r="G96" s="18">
        <v>48676568</v>
      </c>
      <c r="H96">
        <v>2</v>
      </c>
    </row>
    <row r="97" spans="1:8" x14ac:dyDescent="0.35">
      <c r="A97" s="9">
        <v>2636055</v>
      </c>
      <c r="B97" s="10">
        <v>42919</v>
      </c>
      <c r="C97" s="11">
        <v>0.62174768518518519</v>
      </c>
      <c r="D97" s="12">
        <v>0.62206018518518513</v>
      </c>
      <c r="E97">
        <v>1</v>
      </c>
      <c r="G97" s="18">
        <v>39848401</v>
      </c>
      <c r="H97">
        <v>2</v>
      </c>
    </row>
    <row r="98" spans="1:8" x14ac:dyDescent="0.35">
      <c r="A98" s="5">
        <v>4555937</v>
      </c>
      <c r="B98" s="6">
        <v>42919</v>
      </c>
      <c r="C98" s="7">
        <v>0.62645833333333334</v>
      </c>
      <c r="D98" s="8">
        <v>0.63792824074074073</v>
      </c>
      <c r="E98">
        <v>1</v>
      </c>
      <c r="G98" s="18">
        <v>52165701</v>
      </c>
      <c r="H98">
        <v>2</v>
      </c>
    </row>
    <row r="99" spans="1:8" x14ac:dyDescent="0.35">
      <c r="A99" s="9">
        <v>80306197</v>
      </c>
      <c r="B99" s="10">
        <v>42920</v>
      </c>
      <c r="C99" s="11">
        <v>0.33644675925925926</v>
      </c>
      <c r="D99" s="12">
        <v>0.33884259259259258</v>
      </c>
      <c r="E99">
        <v>1</v>
      </c>
      <c r="G99" s="18">
        <v>43109897</v>
      </c>
      <c r="H99">
        <v>2</v>
      </c>
    </row>
    <row r="100" spans="1:8" x14ac:dyDescent="0.35">
      <c r="A100" s="5">
        <v>99162491</v>
      </c>
      <c r="B100" s="6">
        <v>42920</v>
      </c>
      <c r="C100" s="7">
        <v>0.33944444444444444</v>
      </c>
      <c r="D100" s="8">
        <v>0.35085648148148146</v>
      </c>
      <c r="E100">
        <v>1</v>
      </c>
      <c r="G100" s="18">
        <v>18036364</v>
      </c>
      <c r="H100">
        <v>2</v>
      </c>
    </row>
    <row r="101" spans="1:8" x14ac:dyDescent="0.35">
      <c r="A101" s="9">
        <v>2109147679</v>
      </c>
      <c r="B101" s="10">
        <v>42920</v>
      </c>
      <c r="C101" s="11">
        <v>0.34505787037037039</v>
      </c>
      <c r="D101" s="12">
        <v>0.35395833333333332</v>
      </c>
      <c r="E101">
        <v>1</v>
      </c>
      <c r="G101" s="18">
        <v>23123600</v>
      </c>
      <c r="H101">
        <v>2</v>
      </c>
    </row>
    <row r="102" spans="1:8" x14ac:dyDescent="0.35">
      <c r="A102" s="5">
        <v>9422310</v>
      </c>
      <c r="B102" s="6">
        <v>42920</v>
      </c>
      <c r="C102" s="7">
        <v>0.35071759259259261</v>
      </c>
      <c r="D102" s="8">
        <v>0.36206018518518518</v>
      </c>
      <c r="E102">
        <v>1</v>
      </c>
      <c r="G102" s="18">
        <v>54840810</v>
      </c>
      <c r="H102">
        <v>2</v>
      </c>
    </row>
    <row r="103" spans="1:8" x14ac:dyDescent="0.35">
      <c r="A103" s="9">
        <v>20679187</v>
      </c>
      <c r="B103" s="10">
        <v>42920</v>
      </c>
      <c r="C103" s="11">
        <v>0.35372685185185188</v>
      </c>
      <c r="D103" s="12">
        <v>0.3595949074074074</v>
      </c>
      <c r="E103">
        <v>1</v>
      </c>
      <c r="G103" s="18">
        <v>49342013</v>
      </c>
      <c r="H103">
        <v>2</v>
      </c>
    </row>
    <row r="104" spans="1:8" x14ac:dyDescent="0.35">
      <c r="A104" s="5">
        <v>6087997</v>
      </c>
      <c r="B104" s="6">
        <v>42920</v>
      </c>
      <c r="C104" s="7">
        <v>0.35653935185185187</v>
      </c>
      <c r="D104" s="8">
        <v>0.36062499999999997</v>
      </c>
      <c r="E104">
        <v>1</v>
      </c>
      <c r="G104" s="18">
        <v>28961250</v>
      </c>
      <c r="H104">
        <v>2</v>
      </c>
    </row>
    <row r="105" spans="1:8" x14ac:dyDescent="0.35">
      <c r="A105" s="9">
        <v>20679187</v>
      </c>
      <c r="B105" s="10">
        <v>42920</v>
      </c>
      <c r="C105" s="11">
        <v>0.35850694444444442</v>
      </c>
      <c r="D105" s="12">
        <v>0.36371527777777779</v>
      </c>
      <c r="E105">
        <v>1</v>
      </c>
      <c r="G105" s="18">
        <v>54136845</v>
      </c>
      <c r="H105">
        <v>2</v>
      </c>
    </row>
    <row r="106" spans="1:8" x14ac:dyDescent="0.35">
      <c r="A106" s="5">
        <v>5253133</v>
      </c>
      <c r="B106" s="6">
        <v>42920</v>
      </c>
      <c r="C106" s="7">
        <v>0.35986111111111113</v>
      </c>
      <c r="D106" s="8">
        <v>0.36961805555555555</v>
      </c>
      <c r="E106">
        <v>1</v>
      </c>
      <c r="G106" s="18">
        <v>30178521</v>
      </c>
      <c r="H106">
        <v>2</v>
      </c>
    </row>
    <row r="107" spans="1:8" x14ac:dyDescent="0.35">
      <c r="A107" s="9">
        <v>96949751</v>
      </c>
      <c r="B107" s="10">
        <v>42920</v>
      </c>
      <c r="C107" s="11">
        <v>0.36465277777777777</v>
      </c>
      <c r="D107" s="12">
        <v>0.36525462962962962</v>
      </c>
      <c r="E107">
        <v>1</v>
      </c>
      <c r="G107" s="18">
        <v>54821549</v>
      </c>
      <c r="H107">
        <v>2</v>
      </c>
    </row>
    <row r="108" spans="1:8" x14ac:dyDescent="0.35">
      <c r="A108" s="5">
        <v>1508356</v>
      </c>
      <c r="B108" s="6">
        <v>42920</v>
      </c>
      <c r="C108" s="7">
        <v>0.37013888888888891</v>
      </c>
      <c r="D108" s="8">
        <v>0.38033564814814813</v>
      </c>
      <c r="E108">
        <v>1</v>
      </c>
      <c r="G108" s="18">
        <v>30893038</v>
      </c>
      <c r="H108">
        <v>2</v>
      </c>
    </row>
    <row r="109" spans="1:8" x14ac:dyDescent="0.35">
      <c r="A109" s="9">
        <v>9171025</v>
      </c>
      <c r="B109" s="10">
        <v>42920</v>
      </c>
      <c r="C109" s="11">
        <v>0.37292824074074077</v>
      </c>
      <c r="D109" s="12">
        <v>0.38390046296296299</v>
      </c>
      <c r="E109">
        <v>1</v>
      </c>
      <c r="G109" s="18">
        <v>57891628</v>
      </c>
      <c r="H109">
        <v>2</v>
      </c>
    </row>
    <row r="110" spans="1:8" x14ac:dyDescent="0.35">
      <c r="A110" s="5">
        <v>7191598</v>
      </c>
      <c r="B110" s="6">
        <v>42920</v>
      </c>
      <c r="C110" s="7">
        <v>0.37559027777777776</v>
      </c>
      <c r="D110" s="8">
        <v>0.37986111111111109</v>
      </c>
      <c r="E110">
        <v>1</v>
      </c>
      <c r="G110" s="18">
        <v>62016185</v>
      </c>
      <c r="H110">
        <v>2</v>
      </c>
    </row>
    <row r="111" spans="1:8" x14ac:dyDescent="0.35">
      <c r="A111" s="9">
        <v>3505978</v>
      </c>
      <c r="B111" s="10">
        <v>42920</v>
      </c>
      <c r="C111" s="11">
        <v>0.37769675925925927</v>
      </c>
      <c r="D111" s="12">
        <v>0.38211805555555556</v>
      </c>
      <c r="E111">
        <v>1</v>
      </c>
      <c r="G111" s="18">
        <v>60113139</v>
      </c>
      <c r="H111">
        <v>2</v>
      </c>
    </row>
    <row r="112" spans="1:8" x14ac:dyDescent="0.35">
      <c r="A112" s="5">
        <v>90533733</v>
      </c>
      <c r="B112" s="6">
        <v>42920</v>
      </c>
      <c r="C112" s="7">
        <v>0.38092592592592595</v>
      </c>
      <c r="D112" s="8">
        <v>0.38866898148148149</v>
      </c>
      <c r="E112">
        <v>1</v>
      </c>
      <c r="G112" s="18">
        <v>38063903</v>
      </c>
      <c r="H112">
        <v>2</v>
      </c>
    </row>
    <row r="113" spans="1:8" x14ac:dyDescent="0.35">
      <c r="A113" s="9">
        <v>6859181</v>
      </c>
      <c r="B113" s="10">
        <v>42920</v>
      </c>
      <c r="C113" s="11">
        <v>0.38188657407407406</v>
      </c>
      <c r="D113" s="12">
        <v>0.38545138888888891</v>
      </c>
      <c r="E113">
        <v>1</v>
      </c>
      <c r="G113" s="18">
        <v>62086163</v>
      </c>
      <c r="H113">
        <v>2</v>
      </c>
    </row>
    <row r="114" spans="1:8" x14ac:dyDescent="0.35">
      <c r="A114" s="5">
        <v>7207066</v>
      </c>
      <c r="B114" s="6">
        <v>42920</v>
      </c>
      <c r="C114" s="7">
        <v>0.3862962962962963</v>
      </c>
      <c r="D114" s="8">
        <v>0.3883449074074074</v>
      </c>
      <c r="E114">
        <v>1</v>
      </c>
      <c r="G114" s="18">
        <v>9304830</v>
      </c>
      <c r="H114">
        <v>2</v>
      </c>
    </row>
    <row r="115" spans="1:8" x14ac:dyDescent="0.35">
      <c r="A115" s="9">
        <v>4230507</v>
      </c>
      <c r="B115" s="10">
        <v>42920</v>
      </c>
      <c r="C115" s="11">
        <v>0.38763888888888887</v>
      </c>
      <c r="D115" s="12">
        <v>0.39317129629629627</v>
      </c>
      <c r="E115">
        <v>1</v>
      </c>
      <c r="G115" s="18">
        <v>9728932</v>
      </c>
      <c r="H115">
        <v>2</v>
      </c>
    </row>
    <row r="116" spans="1:8" x14ac:dyDescent="0.35">
      <c r="A116" s="5">
        <v>2915745</v>
      </c>
      <c r="B116" s="6">
        <v>42920</v>
      </c>
      <c r="C116" s="7">
        <v>0.39210648148148147</v>
      </c>
      <c r="D116" s="8">
        <v>0.39277777777777778</v>
      </c>
      <c r="E116">
        <v>1</v>
      </c>
      <c r="G116" s="18">
        <v>9555643</v>
      </c>
      <c r="H116">
        <v>2</v>
      </c>
    </row>
    <row r="117" spans="1:8" x14ac:dyDescent="0.35">
      <c r="A117" s="9">
        <v>2235911</v>
      </c>
      <c r="B117" s="10">
        <v>42920</v>
      </c>
      <c r="C117" s="11">
        <v>0.39656249999999998</v>
      </c>
      <c r="D117" s="12">
        <v>0.40236111111111111</v>
      </c>
      <c r="E117">
        <v>1</v>
      </c>
      <c r="G117" s="18">
        <v>8276893</v>
      </c>
      <c r="H117">
        <v>2</v>
      </c>
    </row>
    <row r="118" spans="1:8" x14ac:dyDescent="0.35">
      <c r="A118" s="5">
        <v>1611389</v>
      </c>
      <c r="B118" s="6">
        <v>42920</v>
      </c>
      <c r="C118" s="7">
        <v>0.39879629629629632</v>
      </c>
      <c r="D118" s="8">
        <v>0.41033564814814816</v>
      </c>
      <c r="E118">
        <v>1</v>
      </c>
      <c r="G118" s="18">
        <v>9941776</v>
      </c>
      <c r="H118">
        <v>2</v>
      </c>
    </row>
    <row r="119" spans="1:8" x14ac:dyDescent="0.35">
      <c r="A119" s="9">
        <v>9052652</v>
      </c>
      <c r="B119" s="10">
        <v>42920</v>
      </c>
      <c r="C119" s="11">
        <v>0.3997337962962963</v>
      </c>
      <c r="D119" s="12">
        <v>0.40465277777777775</v>
      </c>
      <c r="E119">
        <v>1</v>
      </c>
      <c r="G119" s="18">
        <v>8313390</v>
      </c>
      <c r="H119">
        <v>2</v>
      </c>
    </row>
    <row r="120" spans="1:8" x14ac:dyDescent="0.35">
      <c r="A120" s="5">
        <v>93611539</v>
      </c>
      <c r="B120" s="6">
        <v>42920</v>
      </c>
      <c r="C120" s="7">
        <v>0.40133101851851855</v>
      </c>
      <c r="D120" s="8">
        <v>0.40964120370370372</v>
      </c>
      <c r="E120">
        <v>1</v>
      </c>
      <c r="G120" s="18">
        <v>8250018</v>
      </c>
      <c r="H120">
        <v>2</v>
      </c>
    </row>
    <row r="121" spans="1:8" x14ac:dyDescent="0.35">
      <c r="A121" s="9">
        <v>68966479</v>
      </c>
      <c r="B121" s="10">
        <v>42920</v>
      </c>
      <c r="C121" s="11">
        <v>0.40493055555555557</v>
      </c>
      <c r="D121" s="12">
        <v>0.40618055555555554</v>
      </c>
      <c r="E121">
        <v>1</v>
      </c>
      <c r="G121" s="18">
        <v>8369815</v>
      </c>
      <c r="H121">
        <v>2</v>
      </c>
    </row>
    <row r="122" spans="1:8" x14ac:dyDescent="0.35">
      <c r="A122" s="5">
        <v>79381100</v>
      </c>
      <c r="B122" s="6">
        <v>42920</v>
      </c>
      <c r="C122" s="7">
        <v>0.40614583333333332</v>
      </c>
      <c r="D122" s="8">
        <v>0.41761574074074076</v>
      </c>
      <c r="E122">
        <v>1</v>
      </c>
      <c r="G122" s="18">
        <v>9600226</v>
      </c>
      <c r="H122">
        <v>2</v>
      </c>
    </row>
    <row r="123" spans="1:8" x14ac:dyDescent="0.35">
      <c r="A123" s="9">
        <v>4697138</v>
      </c>
      <c r="B123" s="10">
        <v>42920</v>
      </c>
      <c r="C123" s="11">
        <v>0.40737268518518521</v>
      </c>
      <c r="D123" s="12">
        <v>0.4102777777777778</v>
      </c>
      <c r="E123">
        <v>1</v>
      </c>
      <c r="G123" s="18">
        <v>8461631</v>
      </c>
      <c r="H123">
        <v>2</v>
      </c>
    </row>
    <row r="124" spans="1:8" x14ac:dyDescent="0.35">
      <c r="A124" s="5">
        <v>5786740</v>
      </c>
      <c r="B124" s="6">
        <v>42920</v>
      </c>
      <c r="C124" s="7">
        <v>0.40796296296296297</v>
      </c>
      <c r="D124" s="8">
        <v>0.41495370370370371</v>
      </c>
      <c r="E124">
        <v>1</v>
      </c>
      <c r="G124" s="18">
        <v>8270097</v>
      </c>
      <c r="H124">
        <v>2</v>
      </c>
    </row>
    <row r="125" spans="1:8" x14ac:dyDescent="0.35">
      <c r="A125" s="9">
        <v>7727942</v>
      </c>
      <c r="B125" s="10">
        <v>42920</v>
      </c>
      <c r="C125" s="11">
        <v>0.41097222222222224</v>
      </c>
      <c r="D125" s="12">
        <v>0.41613425925925923</v>
      </c>
      <c r="E125">
        <v>1</v>
      </c>
      <c r="G125" s="18">
        <v>8498076</v>
      </c>
      <c r="H125">
        <v>2</v>
      </c>
    </row>
    <row r="126" spans="1:8" x14ac:dyDescent="0.35">
      <c r="A126" s="5">
        <v>8384647</v>
      </c>
      <c r="B126" s="6">
        <v>42920</v>
      </c>
      <c r="C126" s="7">
        <v>0.4110300925925926</v>
      </c>
      <c r="D126" s="8">
        <v>0.42162037037037037</v>
      </c>
      <c r="E126">
        <v>1</v>
      </c>
      <c r="G126" s="18">
        <v>9225807</v>
      </c>
      <c r="H126">
        <v>2</v>
      </c>
    </row>
    <row r="127" spans="1:8" x14ac:dyDescent="0.35">
      <c r="A127" s="9">
        <v>1858872516</v>
      </c>
      <c r="B127" s="10">
        <v>42920</v>
      </c>
      <c r="C127" s="11">
        <v>0.41510416666666666</v>
      </c>
      <c r="D127" s="12">
        <v>0.41668981481481482</v>
      </c>
      <c r="E127">
        <v>1</v>
      </c>
      <c r="G127" s="18">
        <v>8585321</v>
      </c>
      <c r="H127">
        <v>2</v>
      </c>
    </row>
    <row r="128" spans="1:8" x14ac:dyDescent="0.35">
      <c r="A128" s="5">
        <v>4546455</v>
      </c>
      <c r="B128" s="6">
        <v>42920</v>
      </c>
      <c r="C128" s="7">
        <v>0.41912037037037037</v>
      </c>
      <c r="D128" s="8">
        <v>0.42031249999999998</v>
      </c>
      <c r="E128">
        <v>1</v>
      </c>
      <c r="G128" s="18">
        <v>9321082</v>
      </c>
      <c r="H128">
        <v>2</v>
      </c>
    </row>
    <row r="129" spans="1:8" x14ac:dyDescent="0.35">
      <c r="A129" s="9">
        <v>2668991</v>
      </c>
      <c r="B129" s="10">
        <v>42920</v>
      </c>
      <c r="C129" s="11">
        <v>0.42249999999999999</v>
      </c>
      <c r="D129" s="12">
        <v>0.42834490740740738</v>
      </c>
      <c r="E129">
        <v>1</v>
      </c>
      <c r="G129" s="18">
        <v>8214927</v>
      </c>
      <c r="H129">
        <v>2</v>
      </c>
    </row>
    <row r="130" spans="1:8" x14ac:dyDescent="0.35">
      <c r="A130" s="5">
        <v>5528648</v>
      </c>
      <c r="B130" s="6">
        <v>42920</v>
      </c>
      <c r="C130" s="7">
        <v>0.42591435185185184</v>
      </c>
      <c r="D130" s="8">
        <v>0.43486111111111109</v>
      </c>
      <c r="E130">
        <v>1</v>
      </c>
      <c r="G130" s="18">
        <v>9422310</v>
      </c>
      <c r="H130">
        <v>2</v>
      </c>
    </row>
    <row r="131" spans="1:8" x14ac:dyDescent="0.35">
      <c r="A131" s="9">
        <v>2157195</v>
      </c>
      <c r="B131" s="10">
        <v>42920</v>
      </c>
      <c r="C131" s="11">
        <v>0.42942129629629627</v>
      </c>
      <c r="D131" s="12">
        <v>0.4349189814814815</v>
      </c>
      <c r="E131">
        <v>1</v>
      </c>
      <c r="G131" s="18">
        <v>8768896</v>
      </c>
      <c r="H131">
        <v>2</v>
      </c>
    </row>
    <row r="132" spans="1:8" x14ac:dyDescent="0.35">
      <c r="A132" s="5">
        <v>7747085</v>
      </c>
      <c r="B132" s="6">
        <v>42920</v>
      </c>
      <c r="C132" s="7">
        <v>0.43247685185185186</v>
      </c>
      <c r="D132" s="8">
        <v>0.43613425925925925</v>
      </c>
      <c r="E132">
        <v>1</v>
      </c>
      <c r="G132" s="18">
        <v>9566647</v>
      </c>
      <c r="H132">
        <v>2</v>
      </c>
    </row>
    <row r="133" spans="1:8" x14ac:dyDescent="0.35">
      <c r="A133" s="9">
        <v>6865106</v>
      </c>
      <c r="B133" s="10">
        <v>42920</v>
      </c>
      <c r="C133" s="11">
        <v>0.43741898148148151</v>
      </c>
      <c r="D133" s="12">
        <v>0.44848379629629631</v>
      </c>
      <c r="E133">
        <v>1</v>
      </c>
      <c r="G133" s="18">
        <v>8802222</v>
      </c>
      <c r="H133">
        <v>2</v>
      </c>
    </row>
    <row r="134" spans="1:8" x14ac:dyDescent="0.35">
      <c r="A134" s="5">
        <v>8819206</v>
      </c>
      <c r="B134" s="6">
        <v>42920</v>
      </c>
      <c r="C134" s="7">
        <v>0.44068287037037035</v>
      </c>
      <c r="D134" s="8">
        <v>0.44912037037037039</v>
      </c>
      <c r="E134">
        <v>1</v>
      </c>
      <c r="G134" s="18">
        <v>9685747</v>
      </c>
      <c r="H134">
        <v>2</v>
      </c>
    </row>
    <row r="135" spans="1:8" x14ac:dyDescent="0.35">
      <c r="A135" s="9">
        <v>3990337</v>
      </c>
      <c r="B135" s="10">
        <v>42920</v>
      </c>
      <c r="C135" s="11">
        <v>0.44158564814814816</v>
      </c>
      <c r="D135" s="12">
        <v>0.4470601851851852</v>
      </c>
      <c r="E135">
        <v>1</v>
      </c>
      <c r="G135" s="18">
        <v>9772824</v>
      </c>
      <c r="H135">
        <v>2</v>
      </c>
    </row>
    <row r="136" spans="1:8" x14ac:dyDescent="0.35">
      <c r="A136" s="5">
        <v>4238684</v>
      </c>
      <c r="B136" s="6">
        <v>42920</v>
      </c>
      <c r="C136" s="7">
        <v>0.44466435185185182</v>
      </c>
      <c r="D136" s="8">
        <v>0.4535763888888889</v>
      </c>
      <c r="E136">
        <v>1</v>
      </c>
      <c r="G136" s="18">
        <v>9763924</v>
      </c>
      <c r="H136">
        <v>2</v>
      </c>
    </row>
    <row r="137" spans="1:8" x14ac:dyDescent="0.35">
      <c r="A137" s="9">
        <v>86774913</v>
      </c>
      <c r="B137" s="10">
        <v>42920</v>
      </c>
      <c r="C137" s="11">
        <v>0.44548611111111114</v>
      </c>
      <c r="D137" s="12">
        <v>0.4541898148148148</v>
      </c>
      <c r="E137">
        <v>1</v>
      </c>
      <c r="G137" s="18">
        <v>9773176</v>
      </c>
      <c r="H137">
        <v>2</v>
      </c>
    </row>
    <row r="138" spans="1:8" x14ac:dyDescent="0.35">
      <c r="A138" s="5">
        <v>93696449</v>
      </c>
      <c r="B138" s="6">
        <v>42920</v>
      </c>
      <c r="C138" s="7">
        <v>0.45063657407407409</v>
      </c>
      <c r="D138" s="8">
        <v>0.45581018518518518</v>
      </c>
      <c r="E138">
        <v>1</v>
      </c>
      <c r="G138" s="18">
        <v>9849071</v>
      </c>
      <c r="H138">
        <v>2</v>
      </c>
    </row>
    <row r="139" spans="1:8" x14ac:dyDescent="0.35">
      <c r="A139" s="9">
        <v>1269611</v>
      </c>
      <c r="B139" s="10">
        <v>42920</v>
      </c>
      <c r="C139" s="11">
        <v>0.45596064814814813</v>
      </c>
      <c r="D139" s="12">
        <v>0.46010416666666665</v>
      </c>
      <c r="E139">
        <v>1</v>
      </c>
      <c r="G139" s="18">
        <v>9815754</v>
      </c>
      <c r="H139">
        <v>2</v>
      </c>
    </row>
    <row r="140" spans="1:8" x14ac:dyDescent="0.35">
      <c r="A140" s="5">
        <v>4623731</v>
      </c>
      <c r="B140" s="6">
        <v>42920</v>
      </c>
      <c r="C140" s="7">
        <v>0.46053240740740742</v>
      </c>
      <c r="D140" s="8">
        <v>0.47131944444444446</v>
      </c>
      <c r="E140">
        <v>1</v>
      </c>
      <c r="G140" s="18">
        <v>9088045</v>
      </c>
      <c r="H140">
        <v>2</v>
      </c>
    </row>
    <row r="141" spans="1:8" x14ac:dyDescent="0.35">
      <c r="A141" s="9">
        <v>4623731</v>
      </c>
      <c r="B141" s="10">
        <v>42920</v>
      </c>
      <c r="C141" s="11">
        <v>0.46423611111111113</v>
      </c>
      <c r="D141" s="12">
        <v>0.46842592592592591</v>
      </c>
      <c r="E141">
        <v>1</v>
      </c>
      <c r="G141" s="18">
        <v>9865716</v>
      </c>
      <c r="H141">
        <v>2</v>
      </c>
    </row>
    <row r="142" spans="1:8" x14ac:dyDescent="0.35">
      <c r="A142" s="5">
        <v>3127402</v>
      </c>
      <c r="B142" s="6">
        <v>42920</v>
      </c>
      <c r="C142" s="7">
        <v>0.46861111111111109</v>
      </c>
      <c r="D142" s="8">
        <v>0.47747685185185185</v>
      </c>
      <c r="E142">
        <v>1</v>
      </c>
      <c r="G142" s="18">
        <v>9088452</v>
      </c>
      <c r="H142">
        <v>2</v>
      </c>
    </row>
    <row r="143" spans="1:8" x14ac:dyDescent="0.35">
      <c r="A143" s="9">
        <v>1714791</v>
      </c>
      <c r="B143" s="10">
        <v>42920</v>
      </c>
      <c r="C143" s="11">
        <v>0.47230324074074076</v>
      </c>
      <c r="D143" s="12">
        <v>0.47288194444444442</v>
      </c>
      <c r="E143">
        <v>1</v>
      </c>
      <c r="G143" s="18">
        <v>9894998</v>
      </c>
      <c r="H143">
        <v>2</v>
      </c>
    </row>
    <row r="144" spans="1:8" x14ac:dyDescent="0.35">
      <c r="A144" s="5">
        <v>7768277</v>
      </c>
      <c r="B144" s="6">
        <v>42920</v>
      </c>
      <c r="C144" s="7">
        <v>0.47453703703703703</v>
      </c>
      <c r="D144" s="8">
        <v>0.4800462962962963</v>
      </c>
      <c r="E144">
        <v>1</v>
      </c>
      <c r="G144" s="18">
        <v>8136309</v>
      </c>
      <c r="H144">
        <v>2</v>
      </c>
    </row>
    <row r="145" spans="1:8" x14ac:dyDescent="0.35">
      <c r="A145" s="9">
        <v>4371394</v>
      </c>
      <c r="B145" s="10">
        <v>42920</v>
      </c>
      <c r="C145" s="11">
        <v>0.47967592592592595</v>
      </c>
      <c r="D145" s="12">
        <v>0.48236111111111113</v>
      </c>
      <c r="E145">
        <v>1</v>
      </c>
      <c r="G145" s="18">
        <v>7473804</v>
      </c>
      <c r="H145">
        <v>2</v>
      </c>
    </row>
    <row r="146" spans="1:8" x14ac:dyDescent="0.35">
      <c r="A146" s="5">
        <v>9803545</v>
      </c>
      <c r="B146" s="6">
        <v>42920</v>
      </c>
      <c r="C146" s="7">
        <v>0.47978009259259258</v>
      </c>
      <c r="D146" s="8">
        <v>0.49125000000000002</v>
      </c>
      <c r="E146">
        <v>1</v>
      </c>
      <c r="G146" s="18">
        <v>7353916</v>
      </c>
      <c r="H146">
        <v>2</v>
      </c>
    </row>
    <row r="147" spans="1:8" x14ac:dyDescent="0.35">
      <c r="A147" s="9">
        <v>4176704</v>
      </c>
      <c r="B147" s="10">
        <v>42920</v>
      </c>
      <c r="C147" s="11">
        <v>0.47983796296296294</v>
      </c>
      <c r="D147" s="12">
        <v>0.48949074074074073</v>
      </c>
      <c r="E147">
        <v>1</v>
      </c>
      <c r="G147" s="18">
        <v>6401011</v>
      </c>
      <c r="H147">
        <v>2</v>
      </c>
    </row>
    <row r="148" spans="1:8" x14ac:dyDescent="0.35">
      <c r="A148" s="5">
        <v>90271112</v>
      </c>
      <c r="B148" s="6">
        <v>42920</v>
      </c>
      <c r="C148" s="7">
        <v>0.4805787037037037</v>
      </c>
      <c r="D148" s="8">
        <v>0.48696759259259259</v>
      </c>
      <c r="E148">
        <v>1</v>
      </c>
      <c r="G148" s="18">
        <v>7914439</v>
      </c>
      <c r="H148">
        <v>2</v>
      </c>
    </row>
    <row r="149" spans="1:8" x14ac:dyDescent="0.35">
      <c r="A149" s="9">
        <v>8136309</v>
      </c>
      <c r="B149" s="10">
        <v>42920</v>
      </c>
      <c r="C149" s="11">
        <v>0.48189814814814813</v>
      </c>
      <c r="D149" s="12">
        <v>0.49115740740740743</v>
      </c>
      <c r="E149">
        <v>1</v>
      </c>
      <c r="G149" s="18">
        <v>6408952</v>
      </c>
      <c r="H149">
        <v>2</v>
      </c>
    </row>
    <row r="150" spans="1:8" x14ac:dyDescent="0.35">
      <c r="A150" s="5">
        <v>3178616</v>
      </c>
      <c r="B150" s="6">
        <v>42920</v>
      </c>
      <c r="C150" s="7">
        <v>0.48312500000000003</v>
      </c>
      <c r="D150" s="8">
        <v>0.49138888888888888</v>
      </c>
      <c r="E150">
        <v>1</v>
      </c>
      <c r="G150" s="18">
        <v>7215284</v>
      </c>
      <c r="H150">
        <v>2</v>
      </c>
    </row>
    <row r="151" spans="1:8" x14ac:dyDescent="0.35">
      <c r="A151" s="9">
        <v>27791497</v>
      </c>
      <c r="B151" s="10">
        <v>42920</v>
      </c>
      <c r="C151" s="11">
        <v>0.48803240740740739</v>
      </c>
      <c r="D151" s="12">
        <v>0.49682870370370369</v>
      </c>
      <c r="E151">
        <v>1</v>
      </c>
      <c r="G151" s="18">
        <v>6551880</v>
      </c>
      <c r="H151">
        <v>2</v>
      </c>
    </row>
    <row r="152" spans="1:8" x14ac:dyDescent="0.35">
      <c r="A152" s="5">
        <v>4738129</v>
      </c>
      <c r="B152" s="6">
        <v>42920</v>
      </c>
      <c r="C152" s="7">
        <v>0.48979166666666668</v>
      </c>
      <c r="D152" s="8">
        <v>0.500462962962963</v>
      </c>
      <c r="E152">
        <v>1</v>
      </c>
      <c r="G152" s="18">
        <v>7421868</v>
      </c>
      <c r="H152">
        <v>2</v>
      </c>
    </row>
    <row r="153" spans="1:8" x14ac:dyDescent="0.35">
      <c r="A153" s="9">
        <v>54840810</v>
      </c>
      <c r="B153" s="10">
        <v>42920</v>
      </c>
      <c r="C153" s="11">
        <v>0.49430555555555555</v>
      </c>
      <c r="D153" s="12">
        <v>0.50231481481481477</v>
      </c>
      <c r="E153">
        <v>1</v>
      </c>
      <c r="G153" s="18">
        <v>6615729</v>
      </c>
      <c r="H153">
        <v>2</v>
      </c>
    </row>
    <row r="154" spans="1:8" x14ac:dyDescent="0.35">
      <c r="A154" s="5">
        <v>8885606</v>
      </c>
      <c r="B154" s="6">
        <v>42920</v>
      </c>
      <c r="C154" s="7">
        <v>0.49984953703703705</v>
      </c>
      <c r="D154" s="8">
        <v>0.50960648148148147</v>
      </c>
      <c r="E154">
        <v>1</v>
      </c>
      <c r="G154" s="18">
        <v>7663988</v>
      </c>
      <c r="H154">
        <v>2</v>
      </c>
    </row>
    <row r="155" spans="1:8" x14ac:dyDescent="0.35">
      <c r="A155" s="9">
        <v>6730442</v>
      </c>
      <c r="B155" s="10">
        <v>42920</v>
      </c>
      <c r="C155" s="11">
        <v>0.50063657407407403</v>
      </c>
      <c r="D155" s="12">
        <v>0.50876157407407407</v>
      </c>
      <c r="E155">
        <v>1</v>
      </c>
      <c r="G155" s="18">
        <v>6657074</v>
      </c>
      <c r="H155">
        <v>2</v>
      </c>
    </row>
    <row r="156" spans="1:8" x14ac:dyDescent="0.35">
      <c r="A156" s="5">
        <v>3326913</v>
      </c>
      <c r="B156" s="6">
        <v>42920</v>
      </c>
      <c r="C156" s="7">
        <v>0.50594907407407408</v>
      </c>
      <c r="D156" s="8">
        <v>0.5154050925925926</v>
      </c>
      <c r="E156">
        <v>1</v>
      </c>
      <c r="G156" s="18">
        <v>8063487</v>
      </c>
      <c r="H156">
        <v>2</v>
      </c>
    </row>
    <row r="157" spans="1:8" x14ac:dyDescent="0.35">
      <c r="A157" s="9">
        <v>9865716</v>
      </c>
      <c r="B157" s="10">
        <v>42920</v>
      </c>
      <c r="C157" s="11">
        <v>0.51076388888888891</v>
      </c>
      <c r="D157" s="12">
        <v>0.51890046296296299</v>
      </c>
      <c r="E157">
        <v>1</v>
      </c>
      <c r="G157" s="18">
        <v>6674505</v>
      </c>
      <c r="H157">
        <v>2</v>
      </c>
    </row>
    <row r="158" spans="1:8" x14ac:dyDescent="0.35">
      <c r="A158" s="5">
        <v>73284745</v>
      </c>
      <c r="B158" s="6">
        <v>42920</v>
      </c>
      <c r="C158" s="7">
        <v>0.51451388888888894</v>
      </c>
      <c r="D158" s="8">
        <v>0.51857638888888891</v>
      </c>
      <c r="E158">
        <v>1</v>
      </c>
      <c r="G158" s="18">
        <v>7118082</v>
      </c>
      <c r="H158">
        <v>2</v>
      </c>
    </row>
    <row r="159" spans="1:8" x14ac:dyDescent="0.35">
      <c r="A159" s="9">
        <v>1761255</v>
      </c>
      <c r="B159" s="10">
        <v>42920</v>
      </c>
      <c r="C159" s="11">
        <v>0.51958333333333329</v>
      </c>
      <c r="D159" s="12">
        <v>0.52266203703703706</v>
      </c>
      <c r="E159">
        <v>1</v>
      </c>
      <c r="G159" s="18">
        <v>6709939</v>
      </c>
      <c r="H159">
        <v>2</v>
      </c>
    </row>
    <row r="160" spans="1:8" x14ac:dyDescent="0.35">
      <c r="A160" s="5">
        <v>48625903</v>
      </c>
      <c r="B160" s="6">
        <v>42920</v>
      </c>
      <c r="C160" s="7">
        <v>0.52303240740740742</v>
      </c>
      <c r="D160" s="8">
        <v>0.523900462962963</v>
      </c>
      <c r="E160">
        <v>1</v>
      </c>
      <c r="G160" s="18">
        <v>8163790</v>
      </c>
      <c r="H160">
        <v>2</v>
      </c>
    </row>
    <row r="161" spans="1:8" x14ac:dyDescent="0.35">
      <c r="A161" s="9">
        <v>2235911</v>
      </c>
      <c r="B161" s="10">
        <v>42920</v>
      </c>
      <c r="C161" s="11">
        <v>0.52454861111111106</v>
      </c>
      <c r="D161" s="12">
        <v>0.53546296296296292</v>
      </c>
      <c r="E161">
        <v>1</v>
      </c>
      <c r="G161" s="18">
        <v>6717763</v>
      </c>
      <c r="H161">
        <v>2</v>
      </c>
    </row>
    <row r="162" spans="1:8" x14ac:dyDescent="0.35">
      <c r="A162" s="5">
        <v>18036364</v>
      </c>
      <c r="B162" s="6">
        <v>42920</v>
      </c>
      <c r="C162" s="7">
        <v>0.53015046296296298</v>
      </c>
      <c r="D162" s="8">
        <v>0.53275462962962961</v>
      </c>
      <c r="E162">
        <v>1</v>
      </c>
      <c r="G162" s="18">
        <v>7377702</v>
      </c>
      <c r="H162">
        <v>2</v>
      </c>
    </row>
    <row r="163" spans="1:8" x14ac:dyDescent="0.35">
      <c r="A163" s="9">
        <v>38063903</v>
      </c>
      <c r="B163" s="10">
        <v>42920</v>
      </c>
      <c r="C163" s="11">
        <v>0.53465277777777775</v>
      </c>
      <c r="D163" s="12">
        <v>0.53925925925925922</v>
      </c>
      <c r="E163">
        <v>1</v>
      </c>
      <c r="G163" s="18">
        <v>6719542</v>
      </c>
      <c r="H163">
        <v>2</v>
      </c>
    </row>
    <row r="164" spans="1:8" x14ac:dyDescent="0.35">
      <c r="A164" s="5">
        <v>4555937</v>
      </c>
      <c r="B164" s="6">
        <v>42920</v>
      </c>
      <c r="C164" s="7">
        <v>0.53748842592592594</v>
      </c>
      <c r="D164" s="8">
        <v>0.54775462962962962</v>
      </c>
      <c r="E164">
        <v>1</v>
      </c>
      <c r="G164" s="18">
        <v>7432767</v>
      </c>
      <c r="H164">
        <v>2</v>
      </c>
    </row>
    <row r="165" spans="1:8" x14ac:dyDescent="0.35">
      <c r="A165" s="9">
        <v>9422310</v>
      </c>
      <c r="B165" s="10">
        <v>42920</v>
      </c>
      <c r="C165" s="11">
        <v>0.54137731481481477</v>
      </c>
      <c r="D165" s="12">
        <v>0.5506712962962963</v>
      </c>
      <c r="E165">
        <v>1</v>
      </c>
      <c r="G165" s="18">
        <v>6735390</v>
      </c>
      <c r="H165">
        <v>2</v>
      </c>
    </row>
    <row r="166" spans="1:8" x14ac:dyDescent="0.35">
      <c r="A166" s="5">
        <v>16999529</v>
      </c>
      <c r="B166" s="6">
        <v>42920</v>
      </c>
      <c r="C166" s="7">
        <v>0.54395833333333332</v>
      </c>
      <c r="D166" s="8">
        <v>0.54451388888888885</v>
      </c>
      <c r="E166">
        <v>1</v>
      </c>
      <c r="G166" s="18">
        <v>7622819</v>
      </c>
      <c r="H166">
        <v>2</v>
      </c>
    </row>
    <row r="167" spans="1:8" x14ac:dyDescent="0.35">
      <c r="A167" s="9">
        <v>8385222</v>
      </c>
      <c r="B167" s="10">
        <v>42920</v>
      </c>
      <c r="C167" s="11">
        <v>0.5455092592592593</v>
      </c>
      <c r="D167" s="12">
        <v>0.54748842592592595</v>
      </c>
      <c r="E167">
        <v>1</v>
      </c>
      <c r="G167" s="18">
        <v>6741642</v>
      </c>
      <c r="H167">
        <v>2</v>
      </c>
    </row>
    <row r="168" spans="1:8" x14ac:dyDescent="0.35">
      <c r="A168" s="5">
        <v>8086847</v>
      </c>
      <c r="B168" s="6">
        <v>42920</v>
      </c>
      <c r="C168" s="7">
        <v>0.54909722222222224</v>
      </c>
      <c r="D168" s="8">
        <v>0.5524768518518518</v>
      </c>
      <c r="E168">
        <v>1</v>
      </c>
      <c r="G168" s="18">
        <v>7727942</v>
      </c>
      <c r="H168">
        <v>2</v>
      </c>
    </row>
    <row r="169" spans="1:8" x14ac:dyDescent="0.35">
      <c r="A169" s="9">
        <v>5215912</v>
      </c>
      <c r="B169" s="10">
        <v>42920</v>
      </c>
      <c r="C169" s="11">
        <v>0.5512731481481481</v>
      </c>
      <c r="D169" s="12">
        <v>0.55435185185185187</v>
      </c>
      <c r="E169">
        <v>1</v>
      </c>
      <c r="G169" s="18">
        <v>6801890</v>
      </c>
      <c r="H169">
        <v>2</v>
      </c>
    </row>
    <row r="170" spans="1:8" x14ac:dyDescent="0.35">
      <c r="A170" s="5">
        <v>1973826522</v>
      </c>
      <c r="B170" s="6">
        <v>42920</v>
      </c>
      <c r="C170" s="7">
        <v>0.5553703703703704</v>
      </c>
      <c r="D170" s="8">
        <v>0.55833333333333335</v>
      </c>
      <c r="E170">
        <v>1</v>
      </c>
      <c r="G170" s="18">
        <v>7937998</v>
      </c>
      <c r="H170">
        <v>2</v>
      </c>
    </row>
    <row r="171" spans="1:8" x14ac:dyDescent="0.35">
      <c r="A171" s="9">
        <v>2255197</v>
      </c>
      <c r="B171" s="10">
        <v>42920</v>
      </c>
      <c r="C171" s="11">
        <v>0.55905092592592598</v>
      </c>
      <c r="D171" s="12">
        <v>0.56342592592592589</v>
      </c>
      <c r="E171">
        <v>1</v>
      </c>
      <c r="G171" s="18">
        <v>6865106</v>
      </c>
      <c r="H171">
        <v>2</v>
      </c>
    </row>
    <row r="172" spans="1:8" x14ac:dyDescent="0.35">
      <c r="A172" s="5">
        <v>6719542</v>
      </c>
      <c r="B172" s="6">
        <v>42920</v>
      </c>
      <c r="C172" s="7">
        <v>0.5638657407407407</v>
      </c>
      <c r="D172" s="8">
        <v>0.56425925925925924</v>
      </c>
      <c r="E172">
        <v>1</v>
      </c>
      <c r="G172" s="18">
        <v>8079505</v>
      </c>
      <c r="H172">
        <v>2</v>
      </c>
    </row>
    <row r="173" spans="1:8" x14ac:dyDescent="0.35">
      <c r="A173" s="9">
        <v>1837797</v>
      </c>
      <c r="B173" s="10">
        <v>42920</v>
      </c>
      <c r="C173" s="11">
        <v>0.5688657407407407</v>
      </c>
      <c r="D173" s="12">
        <v>0.57524305555555555</v>
      </c>
      <c r="E173">
        <v>1</v>
      </c>
      <c r="G173" s="18">
        <v>6905863</v>
      </c>
      <c r="H173">
        <v>2</v>
      </c>
    </row>
    <row r="174" spans="1:8" x14ac:dyDescent="0.35">
      <c r="A174" s="5">
        <v>6772052</v>
      </c>
      <c r="B174" s="6">
        <v>42920</v>
      </c>
      <c r="C174" s="7">
        <v>0.57204861111111116</v>
      </c>
      <c r="D174" s="8">
        <v>0.57371527777777775</v>
      </c>
      <c r="E174">
        <v>1</v>
      </c>
      <c r="G174" s="18">
        <v>7085993</v>
      </c>
      <c r="H174">
        <v>2</v>
      </c>
    </row>
    <row r="175" spans="1:8" x14ac:dyDescent="0.35">
      <c r="A175" s="9">
        <v>6495517</v>
      </c>
      <c r="B175" s="10">
        <v>42920</v>
      </c>
      <c r="C175" s="11">
        <v>0.57347222222222227</v>
      </c>
      <c r="D175" s="12">
        <v>0.58420138888888884</v>
      </c>
      <c r="E175">
        <v>1</v>
      </c>
      <c r="G175" s="18">
        <v>7275091</v>
      </c>
      <c r="H175">
        <v>2</v>
      </c>
    </row>
    <row r="176" spans="1:8" x14ac:dyDescent="0.35">
      <c r="A176" s="5">
        <v>6275284312</v>
      </c>
      <c r="B176" s="6">
        <v>42920</v>
      </c>
      <c r="C176" s="7">
        <v>0.57861111111111108</v>
      </c>
      <c r="D176" s="8">
        <v>0.58296296296296302</v>
      </c>
      <c r="E176">
        <v>1</v>
      </c>
      <c r="G176" s="18">
        <v>4804872</v>
      </c>
      <c r="H176">
        <v>2</v>
      </c>
    </row>
    <row r="177" spans="1:8" x14ac:dyDescent="0.35">
      <c r="A177" s="9">
        <v>5997385</v>
      </c>
      <c r="B177" s="10">
        <v>42920</v>
      </c>
      <c r="C177" s="11">
        <v>0.58136574074074077</v>
      </c>
      <c r="D177" s="12">
        <v>0.58156249999999998</v>
      </c>
      <c r="E177">
        <v>1</v>
      </c>
      <c r="G177" s="18">
        <v>5512237</v>
      </c>
      <c r="H177">
        <v>2</v>
      </c>
    </row>
    <row r="178" spans="1:8" x14ac:dyDescent="0.35">
      <c r="A178" s="5">
        <v>54586484</v>
      </c>
      <c r="B178" s="6">
        <v>42920</v>
      </c>
      <c r="C178" s="7">
        <v>0.58335648148148145</v>
      </c>
      <c r="D178" s="8">
        <v>0.5841319444444445</v>
      </c>
      <c r="E178">
        <v>1</v>
      </c>
      <c r="G178" s="18">
        <v>5492379</v>
      </c>
      <c r="H178">
        <v>2</v>
      </c>
    </row>
    <row r="179" spans="1:8" x14ac:dyDescent="0.35">
      <c r="A179" s="9">
        <v>8449157</v>
      </c>
      <c r="B179" s="10">
        <v>42920</v>
      </c>
      <c r="C179" s="11">
        <v>0.58377314814814818</v>
      </c>
      <c r="D179" s="12">
        <v>0.59186342592592589</v>
      </c>
      <c r="E179">
        <v>1</v>
      </c>
      <c r="G179" s="18">
        <v>4623731</v>
      </c>
      <c r="H179">
        <v>2</v>
      </c>
    </row>
    <row r="180" spans="1:8" x14ac:dyDescent="0.35">
      <c r="A180" s="5">
        <v>1301099</v>
      </c>
      <c r="B180" s="6">
        <v>42920</v>
      </c>
      <c r="C180" s="7">
        <v>0.58452546296296293</v>
      </c>
      <c r="D180" s="8">
        <v>0.58862268518518523</v>
      </c>
      <c r="E180">
        <v>1</v>
      </c>
      <c r="G180" s="18">
        <v>5696056</v>
      </c>
      <c r="H180">
        <v>2</v>
      </c>
    </row>
    <row r="181" spans="1:8" x14ac:dyDescent="0.35">
      <c r="A181" s="9">
        <v>1774304298</v>
      </c>
      <c r="B181" s="10">
        <v>42920</v>
      </c>
      <c r="C181" s="11">
        <v>0.58452546296296293</v>
      </c>
      <c r="D181" s="12">
        <v>0.59087962962962959</v>
      </c>
      <c r="E181">
        <v>1</v>
      </c>
      <c r="G181" s="18">
        <v>4653709</v>
      </c>
      <c r="H181">
        <v>2</v>
      </c>
    </row>
    <row r="182" spans="1:8" x14ac:dyDescent="0.35">
      <c r="A182" s="5">
        <v>52165701</v>
      </c>
      <c r="B182" s="6">
        <v>42920</v>
      </c>
      <c r="C182" s="7">
        <v>0.59018518518518515</v>
      </c>
      <c r="D182" s="8">
        <v>0.60047453703703701</v>
      </c>
      <c r="E182">
        <v>1</v>
      </c>
      <c r="G182" s="18">
        <v>6060835</v>
      </c>
      <c r="H182">
        <v>2</v>
      </c>
    </row>
    <row r="183" spans="1:8" x14ac:dyDescent="0.35">
      <c r="A183" s="9">
        <v>49158974</v>
      </c>
      <c r="B183" s="10">
        <v>42920</v>
      </c>
      <c r="C183" s="11">
        <v>0.59425925925925926</v>
      </c>
      <c r="D183" s="12">
        <v>0.59886574074074073</v>
      </c>
      <c r="E183">
        <v>1</v>
      </c>
      <c r="G183" s="18">
        <v>4505950</v>
      </c>
      <c r="H183">
        <v>2</v>
      </c>
    </row>
    <row r="184" spans="1:8" x14ac:dyDescent="0.35">
      <c r="A184" s="5">
        <v>6231537</v>
      </c>
      <c r="B184" s="6">
        <v>42920</v>
      </c>
      <c r="C184" s="7">
        <v>0.59767361111111106</v>
      </c>
      <c r="D184" s="8">
        <v>0.6026273148148148</v>
      </c>
      <c r="E184">
        <v>1</v>
      </c>
      <c r="G184" s="18">
        <v>5505912</v>
      </c>
      <c r="H184">
        <v>2</v>
      </c>
    </row>
    <row r="185" spans="1:8" x14ac:dyDescent="0.35">
      <c r="A185" s="9">
        <v>6965661375</v>
      </c>
      <c r="B185" s="10">
        <v>42920</v>
      </c>
      <c r="C185" s="11">
        <v>0.59995370370370371</v>
      </c>
      <c r="D185" s="12">
        <v>0.60442129629629626</v>
      </c>
      <c r="E185">
        <v>1</v>
      </c>
      <c r="G185" s="18">
        <v>6068132</v>
      </c>
      <c r="H185">
        <v>2</v>
      </c>
    </row>
    <row r="186" spans="1:8" x14ac:dyDescent="0.35">
      <c r="A186" s="5">
        <v>4555937</v>
      </c>
      <c r="B186" s="6">
        <v>42920</v>
      </c>
      <c r="C186" s="7">
        <v>0.60509259259259263</v>
      </c>
      <c r="D186" s="8">
        <v>0.60509259259259263</v>
      </c>
      <c r="E186">
        <v>1</v>
      </c>
      <c r="G186" s="18">
        <v>5528648</v>
      </c>
      <c r="H186">
        <v>2</v>
      </c>
    </row>
    <row r="187" spans="1:8" x14ac:dyDescent="0.35">
      <c r="A187" s="9">
        <v>8831940</v>
      </c>
      <c r="B187" s="10">
        <v>42920</v>
      </c>
      <c r="C187" s="11">
        <v>0.6066435185185185</v>
      </c>
      <c r="D187" s="12">
        <v>0.61133101851851857</v>
      </c>
      <c r="E187">
        <v>1</v>
      </c>
      <c r="G187" s="18">
        <v>6231537</v>
      </c>
      <c r="H187">
        <v>2</v>
      </c>
    </row>
    <row r="188" spans="1:8" x14ac:dyDescent="0.35">
      <c r="A188" s="5">
        <v>7421868</v>
      </c>
      <c r="B188" s="6">
        <v>42920</v>
      </c>
      <c r="C188" s="7">
        <v>0.61136574074074079</v>
      </c>
      <c r="D188" s="8">
        <v>0.61636574074074069</v>
      </c>
      <c r="E188">
        <v>1</v>
      </c>
      <c r="G188" s="18">
        <v>4738129</v>
      </c>
      <c r="H188">
        <v>2</v>
      </c>
    </row>
    <row r="189" spans="1:8" x14ac:dyDescent="0.35">
      <c r="A189" s="9">
        <v>5131341</v>
      </c>
      <c r="B189" s="10">
        <v>42920</v>
      </c>
      <c r="C189" s="11">
        <v>0.61186342592592591</v>
      </c>
      <c r="D189" s="12">
        <v>0.61896990740740743</v>
      </c>
      <c r="E189">
        <v>1</v>
      </c>
      <c r="G189" s="18">
        <v>5223970</v>
      </c>
      <c r="H189">
        <v>2</v>
      </c>
    </row>
    <row r="190" spans="1:8" x14ac:dyDescent="0.35">
      <c r="A190" s="5">
        <v>3121850</v>
      </c>
      <c r="B190" s="6">
        <v>42920</v>
      </c>
      <c r="C190" s="7">
        <v>0.61410879629629633</v>
      </c>
      <c r="D190" s="8">
        <v>0.6216666666666667</v>
      </c>
      <c r="E190">
        <v>1</v>
      </c>
      <c r="G190" s="18">
        <v>5833452</v>
      </c>
      <c r="H190">
        <v>2</v>
      </c>
    </row>
    <row r="191" spans="1:8" x14ac:dyDescent="0.35">
      <c r="A191" s="9">
        <v>6905863</v>
      </c>
      <c r="B191" s="10">
        <v>42920</v>
      </c>
      <c r="C191" s="11">
        <v>0.6186342592592593</v>
      </c>
      <c r="D191" s="12">
        <v>0.62296296296296294</v>
      </c>
      <c r="E191">
        <v>1</v>
      </c>
      <c r="G191" s="18">
        <v>5231877</v>
      </c>
      <c r="H191">
        <v>2</v>
      </c>
    </row>
    <row r="192" spans="1:8" x14ac:dyDescent="0.35">
      <c r="A192" s="5">
        <v>2514802</v>
      </c>
      <c r="B192" s="6">
        <v>42920</v>
      </c>
      <c r="C192" s="7">
        <v>0.6186342592592593</v>
      </c>
      <c r="D192" s="8">
        <v>0.6265856481481481</v>
      </c>
      <c r="E192">
        <v>1</v>
      </c>
      <c r="G192" s="18">
        <v>4963499</v>
      </c>
      <c r="H192">
        <v>2</v>
      </c>
    </row>
    <row r="193" spans="1:8" x14ac:dyDescent="0.35">
      <c r="A193" s="9">
        <v>93696449</v>
      </c>
      <c r="B193" s="10">
        <v>42920</v>
      </c>
      <c r="C193" s="11">
        <v>0.6227314814814815</v>
      </c>
      <c r="D193" s="12">
        <v>0.63056712962962957</v>
      </c>
      <c r="E193">
        <v>1</v>
      </c>
      <c r="G193" s="18">
        <v>5277660</v>
      </c>
      <c r="H193">
        <v>2</v>
      </c>
    </row>
    <row r="194" spans="1:8" x14ac:dyDescent="0.35">
      <c r="A194" s="5">
        <v>3931464</v>
      </c>
      <c r="B194" s="6">
        <v>42920</v>
      </c>
      <c r="C194" s="7">
        <v>0.62381944444444448</v>
      </c>
      <c r="D194" s="8">
        <v>0.6322106481481482</v>
      </c>
      <c r="E194">
        <v>1</v>
      </c>
      <c r="G194" s="18">
        <v>5131341</v>
      </c>
      <c r="H194">
        <v>2</v>
      </c>
    </row>
    <row r="195" spans="1:8" x14ac:dyDescent="0.35">
      <c r="A195" s="9">
        <v>1583683</v>
      </c>
      <c r="B195" s="10">
        <v>42920</v>
      </c>
      <c r="C195" s="11">
        <v>0.6275694444444444</v>
      </c>
      <c r="D195" s="12">
        <v>0.63215277777777779</v>
      </c>
      <c r="E195">
        <v>1</v>
      </c>
      <c r="G195" s="18">
        <v>6264844</v>
      </c>
      <c r="H195">
        <v>2</v>
      </c>
    </row>
    <row r="196" spans="1:8" x14ac:dyDescent="0.35">
      <c r="A196" s="5">
        <v>52165701</v>
      </c>
      <c r="B196" s="6">
        <v>42921</v>
      </c>
      <c r="C196" s="7">
        <v>0.33545138888888887</v>
      </c>
      <c r="D196" s="8">
        <v>0.3435300925925926</v>
      </c>
      <c r="E196">
        <v>1</v>
      </c>
      <c r="G196" s="18">
        <v>5147651</v>
      </c>
      <c r="H196">
        <v>2</v>
      </c>
    </row>
    <row r="197" spans="1:8" x14ac:dyDescent="0.35">
      <c r="A197" s="9">
        <v>1521041994</v>
      </c>
      <c r="B197" s="10">
        <v>42921</v>
      </c>
      <c r="C197" s="11">
        <v>0.34099537037037037</v>
      </c>
      <c r="D197" s="12">
        <v>0.34749999999999998</v>
      </c>
      <c r="E197">
        <v>1</v>
      </c>
      <c r="G197" s="18">
        <v>6312575</v>
      </c>
      <c r="H197">
        <v>2</v>
      </c>
    </row>
    <row r="198" spans="1:8" x14ac:dyDescent="0.35">
      <c r="A198" s="5">
        <v>9187410</v>
      </c>
      <c r="B198" s="6">
        <v>42921</v>
      </c>
      <c r="C198" s="7">
        <v>0.34662037037037036</v>
      </c>
      <c r="D198" s="8">
        <v>0.34908564814814813</v>
      </c>
      <c r="E198">
        <v>1</v>
      </c>
      <c r="G198" s="18">
        <v>3858766</v>
      </c>
      <c r="H198">
        <v>2</v>
      </c>
    </row>
    <row r="199" spans="1:8" x14ac:dyDescent="0.35">
      <c r="A199" s="9">
        <v>8228350</v>
      </c>
      <c r="B199" s="10">
        <v>42921</v>
      </c>
      <c r="C199" s="11">
        <v>0.34667824074074072</v>
      </c>
      <c r="D199" s="12">
        <v>0.3473148148148148</v>
      </c>
      <c r="E199">
        <v>1</v>
      </c>
      <c r="G199" s="18">
        <v>4264808</v>
      </c>
      <c r="H199">
        <v>2</v>
      </c>
    </row>
    <row r="200" spans="1:8" x14ac:dyDescent="0.35">
      <c r="A200" s="5">
        <v>8313390</v>
      </c>
      <c r="B200" s="6">
        <v>42921</v>
      </c>
      <c r="C200" s="7">
        <v>0.34903935185185186</v>
      </c>
      <c r="D200" s="8">
        <v>0.35381944444444446</v>
      </c>
      <c r="E200">
        <v>1</v>
      </c>
      <c r="G200" s="18">
        <v>4131448</v>
      </c>
      <c r="H200">
        <v>2</v>
      </c>
    </row>
    <row r="201" spans="1:8" x14ac:dyDescent="0.35">
      <c r="A201" s="9">
        <v>5508903</v>
      </c>
      <c r="B201" s="10">
        <v>42921</v>
      </c>
      <c r="C201" s="11">
        <v>0.34915509259259259</v>
      </c>
      <c r="D201" s="12">
        <v>0.3605902777777778</v>
      </c>
      <c r="E201">
        <v>1</v>
      </c>
      <c r="G201" s="18">
        <v>3150344</v>
      </c>
      <c r="H201">
        <v>2</v>
      </c>
    </row>
    <row r="202" spans="1:8" x14ac:dyDescent="0.35">
      <c r="A202" s="5">
        <v>3102910</v>
      </c>
      <c r="B202" s="6">
        <v>42921</v>
      </c>
      <c r="C202" s="7">
        <v>0.35150462962962964</v>
      </c>
      <c r="D202" s="8">
        <v>0.35672453703703705</v>
      </c>
      <c r="E202">
        <v>1</v>
      </c>
      <c r="G202" s="18">
        <v>3785540</v>
      </c>
      <c r="H202">
        <v>2</v>
      </c>
    </row>
    <row r="203" spans="1:8" x14ac:dyDescent="0.35">
      <c r="A203" s="9">
        <v>45948073</v>
      </c>
      <c r="B203" s="10">
        <v>42921</v>
      </c>
      <c r="C203" s="11">
        <v>0.35574074074074075</v>
      </c>
      <c r="D203" s="12">
        <v>0.36162037037037037</v>
      </c>
      <c r="E203">
        <v>1</v>
      </c>
      <c r="G203" s="18">
        <v>2861766</v>
      </c>
      <c r="H203">
        <v>2</v>
      </c>
    </row>
    <row r="204" spans="1:8" x14ac:dyDescent="0.35">
      <c r="A204" s="5">
        <v>73690742</v>
      </c>
      <c r="B204" s="6">
        <v>42921</v>
      </c>
      <c r="C204" s="7">
        <v>0.35829861111111111</v>
      </c>
      <c r="D204" s="8">
        <v>0.36826388888888889</v>
      </c>
      <c r="E204">
        <v>1</v>
      </c>
      <c r="G204" s="18">
        <v>4039284</v>
      </c>
      <c r="H204">
        <v>2</v>
      </c>
    </row>
    <row r="205" spans="1:8" x14ac:dyDescent="0.35">
      <c r="A205" s="9">
        <v>58037769</v>
      </c>
      <c r="B205" s="10">
        <v>42921</v>
      </c>
      <c r="C205" s="11">
        <v>0.36261574074074077</v>
      </c>
      <c r="D205" s="12">
        <v>0.36730324074074072</v>
      </c>
      <c r="E205">
        <v>1</v>
      </c>
      <c r="G205" s="18">
        <v>3379401</v>
      </c>
      <c r="H205">
        <v>2</v>
      </c>
    </row>
    <row r="206" spans="1:8" x14ac:dyDescent="0.35">
      <c r="A206" s="5">
        <v>3434934</v>
      </c>
      <c r="B206" s="6">
        <v>42921</v>
      </c>
      <c r="C206" s="7">
        <v>0.36760416666666668</v>
      </c>
      <c r="D206" s="8">
        <v>0.37854166666666667</v>
      </c>
      <c r="E206">
        <v>1</v>
      </c>
      <c r="G206" s="18">
        <v>4212838</v>
      </c>
      <c r="H206">
        <v>2</v>
      </c>
    </row>
    <row r="207" spans="1:8" x14ac:dyDescent="0.35">
      <c r="A207" s="9">
        <v>4963499</v>
      </c>
      <c r="B207" s="10">
        <v>42921</v>
      </c>
      <c r="C207" s="11">
        <v>0.37008101851851855</v>
      </c>
      <c r="D207" s="12">
        <v>0.37175925925925923</v>
      </c>
      <c r="E207">
        <v>1</v>
      </c>
      <c r="G207" s="18">
        <v>3407358</v>
      </c>
      <c r="H207">
        <v>2</v>
      </c>
    </row>
    <row r="208" spans="1:8" x14ac:dyDescent="0.35">
      <c r="A208" s="5">
        <v>7904403</v>
      </c>
      <c r="B208" s="6">
        <v>42921</v>
      </c>
      <c r="C208" s="7">
        <v>0.37361111111111112</v>
      </c>
      <c r="D208" s="8">
        <v>0.3772800925925926</v>
      </c>
      <c r="E208">
        <v>1</v>
      </c>
      <c r="G208" s="18">
        <v>2781512</v>
      </c>
      <c r="H208">
        <v>2</v>
      </c>
    </row>
    <row r="209" spans="1:8" x14ac:dyDescent="0.35">
      <c r="A209" s="9">
        <v>4389240</v>
      </c>
      <c r="B209" s="10">
        <v>42921</v>
      </c>
      <c r="C209" s="11">
        <v>0.37711805555555555</v>
      </c>
      <c r="D209" s="12">
        <v>0.37886574074074075</v>
      </c>
      <c r="E209">
        <v>1</v>
      </c>
      <c r="G209" s="18">
        <v>2915745</v>
      </c>
      <c r="H209">
        <v>2</v>
      </c>
    </row>
    <row r="210" spans="1:8" x14ac:dyDescent="0.35">
      <c r="A210" s="5">
        <v>68647339</v>
      </c>
      <c r="B210" s="6">
        <v>42921</v>
      </c>
      <c r="C210" s="7">
        <v>0.38180555555555556</v>
      </c>
      <c r="D210" s="8">
        <v>0.39295138888888886</v>
      </c>
      <c r="E210">
        <v>1</v>
      </c>
      <c r="G210" s="18">
        <v>3824371</v>
      </c>
      <c r="H210">
        <v>2</v>
      </c>
    </row>
    <row r="211" spans="1:8" x14ac:dyDescent="0.35">
      <c r="A211" s="9">
        <v>8461631</v>
      </c>
      <c r="B211" s="10">
        <v>42921</v>
      </c>
      <c r="C211" s="11">
        <v>0.38335648148148149</v>
      </c>
      <c r="D211" s="12">
        <v>0.38451388888888888</v>
      </c>
      <c r="E211">
        <v>1</v>
      </c>
      <c r="G211" s="18">
        <v>2947889</v>
      </c>
      <c r="H211">
        <v>2</v>
      </c>
    </row>
    <row r="212" spans="1:8" x14ac:dyDescent="0.35">
      <c r="A212" s="5">
        <v>3087246</v>
      </c>
      <c r="B212" s="6">
        <v>42921</v>
      </c>
      <c r="C212" s="7">
        <v>0.38633101851851853</v>
      </c>
      <c r="D212" s="8">
        <v>0.39391203703703703</v>
      </c>
      <c r="E212">
        <v>1</v>
      </c>
      <c r="G212" s="18">
        <v>3984696</v>
      </c>
      <c r="H212">
        <v>2</v>
      </c>
    </row>
    <row r="213" spans="1:8" x14ac:dyDescent="0.35">
      <c r="A213" s="9">
        <v>9321082</v>
      </c>
      <c r="B213" s="10">
        <v>42921</v>
      </c>
      <c r="C213" s="11">
        <v>0.38976851851851851</v>
      </c>
      <c r="D213" s="12">
        <v>0.40090277777777777</v>
      </c>
      <c r="E213">
        <v>1</v>
      </c>
      <c r="G213" s="18">
        <v>4469748</v>
      </c>
      <c r="H213">
        <v>2</v>
      </c>
    </row>
    <row r="214" spans="1:8" x14ac:dyDescent="0.35">
      <c r="A214" s="5">
        <v>4941247888</v>
      </c>
      <c r="B214" s="6">
        <v>42921</v>
      </c>
      <c r="C214" s="7">
        <v>0.39114583333333336</v>
      </c>
      <c r="D214" s="8">
        <v>0.39870370370370373</v>
      </c>
      <c r="E214">
        <v>1</v>
      </c>
      <c r="G214" s="18">
        <v>4111617</v>
      </c>
      <c r="H214">
        <v>2</v>
      </c>
    </row>
    <row r="215" spans="1:8" x14ac:dyDescent="0.35">
      <c r="A215" s="9">
        <v>13484133</v>
      </c>
      <c r="B215" s="10">
        <v>42921</v>
      </c>
      <c r="C215" s="11">
        <v>0.3959375</v>
      </c>
      <c r="D215" s="12">
        <v>0.3982060185185185</v>
      </c>
      <c r="E215">
        <v>1</v>
      </c>
      <c r="G215" s="18">
        <v>2790475</v>
      </c>
      <c r="H215">
        <v>2</v>
      </c>
    </row>
    <row r="216" spans="1:8" x14ac:dyDescent="0.35">
      <c r="A216" s="5">
        <v>9610703</v>
      </c>
      <c r="B216" s="6">
        <v>42921</v>
      </c>
      <c r="C216" s="7">
        <v>0.40074074074074073</v>
      </c>
      <c r="D216" s="8">
        <v>0.40766203703703702</v>
      </c>
      <c r="E216">
        <v>1</v>
      </c>
      <c r="G216" s="18">
        <v>4154521</v>
      </c>
      <c r="H216">
        <v>2</v>
      </c>
    </row>
    <row r="217" spans="1:8" x14ac:dyDescent="0.35">
      <c r="A217" s="9">
        <v>7236035</v>
      </c>
      <c r="B217" s="10">
        <v>42921</v>
      </c>
      <c r="C217" s="11">
        <v>0.40517361111111111</v>
      </c>
      <c r="D217" s="12">
        <v>0.41189814814814812</v>
      </c>
      <c r="E217">
        <v>1</v>
      </c>
      <c r="G217" s="18">
        <v>3086185</v>
      </c>
      <c r="H217">
        <v>2</v>
      </c>
    </row>
    <row r="218" spans="1:8" x14ac:dyDescent="0.35">
      <c r="A218" s="5">
        <v>7236035</v>
      </c>
      <c r="B218" s="6">
        <v>42921</v>
      </c>
      <c r="C218" s="7">
        <v>0.4089814814814815</v>
      </c>
      <c r="D218" s="8">
        <v>0.41927083333333331</v>
      </c>
      <c r="E218">
        <v>1</v>
      </c>
      <c r="G218" s="18">
        <v>4250194</v>
      </c>
      <c r="H218">
        <v>2</v>
      </c>
    </row>
    <row r="219" spans="1:8" x14ac:dyDescent="0.35">
      <c r="A219" s="9">
        <v>2675422</v>
      </c>
      <c r="B219" s="10">
        <v>42921</v>
      </c>
      <c r="C219" s="11">
        <v>0.41393518518518518</v>
      </c>
      <c r="D219" s="12">
        <v>0.42075231481481479</v>
      </c>
      <c r="E219">
        <v>1</v>
      </c>
      <c r="G219" s="18">
        <v>4473835</v>
      </c>
      <c r="H219">
        <v>2</v>
      </c>
    </row>
    <row r="220" spans="1:8" x14ac:dyDescent="0.35">
      <c r="A220" s="5">
        <v>99056276</v>
      </c>
      <c r="B220" s="6">
        <v>42921</v>
      </c>
      <c r="C220" s="7">
        <v>0.41749999999999998</v>
      </c>
      <c r="D220" s="8">
        <v>0.42891203703703706</v>
      </c>
      <c r="E220">
        <v>1</v>
      </c>
      <c r="G220" s="18">
        <v>3131883</v>
      </c>
      <c r="H220">
        <v>2</v>
      </c>
    </row>
    <row r="221" spans="1:8" x14ac:dyDescent="0.35">
      <c r="A221" s="9">
        <v>1715377</v>
      </c>
      <c r="B221" s="10">
        <v>42921</v>
      </c>
      <c r="C221" s="11">
        <v>0.41847222222222225</v>
      </c>
      <c r="D221" s="12">
        <v>0.42833333333333334</v>
      </c>
      <c r="E221">
        <v>1</v>
      </c>
      <c r="G221" s="18">
        <v>3656681</v>
      </c>
      <c r="H221">
        <v>2</v>
      </c>
    </row>
    <row r="222" spans="1:8" x14ac:dyDescent="0.35">
      <c r="A222" s="5">
        <v>6700458395</v>
      </c>
      <c r="B222" s="6">
        <v>42921</v>
      </c>
      <c r="C222" s="7">
        <v>0.42149305555555555</v>
      </c>
      <c r="D222" s="8">
        <v>0.42678240740740742</v>
      </c>
      <c r="E222">
        <v>1</v>
      </c>
      <c r="G222" s="18">
        <v>4471203</v>
      </c>
      <c r="H222">
        <v>2</v>
      </c>
    </row>
    <row r="223" spans="1:8" x14ac:dyDescent="0.35">
      <c r="A223" s="9">
        <v>2211277198</v>
      </c>
      <c r="B223" s="10">
        <v>42921</v>
      </c>
      <c r="C223" s="11">
        <v>0.42168981481481482</v>
      </c>
      <c r="D223" s="12">
        <v>0.42326388888888888</v>
      </c>
      <c r="E223">
        <v>1</v>
      </c>
      <c r="G223" s="18">
        <v>3478173</v>
      </c>
      <c r="H223">
        <v>2</v>
      </c>
    </row>
    <row r="224" spans="1:8" x14ac:dyDescent="0.35">
      <c r="A224" s="5">
        <v>9866373</v>
      </c>
      <c r="B224" s="6">
        <v>42921</v>
      </c>
      <c r="C224" s="7">
        <v>0.42202546296296295</v>
      </c>
      <c r="D224" s="8">
        <v>0.42905092592592592</v>
      </c>
      <c r="E224">
        <v>1</v>
      </c>
      <c r="G224" s="18">
        <v>3624713</v>
      </c>
      <c r="H224">
        <v>2</v>
      </c>
    </row>
    <row r="225" spans="1:8" x14ac:dyDescent="0.35">
      <c r="A225" s="9">
        <v>4526057</v>
      </c>
      <c r="B225" s="10">
        <v>42921</v>
      </c>
      <c r="C225" s="11">
        <v>0.42313657407407407</v>
      </c>
      <c r="D225" s="12">
        <v>0.42508101851851854</v>
      </c>
      <c r="E225">
        <v>1</v>
      </c>
      <c r="G225" s="18">
        <v>1617146</v>
      </c>
      <c r="H225">
        <v>2</v>
      </c>
    </row>
    <row r="226" spans="1:8" x14ac:dyDescent="0.35">
      <c r="A226" s="5">
        <v>70786056</v>
      </c>
      <c r="B226" s="6">
        <v>42921</v>
      </c>
      <c r="C226" s="7">
        <v>0.42357638888888888</v>
      </c>
      <c r="D226" s="8">
        <v>0.4253587962962963</v>
      </c>
      <c r="E226">
        <v>1</v>
      </c>
      <c r="G226" s="18">
        <v>1887758</v>
      </c>
      <c r="H226">
        <v>2</v>
      </c>
    </row>
    <row r="227" spans="1:8" x14ac:dyDescent="0.35">
      <c r="A227" s="9">
        <v>9874705</v>
      </c>
      <c r="B227" s="10">
        <v>42921</v>
      </c>
      <c r="C227" s="11">
        <v>0.4274074074074074</v>
      </c>
      <c r="D227" s="12">
        <v>0.43408564814814815</v>
      </c>
      <c r="E227">
        <v>1</v>
      </c>
      <c r="G227" s="18">
        <v>1775586</v>
      </c>
      <c r="H227">
        <v>2</v>
      </c>
    </row>
    <row r="228" spans="1:8" x14ac:dyDescent="0.35">
      <c r="A228" s="5">
        <v>2506618</v>
      </c>
      <c r="B228" s="6">
        <v>42921</v>
      </c>
      <c r="C228" s="7">
        <v>0.43084490740740738</v>
      </c>
      <c r="D228" s="8">
        <v>0.43738425925925928</v>
      </c>
      <c r="E228">
        <v>1</v>
      </c>
      <c r="G228" s="18">
        <v>1117628</v>
      </c>
      <c r="H228">
        <v>2</v>
      </c>
    </row>
    <row r="229" spans="1:8" x14ac:dyDescent="0.35">
      <c r="A229" s="9">
        <v>6312575</v>
      </c>
      <c r="B229" s="10">
        <v>42921</v>
      </c>
      <c r="C229" s="11">
        <v>0.43234953703703705</v>
      </c>
      <c r="D229" s="12">
        <v>0.44233796296296296</v>
      </c>
      <c r="E229">
        <v>1</v>
      </c>
      <c r="G229" s="18">
        <v>2005653</v>
      </c>
      <c r="H229">
        <v>2</v>
      </c>
    </row>
    <row r="230" spans="1:8" x14ac:dyDescent="0.35">
      <c r="A230" s="5">
        <v>9620895</v>
      </c>
      <c r="B230" s="6">
        <v>42921</v>
      </c>
      <c r="C230" s="7">
        <v>0.4362847222222222</v>
      </c>
      <c r="D230" s="8">
        <v>0.44714120370370369</v>
      </c>
      <c r="E230">
        <v>1</v>
      </c>
      <c r="G230" s="18">
        <v>1247125</v>
      </c>
      <c r="H230">
        <v>2</v>
      </c>
    </row>
    <row r="231" spans="1:8" x14ac:dyDescent="0.35">
      <c r="A231" s="9">
        <v>8187780</v>
      </c>
      <c r="B231" s="10">
        <v>42921</v>
      </c>
      <c r="C231" s="11">
        <v>0.43898148148148147</v>
      </c>
      <c r="D231" s="12">
        <v>0.44800925925925927</v>
      </c>
      <c r="E231">
        <v>1</v>
      </c>
      <c r="G231" s="18">
        <v>1661633</v>
      </c>
      <c r="H231">
        <v>2</v>
      </c>
    </row>
    <row r="232" spans="1:8" x14ac:dyDescent="0.35">
      <c r="A232" s="5">
        <v>4176999</v>
      </c>
      <c r="B232" s="6">
        <v>42921</v>
      </c>
      <c r="C232" s="7">
        <v>0.44148148148148147</v>
      </c>
      <c r="D232" s="8">
        <v>0.45222222222222225</v>
      </c>
      <c r="E232">
        <v>1</v>
      </c>
      <c r="G232" s="18">
        <v>1467591</v>
      </c>
      <c r="H232">
        <v>2</v>
      </c>
    </row>
    <row r="233" spans="1:8" x14ac:dyDescent="0.35">
      <c r="A233" s="9">
        <v>9937257</v>
      </c>
      <c r="B233" s="10">
        <v>42921</v>
      </c>
      <c r="C233" s="11">
        <v>0.44383101851851853</v>
      </c>
      <c r="D233" s="12">
        <v>0.44697916666666665</v>
      </c>
      <c r="E233">
        <v>1</v>
      </c>
      <c r="G233" s="18">
        <v>1787732</v>
      </c>
      <c r="H233">
        <v>2</v>
      </c>
    </row>
    <row r="234" spans="1:8" x14ac:dyDescent="0.35">
      <c r="A234" s="5">
        <v>4363716</v>
      </c>
      <c r="B234" s="6">
        <v>42921</v>
      </c>
      <c r="C234" s="7">
        <v>0.44436342592592593</v>
      </c>
      <c r="D234" s="8">
        <v>0.45106481481481481</v>
      </c>
      <c r="E234">
        <v>1</v>
      </c>
      <c r="G234" s="18">
        <v>1081610</v>
      </c>
      <c r="H234">
        <v>2</v>
      </c>
    </row>
    <row r="235" spans="1:8" x14ac:dyDescent="0.35">
      <c r="A235" s="9">
        <v>96323047</v>
      </c>
      <c r="B235" s="10">
        <v>42921</v>
      </c>
      <c r="C235" s="11">
        <v>0.44962962962962966</v>
      </c>
      <c r="D235" s="12">
        <v>0.45341435185185186</v>
      </c>
      <c r="E235">
        <v>1</v>
      </c>
      <c r="G235" s="18">
        <v>1926053</v>
      </c>
      <c r="H235">
        <v>2</v>
      </c>
    </row>
    <row r="236" spans="1:8" x14ac:dyDescent="0.35">
      <c r="A236" s="5">
        <v>2750193</v>
      </c>
      <c r="B236" s="6">
        <v>42921</v>
      </c>
      <c r="C236" s="7">
        <v>0.45445601851851852</v>
      </c>
      <c r="D236" s="8">
        <v>0.455625</v>
      </c>
      <c r="E236">
        <v>1</v>
      </c>
      <c r="G236" s="18">
        <v>2304726</v>
      </c>
      <c r="H236">
        <v>2</v>
      </c>
    </row>
    <row r="237" spans="1:8" x14ac:dyDescent="0.35">
      <c r="A237" s="9">
        <v>7973319</v>
      </c>
      <c r="B237" s="10">
        <v>42921</v>
      </c>
      <c r="C237" s="11">
        <v>0.45565972222222223</v>
      </c>
      <c r="D237" s="12">
        <v>0.46090277777777777</v>
      </c>
      <c r="E237">
        <v>1</v>
      </c>
      <c r="G237" s="18">
        <v>1207918</v>
      </c>
      <c r="H237">
        <v>2</v>
      </c>
    </row>
    <row r="238" spans="1:8" x14ac:dyDescent="0.35">
      <c r="A238" s="5">
        <v>1908394</v>
      </c>
      <c r="B238" s="6">
        <v>42921</v>
      </c>
      <c r="C238" s="7">
        <v>0.45825231481481482</v>
      </c>
      <c r="D238" s="8">
        <v>0.46818287037037037</v>
      </c>
      <c r="E238">
        <v>1</v>
      </c>
      <c r="G238" s="18">
        <v>2619219</v>
      </c>
      <c r="H238">
        <v>2</v>
      </c>
    </row>
    <row r="239" spans="1:8" x14ac:dyDescent="0.35">
      <c r="A239" s="9">
        <v>19116274</v>
      </c>
      <c r="B239" s="10">
        <v>42921</v>
      </c>
      <c r="C239" s="11">
        <v>0.46032407407407405</v>
      </c>
      <c r="D239" s="12">
        <v>0.46797453703703706</v>
      </c>
      <c r="E239">
        <v>1</v>
      </c>
      <c r="G239" s="18">
        <v>2506618</v>
      </c>
      <c r="H239">
        <v>2</v>
      </c>
    </row>
    <row r="240" spans="1:8" x14ac:dyDescent="0.35">
      <c r="A240" s="5">
        <v>1235622</v>
      </c>
      <c r="B240" s="6">
        <v>42921</v>
      </c>
      <c r="C240" s="7">
        <v>0.46460648148148148</v>
      </c>
      <c r="D240" s="8">
        <v>0.47087962962962965</v>
      </c>
      <c r="E240">
        <v>1</v>
      </c>
      <c r="G240" s="18">
        <v>1579531</v>
      </c>
      <c r="H240">
        <v>2</v>
      </c>
    </row>
    <row r="241" spans="1:8" x14ac:dyDescent="0.35">
      <c r="A241" s="9">
        <v>1926053</v>
      </c>
      <c r="B241" s="10">
        <v>42921</v>
      </c>
      <c r="C241" s="11">
        <v>0.46751157407407407</v>
      </c>
      <c r="D241" s="12">
        <v>0.46879629629629632</v>
      </c>
      <c r="E241">
        <v>1</v>
      </c>
      <c r="G241" s="18">
        <v>2668991</v>
      </c>
      <c r="H241">
        <v>2</v>
      </c>
    </row>
    <row r="242" spans="1:8" x14ac:dyDescent="0.35">
      <c r="A242" s="5">
        <v>1458287</v>
      </c>
      <c r="B242" s="6">
        <v>42921</v>
      </c>
      <c r="C242" s="7">
        <v>0.47060185185185183</v>
      </c>
      <c r="D242" s="8">
        <v>0.47584490740740742</v>
      </c>
      <c r="E242">
        <v>1</v>
      </c>
      <c r="G242" s="18">
        <v>1583683</v>
      </c>
      <c r="H242">
        <v>2</v>
      </c>
    </row>
    <row r="243" spans="1:8" x14ac:dyDescent="0.35">
      <c r="A243" s="9">
        <v>3758539398</v>
      </c>
      <c r="B243" s="10">
        <v>42921</v>
      </c>
      <c r="C243" s="11">
        <v>0.47296296296296297</v>
      </c>
      <c r="D243" s="12">
        <v>0.47506944444444443</v>
      </c>
      <c r="E243">
        <v>1</v>
      </c>
      <c r="G243" s="18">
        <v>2722706</v>
      </c>
      <c r="H243">
        <v>2</v>
      </c>
    </row>
    <row r="244" spans="1:8" x14ac:dyDescent="0.35">
      <c r="A244" s="5">
        <v>8471021</v>
      </c>
      <c r="B244" s="6">
        <v>42921</v>
      </c>
      <c r="C244" s="7">
        <v>0.47431712962962963</v>
      </c>
      <c r="D244" s="8">
        <v>0.47746527777777775</v>
      </c>
      <c r="E244">
        <v>1</v>
      </c>
      <c r="G244" s="18">
        <v>99905503</v>
      </c>
      <c r="H244">
        <v>1</v>
      </c>
    </row>
    <row r="245" spans="1:8" x14ac:dyDescent="0.35">
      <c r="A245" s="9">
        <v>4039284</v>
      </c>
      <c r="B245" s="10">
        <v>42921</v>
      </c>
      <c r="C245" s="11">
        <v>0.47684027777777777</v>
      </c>
      <c r="D245" s="12">
        <v>0.4824074074074074</v>
      </c>
      <c r="E245">
        <v>1</v>
      </c>
      <c r="G245" s="18">
        <v>6943996503</v>
      </c>
      <c r="H245">
        <v>1</v>
      </c>
    </row>
    <row r="246" spans="1:8" x14ac:dyDescent="0.35">
      <c r="A246" s="5">
        <v>3177370</v>
      </c>
      <c r="B246" s="6">
        <v>42921</v>
      </c>
      <c r="C246" s="7">
        <v>0.47972222222222222</v>
      </c>
      <c r="D246" s="8">
        <v>0.48660879629629628</v>
      </c>
      <c r="E246">
        <v>1</v>
      </c>
      <c r="G246" s="18">
        <v>3931739393</v>
      </c>
      <c r="H246">
        <v>1</v>
      </c>
    </row>
    <row r="247" spans="1:8" x14ac:dyDescent="0.35">
      <c r="A247" s="9">
        <v>7236035</v>
      </c>
      <c r="B247" s="10">
        <v>42921</v>
      </c>
      <c r="C247" s="11">
        <v>0.48149305555555555</v>
      </c>
      <c r="D247" s="12">
        <v>0.48582175925925924</v>
      </c>
      <c r="E247">
        <v>1</v>
      </c>
      <c r="G247" s="18">
        <v>72701808</v>
      </c>
      <c r="H247">
        <v>1</v>
      </c>
    </row>
    <row r="248" spans="1:8" x14ac:dyDescent="0.35">
      <c r="A248" s="5">
        <v>6689117</v>
      </c>
      <c r="B248" s="6">
        <v>42921</v>
      </c>
      <c r="C248" s="7">
        <v>0.48554398148148148</v>
      </c>
      <c r="D248" s="8">
        <v>0.49553240740740739</v>
      </c>
      <c r="E248">
        <v>1</v>
      </c>
      <c r="G248" s="18">
        <v>97782375</v>
      </c>
      <c r="H248">
        <v>1</v>
      </c>
    </row>
    <row r="249" spans="1:8" x14ac:dyDescent="0.35">
      <c r="A249" s="9">
        <v>4824267</v>
      </c>
      <c r="B249" s="10">
        <v>42921</v>
      </c>
      <c r="C249" s="11">
        <v>0.4871875</v>
      </c>
      <c r="D249" s="12">
        <v>0.49509259259259258</v>
      </c>
      <c r="E249">
        <v>1</v>
      </c>
      <c r="G249" s="18">
        <v>73042148</v>
      </c>
      <c r="H249">
        <v>1</v>
      </c>
    </row>
    <row r="250" spans="1:8" x14ac:dyDescent="0.35">
      <c r="A250" s="5">
        <v>6978234</v>
      </c>
      <c r="B250" s="6">
        <v>42921</v>
      </c>
      <c r="C250" s="7">
        <v>0.48873842592592592</v>
      </c>
      <c r="D250" s="8">
        <v>0.49131944444444442</v>
      </c>
      <c r="E250">
        <v>1</v>
      </c>
      <c r="G250" s="18">
        <v>2021941339</v>
      </c>
      <c r="H250">
        <v>1</v>
      </c>
    </row>
    <row r="251" spans="1:8" x14ac:dyDescent="0.35">
      <c r="A251" s="9">
        <v>2158377</v>
      </c>
      <c r="B251" s="10">
        <v>42921</v>
      </c>
      <c r="C251" s="11">
        <v>0.49149305555555556</v>
      </c>
      <c r="D251" s="12">
        <v>0.49283564814814818</v>
      </c>
      <c r="E251">
        <v>1</v>
      </c>
      <c r="G251" s="18">
        <v>73284745</v>
      </c>
      <c r="H251">
        <v>1</v>
      </c>
    </row>
    <row r="252" spans="1:8" x14ac:dyDescent="0.35">
      <c r="A252" s="5">
        <v>73970924</v>
      </c>
      <c r="B252" s="6">
        <v>42921</v>
      </c>
      <c r="C252" s="7">
        <v>0.49336805555555557</v>
      </c>
      <c r="D252" s="8">
        <v>0.49403935185185183</v>
      </c>
      <c r="E252">
        <v>1</v>
      </c>
      <c r="G252" s="18">
        <v>5387521845</v>
      </c>
      <c r="H252">
        <v>1</v>
      </c>
    </row>
    <row r="253" spans="1:8" x14ac:dyDescent="0.35">
      <c r="A253" s="9">
        <v>6927270</v>
      </c>
      <c r="B253" s="10">
        <v>42921</v>
      </c>
      <c r="C253" s="11">
        <v>0.49571759259259257</v>
      </c>
      <c r="D253" s="12">
        <v>0.50516203703703699</v>
      </c>
      <c r="E253">
        <v>1</v>
      </c>
      <c r="G253" s="18">
        <v>66465215</v>
      </c>
      <c r="H253">
        <v>1</v>
      </c>
    </row>
    <row r="254" spans="1:8" x14ac:dyDescent="0.35">
      <c r="A254" s="5">
        <v>7318247385</v>
      </c>
      <c r="B254" s="6">
        <v>42921</v>
      </c>
      <c r="C254" s="7">
        <v>0.49596064814814816</v>
      </c>
      <c r="D254" s="8">
        <v>0.49886574074074075</v>
      </c>
      <c r="E254">
        <v>1</v>
      </c>
      <c r="G254" s="18">
        <v>8733120283</v>
      </c>
      <c r="H254">
        <v>1</v>
      </c>
    </row>
    <row r="255" spans="1:8" x14ac:dyDescent="0.35">
      <c r="A255" s="9">
        <v>1579531</v>
      </c>
      <c r="B255" s="10">
        <v>42921</v>
      </c>
      <c r="C255" s="11">
        <v>0.50134259259259262</v>
      </c>
      <c r="D255" s="12">
        <v>0.50873842592592589</v>
      </c>
      <c r="E255">
        <v>1</v>
      </c>
      <c r="G255" s="18">
        <v>73460179</v>
      </c>
      <c r="H255">
        <v>1</v>
      </c>
    </row>
    <row r="256" spans="1:8" x14ac:dyDescent="0.35">
      <c r="A256" s="5">
        <v>9593481</v>
      </c>
      <c r="B256" s="6">
        <v>42921</v>
      </c>
      <c r="C256" s="7">
        <v>0.50179398148148147</v>
      </c>
      <c r="D256" s="8">
        <v>0.50248842592592591</v>
      </c>
      <c r="E256">
        <v>1</v>
      </c>
      <c r="G256" s="18">
        <v>98391891</v>
      </c>
      <c r="H256">
        <v>1</v>
      </c>
    </row>
    <row r="257" spans="1:8" x14ac:dyDescent="0.35">
      <c r="A257" s="9">
        <v>6657074</v>
      </c>
      <c r="B257" s="10">
        <v>42921</v>
      </c>
      <c r="C257" s="11">
        <v>0.50288194444444445</v>
      </c>
      <c r="D257" s="12">
        <v>0.51248842592592592</v>
      </c>
      <c r="E257">
        <v>1</v>
      </c>
      <c r="G257" s="18">
        <v>67688044</v>
      </c>
      <c r="H257">
        <v>1</v>
      </c>
    </row>
    <row r="258" spans="1:8" x14ac:dyDescent="0.35">
      <c r="A258" s="5">
        <v>1488369</v>
      </c>
      <c r="B258" s="6">
        <v>42921</v>
      </c>
      <c r="C258" s="7">
        <v>0.50457175925925923</v>
      </c>
      <c r="D258" s="8">
        <v>0.51533564814814814</v>
      </c>
      <c r="E258">
        <v>1</v>
      </c>
      <c r="G258" s="18">
        <v>1661643168</v>
      </c>
      <c r="H258">
        <v>1</v>
      </c>
    </row>
    <row r="259" spans="1:8" x14ac:dyDescent="0.35">
      <c r="A259" s="9">
        <v>1797960</v>
      </c>
      <c r="B259" s="10">
        <v>42921</v>
      </c>
      <c r="C259" s="11">
        <v>0.51026620370370368</v>
      </c>
      <c r="D259" s="12">
        <v>0.51557870370370373</v>
      </c>
      <c r="E259">
        <v>1</v>
      </c>
      <c r="G259" s="18">
        <v>73970924</v>
      </c>
      <c r="H259">
        <v>1</v>
      </c>
    </row>
    <row r="260" spans="1:8" x14ac:dyDescent="0.35">
      <c r="A260" s="5">
        <v>65923776</v>
      </c>
      <c r="B260" s="6">
        <v>42921</v>
      </c>
      <c r="C260" s="7">
        <v>0.51388888888888884</v>
      </c>
      <c r="D260" s="8">
        <v>0.51673611111111106</v>
      </c>
      <c r="E260">
        <v>1</v>
      </c>
      <c r="G260" s="18">
        <v>3346801494</v>
      </c>
      <c r="H260">
        <v>1</v>
      </c>
    </row>
    <row r="261" spans="1:8" x14ac:dyDescent="0.35">
      <c r="A261" s="9">
        <v>3407358</v>
      </c>
      <c r="B261" s="10">
        <v>42921</v>
      </c>
      <c r="C261" s="11">
        <v>0.51827546296296301</v>
      </c>
      <c r="D261" s="12">
        <v>0.51986111111111111</v>
      </c>
      <c r="E261">
        <v>1</v>
      </c>
      <c r="G261" s="18">
        <v>74135093</v>
      </c>
      <c r="H261">
        <v>1</v>
      </c>
    </row>
    <row r="262" spans="1:8" x14ac:dyDescent="0.35">
      <c r="A262" s="5">
        <v>1887758</v>
      </c>
      <c r="B262" s="6">
        <v>42921</v>
      </c>
      <c r="C262" s="7">
        <v>0.51884259259259258</v>
      </c>
      <c r="D262" s="8">
        <v>0.52637731481481487</v>
      </c>
      <c r="E262">
        <v>1</v>
      </c>
      <c r="G262" s="18">
        <v>4673703944</v>
      </c>
      <c r="H262">
        <v>1</v>
      </c>
    </row>
    <row r="263" spans="1:8" x14ac:dyDescent="0.35">
      <c r="A263" s="9">
        <v>9983997</v>
      </c>
      <c r="B263" s="10">
        <v>42921</v>
      </c>
      <c r="C263" s="11">
        <v>0.5242013888888889</v>
      </c>
      <c r="D263" s="12">
        <v>0.53452546296296299</v>
      </c>
      <c r="E263">
        <v>1</v>
      </c>
      <c r="G263" s="18">
        <v>75048005</v>
      </c>
      <c r="H263">
        <v>1</v>
      </c>
    </row>
    <row r="264" spans="1:8" x14ac:dyDescent="0.35">
      <c r="A264" s="5">
        <v>3539762</v>
      </c>
      <c r="B264" s="6">
        <v>42921</v>
      </c>
      <c r="C264" s="7">
        <v>0.5250231481481481</v>
      </c>
      <c r="D264" s="8">
        <v>0.5264699074074074</v>
      </c>
      <c r="E264">
        <v>1</v>
      </c>
      <c r="G264" s="18">
        <v>6293367175</v>
      </c>
      <c r="H264">
        <v>1</v>
      </c>
    </row>
    <row r="265" spans="1:8" x14ac:dyDescent="0.35">
      <c r="A265" s="9">
        <v>58067439</v>
      </c>
      <c r="B265" s="10">
        <v>42921</v>
      </c>
      <c r="C265" s="11">
        <v>0.52607638888888886</v>
      </c>
      <c r="D265" s="12">
        <v>0.52662037037037035</v>
      </c>
      <c r="E265">
        <v>1</v>
      </c>
      <c r="G265" s="18">
        <v>75122204</v>
      </c>
      <c r="H265">
        <v>1</v>
      </c>
    </row>
    <row r="266" spans="1:8" x14ac:dyDescent="0.35">
      <c r="A266" s="5">
        <v>6760428735</v>
      </c>
      <c r="B266" s="6">
        <v>42921</v>
      </c>
      <c r="C266" s="7">
        <v>0.52811342592592592</v>
      </c>
      <c r="D266" s="8">
        <v>0.53195601851851848</v>
      </c>
      <c r="E266">
        <v>1</v>
      </c>
      <c r="G266" s="18">
        <v>7775602353</v>
      </c>
      <c r="H266">
        <v>1</v>
      </c>
    </row>
    <row r="267" spans="1:8" x14ac:dyDescent="0.35">
      <c r="A267" s="9">
        <v>9803006</v>
      </c>
      <c r="B267" s="10">
        <v>42921</v>
      </c>
      <c r="C267" s="11">
        <v>0.53233796296296299</v>
      </c>
      <c r="D267" s="12">
        <v>0.54116898148148151</v>
      </c>
      <c r="E267">
        <v>1</v>
      </c>
      <c r="G267" s="18">
        <v>75645195</v>
      </c>
      <c r="H267">
        <v>1</v>
      </c>
    </row>
    <row r="268" spans="1:8" x14ac:dyDescent="0.35">
      <c r="A268" s="5">
        <v>5312081</v>
      </c>
      <c r="B268" s="6">
        <v>42921</v>
      </c>
      <c r="C268" s="7">
        <v>0.53372685185185187</v>
      </c>
      <c r="D268" s="8">
        <v>0.53991898148148143</v>
      </c>
      <c r="E268">
        <v>1</v>
      </c>
      <c r="G268" s="18">
        <v>97459926</v>
      </c>
      <c r="H268">
        <v>1</v>
      </c>
    </row>
    <row r="269" spans="1:8" x14ac:dyDescent="0.35">
      <c r="A269" s="9">
        <v>7114306</v>
      </c>
      <c r="B269" s="10">
        <v>42921</v>
      </c>
      <c r="C269" s="11">
        <v>0.53607638888888887</v>
      </c>
      <c r="D269" s="12">
        <v>0.54104166666666664</v>
      </c>
      <c r="E269">
        <v>1</v>
      </c>
      <c r="G269" s="18">
        <v>75818182</v>
      </c>
      <c r="H269">
        <v>1</v>
      </c>
    </row>
    <row r="270" spans="1:8" x14ac:dyDescent="0.35">
      <c r="A270" s="5">
        <v>7594764</v>
      </c>
      <c r="B270" s="6">
        <v>42921</v>
      </c>
      <c r="C270" s="7">
        <v>0.53850694444444447</v>
      </c>
      <c r="D270" s="8">
        <v>0.53944444444444439</v>
      </c>
      <c r="E270">
        <v>1</v>
      </c>
      <c r="G270" s="18">
        <v>97997759</v>
      </c>
      <c r="H270">
        <v>1</v>
      </c>
    </row>
    <row r="271" spans="1:8" x14ac:dyDescent="0.35">
      <c r="A271" s="9">
        <v>3004571</v>
      </c>
      <c r="B271" s="10">
        <v>42921</v>
      </c>
      <c r="C271" s="11">
        <v>0.54194444444444445</v>
      </c>
      <c r="D271" s="12">
        <v>0.54666666666666663</v>
      </c>
      <c r="E271">
        <v>1</v>
      </c>
      <c r="G271" s="18">
        <v>75873682</v>
      </c>
      <c r="H271">
        <v>1</v>
      </c>
    </row>
    <row r="272" spans="1:8" x14ac:dyDescent="0.35">
      <c r="A272" s="5">
        <v>6689117</v>
      </c>
      <c r="B272" s="6">
        <v>42921</v>
      </c>
      <c r="C272" s="7">
        <v>0.54609953703703706</v>
      </c>
      <c r="D272" s="8">
        <v>0.55435185185185187</v>
      </c>
      <c r="E272">
        <v>1</v>
      </c>
      <c r="G272" s="18">
        <v>99056276</v>
      </c>
      <c r="H272">
        <v>1</v>
      </c>
    </row>
    <row r="273" spans="1:8" x14ac:dyDescent="0.35">
      <c r="A273" s="9">
        <v>1081610</v>
      </c>
      <c r="B273" s="10">
        <v>42921</v>
      </c>
      <c r="C273" s="11">
        <v>0.54809027777777775</v>
      </c>
      <c r="D273" s="12">
        <v>0.55568287037037034</v>
      </c>
      <c r="E273">
        <v>1</v>
      </c>
      <c r="G273" s="18">
        <v>76099906</v>
      </c>
      <c r="H273">
        <v>1</v>
      </c>
    </row>
    <row r="274" spans="1:8" x14ac:dyDescent="0.35">
      <c r="A274" s="5">
        <v>20220216</v>
      </c>
      <c r="B274" s="6">
        <v>42921</v>
      </c>
      <c r="C274" s="7">
        <v>0.54857638888888893</v>
      </c>
      <c r="D274" s="8">
        <v>0.55879629629629635</v>
      </c>
      <c r="E274">
        <v>1</v>
      </c>
      <c r="G274" s="18">
        <v>1161028310</v>
      </c>
      <c r="H274">
        <v>1</v>
      </c>
    </row>
    <row r="275" spans="1:8" x14ac:dyDescent="0.35">
      <c r="A275" s="9">
        <v>79890857</v>
      </c>
      <c r="B275" s="10">
        <v>42921</v>
      </c>
      <c r="C275" s="11">
        <v>0.54859953703703701</v>
      </c>
      <c r="D275" s="12">
        <v>0.55990740740740741</v>
      </c>
      <c r="E275">
        <v>1</v>
      </c>
      <c r="G275" s="18">
        <v>76139570</v>
      </c>
      <c r="H275">
        <v>1</v>
      </c>
    </row>
    <row r="276" spans="1:8" x14ac:dyDescent="0.35">
      <c r="A276" s="5">
        <v>4600571814</v>
      </c>
      <c r="B276" s="6">
        <v>42921</v>
      </c>
      <c r="C276" s="7">
        <v>0.55166666666666664</v>
      </c>
      <c r="D276" s="8">
        <v>0.55865740740740744</v>
      </c>
      <c r="E276">
        <v>1</v>
      </c>
      <c r="G276" s="18">
        <v>1858872516</v>
      </c>
      <c r="H276">
        <v>1</v>
      </c>
    </row>
    <row r="277" spans="1:8" x14ac:dyDescent="0.35">
      <c r="A277" s="9">
        <v>1579531</v>
      </c>
      <c r="B277" s="10">
        <v>42921</v>
      </c>
      <c r="C277" s="11">
        <v>0.55266203703703709</v>
      </c>
      <c r="D277" s="12">
        <v>0.56405092592592587</v>
      </c>
      <c r="E277">
        <v>1</v>
      </c>
      <c r="G277" s="18">
        <v>76310343</v>
      </c>
      <c r="H277">
        <v>1</v>
      </c>
    </row>
    <row r="278" spans="1:8" x14ac:dyDescent="0.35">
      <c r="A278" s="5">
        <v>7110850</v>
      </c>
      <c r="B278" s="6">
        <v>42921</v>
      </c>
      <c r="C278" s="7">
        <v>0.55269675925925921</v>
      </c>
      <c r="D278" s="8">
        <v>0.56355324074074076</v>
      </c>
      <c r="E278">
        <v>1</v>
      </c>
      <c r="G278" s="18">
        <v>2756059784</v>
      </c>
      <c r="H278">
        <v>1</v>
      </c>
    </row>
    <row r="279" spans="1:8" x14ac:dyDescent="0.35">
      <c r="A279" s="9">
        <v>18036364</v>
      </c>
      <c r="B279" s="10">
        <v>42921</v>
      </c>
      <c r="C279" s="11">
        <v>0.55847222222222226</v>
      </c>
      <c r="D279" s="12">
        <v>0.56166666666666665</v>
      </c>
      <c r="E279">
        <v>1</v>
      </c>
      <c r="G279" s="18">
        <v>76644634</v>
      </c>
      <c r="H279">
        <v>1</v>
      </c>
    </row>
    <row r="280" spans="1:8" x14ac:dyDescent="0.35">
      <c r="A280" s="5">
        <v>6712006</v>
      </c>
      <c r="B280" s="6">
        <v>42921</v>
      </c>
      <c r="C280" s="7">
        <v>0.56106481481481485</v>
      </c>
      <c r="D280" s="8">
        <v>0.56716435185185188</v>
      </c>
      <c r="E280">
        <v>1</v>
      </c>
      <c r="G280" s="18">
        <v>3463982286</v>
      </c>
      <c r="H280">
        <v>1</v>
      </c>
    </row>
    <row r="281" spans="1:8" x14ac:dyDescent="0.35">
      <c r="A281" s="9">
        <v>5646830</v>
      </c>
      <c r="B281" s="10">
        <v>42921</v>
      </c>
      <c r="C281" s="11">
        <v>0.56361111111111106</v>
      </c>
      <c r="D281" s="12">
        <v>0.57469907407407406</v>
      </c>
      <c r="E281">
        <v>1</v>
      </c>
      <c r="G281" s="18">
        <v>76777492</v>
      </c>
      <c r="H281">
        <v>1</v>
      </c>
    </row>
    <row r="282" spans="1:8" x14ac:dyDescent="0.35">
      <c r="A282" s="5">
        <v>38535407</v>
      </c>
      <c r="B282" s="6">
        <v>42921</v>
      </c>
      <c r="C282" s="7">
        <v>0.56568287037037035</v>
      </c>
      <c r="D282" s="8">
        <v>0.56981481481481477</v>
      </c>
      <c r="E282">
        <v>1</v>
      </c>
      <c r="G282" s="18">
        <v>4303543625</v>
      </c>
      <c r="H282">
        <v>1</v>
      </c>
    </row>
    <row r="283" spans="1:8" x14ac:dyDescent="0.35">
      <c r="A283" s="9">
        <v>66871690</v>
      </c>
      <c r="B283" s="10">
        <v>42921</v>
      </c>
      <c r="C283" s="11">
        <v>0.56703703703703701</v>
      </c>
      <c r="D283" s="12">
        <v>0.57664351851851847</v>
      </c>
      <c r="E283">
        <v>1</v>
      </c>
      <c r="G283" s="18">
        <v>76845076</v>
      </c>
      <c r="H283">
        <v>1</v>
      </c>
    </row>
    <row r="284" spans="1:8" x14ac:dyDescent="0.35">
      <c r="A284" s="5">
        <v>7085993</v>
      </c>
      <c r="B284" s="6">
        <v>42921</v>
      </c>
      <c r="C284" s="7">
        <v>0.57192129629629629</v>
      </c>
      <c r="D284" s="8">
        <v>0.57506944444444441</v>
      </c>
      <c r="E284">
        <v>1</v>
      </c>
      <c r="G284" s="18">
        <v>71807686</v>
      </c>
      <c r="H284">
        <v>1</v>
      </c>
    </row>
    <row r="285" spans="1:8" x14ac:dyDescent="0.35">
      <c r="A285" s="9">
        <v>2890720</v>
      </c>
      <c r="B285" s="10">
        <v>42921</v>
      </c>
      <c r="C285" s="11">
        <v>0.57589120370370372</v>
      </c>
      <c r="D285" s="12">
        <v>0.57648148148148148</v>
      </c>
      <c r="E285">
        <v>1</v>
      </c>
      <c r="G285" s="18">
        <v>77036136</v>
      </c>
      <c r="H285">
        <v>1</v>
      </c>
    </row>
    <row r="286" spans="1:8" x14ac:dyDescent="0.35">
      <c r="A286" s="5">
        <v>8375968</v>
      </c>
      <c r="B286" s="6">
        <v>42921</v>
      </c>
      <c r="C286" s="7">
        <v>0.5786458333333333</v>
      </c>
      <c r="D286" s="8">
        <v>0.57954861111111111</v>
      </c>
      <c r="E286">
        <v>1</v>
      </c>
      <c r="G286" s="18">
        <v>5912377607</v>
      </c>
      <c r="H286">
        <v>1</v>
      </c>
    </row>
    <row r="287" spans="1:8" x14ac:dyDescent="0.35">
      <c r="A287" s="9">
        <v>1119740</v>
      </c>
      <c r="B287" s="10">
        <v>42921</v>
      </c>
      <c r="C287" s="11">
        <v>0.57876157407407403</v>
      </c>
      <c r="D287" s="12">
        <v>0.5811574074074074</v>
      </c>
      <c r="E287">
        <v>1</v>
      </c>
      <c r="G287" s="18">
        <v>77096634</v>
      </c>
      <c r="H287">
        <v>1</v>
      </c>
    </row>
    <row r="288" spans="1:8" x14ac:dyDescent="0.35">
      <c r="A288" s="5">
        <v>3796958</v>
      </c>
      <c r="B288" s="6">
        <v>42921</v>
      </c>
      <c r="C288" s="7">
        <v>0.57901620370370366</v>
      </c>
      <c r="D288" s="8">
        <v>0.58940972222222221</v>
      </c>
      <c r="E288">
        <v>1</v>
      </c>
      <c r="G288" s="18">
        <v>6644360383</v>
      </c>
      <c r="H288">
        <v>1</v>
      </c>
    </row>
    <row r="289" spans="1:8" x14ac:dyDescent="0.35">
      <c r="A289" s="9">
        <v>8010775</v>
      </c>
      <c r="B289" s="10">
        <v>42921</v>
      </c>
      <c r="C289" s="11">
        <v>0.58275462962962965</v>
      </c>
      <c r="D289" s="12">
        <v>0.5852546296296296</v>
      </c>
      <c r="E289">
        <v>1</v>
      </c>
      <c r="G289" s="18">
        <v>77607017</v>
      </c>
      <c r="H289">
        <v>1</v>
      </c>
    </row>
    <row r="290" spans="1:8" x14ac:dyDescent="0.35">
      <c r="A290" s="5">
        <v>46023878</v>
      </c>
      <c r="B290" s="6">
        <v>42921</v>
      </c>
      <c r="C290" s="7">
        <v>0.58829861111111115</v>
      </c>
      <c r="D290" s="8">
        <v>0.59641203703703705</v>
      </c>
      <c r="E290">
        <v>1</v>
      </c>
      <c r="G290" s="18">
        <v>7318247385</v>
      </c>
      <c r="H290">
        <v>1</v>
      </c>
    </row>
    <row r="291" spans="1:8" x14ac:dyDescent="0.35">
      <c r="A291" s="9">
        <v>3379007610</v>
      </c>
      <c r="B291" s="10">
        <v>42921</v>
      </c>
      <c r="C291" s="11">
        <v>0.59281249999999996</v>
      </c>
      <c r="D291" s="12">
        <v>0.59871527777777778</v>
      </c>
      <c r="E291">
        <v>1</v>
      </c>
      <c r="G291" s="18">
        <v>66638685</v>
      </c>
      <c r="H291">
        <v>1</v>
      </c>
    </row>
    <row r="292" spans="1:8" x14ac:dyDescent="0.35">
      <c r="A292" s="5">
        <v>2890519255</v>
      </c>
      <c r="B292" s="6">
        <v>42921</v>
      </c>
      <c r="C292" s="7">
        <v>0.59557870370370369</v>
      </c>
      <c r="D292" s="8">
        <v>0.59930555555555554</v>
      </c>
      <c r="E292">
        <v>1</v>
      </c>
      <c r="G292" s="18">
        <v>8211396842</v>
      </c>
      <c r="H292">
        <v>1</v>
      </c>
    </row>
    <row r="293" spans="1:8" x14ac:dyDescent="0.35">
      <c r="A293" s="9">
        <v>27858818</v>
      </c>
      <c r="B293" s="10">
        <v>42921</v>
      </c>
      <c r="C293" s="11">
        <v>0.59718749999999998</v>
      </c>
      <c r="D293" s="12">
        <v>0.60711805555555554</v>
      </c>
      <c r="E293">
        <v>1</v>
      </c>
      <c r="G293" s="18">
        <v>77869622</v>
      </c>
      <c r="H293">
        <v>1</v>
      </c>
    </row>
    <row r="294" spans="1:8" x14ac:dyDescent="0.35">
      <c r="A294" s="5">
        <v>5076649</v>
      </c>
      <c r="B294" s="6">
        <v>42921</v>
      </c>
      <c r="C294" s="7">
        <v>0.59803240740740737</v>
      </c>
      <c r="D294" s="8">
        <v>0.60223379629629625</v>
      </c>
      <c r="E294">
        <v>1</v>
      </c>
      <c r="G294" s="18">
        <v>96977805</v>
      </c>
      <c r="H294">
        <v>1</v>
      </c>
    </row>
    <row r="295" spans="1:8" x14ac:dyDescent="0.35">
      <c r="A295" s="9">
        <v>70367818</v>
      </c>
      <c r="B295" s="10">
        <v>42921</v>
      </c>
      <c r="C295" s="11">
        <v>0.5982291666666667</v>
      </c>
      <c r="D295" s="12">
        <v>0.60077546296296291</v>
      </c>
      <c r="E295">
        <v>1</v>
      </c>
      <c r="G295" s="18">
        <v>77946476</v>
      </c>
      <c r="H295">
        <v>1</v>
      </c>
    </row>
    <row r="296" spans="1:8" x14ac:dyDescent="0.35">
      <c r="A296" s="5">
        <v>9788998</v>
      </c>
      <c r="B296" s="6">
        <v>42921</v>
      </c>
      <c r="C296" s="7">
        <v>0.60070601851851857</v>
      </c>
      <c r="D296" s="8">
        <v>0.6075694444444445</v>
      </c>
      <c r="E296">
        <v>1</v>
      </c>
      <c r="G296" s="18">
        <v>97596112</v>
      </c>
      <c r="H296">
        <v>1</v>
      </c>
    </row>
    <row r="297" spans="1:8" x14ac:dyDescent="0.35">
      <c r="A297" s="9">
        <v>1951101</v>
      </c>
      <c r="B297" s="10">
        <v>42921</v>
      </c>
      <c r="C297" s="11">
        <v>0.60379629629629628</v>
      </c>
      <c r="D297" s="12">
        <v>0.6139930555555555</v>
      </c>
      <c r="E297">
        <v>1</v>
      </c>
      <c r="G297" s="18">
        <v>78009874</v>
      </c>
      <c r="H297">
        <v>1</v>
      </c>
    </row>
    <row r="298" spans="1:8" x14ac:dyDescent="0.35">
      <c r="A298" s="5">
        <v>4546455</v>
      </c>
      <c r="B298" s="6">
        <v>42921</v>
      </c>
      <c r="C298" s="7">
        <v>0.6040740740740741</v>
      </c>
      <c r="D298" s="8">
        <v>0.61181712962962964</v>
      </c>
      <c r="E298">
        <v>1</v>
      </c>
      <c r="G298" s="18">
        <v>97876188</v>
      </c>
      <c r="H298">
        <v>1</v>
      </c>
    </row>
    <row r="299" spans="1:8" x14ac:dyDescent="0.35">
      <c r="A299" s="9">
        <v>12687991</v>
      </c>
      <c r="B299" s="10">
        <v>42921</v>
      </c>
      <c r="C299" s="11">
        <v>0.60660879629629627</v>
      </c>
      <c r="D299" s="12">
        <v>0.6086921296296296</v>
      </c>
      <c r="E299">
        <v>1</v>
      </c>
      <c r="G299" s="18">
        <v>78709747</v>
      </c>
      <c r="H299">
        <v>1</v>
      </c>
    </row>
    <row r="300" spans="1:8" x14ac:dyDescent="0.35">
      <c r="A300" s="5">
        <v>4328583</v>
      </c>
      <c r="B300" s="6">
        <v>42921</v>
      </c>
      <c r="C300" s="7">
        <v>0.60927083333333332</v>
      </c>
      <c r="D300" s="8">
        <v>0.61127314814814815</v>
      </c>
      <c r="E300">
        <v>1</v>
      </c>
      <c r="G300" s="18">
        <v>98238772</v>
      </c>
      <c r="H300">
        <v>1</v>
      </c>
    </row>
    <row r="301" spans="1:8" x14ac:dyDescent="0.35">
      <c r="A301" s="9">
        <v>2184116</v>
      </c>
      <c r="B301" s="10">
        <v>42921</v>
      </c>
      <c r="C301" s="11">
        <v>0.61251157407407408</v>
      </c>
      <c r="D301" s="12">
        <v>0.61998842592592596</v>
      </c>
      <c r="E301">
        <v>1</v>
      </c>
      <c r="G301" s="18">
        <v>78940032</v>
      </c>
      <c r="H301">
        <v>1</v>
      </c>
    </row>
    <row r="302" spans="1:8" x14ac:dyDescent="0.35">
      <c r="A302" s="5">
        <v>24724570</v>
      </c>
      <c r="B302" s="6">
        <v>42921</v>
      </c>
      <c r="C302" s="7">
        <v>0.61430555555555555</v>
      </c>
      <c r="D302" s="8">
        <v>0.61843749999999997</v>
      </c>
      <c r="E302">
        <v>1</v>
      </c>
      <c r="G302" s="18">
        <v>98737794</v>
      </c>
      <c r="H302">
        <v>1</v>
      </c>
    </row>
    <row r="303" spans="1:8" x14ac:dyDescent="0.35">
      <c r="A303" s="9">
        <v>4843076</v>
      </c>
      <c r="B303" s="10">
        <v>42921</v>
      </c>
      <c r="C303" s="11">
        <v>0.61957175925925922</v>
      </c>
      <c r="D303" s="12">
        <v>0.62241898148148145</v>
      </c>
      <c r="E303">
        <v>1</v>
      </c>
      <c r="G303" s="18">
        <v>78976022</v>
      </c>
      <c r="H303">
        <v>1</v>
      </c>
    </row>
    <row r="304" spans="1:8" x14ac:dyDescent="0.35">
      <c r="A304" s="5">
        <v>7795911</v>
      </c>
      <c r="B304" s="6">
        <v>42921</v>
      </c>
      <c r="C304" s="7">
        <v>0.62047453703703703</v>
      </c>
      <c r="D304" s="8">
        <v>0.62715277777777778</v>
      </c>
      <c r="E304">
        <v>1</v>
      </c>
      <c r="G304" s="18">
        <v>99625315</v>
      </c>
      <c r="H304">
        <v>1</v>
      </c>
    </row>
    <row r="305" spans="1:8" x14ac:dyDescent="0.35">
      <c r="A305" s="9">
        <v>42722517</v>
      </c>
      <c r="B305" s="10">
        <v>42921</v>
      </c>
      <c r="C305" s="11">
        <v>0.62094907407407407</v>
      </c>
      <c r="D305" s="12">
        <v>0.62687499999999996</v>
      </c>
      <c r="E305">
        <v>1</v>
      </c>
      <c r="G305" s="18">
        <v>79212542</v>
      </c>
      <c r="H305">
        <v>1</v>
      </c>
    </row>
    <row r="306" spans="1:8" x14ac:dyDescent="0.35">
      <c r="A306" s="5">
        <v>9697189</v>
      </c>
      <c r="B306" s="6">
        <v>42921</v>
      </c>
      <c r="C306" s="7">
        <v>0.62251157407407409</v>
      </c>
      <c r="D306" s="8">
        <v>0.6234143518518519</v>
      </c>
      <c r="E306">
        <v>1</v>
      </c>
      <c r="G306" s="18">
        <v>1090396060</v>
      </c>
      <c r="H306">
        <v>1</v>
      </c>
    </row>
    <row r="307" spans="1:8" x14ac:dyDescent="0.35">
      <c r="A307" s="9">
        <v>4471203</v>
      </c>
      <c r="B307" s="10">
        <v>42921</v>
      </c>
      <c r="C307" s="11">
        <v>0.62403935185185189</v>
      </c>
      <c r="D307" s="12">
        <v>0.62936342592592598</v>
      </c>
      <c r="E307">
        <v>1</v>
      </c>
      <c r="G307" s="18">
        <v>67913744</v>
      </c>
      <c r="H307">
        <v>1</v>
      </c>
    </row>
    <row r="308" spans="1:8" x14ac:dyDescent="0.35">
      <c r="A308" s="5">
        <v>1439114</v>
      </c>
      <c r="B308" s="6">
        <v>42921</v>
      </c>
      <c r="C308" s="7">
        <v>0.62589120370370366</v>
      </c>
      <c r="D308" s="8">
        <v>0.62774305555555554</v>
      </c>
      <c r="E308">
        <v>1</v>
      </c>
      <c r="G308" s="18">
        <v>1308483040</v>
      </c>
      <c r="H308">
        <v>1</v>
      </c>
    </row>
    <row r="309" spans="1:8" x14ac:dyDescent="0.35">
      <c r="A309" s="9">
        <v>5822881</v>
      </c>
      <c r="B309" s="10">
        <v>42922</v>
      </c>
      <c r="C309" s="11">
        <v>0.33555555555555555</v>
      </c>
      <c r="D309" s="12">
        <v>0.34137731481481481</v>
      </c>
      <c r="E309">
        <v>1</v>
      </c>
      <c r="G309" s="18">
        <v>79698655</v>
      </c>
      <c r="H309">
        <v>1</v>
      </c>
    </row>
    <row r="310" spans="1:8" x14ac:dyDescent="0.35">
      <c r="A310" s="5">
        <v>6027120</v>
      </c>
      <c r="B310" s="6">
        <v>42922</v>
      </c>
      <c r="C310" s="7">
        <v>0.33814814814814814</v>
      </c>
      <c r="D310" s="8">
        <v>0.34232638888888889</v>
      </c>
      <c r="E310">
        <v>1</v>
      </c>
      <c r="G310" s="18">
        <v>1774304298</v>
      </c>
      <c r="H310">
        <v>1</v>
      </c>
    </row>
    <row r="311" spans="1:8" x14ac:dyDescent="0.35">
      <c r="A311" s="9">
        <v>2790475</v>
      </c>
      <c r="B311" s="10">
        <v>42922</v>
      </c>
      <c r="C311" s="11">
        <v>0.34349537037037037</v>
      </c>
      <c r="D311" s="12">
        <v>0.34965277777777776</v>
      </c>
      <c r="E311">
        <v>1</v>
      </c>
      <c r="G311" s="18">
        <v>66336445</v>
      </c>
      <c r="H311">
        <v>1</v>
      </c>
    </row>
    <row r="312" spans="1:8" x14ac:dyDescent="0.35">
      <c r="A312" s="5">
        <v>30893038</v>
      </c>
      <c r="B312" s="6">
        <v>42922</v>
      </c>
      <c r="C312" s="7">
        <v>0.34708333333333335</v>
      </c>
      <c r="D312" s="8">
        <v>0.34912037037037036</v>
      </c>
      <c r="E312">
        <v>1</v>
      </c>
      <c r="G312" s="18">
        <v>1972250241</v>
      </c>
      <c r="H312">
        <v>1</v>
      </c>
    </row>
    <row r="313" spans="1:8" x14ac:dyDescent="0.35">
      <c r="A313" s="9">
        <v>5076649</v>
      </c>
      <c r="B313" s="10">
        <v>42922</v>
      </c>
      <c r="C313" s="11">
        <v>0.35163194444444446</v>
      </c>
      <c r="D313" s="12">
        <v>0.35670138888888892</v>
      </c>
      <c r="E313">
        <v>1</v>
      </c>
      <c r="G313" s="18">
        <v>68043713</v>
      </c>
      <c r="H313">
        <v>1</v>
      </c>
    </row>
    <row r="314" spans="1:8" x14ac:dyDescent="0.35">
      <c r="A314" s="5">
        <v>5013602</v>
      </c>
      <c r="B314" s="6">
        <v>42922</v>
      </c>
      <c r="C314" s="7">
        <v>0.35531249999999998</v>
      </c>
      <c r="D314" s="8">
        <v>0.3630902777777778</v>
      </c>
      <c r="E314">
        <v>1</v>
      </c>
      <c r="G314" s="18">
        <v>65621292</v>
      </c>
      <c r="H314">
        <v>1</v>
      </c>
    </row>
    <row r="315" spans="1:8" x14ac:dyDescent="0.35">
      <c r="A315" s="9">
        <v>5696056</v>
      </c>
      <c r="B315" s="10">
        <v>42922</v>
      </c>
      <c r="C315" s="11">
        <v>0.36097222222222225</v>
      </c>
      <c r="D315" s="12">
        <v>0.36534722222222221</v>
      </c>
      <c r="E315">
        <v>1</v>
      </c>
      <c r="G315" s="18">
        <v>80306197</v>
      </c>
      <c r="H315">
        <v>1</v>
      </c>
    </row>
    <row r="316" spans="1:8" x14ac:dyDescent="0.35">
      <c r="A316" s="5">
        <v>11274735</v>
      </c>
      <c r="B316" s="6">
        <v>42922</v>
      </c>
      <c r="C316" s="7">
        <v>0.36618055555555556</v>
      </c>
      <c r="D316" s="8">
        <v>0.37038194444444444</v>
      </c>
      <c r="E316">
        <v>1</v>
      </c>
      <c r="G316" s="18">
        <v>3264546470</v>
      </c>
      <c r="H316">
        <v>1</v>
      </c>
    </row>
    <row r="317" spans="1:8" x14ac:dyDescent="0.35">
      <c r="A317" s="9">
        <v>1158631</v>
      </c>
      <c r="B317" s="10">
        <v>42922</v>
      </c>
      <c r="C317" s="11">
        <v>0.3664351851851852</v>
      </c>
      <c r="D317" s="12">
        <v>0.37646990740740743</v>
      </c>
      <c r="E317">
        <v>1</v>
      </c>
      <c r="G317" s="18">
        <v>80907155</v>
      </c>
      <c r="H317">
        <v>1</v>
      </c>
    </row>
    <row r="318" spans="1:8" x14ac:dyDescent="0.35">
      <c r="A318" s="5">
        <v>6009110</v>
      </c>
      <c r="B318" s="6">
        <v>42922</v>
      </c>
      <c r="C318" s="7">
        <v>0.37092592592592594</v>
      </c>
      <c r="D318" s="8">
        <v>0.37193287037037037</v>
      </c>
      <c r="E318">
        <v>1</v>
      </c>
      <c r="G318" s="18">
        <v>3408462348</v>
      </c>
      <c r="H318">
        <v>1</v>
      </c>
    </row>
    <row r="319" spans="1:8" x14ac:dyDescent="0.35">
      <c r="A319" s="9">
        <v>6644360383</v>
      </c>
      <c r="B319" s="10">
        <v>42922</v>
      </c>
      <c r="C319" s="11">
        <v>0.37333333333333335</v>
      </c>
      <c r="D319" s="12">
        <v>0.37968750000000001</v>
      </c>
      <c r="E319">
        <v>1</v>
      </c>
      <c r="G319" s="18">
        <v>81010250</v>
      </c>
      <c r="H319">
        <v>1</v>
      </c>
    </row>
    <row r="320" spans="1:8" x14ac:dyDescent="0.35">
      <c r="A320" s="5">
        <v>6045882</v>
      </c>
      <c r="B320" s="6">
        <v>42922</v>
      </c>
      <c r="C320" s="7">
        <v>0.37799768518518517</v>
      </c>
      <c r="D320" s="8">
        <v>0.38377314814814817</v>
      </c>
      <c r="E320">
        <v>1</v>
      </c>
      <c r="G320" s="18">
        <v>3826370863</v>
      </c>
      <c r="H320">
        <v>1</v>
      </c>
    </row>
    <row r="321" spans="1:8" x14ac:dyDescent="0.35">
      <c r="A321" s="9">
        <v>4113351</v>
      </c>
      <c r="B321" s="10">
        <v>42922</v>
      </c>
      <c r="C321" s="11">
        <v>0.37913194444444442</v>
      </c>
      <c r="D321" s="12">
        <v>0.3800115740740741</v>
      </c>
      <c r="E321">
        <v>1</v>
      </c>
      <c r="G321" s="18">
        <v>81218024</v>
      </c>
      <c r="H321">
        <v>1</v>
      </c>
    </row>
    <row r="322" spans="1:8" x14ac:dyDescent="0.35">
      <c r="A322" s="5">
        <v>9777118</v>
      </c>
      <c r="B322" s="6">
        <v>42922</v>
      </c>
      <c r="C322" s="7">
        <v>0.38156250000000003</v>
      </c>
      <c r="D322" s="8">
        <v>0.3878240740740741</v>
      </c>
      <c r="E322">
        <v>1</v>
      </c>
      <c r="G322" s="18">
        <v>3981821518</v>
      </c>
      <c r="H322">
        <v>1</v>
      </c>
    </row>
    <row r="323" spans="1:8" x14ac:dyDescent="0.35">
      <c r="A323" s="9">
        <v>1659814</v>
      </c>
      <c r="B323" s="10">
        <v>42922</v>
      </c>
      <c r="C323" s="11">
        <v>0.38416666666666666</v>
      </c>
      <c r="D323" s="12">
        <v>0.39554398148148145</v>
      </c>
      <c r="E323">
        <v>1</v>
      </c>
      <c r="G323" s="18">
        <v>81575080</v>
      </c>
      <c r="H323">
        <v>1</v>
      </c>
    </row>
    <row r="324" spans="1:8" x14ac:dyDescent="0.35">
      <c r="A324" s="5">
        <v>26204415</v>
      </c>
      <c r="B324" s="6">
        <v>42922</v>
      </c>
      <c r="C324" s="7">
        <v>0.38806712962962964</v>
      </c>
      <c r="D324" s="8">
        <v>0.39144675925925926</v>
      </c>
      <c r="E324">
        <v>1</v>
      </c>
      <c r="G324" s="18">
        <v>4569864426</v>
      </c>
      <c r="H324">
        <v>1</v>
      </c>
    </row>
    <row r="325" spans="1:8" x14ac:dyDescent="0.35">
      <c r="A325" s="9">
        <v>8471544</v>
      </c>
      <c r="B325" s="10">
        <v>42922</v>
      </c>
      <c r="C325" s="11">
        <v>0.38960648148148147</v>
      </c>
      <c r="D325" s="12">
        <v>0.39498842592592592</v>
      </c>
      <c r="E325">
        <v>1</v>
      </c>
      <c r="G325" s="18">
        <v>68647339</v>
      </c>
      <c r="H325">
        <v>1</v>
      </c>
    </row>
    <row r="326" spans="1:8" x14ac:dyDescent="0.35">
      <c r="A326" s="5">
        <v>3379401</v>
      </c>
      <c r="B326" s="6">
        <v>42922</v>
      </c>
      <c r="C326" s="7">
        <v>0.39466435185185184</v>
      </c>
      <c r="D326" s="8">
        <v>0.40501157407407407</v>
      </c>
      <c r="E326">
        <v>1</v>
      </c>
      <c r="G326" s="18">
        <v>4959551431</v>
      </c>
      <c r="H326">
        <v>1</v>
      </c>
    </row>
    <row r="327" spans="1:8" x14ac:dyDescent="0.35">
      <c r="A327" s="9">
        <v>5912377607</v>
      </c>
      <c r="B327" s="10">
        <v>42922</v>
      </c>
      <c r="C327" s="11">
        <v>0.39613425925925927</v>
      </c>
      <c r="D327" s="12">
        <v>0.39868055555555554</v>
      </c>
      <c r="E327">
        <v>1</v>
      </c>
      <c r="G327" s="18">
        <v>81880891</v>
      </c>
      <c r="H327">
        <v>1</v>
      </c>
    </row>
    <row r="328" spans="1:8" x14ac:dyDescent="0.35">
      <c r="A328" s="5">
        <v>77705897</v>
      </c>
      <c r="B328" s="6">
        <v>42922</v>
      </c>
      <c r="C328" s="7">
        <v>0.39956018518518521</v>
      </c>
      <c r="D328" s="8">
        <v>0.40025462962962965</v>
      </c>
      <c r="E328">
        <v>1</v>
      </c>
      <c r="G328" s="18">
        <v>5333653356</v>
      </c>
      <c r="H328">
        <v>1</v>
      </c>
    </row>
    <row r="329" spans="1:8" x14ac:dyDescent="0.35">
      <c r="A329" s="9">
        <v>5894865</v>
      </c>
      <c r="B329" s="10">
        <v>42922</v>
      </c>
      <c r="C329" s="11">
        <v>0.40255787037037039</v>
      </c>
      <c r="D329" s="12">
        <v>0.40554398148148146</v>
      </c>
      <c r="E329">
        <v>1</v>
      </c>
      <c r="G329" s="18">
        <v>82239478</v>
      </c>
      <c r="H329">
        <v>1</v>
      </c>
    </row>
    <row r="330" spans="1:8" x14ac:dyDescent="0.35">
      <c r="A330" s="5">
        <v>7449832</v>
      </c>
      <c r="B330" s="6">
        <v>42922</v>
      </c>
      <c r="C330" s="7">
        <v>0.40559027777777779</v>
      </c>
      <c r="D330" s="8">
        <v>0.41425925925925927</v>
      </c>
      <c r="E330">
        <v>1</v>
      </c>
      <c r="G330" s="18">
        <v>5820632164</v>
      </c>
      <c r="H330">
        <v>1</v>
      </c>
    </row>
    <row r="331" spans="1:8" x14ac:dyDescent="0.35">
      <c r="A331" s="9">
        <v>49390412</v>
      </c>
      <c r="B331" s="10">
        <v>42922</v>
      </c>
      <c r="C331" s="11">
        <v>0.40645833333333331</v>
      </c>
      <c r="D331" s="12">
        <v>0.41598379629629628</v>
      </c>
      <c r="E331">
        <v>1</v>
      </c>
      <c r="G331" s="18">
        <v>82949156</v>
      </c>
      <c r="H331">
        <v>1</v>
      </c>
    </row>
    <row r="332" spans="1:8" x14ac:dyDescent="0.35">
      <c r="A332" s="5">
        <v>6156594</v>
      </c>
      <c r="B332" s="6">
        <v>42922</v>
      </c>
      <c r="C332" s="7">
        <v>0.41142361111111109</v>
      </c>
      <c r="D332" s="8">
        <v>0.42168981481481482</v>
      </c>
      <c r="E332">
        <v>1</v>
      </c>
      <c r="G332" s="18">
        <v>6248157784</v>
      </c>
      <c r="H332">
        <v>1</v>
      </c>
    </row>
    <row r="333" spans="1:8" x14ac:dyDescent="0.35">
      <c r="A333" s="9">
        <v>5006675</v>
      </c>
      <c r="B333" s="10">
        <v>42922</v>
      </c>
      <c r="C333" s="11">
        <v>0.4129976851851852</v>
      </c>
      <c r="D333" s="12">
        <v>0.41953703703703704</v>
      </c>
      <c r="E333">
        <v>1</v>
      </c>
      <c r="G333" s="18">
        <v>68647777</v>
      </c>
      <c r="H333">
        <v>1</v>
      </c>
    </row>
    <row r="334" spans="1:8" x14ac:dyDescent="0.35">
      <c r="A334" s="5">
        <v>2096180</v>
      </c>
      <c r="B334" s="6">
        <v>42922</v>
      </c>
      <c r="C334" s="7">
        <v>0.41351851851851851</v>
      </c>
      <c r="D334" s="8">
        <v>0.41670138888888891</v>
      </c>
      <c r="E334">
        <v>1</v>
      </c>
      <c r="G334" s="18">
        <v>72289518</v>
      </c>
      <c r="H334">
        <v>1</v>
      </c>
    </row>
    <row r="335" spans="1:8" x14ac:dyDescent="0.35">
      <c r="A335" s="9">
        <v>8214927</v>
      </c>
      <c r="B335" s="10">
        <v>42922</v>
      </c>
      <c r="C335" s="11">
        <v>0.41638888888888886</v>
      </c>
      <c r="D335" s="12">
        <v>0.42116898148148146</v>
      </c>
      <c r="E335">
        <v>1</v>
      </c>
      <c r="G335" s="18">
        <v>83707586</v>
      </c>
      <c r="H335">
        <v>1</v>
      </c>
    </row>
    <row r="336" spans="1:8" x14ac:dyDescent="0.35">
      <c r="A336" s="5">
        <v>5816822</v>
      </c>
      <c r="B336" s="6">
        <v>42922</v>
      </c>
      <c r="C336" s="7">
        <v>0.41684027777777777</v>
      </c>
      <c r="D336" s="8">
        <v>0.4230902777777778</v>
      </c>
      <c r="E336">
        <v>1</v>
      </c>
      <c r="G336" s="18">
        <v>6760428735</v>
      </c>
      <c r="H336">
        <v>1</v>
      </c>
    </row>
    <row r="337" spans="1:8" x14ac:dyDescent="0.35">
      <c r="A337" s="9">
        <v>9683894</v>
      </c>
      <c r="B337" s="10">
        <v>42922</v>
      </c>
      <c r="C337" s="11">
        <v>0.42046296296296298</v>
      </c>
      <c r="D337" s="12">
        <v>0.42086805555555556</v>
      </c>
      <c r="E337">
        <v>1</v>
      </c>
      <c r="G337" s="18">
        <v>84513035</v>
      </c>
      <c r="H337">
        <v>1</v>
      </c>
    </row>
    <row r="338" spans="1:8" x14ac:dyDescent="0.35">
      <c r="A338" s="5">
        <v>2808052</v>
      </c>
      <c r="B338" s="6">
        <v>42922</v>
      </c>
      <c r="C338" s="7">
        <v>0.42144675925925928</v>
      </c>
      <c r="D338" s="8">
        <v>0.43079861111111112</v>
      </c>
      <c r="E338">
        <v>1</v>
      </c>
      <c r="G338" s="18">
        <v>7119239917</v>
      </c>
      <c r="H338">
        <v>1</v>
      </c>
    </row>
    <row r="339" spans="1:8" x14ac:dyDescent="0.35">
      <c r="A339" s="9">
        <v>18084593</v>
      </c>
      <c r="B339" s="10">
        <v>42922</v>
      </c>
      <c r="C339" s="11">
        <v>0.42482638888888891</v>
      </c>
      <c r="D339" s="12">
        <v>0.43292824074074077</v>
      </c>
      <c r="E339">
        <v>1</v>
      </c>
      <c r="G339" s="18">
        <v>68677362</v>
      </c>
      <c r="H339">
        <v>1</v>
      </c>
    </row>
    <row r="340" spans="1:8" x14ac:dyDescent="0.35">
      <c r="A340" s="5">
        <v>1390402</v>
      </c>
      <c r="B340" s="6">
        <v>42922</v>
      </c>
      <c r="C340" s="7">
        <v>0.42880787037037038</v>
      </c>
      <c r="D340" s="8">
        <v>0.44034722222222222</v>
      </c>
      <c r="E340">
        <v>1</v>
      </c>
      <c r="G340" s="18">
        <v>7536048937</v>
      </c>
      <c r="H340">
        <v>1</v>
      </c>
    </row>
    <row r="341" spans="1:8" x14ac:dyDescent="0.35">
      <c r="A341" s="9">
        <v>44200961</v>
      </c>
      <c r="B341" s="10">
        <v>42922</v>
      </c>
      <c r="C341" s="11">
        <v>0.42920138888888887</v>
      </c>
      <c r="D341" s="12">
        <v>0.43532407407407409</v>
      </c>
      <c r="E341">
        <v>1</v>
      </c>
      <c r="G341" s="18">
        <v>84684423</v>
      </c>
      <c r="H341">
        <v>1</v>
      </c>
    </row>
    <row r="342" spans="1:8" x14ac:dyDescent="0.35">
      <c r="A342" s="5">
        <v>5859235</v>
      </c>
      <c r="B342" s="6">
        <v>42922</v>
      </c>
      <c r="C342" s="7">
        <v>0.43037037037037035</v>
      </c>
      <c r="D342" s="8">
        <v>0.4344675925925926</v>
      </c>
      <c r="E342">
        <v>1</v>
      </c>
      <c r="G342" s="18">
        <v>8045338707</v>
      </c>
      <c r="H342">
        <v>1</v>
      </c>
    </row>
    <row r="343" spans="1:8" x14ac:dyDescent="0.35">
      <c r="A343" s="9">
        <v>51855396</v>
      </c>
      <c r="B343" s="10">
        <v>42922</v>
      </c>
      <c r="C343" s="11">
        <v>0.43266203703703704</v>
      </c>
      <c r="D343" s="12">
        <v>0.44364583333333335</v>
      </c>
      <c r="E343">
        <v>1</v>
      </c>
      <c r="G343" s="18">
        <v>85422307</v>
      </c>
      <c r="H343">
        <v>1</v>
      </c>
    </row>
    <row r="344" spans="1:8" x14ac:dyDescent="0.35">
      <c r="A344" s="5">
        <v>8768896</v>
      </c>
      <c r="B344" s="6">
        <v>42922</v>
      </c>
      <c r="C344" s="7">
        <v>0.43590277777777775</v>
      </c>
      <c r="D344" s="8">
        <v>0.44127314814814816</v>
      </c>
      <c r="E344">
        <v>1</v>
      </c>
      <c r="G344" s="18">
        <v>8474693946</v>
      </c>
      <c r="H344">
        <v>1</v>
      </c>
    </row>
    <row r="345" spans="1:8" x14ac:dyDescent="0.35">
      <c r="A345" s="9">
        <v>9088045</v>
      </c>
      <c r="B345" s="10">
        <v>42922</v>
      </c>
      <c r="C345" s="11">
        <v>0.44063657407407408</v>
      </c>
      <c r="D345" s="12">
        <v>0.44285879629629632</v>
      </c>
      <c r="E345">
        <v>1</v>
      </c>
      <c r="G345" s="18">
        <v>85598139</v>
      </c>
      <c r="H345">
        <v>1</v>
      </c>
    </row>
    <row r="346" spans="1:8" x14ac:dyDescent="0.35">
      <c r="A346" s="5">
        <v>9872216</v>
      </c>
      <c r="B346" s="6">
        <v>42922</v>
      </c>
      <c r="C346" s="7">
        <v>0.44200231481481483</v>
      </c>
      <c r="D346" s="8">
        <v>0.44886574074074076</v>
      </c>
      <c r="E346">
        <v>1</v>
      </c>
      <c r="G346" s="18">
        <v>72312196</v>
      </c>
      <c r="H346">
        <v>1</v>
      </c>
    </row>
    <row r="347" spans="1:8" x14ac:dyDescent="0.35">
      <c r="A347" s="9">
        <v>8369815</v>
      </c>
      <c r="B347" s="10">
        <v>42922</v>
      </c>
      <c r="C347" s="11">
        <v>0.44350694444444444</v>
      </c>
      <c r="D347" s="12">
        <v>0.44528935185185187</v>
      </c>
      <c r="E347">
        <v>1</v>
      </c>
      <c r="G347" s="18">
        <v>85666950</v>
      </c>
      <c r="H347">
        <v>1</v>
      </c>
    </row>
    <row r="348" spans="1:8" x14ac:dyDescent="0.35">
      <c r="A348" s="5">
        <v>3370151</v>
      </c>
      <c r="B348" s="6">
        <v>42922</v>
      </c>
      <c r="C348" s="7">
        <v>0.44452546296296297</v>
      </c>
      <c r="D348" s="8">
        <v>0.44923611111111111</v>
      </c>
      <c r="E348">
        <v>1</v>
      </c>
      <c r="G348" s="18">
        <v>70606958</v>
      </c>
      <c r="H348">
        <v>1</v>
      </c>
    </row>
    <row r="349" spans="1:8" x14ac:dyDescent="0.35">
      <c r="A349" s="9">
        <v>1488369</v>
      </c>
      <c r="B349" s="10">
        <v>42922</v>
      </c>
      <c r="C349" s="11">
        <v>0.44871527777777775</v>
      </c>
      <c r="D349" s="12">
        <v>0.45627314814814812</v>
      </c>
      <c r="E349">
        <v>1</v>
      </c>
      <c r="G349" s="18">
        <v>85838361</v>
      </c>
      <c r="H349">
        <v>1</v>
      </c>
    </row>
    <row r="350" spans="1:8" x14ac:dyDescent="0.35">
      <c r="A350" s="5">
        <v>4132754</v>
      </c>
      <c r="B350" s="6">
        <v>42922</v>
      </c>
      <c r="C350" s="7">
        <v>0.45281250000000001</v>
      </c>
      <c r="D350" s="8">
        <v>0.45374999999999999</v>
      </c>
      <c r="E350">
        <v>1</v>
      </c>
      <c r="G350" s="18">
        <v>97558765</v>
      </c>
      <c r="H350">
        <v>1</v>
      </c>
    </row>
    <row r="351" spans="1:8" x14ac:dyDescent="0.35">
      <c r="A351" s="9">
        <v>66638685</v>
      </c>
      <c r="B351" s="10">
        <v>42922</v>
      </c>
      <c r="C351" s="11">
        <v>0.45401620370370371</v>
      </c>
      <c r="D351" s="12">
        <v>0.46406249999999999</v>
      </c>
      <c r="E351">
        <v>1</v>
      </c>
      <c r="G351" s="18">
        <v>86774913</v>
      </c>
      <c r="H351">
        <v>1</v>
      </c>
    </row>
    <row r="352" spans="1:8" x14ac:dyDescent="0.35">
      <c r="A352" s="5">
        <v>6818507</v>
      </c>
      <c r="B352" s="6">
        <v>42922</v>
      </c>
      <c r="C352" s="7">
        <v>0.4584259259259259</v>
      </c>
      <c r="D352" s="8">
        <v>0.46380787037037036</v>
      </c>
      <c r="E352">
        <v>1</v>
      </c>
      <c r="G352" s="18">
        <v>97646706</v>
      </c>
      <c r="H352">
        <v>1</v>
      </c>
    </row>
    <row r="353" spans="1:8" x14ac:dyDescent="0.35">
      <c r="A353" s="9">
        <v>93611539</v>
      </c>
      <c r="B353" s="10">
        <v>42922</v>
      </c>
      <c r="C353" s="11">
        <v>0.45853009259259259</v>
      </c>
      <c r="D353" s="12">
        <v>0.46674768518518517</v>
      </c>
      <c r="E353">
        <v>1</v>
      </c>
      <c r="G353" s="18">
        <v>86965710</v>
      </c>
      <c r="H353">
        <v>1</v>
      </c>
    </row>
    <row r="354" spans="1:8" x14ac:dyDescent="0.35">
      <c r="A354" s="5">
        <v>2890519255</v>
      </c>
      <c r="B354" s="6">
        <v>42922</v>
      </c>
      <c r="C354" s="7">
        <v>0.4613888888888889</v>
      </c>
      <c r="D354" s="8">
        <v>0.46836805555555555</v>
      </c>
      <c r="E354">
        <v>1</v>
      </c>
      <c r="G354" s="18">
        <v>70678482</v>
      </c>
      <c r="H354">
        <v>1</v>
      </c>
    </row>
    <row r="355" spans="1:8" x14ac:dyDescent="0.35">
      <c r="A355" s="9">
        <v>66336445</v>
      </c>
      <c r="B355" s="10">
        <v>42922</v>
      </c>
      <c r="C355" s="11">
        <v>0.46322916666666669</v>
      </c>
      <c r="D355" s="12">
        <v>0.4642013888888889</v>
      </c>
      <c r="E355">
        <v>1</v>
      </c>
      <c r="G355" s="18">
        <v>68966479</v>
      </c>
      <c r="H355">
        <v>1</v>
      </c>
    </row>
    <row r="356" spans="1:8" x14ac:dyDescent="0.35">
      <c r="A356" s="5">
        <v>9356324</v>
      </c>
      <c r="B356" s="6">
        <v>42922</v>
      </c>
      <c r="C356" s="7">
        <v>0.46339120370370368</v>
      </c>
      <c r="D356" s="8">
        <v>0.47425925925925927</v>
      </c>
      <c r="E356">
        <v>1</v>
      </c>
      <c r="G356" s="18">
        <v>65166542</v>
      </c>
      <c r="H356">
        <v>1</v>
      </c>
    </row>
    <row r="357" spans="1:8" x14ac:dyDescent="0.35">
      <c r="A357" s="9">
        <v>5111892302</v>
      </c>
      <c r="B357" s="10">
        <v>42922</v>
      </c>
      <c r="C357" s="11">
        <v>0.46871527777777777</v>
      </c>
      <c r="D357" s="12">
        <v>0.47319444444444442</v>
      </c>
      <c r="E357">
        <v>1</v>
      </c>
      <c r="G357" s="18">
        <v>88366261</v>
      </c>
      <c r="H357">
        <v>1</v>
      </c>
    </row>
    <row r="358" spans="1:8" x14ac:dyDescent="0.35">
      <c r="A358" s="5">
        <v>2435007</v>
      </c>
      <c r="B358" s="6">
        <v>42922</v>
      </c>
      <c r="C358" s="7">
        <v>0.47395833333333331</v>
      </c>
      <c r="D358" s="8">
        <v>0.47423611111111114</v>
      </c>
      <c r="E358">
        <v>1</v>
      </c>
      <c r="G358" s="18">
        <v>98021540</v>
      </c>
      <c r="H358">
        <v>1</v>
      </c>
    </row>
    <row r="359" spans="1:8" x14ac:dyDescent="0.35">
      <c r="A359" s="9">
        <v>6694568</v>
      </c>
      <c r="B359" s="10">
        <v>42922</v>
      </c>
      <c r="C359" s="11">
        <v>0.47865740740740742</v>
      </c>
      <c r="D359" s="12">
        <v>0.48923611111111109</v>
      </c>
      <c r="E359">
        <v>1</v>
      </c>
      <c r="G359" s="18">
        <v>88664428</v>
      </c>
      <c r="H359">
        <v>1</v>
      </c>
    </row>
    <row r="360" spans="1:8" x14ac:dyDescent="0.35">
      <c r="A360" s="5">
        <v>6420583</v>
      </c>
      <c r="B360" s="6">
        <v>42922</v>
      </c>
      <c r="C360" s="7">
        <v>0.48</v>
      </c>
      <c r="D360" s="8">
        <v>0.48539351851851853</v>
      </c>
      <c r="E360">
        <v>1</v>
      </c>
      <c r="G360" s="18">
        <v>98382147</v>
      </c>
      <c r="H360">
        <v>1</v>
      </c>
    </row>
    <row r="361" spans="1:8" x14ac:dyDescent="0.35">
      <c r="A361" s="9">
        <v>19835498</v>
      </c>
      <c r="B361" s="10">
        <v>42922</v>
      </c>
      <c r="C361" s="11">
        <v>0.48478009259259258</v>
      </c>
      <c r="D361" s="12">
        <v>0.49233796296296295</v>
      </c>
      <c r="E361">
        <v>1</v>
      </c>
      <c r="G361" s="18">
        <v>88666908</v>
      </c>
      <c r="H361">
        <v>1</v>
      </c>
    </row>
    <row r="362" spans="1:8" x14ac:dyDescent="0.35">
      <c r="A362" s="5">
        <v>6663334</v>
      </c>
      <c r="B362" s="6">
        <v>42922</v>
      </c>
      <c r="C362" s="7">
        <v>0.48605324074074074</v>
      </c>
      <c r="D362" s="8">
        <v>0.49381944444444442</v>
      </c>
      <c r="E362">
        <v>1</v>
      </c>
      <c r="G362" s="18">
        <v>98695684</v>
      </c>
      <c r="H362">
        <v>1</v>
      </c>
    </row>
    <row r="363" spans="1:8" x14ac:dyDescent="0.35">
      <c r="A363" s="9">
        <v>44765837</v>
      </c>
      <c r="B363" s="10">
        <v>42922</v>
      </c>
      <c r="C363" s="11">
        <v>0.4887037037037037</v>
      </c>
      <c r="D363" s="12">
        <v>0.49343749999999997</v>
      </c>
      <c r="E363">
        <v>1</v>
      </c>
      <c r="G363" s="18">
        <v>88929709</v>
      </c>
      <c r="H363">
        <v>1</v>
      </c>
    </row>
    <row r="364" spans="1:8" x14ac:dyDescent="0.35">
      <c r="A364" s="5">
        <v>2469778</v>
      </c>
      <c r="B364" s="6">
        <v>42922</v>
      </c>
      <c r="C364" s="7">
        <v>0.49236111111111114</v>
      </c>
      <c r="D364" s="8">
        <v>0.49780092592592595</v>
      </c>
      <c r="E364">
        <v>1</v>
      </c>
      <c r="G364" s="18">
        <v>66377806</v>
      </c>
      <c r="H364">
        <v>1</v>
      </c>
    </row>
    <row r="365" spans="1:8" x14ac:dyDescent="0.35">
      <c r="A365" s="9">
        <v>1959826</v>
      </c>
      <c r="B365" s="10">
        <v>42922</v>
      </c>
      <c r="C365" s="11">
        <v>0.49372685185185183</v>
      </c>
      <c r="D365" s="12">
        <v>0.50436342592592598</v>
      </c>
      <c r="E365">
        <v>1</v>
      </c>
      <c r="G365" s="18">
        <v>88929925</v>
      </c>
      <c r="H365">
        <v>1</v>
      </c>
    </row>
    <row r="366" spans="1:8" x14ac:dyDescent="0.35">
      <c r="A366" s="5">
        <v>37032078</v>
      </c>
      <c r="B366" s="6">
        <v>42922</v>
      </c>
      <c r="C366" s="7">
        <v>0.49387731481481484</v>
      </c>
      <c r="D366" s="8">
        <v>0.50420138888888888</v>
      </c>
      <c r="E366">
        <v>1</v>
      </c>
      <c r="G366" s="18">
        <v>70786056</v>
      </c>
      <c r="H366">
        <v>1</v>
      </c>
    </row>
    <row r="367" spans="1:8" x14ac:dyDescent="0.35">
      <c r="A367" s="9">
        <v>6516512</v>
      </c>
      <c r="B367" s="10">
        <v>42922</v>
      </c>
      <c r="C367" s="11">
        <v>0.49438657407407405</v>
      </c>
      <c r="D367" s="12">
        <v>0.49909722222222225</v>
      </c>
      <c r="E367">
        <v>1</v>
      </c>
      <c r="G367" s="18">
        <v>89098100</v>
      </c>
      <c r="H367">
        <v>1</v>
      </c>
    </row>
    <row r="368" spans="1:8" x14ac:dyDescent="0.35">
      <c r="A368" s="5">
        <v>4726561</v>
      </c>
      <c r="B368" s="6">
        <v>42922</v>
      </c>
      <c r="C368" s="7">
        <v>0.49910879629629629</v>
      </c>
      <c r="D368" s="8">
        <v>0.5009837962962963</v>
      </c>
      <c r="E368">
        <v>1</v>
      </c>
      <c r="G368" s="18">
        <v>99625946</v>
      </c>
      <c r="H368">
        <v>1</v>
      </c>
    </row>
    <row r="369" spans="1:8" x14ac:dyDescent="0.35">
      <c r="A369" s="9">
        <v>9685747</v>
      </c>
      <c r="B369" s="10">
        <v>42922</v>
      </c>
      <c r="C369" s="11">
        <v>0.50342592592592594</v>
      </c>
      <c r="D369" s="12">
        <v>0.51392361111111107</v>
      </c>
      <c r="E369">
        <v>1</v>
      </c>
      <c r="G369" s="18">
        <v>89263578</v>
      </c>
      <c r="H369">
        <v>1</v>
      </c>
    </row>
    <row r="370" spans="1:8" x14ac:dyDescent="0.35">
      <c r="A370" s="5">
        <v>7507354</v>
      </c>
      <c r="B370" s="6">
        <v>42922</v>
      </c>
      <c r="C370" s="7">
        <v>0.50700231481481484</v>
      </c>
      <c r="D370" s="8">
        <v>0.51186342592592593</v>
      </c>
      <c r="E370">
        <v>1</v>
      </c>
      <c r="G370" s="18">
        <v>71021004</v>
      </c>
      <c r="H370">
        <v>1</v>
      </c>
    </row>
    <row r="371" spans="1:8" x14ac:dyDescent="0.35">
      <c r="A371" s="9">
        <v>8605742</v>
      </c>
      <c r="B371" s="10">
        <v>42922</v>
      </c>
      <c r="C371" s="11">
        <v>0.5119097222222222</v>
      </c>
      <c r="D371" s="12">
        <v>0.52288194444444447</v>
      </c>
      <c r="E371">
        <v>1</v>
      </c>
      <c r="G371" s="18">
        <v>89419064</v>
      </c>
      <c r="H371">
        <v>1</v>
      </c>
    </row>
    <row r="372" spans="1:8" x14ac:dyDescent="0.35">
      <c r="A372" s="5">
        <v>4681236</v>
      </c>
      <c r="B372" s="6">
        <v>42922</v>
      </c>
      <c r="C372" s="7">
        <v>0.51452546296296298</v>
      </c>
      <c r="D372" s="8">
        <v>0.51570601851851849</v>
      </c>
      <c r="E372">
        <v>1</v>
      </c>
      <c r="G372" s="18">
        <v>1094486764</v>
      </c>
      <c r="H372">
        <v>1</v>
      </c>
    </row>
    <row r="373" spans="1:8" x14ac:dyDescent="0.35">
      <c r="A373" s="9">
        <v>3590468</v>
      </c>
      <c r="B373" s="10">
        <v>42922</v>
      </c>
      <c r="C373" s="11">
        <v>0.51556712962962958</v>
      </c>
      <c r="D373" s="12">
        <v>0.52572916666666669</v>
      </c>
      <c r="E373">
        <v>1</v>
      </c>
      <c r="G373" s="18">
        <v>89691426</v>
      </c>
      <c r="H373">
        <v>1</v>
      </c>
    </row>
    <row r="374" spans="1:8" x14ac:dyDescent="0.35">
      <c r="A374" s="5">
        <v>9878283</v>
      </c>
      <c r="B374" s="6">
        <v>42922</v>
      </c>
      <c r="C374" s="7">
        <v>0.51858796296296295</v>
      </c>
      <c r="D374" s="8">
        <v>0.52776620370370375</v>
      </c>
      <c r="E374">
        <v>1</v>
      </c>
      <c r="G374" s="18">
        <v>1288318920</v>
      </c>
      <c r="H374">
        <v>1</v>
      </c>
    </row>
    <row r="375" spans="1:8" x14ac:dyDescent="0.35">
      <c r="A375" s="9">
        <v>5991516</v>
      </c>
      <c r="B375" s="10">
        <v>42922</v>
      </c>
      <c r="C375" s="11">
        <v>0.52217592592592588</v>
      </c>
      <c r="D375" s="12">
        <v>0.53173611111111108</v>
      </c>
      <c r="E375">
        <v>1</v>
      </c>
      <c r="G375" s="18">
        <v>89814525</v>
      </c>
      <c r="H375">
        <v>1</v>
      </c>
    </row>
    <row r="376" spans="1:8" x14ac:dyDescent="0.35">
      <c r="A376" s="5">
        <v>1240369</v>
      </c>
      <c r="B376" s="6">
        <v>42922</v>
      </c>
      <c r="C376" s="7">
        <v>0.52767361111111111</v>
      </c>
      <c r="D376" s="8">
        <v>0.52850694444444446</v>
      </c>
      <c r="E376">
        <v>1</v>
      </c>
      <c r="G376" s="18">
        <v>1521041994</v>
      </c>
      <c r="H376">
        <v>1</v>
      </c>
    </row>
    <row r="377" spans="1:8" x14ac:dyDescent="0.35">
      <c r="A377" s="9">
        <v>25133293</v>
      </c>
      <c r="B377" s="10">
        <v>42922</v>
      </c>
      <c r="C377" s="11">
        <v>0.528900462962963</v>
      </c>
      <c r="D377" s="12">
        <v>0.53740740740740744</v>
      </c>
      <c r="E377">
        <v>1</v>
      </c>
      <c r="G377" s="18">
        <v>90271112</v>
      </c>
      <c r="H377">
        <v>1</v>
      </c>
    </row>
    <row r="378" spans="1:8" x14ac:dyDescent="0.35">
      <c r="A378" s="5">
        <v>5036422</v>
      </c>
      <c r="B378" s="6">
        <v>42922</v>
      </c>
      <c r="C378" s="7">
        <v>0.52986111111111112</v>
      </c>
      <c r="D378" s="8">
        <v>0.53047453703703706</v>
      </c>
      <c r="E378">
        <v>1</v>
      </c>
      <c r="G378" s="18">
        <v>1731500345</v>
      </c>
      <c r="H378">
        <v>1</v>
      </c>
    </row>
    <row r="379" spans="1:8" x14ac:dyDescent="0.35">
      <c r="A379" s="9">
        <v>4283724</v>
      </c>
      <c r="B379" s="10">
        <v>42922</v>
      </c>
      <c r="C379" s="11">
        <v>0.53134259259259264</v>
      </c>
      <c r="D379" s="12">
        <v>0.53738425925925926</v>
      </c>
      <c r="E379">
        <v>1</v>
      </c>
      <c r="G379" s="18">
        <v>90417363</v>
      </c>
      <c r="H379">
        <v>1</v>
      </c>
    </row>
    <row r="380" spans="1:8" x14ac:dyDescent="0.35">
      <c r="A380" s="5">
        <v>5856822</v>
      </c>
      <c r="B380" s="6">
        <v>42922</v>
      </c>
      <c r="C380" s="7">
        <v>0.533599537037037</v>
      </c>
      <c r="D380" s="8">
        <v>0.53469907407407402</v>
      </c>
      <c r="E380">
        <v>1</v>
      </c>
      <c r="G380" s="18">
        <v>1822675725</v>
      </c>
      <c r="H380">
        <v>1</v>
      </c>
    </row>
    <row r="381" spans="1:8" x14ac:dyDescent="0.35">
      <c r="A381" s="9">
        <v>7880396</v>
      </c>
      <c r="B381" s="10">
        <v>42922</v>
      </c>
      <c r="C381" s="11">
        <v>0.53796296296296298</v>
      </c>
      <c r="D381" s="12">
        <v>0.54479166666666667</v>
      </c>
      <c r="E381">
        <v>1</v>
      </c>
      <c r="G381" s="18">
        <v>90532439</v>
      </c>
      <c r="H381">
        <v>1</v>
      </c>
    </row>
    <row r="382" spans="1:8" x14ac:dyDescent="0.35">
      <c r="A382" s="5">
        <v>2201085</v>
      </c>
      <c r="B382" s="6">
        <v>42922</v>
      </c>
      <c r="C382" s="7">
        <v>0.54072916666666671</v>
      </c>
      <c r="D382" s="8">
        <v>0.544525462962963</v>
      </c>
      <c r="E382">
        <v>1</v>
      </c>
      <c r="G382" s="18">
        <v>1936989939</v>
      </c>
      <c r="H382">
        <v>1</v>
      </c>
    </row>
    <row r="383" spans="1:8" x14ac:dyDescent="0.35">
      <c r="A383" s="9">
        <v>30893038</v>
      </c>
      <c r="B383" s="10">
        <v>42922</v>
      </c>
      <c r="C383" s="11">
        <v>0.54082175925925924</v>
      </c>
      <c r="D383" s="12">
        <v>0.54995370370370367</v>
      </c>
      <c r="E383">
        <v>1</v>
      </c>
      <c r="G383" s="18">
        <v>90533733</v>
      </c>
      <c r="H383">
        <v>1</v>
      </c>
    </row>
    <row r="384" spans="1:8" x14ac:dyDescent="0.35">
      <c r="A384" s="5">
        <v>9319894</v>
      </c>
      <c r="B384" s="6">
        <v>42922</v>
      </c>
      <c r="C384" s="7">
        <v>0.54207175925925921</v>
      </c>
      <c r="D384" s="8">
        <v>0.54953703703703705</v>
      </c>
      <c r="E384">
        <v>1</v>
      </c>
      <c r="G384" s="18">
        <v>71036125</v>
      </c>
      <c r="H384">
        <v>1</v>
      </c>
    </row>
    <row r="385" spans="1:8" x14ac:dyDescent="0.35">
      <c r="A385" s="9">
        <v>3211876</v>
      </c>
      <c r="B385" s="10">
        <v>42922</v>
      </c>
      <c r="C385" s="11">
        <v>0.54693287037037042</v>
      </c>
      <c r="D385" s="12">
        <v>0.54781250000000004</v>
      </c>
      <c r="E385">
        <v>1</v>
      </c>
      <c r="G385" s="18">
        <v>90762334</v>
      </c>
      <c r="H385">
        <v>1</v>
      </c>
    </row>
    <row r="386" spans="1:8" x14ac:dyDescent="0.35">
      <c r="A386" s="5">
        <v>4736016</v>
      </c>
      <c r="B386" s="6">
        <v>42922</v>
      </c>
      <c r="C386" s="7">
        <v>0.55115740740740737</v>
      </c>
      <c r="D386" s="8">
        <v>0.55248842592592595</v>
      </c>
      <c r="E386">
        <v>1</v>
      </c>
      <c r="G386" s="18">
        <v>2079170589</v>
      </c>
      <c r="H386">
        <v>1</v>
      </c>
    </row>
    <row r="387" spans="1:8" x14ac:dyDescent="0.35">
      <c r="A387" s="9">
        <v>8063487</v>
      </c>
      <c r="B387" s="10">
        <v>42922</v>
      </c>
      <c r="C387" s="11">
        <v>0.55269675925925921</v>
      </c>
      <c r="D387" s="12">
        <v>0.56017361111111108</v>
      </c>
      <c r="E387">
        <v>1</v>
      </c>
      <c r="G387" s="18">
        <v>90880011</v>
      </c>
      <c r="H387">
        <v>1</v>
      </c>
    </row>
    <row r="388" spans="1:8" x14ac:dyDescent="0.35">
      <c r="A388" s="5">
        <v>1319121</v>
      </c>
      <c r="B388" s="6">
        <v>42922</v>
      </c>
      <c r="C388" s="7">
        <v>0.55652777777777773</v>
      </c>
      <c r="D388" s="8">
        <v>0.55682870370370374</v>
      </c>
      <c r="E388">
        <v>1</v>
      </c>
      <c r="G388" s="18">
        <v>71207090</v>
      </c>
      <c r="H388">
        <v>1</v>
      </c>
    </row>
    <row r="389" spans="1:8" x14ac:dyDescent="0.35">
      <c r="A389" s="9">
        <v>5026277</v>
      </c>
      <c r="B389" s="10">
        <v>42922</v>
      </c>
      <c r="C389" s="11">
        <v>0.55969907407407404</v>
      </c>
      <c r="D389" s="12">
        <v>0.5655324074074074</v>
      </c>
      <c r="E389">
        <v>1</v>
      </c>
      <c r="G389" s="18">
        <v>90884366</v>
      </c>
      <c r="H389">
        <v>1</v>
      </c>
    </row>
    <row r="390" spans="1:8" x14ac:dyDescent="0.35">
      <c r="A390" s="5">
        <v>8768896</v>
      </c>
      <c r="B390" s="6">
        <v>42922</v>
      </c>
      <c r="C390" s="7">
        <v>0.55982638888888892</v>
      </c>
      <c r="D390" s="8">
        <v>0.57039351851851849</v>
      </c>
      <c r="E390">
        <v>1</v>
      </c>
      <c r="G390" s="18">
        <v>71218936</v>
      </c>
      <c r="H390">
        <v>1</v>
      </c>
    </row>
    <row r="391" spans="1:8" x14ac:dyDescent="0.35">
      <c r="A391" s="9">
        <v>48661666</v>
      </c>
      <c r="B391" s="10">
        <v>42922</v>
      </c>
      <c r="C391" s="11">
        <v>0.56123842592592588</v>
      </c>
      <c r="D391" s="12">
        <v>0.56376157407407412</v>
      </c>
      <c r="E391">
        <v>1</v>
      </c>
      <c r="G391" s="18">
        <v>90993861</v>
      </c>
      <c r="H391">
        <v>1</v>
      </c>
    </row>
    <row r="392" spans="1:8" x14ac:dyDescent="0.35">
      <c r="A392" s="5">
        <v>9304830</v>
      </c>
      <c r="B392" s="6">
        <v>42922</v>
      </c>
      <c r="C392" s="7">
        <v>0.56671296296296292</v>
      </c>
      <c r="D392" s="8">
        <v>0.56832175925925921</v>
      </c>
      <c r="E392">
        <v>1</v>
      </c>
      <c r="G392" s="18">
        <v>3273221616</v>
      </c>
      <c r="H392">
        <v>1</v>
      </c>
    </row>
    <row r="393" spans="1:8" x14ac:dyDescent="0.35">
      <c r="A393" s="9">
        <v>3040267</v>
      </c>
      <c r="B393" s="10">
        <v>42922</v>
      </c>
      <c r="C393" s="11">
        <v>0.56738425925925928</v>
      </c>
      <c r="D393" s="12">
        <v>0.578587962962963</v>
      </c>
      <c r="E393">
        <v>1</v>
      </c>
      <c r="G393" s="18">
        <v>91032395</v>
      </c>
      <c r="H393">
        <v>1</v>
      </c>
    </row>
    <row r="394" spans="1:8" x14ac:dyDescent="0.35">
      <c r="A394" s="5">
        <v>8405954</v>
      </c>
      <c r="B394" s="6">
        <v>42922</v>
      </c>
      <c r="C394" s="7">
        <v>0.57164351851851847</v>
      </c>
      <c r="D394" s="8">
        <v>0.57528935185185182</v>
      </c>
      <c r="E394">
        <v>1</v>
      </c>
      <c r="G394" s="18">
        <v>3379007610</v>
      </c>
      <c r="H394">
        <v>1</v>
      </c>
    </row>
    <row r="395" spans="1:8" x14ac:dyDescent="0.35">
      <c r="A395" s="9">
        <v>75873682</v>
      </c>
      <c r="B395" s="10">
        <v>42922</v>
      </c>
      <c r="C395" s="11">
        <v>0.57399305555555558</v>
      </c>
      <c r="D395" s="12">
        <v>0.58403935185185185</v>
      </c>
      <c r="E395">
        <v>1</v>
      </c>
      <c r="G395" s="18">
        <v>91129571</v>
      </c>
      <c r="H395">
        <v>1</v>
      </c>
    </row>
    <row r="396" spans="1:8" x14ac:dyDescent="0.35">
      <c r="A396" s="5">
        <v>5984039</v>
      </c>
      <c r="B396" s="6">
        <v>42922</v>
      </c>
      <c r="C396" s="7">
        <v>0.57586805555555554</v>
      </c>
      <c r="D396" s="8">
        <v>0.57981481481481478</v>
      </c>
      <c r="E396">
        <v>1</v>
      </c>
      <c r="G396" s="18">
        <v>3414247278</v>
      </c>
      <c r="H396">
        <v>1</v>
      </c>
    </row>
    <row r="397" spans="1:8" x14ac:dyDescent="0.35">
      <c r="A397" s="9">
        <v>9807682</v>
      </c>
      <c r="B397" s="10">
        <v>42922</v>
      </c>
      <c r="C397" s="11">
        <v>0.57592592592592595</v>
      </c>
      <c r="D397" s="12">
        <v>0.57924768518518521</v>
      </c>
      <c r="E397">
        <v>1</v>
      </c>
      <c r="G397" s="18">
        <v>91208799</v>
      </c>
      <c r="H397">
        <v>1</v>
      </c>
    </row>
    <row r="398" spans="1:8" x14ac:dyDescent="0.35">
      <c r="A398" s="5">
        <v>3029994</v>
      </c>
      <c r="B398" s="6">
        <v>42922</v>
      </c>
      <c r="C398" s="7">
        <v>0.57737268518518514</v>
      </c>
      <c r="D398" s="8">
        <v>0.58391203703703709</v>
      </c>
      <c r="E398">
        <v>1</v>
      </c>
      <c r="G398" s="18">
        <v>3758539398</v>
      </c>
      <c r="H398">
        <v>1</v>
      </c>
    </row>
    <row r="399" spans="1:8" x14ac:dyDescent="0.35">
      <c r="A399" s="9">
        <v>9415767851</v>
      </c>
      <c r="B399" s="10">
        <v>42922</v>
      </c>
      <c r="C399" s="11">
        <v>0.5827430555555555</v>
      </c>
      <c r="D399" s="12">
        <v>0.58309027777777778</v>
      </c>
      <c r="E399">
        <v>1</v>
      </c>
      <c r="G399" s="18">
        <v>91626903</v>
      </c>
      <c r="H399">
        <v>1</v>
      </c>
    </row>
    <row r="400" spans="1:8" x14ac:dyDescent="0.35">
      <c r="A400" s="5">
        <v>2388040</v>
      </c>
      <c r="B400" s="6">
        <v>42922</v>
      </c>
      <c r="C400" s="7">
        <v>0.58496527777777774</v>
      </c>
      <c r="D400" s="8">
        <v>0.59334490740740742</v>
      </c>
      <c r="E400">
        <v>1</v>
      </c>
      <c r="G400" s="18">
        <v>3897850970</v>
      </c>
      <c r="H400">
        <v>1</v>
      </c>
    </row>
    <row r="401" spans="1:8" x14ac:dyDescent="0.35">
      <c r="A401" s="9">
        <v>41974998</v>
      </c>
      <c r="B401" s="10">
        <v>42922</v>
      </c>
      <c r="C401" s="11">
        <v>0.58890046296296295</v>
      </c>
      <c r="D401" s="12">
        <v>0.59614583333333337</v>
      </c>
      <c r="E401">
        <v>1</v>
      </c>
      <c r="G401" s="18">
        <v>91743317</v>
      </c>
      <c r="H401">
        <v>1</v>
      </c>
    </row>
    <row r="402" spans="1:8" x14ac:dyDescent="0.35">
      <c r="A402" s="5">
        <v>8400710</v>
      </c>
      <c r="B402" s="6">
        <v>42922</v>
      </c>
      <c r="C402" s="7">
        <v>0.59182870370370366</v>
      </c>
      <c r="D402" s="8">
        <v>0.59376157407407404</v>
      </c>
      <c r="E402">
        <v>1</v>
      </c>
      <c r="G402" s="18">
        <v>3968528766</v>
      </c>
      <c r="H402">
        <v>1</v>
      </c>
    </row>
    <row r="403" spans="1:8" x14ac:dyDescent="0.35">
      <c r="A403" s="9">
        <v>1088377750</v>
      </c>
      <c r="B403" s="10">
        <v>42922</v>
      </c>
      <c r="C403" s="11">
        <v>0.59666666666666668</v>
      </c>
      <c r="D403" s="12">
        <v>0.5975462962962963</v>
      </c>
      <c r="E403">
        <v>1</v>
      </c>
      <c r="G403" s="18">
        <v>69001821</v>
      </c>
      <c r="H403">
        <v>1</v>
      </c>
    </row>
    <row r="404" spans="1:8" x14ac:dyDescent="0.35">
      <c r="A404" s="5">
        <v>62016185</v>
      </c>
      <c r="B404" s="6">
        <v>42922</v>
      </c>
      <c r="C404" s="7">
        <v>0.60146990740740736</v>
      </c>
      <c r="D404" s="8">
        <v>0.60932870370370373</v>
      </c>
      <c r="E404">
        <v>1</v>
      </c>
      <c r="G404" s="18">
        <v>4045129075</v>
      </c>
      <c r="H404">
        <v>1</v>
      </c>
    </row>
    <row r="405" spans="1:8" x14ac:dyDescent="0.35">
      <c r="A405" s="9">
        <v>4002406</v>
      </c>
      <c r="B405" s="10">
        <v>42922</v>
      </c>
      <c r="C405" s="11">
        <v>0.60247685185185185</v>
      </c>
      <c r="D405" s="12">
        <v>0.60782407407407413</v>
      </c>
      <c r="E405">
        <v>1</v>
      </c>
      <c r="G405" s="18">
        <v>92127966</v>
      </c>
      <c r="H405">
        <v>1</v>
      </c>
    </row>
    <row r="406" spans="1:8" x14ac:dyDescent="0.35">
      <c r="A406" s="5">
        <v>2394144</v>
      </c>
      <c r="B406" s="6">
        <v>42922</v>
      </c>
      <c r="C406" s="7">
        <v>0.60774305555555552</v>
      </c>
      <c r="D406" s="8">
        <v>0.61297453703703708</v>
      </c>
      <c r="E406">
        <v>1</v>
      </c>
      <c r="G406" s="18">
        <v>4344184930</v>
      </c>
      <c r="H406">
        <v>1</v>
      </c>
    </row>
    <row r="407" spans="1:8" x14ac:dyDescent="0.35">
      <c r="A407" s="9">
        <v>9763924</v>
      </c>
      <c r="B407" s="10">
        <v>42922</v>
      </c>
      <c r="C407" s="11">
        <v>0.611724537037037</v>
      </c>
      <c r="D407" s="12">
        <v>0.62217592592592597</v>
      </c>
      <c r="E407">
        <v>1</v>
      </c>
      <c r="G407" s="18">
        <v>92326393</v>
      </c>
      <c r="H407">
        <v>1</v>
      </c>
    </row>
    <row r="408" spans="1:8" x14ac:dyDescent="0.35">
      <c r="A408" s="5">
        <v>7977726</v>
      </c>
      <c r="B408" s="6">
        <v>42922</v>
      </c>
      <c r="C408" s="7">
        <v>0.6139930555555555</v>
      </c>
      <c r="D408" s="8">
        <v>0.62364583333333334</v>
      </c>
      <c r="E408">
        <v>1</v>
      </c>
      <c r="G408" s="18">
        <v>71564278</v>
      </c>
      <c r="H408">
        <v>1</v>
      </c>
    </row>
    <row r="409" spans="1:8" x14ac:dyDescent="0.35">
      <c r="A409" s="9">
        <v>7219884</v>
      </c>
      <c r="B409" s="10">
        <v>42922</v>
      </c>
      <c r="C409" s="11">
        <v>0.61871527777777779</v>
      </c>
      <c r="D409" s="12">
        <v>0.62458333333333338</v>
      </c>
      <c r="E409">
        <v>1</v>
      </c>
      <c r="G409" s="18">
        <v>92414932</v>
      </c>
      <c r="H409">
        <v>1</v>
      </c>
    </row>
    <row r="410" spans="1:8" x14ac:dyDescent="0.35">
      <c r="A410" s="5">
        <v>8211396842</v>
      </c>
      <c r="B410" s="6">
        <v>42922</v>
      </c>
      <c r="C410" s="7">
        <v>0.6237731481481481</v>
      </c>
      <c r="D410" s="8">
        <v>0.63299768518518518</v>
      </c>
      <c r="E410">
        <v>1</v>
      </c>
      <c r="G410" s="18">
        <v>4941247888</v>
      </c>
      <c r="H410">
        <v>1</v>
      </c>
    </row>
    <row r="411" spans="1:8" x14ac:dyDescent="0.35">
      <c r="A411" s="9">
        <v>4860618</v>
      </c>
      <c r="B411" s="10">
        <v>42922</v>
      </c>
      <c r="C411" s="11">
        <v>0.62396990740740743</v>
      </c>
      <c r="D411" s="12">
        <v>0.62693287037037038</v>
      </c>
      <c r="E411">
        <v>1</v>
      </c>
      <c r="G411" s="18">
        <v>92461001</v>
      </c>
      <c r="H411">
        <v>1</v>
      </c>
    </row>
    <row r="412" spans="1:8" x14ac:dyDescent="0.35">
      <c r="A412" s="5">
        <v>6772052</v>
      </c>
      <c r="B412" s="6">
        <v>42922</v>
      </c>
      <c r="C412" s="7">
        <v>0.62491898148148151</v>
      </c>
      <c r="D412" s="8">
        <v>0.63265046296296301</v>
      </c>
      <c r="E412">
        <v>1</v>
      </c>
      <c r="G412" s="18">
        <v>71730854</v>
      </c>
      <c r="H412">
        <v>1</v>
      </c>
    </row>
    <row r="413" spans="1:8" x14ac:dyDescent="0.35">
      <c r="A413" s="9">
        <v>6290575</v>
      </c>
      <c r="B413" s="10">
        <v>42922</v>
      </c>
      <c r="C413" s="11">
        <v>0.62614583333333329</v>
      </c>
      <c r="D413" s="12">
        <v>0.6318287037037037</v>
      </c>
      <c r="E413">
        <v>1</v>
      </c>
      <c r="G413" s="18">
        <v>92597723</v>
      </c>
      <c r="H413">
        <v>1</v>
      </c>
    </row>
    <row r="414" spans="1:8" x14ac:dyDescent="0.35">
      <c r="A414" s="5">
        <v>13972929</v>
      </c>
      <c r="B414" s="6">
        <v>42923</v>
      </c>
      <c r="C414" s="7">
        <v>0.33677083333333335</v>
      </c>
      <c r="D414" s="8">
        <v>0.34700231481481481</v>
      </c>
      <c r="E414">
        <v>1</v>
      </c>
      <c r="G414" s="18">
        <v>5273579381</v>
      </c>
      <c r="H414">
        <v>1</v>
      </c>
    </row>
    <row r="415" spans="1:8" x14ac:dyDescent="0.35">
      <c r="A415" s="9">
        <v>7663988</v>
      </c>
      <c r="B415" s="10">
        <v>42923</v>
      </c>
      <c r="C415" s="11">
        <v>0.34092592592592591</v>
      </c>
      <c r="D415" s="12">
        <v>0.3448148148148148</v>
      </c>
      <c r="E415">
        <v>1</v>
      </c>
      <c r="G415" s="18">
        <v>93050839</v>
      </c>
      <c r="H415">
        <v>1</v>
      </c>
    </row>
    <row r="416" spans="1:8" x14ac:dyDescent="0.35">
      <c r="A416" s="5">
        <v>90532439</v>
      </c>
      <c r="B416" s="6">
        <v>42923</v>
      </c>
      <c r="C416" s="7">
        <v>0.34288194444444442</v>
      </c>
      <c r="D416" s="8">
        <v>0.34506944444444443</v>
      </c>
      <c r="E416">
        <v>1</v>
      </c>
      <c r="G416" s="18">
        <v>72014227</v>
      </c>
      <c r="H416">
        <v>1</v>
      </c>
    </row>
    <row r="417" spans="1:8" x14ac:dyDescent="0.35">
      <c r="A417" s="9">
        <v>5505912</v>
      </c>
      <c r="B417" s="10">
        <v>42923</v>
      </c>
      <c r="C417" s="11">
        <v>0.34465277777777775</v>
      </c>
      <c r="D417" s="12">
        <v>0.34819444444444442</v>
      </c>
      <c r="E417">
        <v>1</v>
      </c>
      <c r="G417" s="18">
        <v>8799928507</v>
      </c>
      <c r="H417">
        <v>1</v>
      </c>
    </row>
    <row r="418" spans="1:8" x14ac:dyDescent="0.35">
      <c r="A418" s="5">
        <v>5505912</v>
      </c>
      <c r="B418" s="6">
        <v>42923</v>
      </c>
      <c r="C418" s="7">
        <v>0.34848379629629628</v>
      </c>
      <c r="D418" s="8">
        <v>0.35015046296296298</v>
      </c>
      <c r="E418">
        <v>1</v>
      </c>
      <c r="G418" s="18">
        <v>5526425146</v>
      </c>
      <c r="H418">
        <v>1</v>
      </c>
    </row>
    <row r="419" spans="1:8" x14ac:dyDescent="0.35">
      <c r="A419" s="9">
        <v>70678482</v>
      </c>
      <c r="B419" s="10">
        <v>42923</v>
      </c>
      <c r="C419" s="11">
        <v>0.35130787037037037</v>
      </c>
      <c r="D419" s="12">
        <v>0.35899305555555555</v>
      </c>
      <c r="E419">
        <v>1</v>
      </c>
      <c r="G419" s="18">
        <v>69273048</v>
      </c>
      <c r="H419">
        <v>1</v>
      </c>
    </row>
    <row r="420" spans="1:8" x14ac:dyDescent="0.35">
      <c r="A420" s="5">
        <v>6578914</v>
      </c>
      <c r="B420" s="6">
        <v>42923</v>
      </c>
      <c r="C420" s="7">
        <v>0.35699074074074072</v>
      </c>
      <c r="D420" s="8">
        <v>0.36546296296296299</v>
      </c>
      <c r="E420">
        <v>1</v>
      </c>
      <c r="G420" s="18">
        <v>5839324907</v>
      </c>
      <c r="H420">
        <v>1</v>
      </c>
    </row>
    <row r="421" spans="1:8" x14ac:dyDescent="0.35">
      <c r="A421" s="9">
        <v>3444629</v>
      </c>
      <c r="B421" s="10">
        <v>42923</v>
      </c>
      <c r="C421" s="11">
        <v>0.36015046296296294</v>
      </c>
      <c r="D421" s="12">
        <v>0.36656250000000001</v>
      </c>
      <c r="E421">
        <v>1</v>
      </c>
      <c r="G421" s="18">
        <v>9127211929</v>
      </c>
      <c r="H421">
        <v>1</v>
      </c>
    </row>
    <row r="422" spans="1:8" x14ac:dyDescent="0.35">
      <c r="A422" s="5">
        <v>95211263</v>
      </c>
      <c r="B422" s="6">
        <v>42923</v>
      </c>
      <c r="C422" s="7">
        <v>0.36069444444444443</v>
      </c>
      <c r="D422" s="8">
        <v>0.36572916666666666</v>
      </c>
      <c r="E422">
        <v>1</v>
      </c>
      <c r="G422" s="18">
        <v>6128500046</v>
      </c>
      <c r="H422">
        <v>1</v>
      </c>
    </row>
    <row r="423" spans="1:8" x14ac:dyDescent="0.35">
      <c r="A423" s="9">
        <v>9468070</v>
      </c>
      <c r="B423" s="10">
        <v>42923</v>
      </c>
      <c r="C423" s="11">
        <v>0.36225694444444445</v>
      </c>
      <c r="D423" s="12">
        <v>0.36364583333333333</v>
      </c>
      <c r="E423">
        <v>1</v>
      </c>
      <c r="G423" s="18">
        <v>9259392564</v>
      </c>
      <c r="H423">
        <v>1</v>
      </c>
    </row>
    <row r="424" spans="1:8" x14ac:dyDescent="0.35">
      <c r="A424" s="5">
        <v>31516318</v>
      </c>
      <c r="B424" s="6">
        <v>42923</v>
      </c>
      <c r="C424" s="7">
        <v>0.36267361111111113</v>
      </c>
      <c r="D424" s="8">
        <v>0.36622685185185183</v>
      </c>
      <c r="E424">
        <v>1</v>
      </c>
      <c r="G424" s="18">
        <v>72287838</v>
      </c>
      <c r="H424">
        <v>1</v>
      </c>
    </row>
    <row r="425" spans="1:8" x14ac:dyDescent="0.35">
      <c r="A425" s="9">
        <v>9865716</v>
      </c>
      <c r="B425" s="10">
        <v>42923</v>
      </c>
      <c r="C425" s="11">
        <v>0.36584490740740738</v>
      </c>
      <c r="D425" s="12">
        <v>0.37709490740740742</v>
      </c>
      <c r="E425">
        <v>1</v>
      </c>
      <c r="G425" s="18">
        <v>9564752674</v>
      </c>
      <c r="H425">
        <v>1</v>
      </c>
    </row>
    <row r="426" spans="1:8" x14ac:dyDescent="0.35">
      <c r="A426" s="5">
        <v>8163790</v>
      </c>
      <c r="B426" s="6">
        <v>42923</v>
      </c>
      <c r="C426" s="7">
        <v>0.36885416666666665</v>
      </c>
      <c r="D426" s="8">
        <v>0.36932870370370369</v>
      </c>
      <c r="E426">
        <v>1</v>
      </c>
      <c r="G426" s="18">
        <v>6516534288</v>
      </c>
      <c r="H426">
        <v>1</v>
      </c>
    </row>
    <row r="427" spans="1:8" x14ac:dyDescent="0.35">
      <c r="A427" s="9">
        <v>18070008</v>
      </c>
      <c r="B427" s="10">
        <v>42923</v>
      </c>
      <c r="C427" s="11">
        <v>0.36996527777777777</v>
      </c>
      <c r="D427" s="12">
        <v>0.37149305555555556</v>
      </c>
      <c r="E427">
        <v>1</v>
      </c>
      <c r="G427" s="18">
        <v>9967523741</v>
      </c>
      <c r="H427">
        <v>1</v>
      </c>
    </row>
    <row r="428" spans="1:8" x14ac:dyDescent="0.35">
      <c r="A428" s="5">
        <v>1119740</v>
      </c>
      <c r="B428" s="6">
        <v>42923</v>
      </c>
      <c r="C428" s="7">
        <v>0.37112268518518521</v>
      </c>
      <c r="D428" s="8">
        <v>0.37534722222222222</v>
      </c>
      <c r="E428">
        <v>1</v>
      </c>
      <c r="G428" s="18">
        <v>6637746981</v>
      </c>
      <c r="H428">
        <v>1</v>
      </c>
    </row>
    <row r="429" spans="1:8" x14ac:dyDescent="0.35">
      <c r="A429" s="9">
        <v>94634526</v>
      </c>
      <c r="B429" s="10">
        <v>42923</v>
      </c>
      <c r="C429" s="11">
        <v>0.3721990740740741</v>
      </c>
      <c r="D429" s="12">
        <v>0.37956018518518519</v>
      </c>
      <c r="E429">
        <v>1</v>
      </c>
      <c r="G429" s="18">
        <v>94989369</v>
      </c>
      <c r="H429">
        <v>1</v>
      </c>
    </row>
    <row r="430" spans="1:8" x14ac:dyDescent="0.35">
      <c r="A430" s="5">
        <v>67964973</v>
      </c>
      <c r="B430" s="6">
        <v>42923</v>
      </c>
      <c r="C430" s="7">
        <v>0.37445601851851851</v>
      </c>
      <c r="D430" s="8">
        <v>0.38145833333333334</v>
      </c>
      <c r="E430">
        <v>1</v>
      </c>
      <c r="G430" s="18">
        <v>6700458395</v>
      </c>
      <c r="H430">
        <v>1</v>
      </c>
    </row>
    <row r="431" spans="1:8" x14ac:dyDescent="0.35">
      <c r="A431" s="9">
        <v>3505978</v>
      </c>
      <c r="B431" s="10">
        <v>42923</v>
      </c>
      <c r="C431" s="11">
        <v>0.3767476851851852</v>
      </c>
      <c r="D431" s="12">
        <v>0.38192129629629629</v>
      </c>
      <c r="E431">
        <v>1</v>
      </c>
      <c r="G431" s="18">
        <v>95211263</v>
      </c>
      <c r="H431">
        <v>1</v>
      </c>
    </row>
    <row r="432" spans="1:8" x14ac:dyDescent="0.35">
      <c r="A432" s="5">
        <v>8685299481</v>
      </c>
      <c r="B432" s="6">
        <v>42923</v>
      </c>
      <c r="C432" s="7">
        <v>0.3778009259259259</v>
      </c>
      <c r="D432" s="8">
        <v>0.37927083333333333</v>
      </c>
      <c r="E432">
        <v>1</v>
      </c>
      <c r="G432" s="18">
        <v>6766787935</v>
      </c>
      <c r="H432">
        <v>1</v>
      </c>
    </row>
    <row r="433" spans="1:8" x14ac:dyDescent="0.35">
      <c r="A433" s="9">
        <v>8863988</v>
      </c>
      <c r="B433" s="10">
        <v>42923</v>
      </c>
      <c r="C433" s="11">
        <v>0.37998842592592591</v>
      </c>
      <c r="D433" s="12">
        <v>0.38434027777777779</v>
      </c>
      <c r="E433">
        <v>1</v>
      </c>
      <c r="G433" s="18">
        <v>95805020</v>
      </c>
      <c r="H433">
        <v>1</v>
      </c>
    </row>
    <row r="434" spans="1:8" x14ac:dyDescent="0.35">
      <c r="A434" s="5">
        <v>29121099</v>
      </c>
      <c r="B434" s="6">
        <v>42923</v>
      </c>
      <c r="C434" s="7">
        <v>0.3835763888888889</v>
      </c>
      <c r="D434" s="8">
        <v>0.38965277777777779</v>
      </c>
      <c r="E434">
        <v>1</v>
      </c>
      <c r="G434" s="18">
        <v>6965661375</v>
      </c>
      <c r="H434">
        <v>1</v>
      </c>
    </row>
    <row r="435" spans="1:8" x14ac:dyDescent="0.35">
      <c r="A435" s="9">
        <v>2814524</v>
      </c>
      <c r="B435" s="10">
        <v>42923</v>
      </c>
      <c r="C435" s="11">
        <v>0.38922453703703702</v>
      </c>
      <c r="D435" s="12">
        <v>0.39096064814814813</v>
      </c>
      <c r="E435">
        <v>1</v>
      </c>
      <c r="G435" s="18">
        <v>69734527</v>
      </c>
      <c r="H435">
        <v>1</v>
      </c>
    </row>
    <row r="436" spans="1:8" x14ac:dyDescent="0.35">
      <c r="A436" s="5">
        <v>5341697748</v>
      </c>
      <c r="B436" s="6">
        <v>42923</v>
      </c>
      <c r="C436" s="7">
        <v>0.39091435185185186</v>
      </c>
      <c r="D436" s="8">
        <v>0.39620370370370372</v>
      </c>
      <c r="E436">
        <v>1</v>
      </c>
      <c r="G436" s="18">
        <v>7138804596</v>
      </c>
      <c r="H436">
        <v>1</v>
      </c>
    </row>
    <row r="437" spans="1:8" x14ac:dyDescent="0.35">
      <c r="A437" s="9">
        <v>4102482</v>
      </c>
      <c r="B437" s="10">
        <v>42923</v>
      </c>
      <c r="C437" s="11">
        <v>0.39196759259259262</v>
      </c>
      <c r="D437" s="12">
        <v>0.39486111111111111</v>
      </c>
      <c r="E437">
        <v>1</v>
      </c>
      <c r="G437" s="18">
        <v>96302157</v>
      </c>
      <c r="H437">
        <v>1</v>
      </c>
    </row>
    <row r="438" spans="1:8" x14ac:dyDescent="0.35">
      <c r="A438" s="5">
        <v>5636281</v>
      </c>
      <c r="B438" s="6">
        <v>42923</v>
      </c>
      <c r="C438" s="7">
        <v>0.39731481481481479</v>
      </c>
      <c r="D438" s="8">
        <v>0.40688657407407408</v>
      </c>
      <c r="E438">
        <v>1</v>
      </c>
      <c r="G438" s="18">
        <v>7451541965</v>
      </c>
      <c r="H438">
        <v>1</v>
      </c>
    </row>
    <row r="439" spans="1:8" x14ac:dyDescent="0.35">
      <c r="A439" s="9">
        <v>7715424</v>
      </c>
      <c r="B439" s="10">
        <v>42923</v>
      </c>
      <c r="C439" s="11">
        <v>0.40283564814814815</v>
      </c>
      <c r="D439" s="12">
        <v>0.41091435185185188</v>
      </c>
      <c r="E439">
        <v>1</v>
      </c>
      <c r="G439" s="18">
        <v>96323047</v>
      </c>
      <c r="H439">
        <v>1</v>
      </c>
    </row>
    <row r="440" spans="1:8" x14ac:dyDescent="0.35">
      <c r="A440" s="5">
        <v>3811342</v>
      </c>
      <c r="B440" s="6">
        <v>42923</v>
      </c>
      <c r="C440" s="7">
        <v>0.4039814814814815</v>
      </c>
      <c r="D440" s="8">
        <v>0.41211805555555553</v>
      </c>
      <c r="E440">
        <v>1</v>
      </c>
      <c r="G440" s="18">
        <v>7662302259</v>
      </c>
      <c r="H440">
        <v>1</v>
      </c>
    </row>
    <row r="441" spans="1:8" x14ac:dyDescent="0.35">
      <c r="A441" s="9">
        <v>8177683</v>
      </c>
      <c r="B441" s="10">
        <v>42923</v>
      </c>
      <c r="C441" s="11">
        <v>0.40534722222222225</v>
      </c>
      <c r="D441" s="12">
        <v>0.40887731481481482</v>
      </c>
      <c r="E441">
        <v>1</v>
      </c>
      <c r="G441" s="18">
        <v>64932677</v>
      </c>
      <c r="H441">
        <v>1</v>
      </c>
    </row>
    <row r="442" spans="1:8" x14ac:dyDescent="0.35">
      <c r="A442" s="5">
        <v>51367705</v>
      </c>
      <c r="B442" s="6">
        <v>42923</v>
      </c>
      <c r="C442" s="7">
        <v>0.41025462962962961</v>
      </c>
      <c r="D442" s="8">
        <v>0.41064814814814815</v>
      </c>
      <c r="E442">
        <v>1</v>
      </c>
      <c r="G442" s="18">
        <v>7894591002</v>
      </c>
      <c r="H442">
        <v>1</v>
      </c>
    </row>
    <row r="443" spans="1:8" x14ac:dyDescent="0.35">
      <c r="A443" s="9">
        <v>7646265</v>
      </c>
      <c r="B443" s="10">
        <v>42923</v>
      </c>
      <c r="C443" s="11">
        <v>0.4103472222222222</v>
      </c>
      <c r="D443" s="12">
        <v>0.41578703703703701</v>
      </c>
      <c r="E443">
        <v>1</v>
      </c>
      <c r="G443" s="18">
        <v>96381896</v>
      </c>
      <c r="H443">
        <v>1</v>
      </c>
    </row>
    <row r="444" spans="1:8" x14ac:dyDescent="0.35">
      <c r="A444" s="5">
        <v>37906881</v>
      </c>
      <c r="B444" s="6">
        <v>42923</v>
      </c>
      <c r="C444" s="7">
        <v>0.41248842592592594</v>
      </c>
      <c r="D444" s="8">
        <v>0.41328703703703706</v>
      </c>
      <c r="E444">
        <v>1</v>
      </c>
      <c r="G444" s="18">
        <v>8126744698</v>
      </c>
      <c r="H444">
        <v>1</v>
      </c>
    </row>
    <row r="445" spans="1:8" x14ac:dyDescent="0.35">
      <c r="A445" s="9">
        <v>9740908</v>
      </c>
      <c r="B445" s="10">
        <v>42923</v>
      </c>
      <c r="C445" s="11">
        <v>0.41260416666666666</v>
      </c>
      <c r="D445" s="12">
        <v>0.41520833333333335</v>
      </c>
      <c r="E445">
        <v>1</v>
      </c>
      <c r="G445" s="18">
        <v>96404523</v>
      </c>
      <c r="H445">
        <v>1</v>
      </c>
    </row>
    <row r="446" spans="1:8" x14ac:dyDescent="0.35">
      <c r="A446" s="5">
        <v>45948073</v>
      </c>
      <c r="B446" s="6">
        <v>42923</v>
      </c>
      <c r="C446" s="7">
        <v>0.41680555555555554</v>
      </c>
      <c r="D446" s="8">
        <v>0.4243865740740741</v>
      </c>
      <c r="E446">
        <v>1</v>
      </c>
      <c r="G446" s="18">
        <v>8369071681</v>
      </c>
      <c r="H446">
        <v>1</v>
      </c>
    </row>
    <row r="447" spans="1:8" x14ac:dyDescent="0.35">
      <c r="A447" s="9">
        <v>8070345</v>
      </c>
      <c r="B447" s="10">
        <v>42923</v>
      </c>
      <c r="C447" s="11">
        <v>0.41829861111111111</v>
      </c>
      <c r="D447" s="12">
        <v>0.42706018518518518</v>
      </c>
      <c r="E447">
        <v>1</v>
      </c>
      <c r="G447" s="18">
        <v>96424596</v>
      </c>
      <c r="H447">
        <v>1</v>
      </c>
    </row>
    <row r="448" spans="1:8" x14ac:dyDescent="0.35">
      <c r="A448" s="5">
        <v>52214055</v>
      </c>
      <c r="B448" s="6">
        <v>42923</v>
      </c>
      <c r="C448" s="7">
        <v>0.4199074074074074</v>
      </c>
      <c r="D448" s="8">
        <v>0.42357638888888888</v>
      </c>
      <c r="E448">
        <v>1</v>
      </c>
      <c r="G448" s="18">
        <v>8685299481</v>
      </c>
      <c r="H448">
        <v>1</v>
      </c>
    </row>
    <row r="449" spans="1:8" x14ac:dyDescent="0.35">
      <c r="A449" s="9">
        <v>8434044</v>
      </c>
      <c r="B449" s="10">
        <v>42923</v>
      </c>
      <c r="C449" s="11">
        <v>0.42149305555555555</v>
      </c>
      <c r="D449" s="12">
        <v>0.42736111111111114</v>
      </c>
      <c r="E449">
        <v>1</v>
      </c>
      <c r="G449" s="18">
        <v>96620804</v>
      </c>
      <c r="H449">
        <v>1</v>
      </c>
    </row>
    <row r="450" spans="1:8" x14ac:dyDescent="0.35">
      <c r="A450" s="5">
        <v>4702334</v>
      </c>
      <c r="B450" s="6">
        <v>42923</v>
      </c>
      <c r="C450" s="7">
        <v>0.4255902777777778</v>
      </c>
      <c r="D450" s="8">
        <v>0.43464120370370368</v>
      </c>
      <c r="E450">
        <v>1</v>
      </c>
      <c r="G450" s="18">
        <v>8799570155</v>
      </c>
      <c r="H450">
        <v>1</v>
      </c>
    </row>
    <row r="451" spans="1:8" x14ac:dyDescent="0.35">
      <c r="A451" s="9">
        <v>1308483040</v>
      </c>
      <c r="B451" s="10">
        <v>42923</v>
      </c>
      <c r="C451" s="11">
        <v>0.43016203703703704</v>
      </c>
      <c r="D451" s="12">
        <v>0.44123842592592594</v>
      </c>
      <c r="E451">
        <v>1</v>
      </c>
      <c r="G451" s="18">
        <v>96736796</v>
      </c>
      <c r="H451">
        <v>1</v>
      </c>
    </row>
    <row r="452" spans="1:8" x14ac:dyDescent="0.35">
      <c r="A452" s="5">
        <v>34556399</v>
      </c>
      <c r="B452" s="6">
        <v>42923</v>
      </c>
      <c r="C452" s="7">
        <v>0.43146990740740743</v>
      </c>
      <c r="D452" s="8">
        <v>0.43192129629629628</v>
      </c>
      <c r="E452">
        <v>1</v>
      </c>
      <c r="G452" s="18">
        <v>70367818</v>
      </c>
      <c r="H452">
        <v>1</v>
      </c>
    </row>
    <row r="453" spans="1:8" x14ac:dyDescent="0.35">
      <c r="A453" s="9">
        <v>48676568</v>
      </c>
      <c r="B453" s="10">
        <v>42923</v>
      </c>
      <c r="C453" s="11">
        <v>0.43313657407407408</v>
      </c>
      <c r="D453" s="12">
        <v>0.43811342592592595</v>
      </c>
      <c r="E453">
        <v>1</v>
      </c>
      <c r="G453" s="18">
        <v>9028434625</v>
      </c>
      <c r="H453">
        <v>1</v>
      </c>
    </row>
    <row r="454" spans="1:8" x14ac:dyDescent="0.35">
      <c r="A454" s="5">
        <v>1887758</v>
      </c>
      <c r="B454" s="6">
        <v>42923</v>
      </c>
      <c r="C454" s="7">
        <v>0.43752314814814813</v>
      </c>
      <c r="D454" s="8">
        <v>0.44806712962962963</v>
      </c>
      <c r="E454">
        <v>1</v>
      </c>
      <c r="G454" s="18">
        <v>9346036178</v>
      </c>
      <c r="H454">
        <v>1</v>
      </c>
    </row>
    <row r="455" spans="1:8" x14ac:dyDescent="0.35">
      <c r="A455" s="9">
        <v>3505978</v>
      </c>
      <c r="B455" s="10">
        <v>42923</v>
      </c>
      <c r="C455" s="11">
        <v>0.44184027777777779</v>
      </c>
      <c r="D455" s="12">
        <v>0.44582175925925926</v>
      </c>
      <c r="E455">
        <v>1</v>
      </c>
      <c r="G455" s="18">
        <v>9233918039</v>
      </c>
      <c r="H455">
        <v>1</v>
      </c>
    </row>
    <row r="456" spans="1:8" x14ac:dyDescent="0.35">
      <c r="A456" s="5">
        <v>4405604</v>
      </c>
      <c r="B456" s="6">
        <v>42923</v>
      </c>
      <c r="C456" s="7">
        <v>0.44543981481481482</v>
      </c>
      <c r="D456" s="8">
        <v>0.45271990740740742</v>
      </c>
      <c r="E456">
        <v>1</v>
      </c>
      <c r="G456" s="18">
        <v>9415767851</v>
      </c>
      <c r="H456">
        <v>1</v>
      </c>
    </row>
    <row r="457" spans="1:8" x14ac:dyDescent="0.35">
      <c r="A457" s="9">
        <v>2327418</v>
      </c>
      <c r="B457" s="10">
        <v>42923</v>
      </c>
      <c r="C457" s="11">
        <v>0.44775462962962964</v>
      </c>
      <c r="D457" s="12">
        <v>0.45450231481481479</v>
      </c>
      <c r="E457">
        <v>1</v>
      </c>
      <c r="G457" s="18">
        <v>65923776</v>
      </c>
      <c r="H457">
        <v>1</v>
      </c>
    </row>
    <row r="458" spans="1:8" x14ac:dyDescent="0.35">
      <c r="A458" s="5">
        <v>5205087</v>
      </c>
      <c r="B458" s="6">
        <v>42923</v>
      </c>
      <c r="C458" s="7">
        <v>0.44927083333333334</v>
      </c>
      <c r="D458" s="8">
        <v>0.45666666666666667</v>
      </c>
      <c r="E458">
        <v>1</v>
      </c>
      <c r="G458" s="18">
        <v>9532678004</v>
      </c>
      <c r="H458">
        <v>1</v>
      </c>
    </row>
    <row r="459" spans="1:8" x14ac:dyDescent="0.35">
      <c r="A459" s="9">
        <v>1936989939</v>
      </c>
      <c r="B459" s="10">
        <v>42923</v>
      </c>
      <c r="C459" s="11">
        <v>0.45091435185185186</v>
      </c>
      <c r="D459" s="12">
        <v>0.4586574074074074</v>
      </c>
      <c r="E459">
        <v>1</v>
      </c>
      <c r="G459" s="18">
        <v>9489003225</v>
      </c>
      <c r="H459">
        <v>1</v>
      </c>
    </row>
    <row r="460" spans="1:8" x14ac:dyDescent="0.35">
      <c r="A460" s="5">
        <v>2722706</v>
      </c>
      <c r="B460" s="6">
        <v>42923</v>
      </c>
      <c r="C460" s="7">
        <v>0.45416666666666666</v>
      </c>
      <c r="D460" s="8">
        <v>0.46155092592592595</v>
      </c>
      <c r="E460">
        <v>1</v>
      </c>
      <c r="G460" s="18">
        <v>93794133</v>
      </c>
      <c r="H460">
        <v>1</v>
      </c>
    </row>
    <row r="461" spans="1:8" x14ac:dyDescent="0.35">
      <c r="A461" s="9">
        <v>3018218</v>
      </c>
      <c r="B461" s="10">
        <v>42923</v>
      </c>
      <c r="C461" s="11">
        <v>0.45950231481481479</v>
      </c>
      <c r="D461" s="12">
        <v>0.46091435185185187</v>
      </c>
      <c r="E461">
        <v>1</v>
      </c>
      <c r="G461" s="18">
        <v>9533304954</v>
      </c>
      <c r="H461">
        <v>1</v>
      </c>
    </row>
    <row r="462" spans="1:8" x14ac:dyDescent="0.35">
      <c r="A462" s="5">
        <v>3765658</v>
      </c>
      <c r="B462" s="6">
        <v>42923</v>
      </c>
      <c r="C462" s="7">
        <v>0.45981481481481479</v>
      </c>
      <c r="D462" s="8">
        <v>0.46148148148148149</v>
      </c>
      <c r="E462">
        <v>1</v>
      </c>
      <c r="G462" s="18">
        <v>93811207</v>
      </c>
      <c r="H462">
        <v>1</v>
      </c>
    </row>
    <row r="463" spans="1:8" x14ac:dyDescent="0.35">
      <c r="A463" s="9">
        <v>43109897</v>
      </c>
      <c r="B463" s="10">
        <v>42923</v>
      </c>
      <c r="C463" s="11">
        <v>0.46357638888888891</v>
      </c>
      <c r="D463" s="12">
        <v>0.46807870370370369</v>
      </c>
      <c r="E463">
        <v>1</v>
      </c>
      <c r="G463" s="18">
        <v>9906846123</v>
      </c>
      <c r="H463">
        <v>1</v>
      </c>
    </row>
    <row r="464" spans="1:8" x14ac:dyDescent="0.35">
      <c r="A464" s="5">
        <v>3178616</v>
      </c>
      <c r="B464" s="6">
        <v>42923</v>
      </c>
      <c r="C464" s="7">
        <v>0.46891203703703704</v>
      </c>
      <c r="D464" s="8">
        <v>0.47209490740740739</v>
      </c>
      <c r="E464">
        <v>1</v>
      </c>
      <c r="G464" s="18">
        <v>94197168</v>
      </c>
      <c r="H464">
        <v>1</v>
      </c>
    </row>
    <row r="465" spans="1:8" x14ac:dyDescent="0.35">
      <c r="A465" s="9">
        <v>71207090</v>
      </c>
      <c r="B465" s="10">
        <v>42923</v>
      </c>
      <c r="C465" s="11">
        <v>0.47127314814814814</v>
      </c>
      <c r="D465" s="12">
        <v>0.47475694444444444</v>
      </c>
      <c r="E465">
        <v>1</v>
      </c>
      <c r="G465" s="18">
        <v>64900068</v>
      </c>
      <c r="H465">
        <v>1</v>
      </c>
    </row>
    <row r="466" spans="1:8" x14ac:dyDescent="0.35">
      <c r="A466" s="5">
        <v>3465997</v>
      </c>
      <c r="B466" s="6">
        <v>42923</v>
      </c>
      <c r="C466" s="7">
        <v>0.47285879629629629</v>
      </c>
      <c r="D466" s="8">
        <v>0.47479166666666667</v>
      </c>
      <c r="E466">
        <v>1</v>
      </c>
      <c r="G466" s="18">
        <v>94634526</v>
      </c>
      <c r="H466">
        <v>1</v>
      </c>
    </row>
    <row r="467" spans="1:8" x14ac:dyDescent="0.35">
      <c r="A467" s="9">
        <v>17490780</v>
      </c>
      <c r="B467" s="10">
        <v>42923</v>
      </c>
      <c r="C467" s="11">
        <v>0.47409722222222223</v>
      </c>
      <c r="D467" s="12">
        <v>0.48534722222222221</v>
      </c>
      <c r="E467">
        <v>1</v>
      </c>
      <c r="G467" s="18">
        <v>43885630</v>
      </c>
      <c r="H467">
        <v>1</v>
      </c>
    </row>
    <row r="468" spans="1:8" x14ac:dyDescent="0.35">
      <c r="A468" s="5">
        <v>9805082</v>
      </c>
      <c r="B468" s="6">
        <v>42923</v>
      </c>
      <c r="C468" s="7">
        <v>0.47561342592592593</v>
      </c>
      <c r="D468" s="8">
        <v>0.47950231481481481</v>
      </c>
      <c r="E468">
        <v>1</v>
      </c>
      <c r="G468" s="18">
        <v>55896338</v>
      </c>
      <c r="H468">
        <v>1</v>
      </c>
    </row>
    <row r="469" spans="1:8" x14ac:dyDescent="0.35">
      <c r="A469" s="9">
        <v>6333547</v>
      </c>
      <c r="B469" s="10">
        <v>42923</v>
      </c>
      <c r="C469" s="11">
        <v>0.4788425925925926</v>
      </c>
      <c r="D469" s="12">
        <v>0.48685185185185187</v>
      </c>
      <c r="E469">
        <v>1</v>
      </c>
      <c r="G469" s="18">
        <v>49093359</v>
      </c>
      <c r="H469">
        <v>1</v>
      </c>
    </row>
    <row r="470" spans="1:8" x14ac:dyDescent="0.35">
      <c r="A470" s="5">
        <v>8424969</v>
      </c>
      <c r="B470" s="6">
        <v>42923</v>
      </c>
      <c r="C470" s="7">
        <v>0.48380787037037037</v>
      </c>
      <c r="D470" s="8">
        <v>0.49267361111111113</v>
      </c>
      <c r="E470">
        <v>1</v>
      </c>
      <c r="G470" s="18">
        <v>17490780</v>
      </c>
      <c r="H470">
        <v>1</v>
      </c>
    </row>
    <row r="471" spans="1:8" x14ac:dyDescent="0.35">
      <c r="A471" s="9">
        <v>41210751</v>
      </c>
      <c r="B471" s="10">
        <v>42923</v>
      </c>
      <c r="C471" s="11">
        <v>0.48699074074074072</v>
      </c>
      <c r="D471" s="12">
        <v>0.48884259259259261</v>
      </c>
      <c r="E471">
        <v>1</v>
      </c>
      <c r="G471" s="18">
        <v>40308049</v>
      </c>
      <c r="H471">
        <v>1</v>
      </c>
    </row>
    <row r="472" spans="1:8" x14ac:dyDescent="0.35">
      <c r="A472" s="5">
        <v>9321082</v>
      </c>
      <c r="B472" s="6">
        <v>42923</v>
      </c>
      <c r="C472" s="7">
        <v>0.49206018518518518</v>
      </c>
      <c r="D472" s="8">
        <v>0.50086805555555558</v>
      </c>
      <c r="E472">
        <v>1</v>
      </c>
      <c r="G472" s="18">
        <v>17864361</v>
      </c>
      <c r="H472">
        <v>1</v>
      </c>
    </row>
    <row r="473" spans="1:8" x14ac:dyDescent="0.35">
      <c r="A473" s="9">
        <v>80907155</v>
      </c>
      <c r="B473" s="10">
        <v>42923</v>
      </c>
      <c r="C473" s="11">
        <v>0.49668981481481483</v>
      </c>
      <c r="D473" s="12">
        <v>0.50266203703703705</v>
      </c>
      <c r="E473">
        <v>1</v>
      </c>
      <c r="G473" s="18">
        <v>46023878</v>
      </c>
      <c r="H473">
        <v>1</v>
      </c>
    </row>
    <row r="474" spans="1:8" x14ac:dyDescent="0.35">
      <c r="A474" s="5">
        <v>16303399</v>
      </c>
      <c r="B474" s="6">
        <v>42923</v>
      </c>
      <c r="C474" s="7">
        <v>0.50232638888888892</v>
      </c>
      <c r="D474" s="8">
        <v>0.50351851851851848</v>
      </c>
      <c r="E474">
        <v>1</v>
      </c>
      <c r="G474" s="18">
        <v>11209967</v>
      </c>
      <c r="H474">
        <v>1</v>
      </c>
    </row>
    <row r="475" spans="1:8" x14ac:dyDescent="0.35">
      <c r="A475" s="9">
        <v>7841442</v>
      </c>
      <c r="B475" s="10">
        <v>42923</v>
      </c>
      <c r="C475" s="11">
        <v>0.50498842592592597</v>
      </c>
      <c r="D475" s="12">
        <v>0.50807870370370367</v>
      </c>
      <c r="E475">
        <v>1</v>
      </c>
      <c r="G475" s="18">
        <v>53370610</v>
      </c>
      <c r="H475">
        <v>1</v>
      </c>
    </row>
    <row r="476" spans="1:8" x14ac:dyDescent="0.35">
      <c r="A476" s="5">
        <v>5512237</v>
      </c>
      <c r="B476" s="6">
        <v>42923</v>
      </c>
      <c r="C476" s="7">
        <v>0.50883101851851853</v>
      </c>
      <c r="D476" s="8">
        <v>0.50998842592592597</v>
      </c>
      <c r="E476">
        <v>1</v>
      </c>
      <c r="G476" s="18">
        <v>18070008</v>
      </c>
      <c r="H476">
        <v>1</v>
      </c>
    </row>
    <row r="477" spans="1:8" x14ac:dyDescent="0.35">
      <c r="A477" s="9">
        <v>2557668</v>
      </c>
      <c r="B477" s="10">
        <v>42923</v>
      </c>
      <c r="C477" s="11">
        <v>0.51253472222222218</v>
      </c>
      <c r="D477" s="12">
        <v>0.51974537037037039</v>
      </c>
      <c r="E477">
        <v>1</v>
      </c>
      <c r="G477" s="18">
        <v>60158843</v>
      </c>
      <c r="H477">
        <v>1</v>
      </c>
    </row>
    <row r="478" spans="1:8" x14ac:dyDescent="0.35">
      <c r="A478" s="5">
        <v>4469748</v>
      </c>
      <c r="B478" s="6">
        <v>42923</v>
      </c>
      <c r="C478" s="7">
        <v>0.51744212962962965</v>
      </c>
      <c r="D478" s="8">
        <v>0.52157407407407408</v>
      </c>
      <c r="E478">
        <v>1</v>
      </c>
      <c r="G478" s="18">
        <v>18084593</v>
      </c>
      <c r="H478">
        <v>1</v>
      </c>
    </row>
    <row r="479" spans="1:8" x14ac:dyDescent="0.35">
      <c r="A479" s="9">
        <v>7773546</v>
      </c>
      <c r="B479" s="10">
        <v>42923</v>
      </c>
      <c r="C479" s="11">
        <v>0.51883101851851854</v>
      </c>
      <c r="D479" s="12">
        <v>0.52545138888888887</v>
      </c>
      <c r="E479">
        <v>1</v>
      </c>
      <c r="G479" s="18">
        <v>41974998</v>
      </c>
      <c r="H479">
        <v>1</v>
      </c>
    </row>
    <row r="480" spans="1:8" x14ac:dyDescent="0.35">
      <c r="A480" s="5">
        <v>9521805</v>
      </c>
      <c r="B480" s="6">
        <v>42923</v>
      </c>
      <c r="C480" s="7">
        <v>0.52357638888888891</v>
      </c>
      <c r="D480" s="8">
        <v>0.53096064814814814</v>
      </c>
      <c r="E480">
        <v>1</v>
      </c>
      <c r="G480" s="18">
        <v>18503160</v>
      </c>
      <c r="H480">
        <v>1</v>
      </c>
    </row>
    <row r="481" spans="1:8" x14ac:dyDescent="0.35">
      <c r="A481" s="9">
        <v>1640140</v>
      </c>
      <c r="B481" s="10">
        <v>42923</v>
      </c>
      <c r="C481" s="11">
        <v>0.52484953703703707</v>
      </c>
      <c r="D481" s="12">
        <v>0.53331018518518514</v>
      </c>
      <c r="E481">
        <v>1</v>
      </c>
      <c r="G481" s="18">
        <v>45015009</v>
      </c>
      <c r="H481">
        <v>1</v>
      </c>
    </row>
    <row r="482" spans="1:8" x14ac:dyDescent="0.35">
      <c r="A482" s="5">
        <v>5415372</v>
      </c>
      <c r="B482" s="6">
        <v>42923</v>
      </c>
      <c r="C482" s="7">
        <v>0.52690972222222221</v>
      </c>
      <c r="D482" s="8">
        <v>0.53266203703703707</v>
      </c>
      <c r="E482">
        <v>1</v>
      </c>
      <c r="G482" s="18">
        <v>18636086</v>
      </c>
      <c r="H482">
        <v>1</v>
      </c>
    </row>
    <row r="483" spans="1:8" x14ac:dyDescent="0.35">
      <c r="A483" s="9">
        <v>23504109</v>
      </c>
      <c r="B483" s="10">
        <v>42923</v>
      </c>
      <c r="C483" s="11">
        <v>0.52921296296296294</v>
      </c>
      <c r="D483" s="12">
        <v>0.53706018518518517</v>
      </c>
      <c r="E483">
        <v>1</v>
      </c>
      <c r="G483" s="18">
        <v>47855743</v>
      </c>
      <c r="H483">
        <v>1</v>
      </c>
    </row>
    <row r="484" spans="1:8" x14ac:dyDescent="0.35">
      <c r="A484" s="5">
        <v>7914439</v>
      </c>
      <c r="B484" s="6">
        <v>42923</v>
      </c>
      <c r="C484" s="7">
        <v>0.52964120370370371</v>
      </c>
      <c r="D484" s="8">
        <v>0.53607638888888887</v>
      </c>
      <c r="E484">
        <v>1</v>
      </c>
      <c r="G484" s="18">
        <v>18816694</v>
      </c>
      <c r="H484">
        <v>1</v>
      </c>
    </row>
    <row r="485" spans="1:8" x14ac:dyDescent="0.35">
      <c r="A485" s="9">
        <v>3900921</v>
      </c>
      <c r="B485" s="10">
        <v>42923</v>
      </c>
      <c r="C485" s="11">
        <v>0.52968749999999998</v>
      </c>
      <c r="D485" s="12">
        <v>0.53865740740740742</v>
      </c>
      <c r="E485">
        <v>1</v>
      </c>
      <c r="G485" s="18">
        <v>51367705</v>
      </c>
      <c r="H485">
        <v>1</v>
      </c>
    </row>
    <row r="486" spans="1:8" x14ac:dyDescent="0.35">
      <c r="A486" s="5">
        <v>1081610</v>
      </c>
      <c r="B486" s="6">
        <v>42923</v>
      </c>
      <c r="C486" s="7">
        <v>0.53372685185185187</v>
      </c>
      <c r="D486" s="8">
        <v>0.54082175925925924</v>
      </c>
      <c r="E486">
        <v>1</v>
      </c>
      <c r="G486" s="18">
        <v>19116274</v>
      </c>
      <c r="H486">
        <v>1</v>
      </c>
    </row>
    <row r="487" spans="1:8" x14ac:dyDescent="0.35">
      <c r="A487" s="9">
        <v>9176754</v>
      </c>
      <c r="B487" s="10">
        <v>42923</v>
      </c>
      <c r="C487" s="11">
        <v>0.5345833333333333</v>
      </c>
      <c r="D487" s="12">
        <v>0.54532407407407413</v>
      </c>
      <c r="E487">
        <v>1</v>
      </c>
      <c r="G487" s="18">
        <v>16724936</v>
      </c>
      <c r="H487">
        <v>1</v>
      </c>
    </row>
    <row r="488" spans="1:8" x14ac:dyDescent="0.35">
      <c r="A488" s="5">
        <v>1814327</v>
      </c>
      <c r="B488" s="6">
        <v>42923</v>
      </c>
      <c r="C488" s="7">
        <v>0.5385416666666667</v>
      </c>
      <c r="D488" s="8">
        <v>0.53870370370370368</v>
      </c>
      <c r="E488">
        <v>1</v>
      </c>
      <c r="G488" s="18">
        <v>19343766</v>
      </c>
      <c r="H488">
        <v>1</v>
      </c>
    </row>
    <row r="489" spans="1:8" x14ac:dyDescent="0.35">
      <c r="A489" s="9">
        <v>87702896</v>
      </c>
      <c r="B489" s="10">
        <v>42923</v>
      </c>
      <c r="C489" s="11">
        <v>0.54137731481481477</v>
      </c>
      <c r="D489" s="12">
        <v>0.55253472222222222</v>
      </c>
      <c r="E489">
        <v>1</v>
      </c>
      <c r="G489" s="18">
        <v>58037769</v>
      </c>
      <c r="H489">
        <v>1</v>
      </c>
    </row>
    <row r="490" spans="1:8" x14ac:dyDescent="0.35">
      <c r="A490" s="5">
        <v>4131448</v>
      </c>
      <c r="B490" s="6">
        <v>42923</v>
      </c>
      <c r="C490" s="7">
        <v>0.54305555555555551</v>
      </c>
      <c r="D490" s="8">
        <v>0.5444444444444444</v>
      </c>
      <c r="E490">
        <v>1</v>
      </c>
      <c r="G490" s="18">
        <v>19638469</v>
      </c>
      <c r="H490">
        <v>1</v>
      </c>
    </row>
    <row r="491" spans="1:8" x14ac:dyDescent="0.35">
      <c r="A491" s="9">
        <v>97798921</v>
      </c>
      <c r="B491" s="10">
        <v>42923</v>
      </c>
      <c r="C491" s="11">
        <v>0.5434606481481481</v>
      </c>
      <c r="D491" s="12">
        <v>0.55003472222222227</v>
      </c>
      <c r="E491">
        <v>1</v>
      </c>
      <c r="G491" s="18">
        <v>39793981</v>
      </c>
      <c r="H491">
        <v>1</v>
      </c>
    </row>
    <row r="492" spans="1:8" x14ac:dyDescent="0.35">
      <c r="A492" s="5">
        <v>97798921</v>
      </c>
      <c r="B492" s="6">
        <v>42923</v>
      </c>
      <c r="C492" s="7">
        <v>0.54372685185185188</v>
      </c>
      <c r="D492" s="8">
        <v>0.54856481481481478</v>
      </c>
      <c r="E492">
        <v>1</v>
      </c>
      <c r="G492" s="18">
        <v>19835498</v>
      </c>
      <c r="H492">
        <v>1</v>
      </c>
    </row>
    <row r="493" spans="1:8" x14ac:dyDescent="0.35">
      <c r="A493" s="9">
        <v>3919087</v>
      </c>
      <c r="B493" s="10">
        <v>42923</v>
      </c>
      <c r="C493" s="11">
        <v>0.54379629629629633</v>
      </c>
      <c r="D493" s="12">
        <v>0.54679398148148151</v>
      </c>
      <c r="E493">
        <v>1</v>
      </c>
      <c r="G493" s="18">
        <v>41156424</v>
      </c>
      <c r="H493">
        <v>1</v>
      </c>
    </row>
    <row r="494" spans="1:8" x14ac:dyDescent="0.35">
      <c r="A494" s="5">
        <v>2619219</v>
      </c>
      <c r="B494" s="6">
        <v>42923</v>
      </c>
      <c r="C494" s="7">
        <v>0.54752314814814818</v>
      </c>
      <c r="D494" s="8">
        <v>0.5486805555555555</v>
      </c>
      <c r="E494">
        <v>1</v>
      </c>
      <c r="G494" s="18">
        <v>20149106</v>
      </c>
      <c r="H494">
        <v>1</v>
      </c>
    </row>
    <row r="495" spans="1:8" x14ac:dyDescent="0.35">
      <c r="A495" s="9">
        <v>54536153</v>
      </c>
      <c r="B495" s="10">
        <v>42923</v>
      </c>
      <c r="C495" s="11">
        <v>0.54858796296296297</v>
      </c>
      <c r="D495" s="12">
        <v>0.55723379629629632</v>
      </c>
      <c r="E495">
        <v>1</v>
      </c>
      <c r="G495" s="18">
        <v>42722517</v>
      </c>
      <c r="H495">
        <v>1</v>
      </c>
    </row>
    <row r="496" spans="1:8" x14ac:dyDescent="0.35">
      <c r="A496" s="5">
        <v>6813775</v>
      </c>
      <c r="B496" s="6">
        <v>42923</v>
      </c>
      <c r="C496" s="7">
        <v>0.55363425925925924</v>
      </c>
      <c r="D496" s="8">
        <v>0.55819444444444444</v>
      </c>
      <c r="E496">
        <v>1</v>
      </c>
      <c r="G496" s="18">
        <v>20220216</v>
      </c>
      <c r="H496">
        <v>1</v>
      </c>
    </row>
    <row r="497" spans="1:8" x14ac:dyDescent="0.35">
      <c r="A497" s="9">
        <v>72312196</v>
      </c>
      <c r="B497" s="10">
        <v>42923</v>
      </c>
      <c r="C497" s="11">
        <v>0.55532407407407403</v>
      </c>
      <c r="D497" s="12">
        <v>0.56598379629629625</v>
      </c>
      <c r="E497">
        <v>1</v>
      </c>
      <c r="G497" s="18">
        <v>44302763</v>
      </c>
      <c r="H497">
        <v>1</v>
      </c>
    </row>
    <row r="498" spans="1:8" x14ac:dyDescent="0.35">
      <c r="A498" s="5">
        <v>2235911</v>
      </c>
      <c r="B498" s="6">
        <v>42923</v>
      </c>
      <c r="C498" s="7">
        <v>0.56019675925925927</v>
      </c>
      <c r="D498" s="8">
        <v>0.56783564814814813</v>
      </c>
      <c r="E498">
        <v>1</v>
      </c>
      <c r="G498" s="18">
        <v>20349502</v>
      </c>
      <c r="H498">
        <v>1</v>
      </c>
    </row>
    <row r="499" spans="1:8" x14ac:dyDescent="0.35">
      <c r="A499" s="9">
        <v>9532678004</v>
      </c>
      <c r="B499" s="10">
        <v>42923</v>
      </c>
      <c r="C499" s="11">
        <v>0.56347222222222226</v>
      </c>
      <c r="D499" s="12">
        <v>0.57157407407407412</v>
      </c>
      <c r="E499">
        <v>1</v>
      </c>
      <c r="G499" s="18">
        <v>45373038</v>
      </c>
      <c r="H499">
        <v>1</v>
      </c>
    </row>
    <row r="500" spans="1:8" x14ac:dyDescent="0.35">
      <c r="A500" s="5">
        <v>4653709</v>
      </c>
      <c r="B500" s="6">
        <v>42923</v>
      </c>
      <c r="C500" s="7">
        <v>0.56795138888888885</v>
      </c>
      <c r="D500" s="8">
        <v>0.57596064814814818</v>
      </c>
      <c r="E500">
        <v>1</v>
      </c>
      <c r="G500" s="18">
        <v>20354301</v>
      </c>
      <c r="H500">
        <v>1</v>
      </c>
    </row>
    <row r="501" spans="1:8" x14ac:dyDescent="0.35">
      <c r="A501" s="9">
        <v>1734512</v>
      </c>
      <c r="B501" s="10">
        <v>42923</v>
      </c>
      <c r="C501" s="11">
        <v>0.57093749999999999</v>
      </c>
      <c r="D501" s="12">
        <v>0.5765393518518519</v>
      </c>
      <c r="E501">
        <v>1</v>
      </c>
      <c r="G501" s="18">
        <v>47596793</v>
      </c>
      <c r="H501">
        <v>1</v>
      </c>
    </row>
    <row r="502" spans="1:8" x14ac:dyDescent="0.35">
      <c r="A502" s="5">
        <v>6741642</v>
      </c>
      <c r="B502" s="6">
        <v>42923</v>
      </c>
      <c r="C502" s="7">
        <v>0.57523148148148151</v>
      </c>
      <c r="D502" s="8">
        <v>0.57535879629629627</v>
      </c>
      <c r="E502">
        <v>1</v>
      </c>
      <c r="G502" s="18">
        <v>20424852</v>
      </c>
      <c r="H502">
        <v>1</v>
      </c>
    </row>
    <row r="503" spans="1:8" x14ac:dyDescent="0.35">
      <c r="A503" s="9">
        <v>45862784</v>
      </c>
      <c r="B503" s="10">
        <v>42923</v>
      </c>
      <c r="C503" s="11">
        <v>0.57768518518518519</v>
      </c>
      <c r="D503" s="12">
        <v>0.58636574074074077</v>
      </c>
      <c r="E503">
        <v>1</v>
      </c>
      <c r="G503" s="18">
        <v>48630026</v>
      </c>
      <c r="H503">
        <v>1</v>
      </c>
    </row>
    <row r="504" spans="1:8" x14ac:dyDescent="0.35">
      <c r="A504" s="5">
        <v>25147401</v>
      </c>
      <c r="B504" s="6">
        <v>42923</v>
      </c>
      <c r="C504" s="7">
        <v>0.57922453703703702</v>
      </c>
      <c r="D504" s="8">
        <v>0.58821759259259254</v>
      </c>
      <c r="E504">
        <v>1</v>
      </c>
      <c r="G504" s="18">
        <v>20485333</v>
      </c>
      <c r="H504">
        <v>1</v>
      </c>
    </row>
    <row r="505" spans="1:8" x14ac:dyDescent="0.35">
      <c r="A505" s="9">
        <v>4963499</v>
      </c>
      <c r="B505" s="10">
        <v>42923</v>
      </c>
      <c r="C505" s="11">
        <v>0.58484953703703701</v>
      </c>
      <c r="D505" s="12">
        <v>0.5869212962962963</v>
      </c>
      <c r="E505">
        <v>1</v>
      </c>
      <c r="G505" s="18">
        <v>49390412</v>
      </c>
      <c r="H505">
        <v>1</v>
      </c>
    </row>
    <row r="506" spans="1:8" x14ac:dyDescent="0.35">
      <c r="A506" s="5">
        <v>7432767</v>
      </c>
      <c r="B506" s="6">
        <v>42923</v>
      </c>
      <c r="C506" s="7">
        <v>0.58508101851851857</v>
      </c>
      <c r="D506" s="8">
        <v>0.58635416666666662</v>
      </c>
      <c r="E506">
        <v>1</v>
      </c>
      <c r="G506" s="18">
        <v>10093488</v>
      </c>
      <c r="H506">
        <v>1</v>
      </c>
    </row>
    <row r="507" spans="1:8" x14ac:dyDescent="0.35">
      <c r="A507" s="9">
        <v>3599100</v>
      </c>
      <c r="B507" s="10">
        <v>42923</v>
      </c>
      <c r="C507" s="11">
        <v>0.58832175925925922</v>
      </c>
      <c r="D507" s="12">
        <v>0.59277777777777774</v>
      </c>
      <c r="E507">
        <v>1</v>
      </c>
      <c r="G507" s="18">
        <v>52214055</v>
      </c>
      <c r="H507">
        <v>1</v>
      </c>
    </row>
    <row r="508" spans="1:8" x14ac:dyDescent="0.35">
      <c r="A508" s="5">
        <v>8251878</v>
      </c>
      <c r="B508" s="6">
        <v>42923</v>
      </c>
      <c r="C508" s="7">
        <v>0.59281249999999996</v>
      </c>
      <c r="D508" s="8">
        <v>0.59375</v>
      </c>
      <c r="E508">
        <v>1</v>
      </c>
      <c r="G508" s="18">
        <v>20735440</v>
      </c>
      <c r="H508">
        <v>1</v>
      </c>
    </row>
    <row r="509" spans="1:8" x14ac:dyDescent="0.35">
      <c r="A509" s="9">
        <v>2826868</v>
      </c>
      <c r="B509" s="10">
        <v>42923</v>
      </c>
      <c r="C509" s="11">
        <v>0.59672453703703698</v>
      </c>
      <c r="D509" s="12">
        <v>0.60435185185185181</v>
      </c>
      <c r="E509">
        <v>1</v>
      </c>
      <c r="G509" s="18">
        <v>54006070</v>
      </c>
      <c r="H509">
        <v>1</v>
      </c>
    </row>
    <row r="510" spans="1:8" x14ac:dyDescent="0.35">
      <c r="A510" s="5">
        <v>76099906</v>
      </c>
      <c r="B510" s="6">
        <v>42923</v>
      </c>
      <c r="C510" s="7">
        <v>0.6004976851851852</v>
      </c>
      <c r="D510" s="8">
        <v>0.61106481481481478</v>
      </c>
      <c r="E510">
        <v>1</v>
      </c>
      <c r="G510" s="18">
        <v>21303266</v>
      </c>
      <c r="H510">
        <v>1</v>
      </c>
    </row>
    <row r="511" spans="1:8" x14ac:dyDescent="0.35">
      <c r="A511" s="9">
        <v>5147242</v>
      </c>
      <c r="B511" s="10">
        <v>42923</v>
      </c>
      <c r="C511" s="11">
        <v>0.60381944444444446</v>
      </c>
      <c r="D511" s="12">
        <v>0.60589120370370375</v>
      </c>
      <c r="E511">
        <v>1</v>
      </c>
      <c r="G511" s="18">
        <v>55462392</v>
      </c>
      <c r="H511">
        <v>1</v>
      </c>
    </row>
    <row r="512" spans="1:8" x14ac:dyDescent="0.35">
      <c r="A512" s="5">
        <v>9600226</v>
      </c>
      <c r="B512" s="6">
        <v>42923</v>
      </c>
      <c r="C512" s="7">
        <v>0.60758101851851853</v>
      </c>
      <c r="D512" s="8">
        <v>0.61008101851851848</v>
      </c>
      <c r="E512">
        <v>1</v>
      </c>
      <c r="G512" s="18">
        <v>21677804</v>
      </c>
      <c r="H512">
        <v>1</v>
      </c>
    </row>
    <row r="513" spans="1:8" x14ac:dyDescent="0.35">
      <c r="A513" s="9">
        <v>1337042</v>
      </c>
      <c r="B513" s="10">
        <v>42923</v>
      </c>
      <c r="C513" s="11">
        <v>0.60930555555555554</v>
      </c>
      <c r="D513" s="12">
        <v>0.62085648148148154</v>
      </c>
      <c r="E513">
        <v>1</v>
      </c>
      <c r="G513" s="18">
        <v>57211290</v>
      </c>
      <c r="H513">
        <v>1</v>
      </c>
    </row>
    <row r="514" spans="1:8" x14ac:dyDescent="0.35">
      <c r="A514" s="5">
        <v>1223943</v>
      </c>
      <c r="B514" s="6">
        <v>42923</v>
      </c>
      <c r="C514" s="7">
        <v>0.61412037037037037</v>
      </c>
      <c r="D514" s="8">
        <v>0.62342592592592594</v>
      </c>
      <c r="E514">
        <v>1</v>
      </c>
      <c r="G514" s="18">
        <v>21681406</v>
      </c>
      <c r="H514">
        <v>1</v>
      </c>
    </row>
    <row r="515" spans="1:8" x14ac:dyDescent="0.35">
      <c r="A515" s="9">
        <v>3525921</v>
      </c>
      <c r="B515" s="10">
        <v>42923</v>
      </c>
      <c r="C515" s="11">
        <v>0.61557870370370371</v>
      </c>
      <c r="D515" s="12">
        <v>0.61946759259259254</v>
      </c>
      <c r="E515">
        <v>1</v>
      </c>
      <c r="G515" s="18">
        <v>59723258</v>
      </c>
      <c r="H515">
        <v>1</v>
      </c>
    </row>
    <row r="516" spans="1:8" x14ac:dyDescent="0.35">
      <c r="A516" s="5">
        <v>5094248</v>
      </c>
      <c r="B516" s="6">
        <v>42923</v>
      </c>
      <c r="C516" s="7">
        <v>0.61901620370370369</v>
      </c>
      <c r="D516" s="8">
        <v>0.62861111111111112</v>
      </c>
      <c r="E516">
        <v>1</v>
      </c>
      <c r="G516" s="18">
        <v>21996267</v>
      </c>
      <c r="H516">
        <v>1</v>
      </c>
    </row>
    <row r="517" spans="1:8" x14ac:dyDescent="0.35">
      <c r="A517" s="9">
        <v>7275091</v>
      </c>
      <c r="B517" s="10">
        <v>42923</v>
      </c>
      <c r="C517" s="11">
        <v>0.62306712962962962</v>
      </c>
      <c r="D517" s="12">
        <v>0.63328703703703704</v>
      </c>
      <c r="E517">
        <v>1</v>
      </c>
      <c r="G517" s="18">
        <v>61322035</v>
      </c>
      <c r="H517">
        <v>1</v>
      </c>
    </row>
    <row r="518" spans="1:8" x14ac:dyDescent="0.35">
      <c r="A518" s="5">
        <v>73042148</v>
      </c>
      <c r="B518" s="6">
        <v>42923</v>
      </c>
      <c r="C518" s="7">
        <v>0.62537037037037035</v>
      </c>
      <c r="D518" s="8">
        <v>0.63498842592592597</v>
      </c>
      <c r="E518">
        <v>1</v>
      </c>
      <c r="G518" s="18">
        <v>22176115</v>
      </c>
      <c r="H518">
        <v>1</v>
      </c>
    </row>
    <row r="519" spans="1:8" x14ac:dyDescent="0.35">
      <c r="A519" s="9">
        <v>8570276</v>
      </c>
      <c r="B519" s="10">
        <v>42926</v>
      </c>
      <c r="C519" s="11">
        <v>0.33759259259259261</v>
      </c>
      <c r="D519" s="12">
        <v>0.34880787037037037</v>
      </c>
      <c r="E519">
        <v>1</v>
      </c>
      <c r="G519" s="18">
        <v>39921944</v>
      </c>
      <c r="H519">
        <v>1</v>
      </c>
    </row>
    <row r="520" spans="1:8" x14ac:dyDescent="0.35">
      <c r="A520" s="5">
        <v>1775586</v>
      </c>
      <c r="B520" s="6">
        <v>42926</v>
      </c>
      <c r="C520" s="7">
        <v>0.34016203703703701</v>
      </c>
      <c r="D520" s="8">
        <v>0.3495138888888889</v>
      </c>
      <c r="E520">
        <v>1</v>
      </c>
      <c r="G520" s="18">
        <v>22266436</v>
      </c>
      <c r="H520">
        <v>1</v>
      </c>
    </row>
    <row r="521" spans="1:8" x14ac:dyDescent="0.35">
      <c r="A521" s="9">
        <v>27791497</v>
      </c>
      <c r="B521" s="10">
        <v>42926</v>
      </c>
      <c r="C521" s="11">
        <v>0.34312500000000001</v>
      </c>
      <c r="D521" s="12">
        <v>0.34373842592592591</v>
      </c>
      <c r="E521">
        <v>1</v>
      </c>
      <c r="G521" s="18">
        <v>40965486</v>
      </c>
      <c r="H521">
        <v>1</v>
      </c>
    </row>
    <row r="522" spans="1:8" x14ac:dyDescent="0.35">
      <c r="A522" s="5">
        <v>5162775</v>
      </c>
      <c r="B522" s="6">
        <v>42926</v>
      </c>
      <c r="C522" s="7">
        <v>0.34364583333333332</v>
      </c>
      <c r="D522" s="8">
        <v>0.3492824074074074</v>
      </c>
      <c r="E522">
        <v>1</v>
      </c>
      <c r="G522" s="18">
        <v>22416837</v>
      </c>
      <c r="H522">
        <v>1</v>
      </c>
    </row>
    <row r="523" spans="1:8" x14ac:dyDescent="0.35">
      <c r="A523" s="9">
        <v>56115408</v>
      </c>
      <c r="B523" s="10">
        <v>42926</v>
      </c>
      <c r="C523" s="11">
        <v>0.34796296296296297</v>
      </c>
      <c r="D523" s="12">
        <v>0.35728009259259258</v>
      </c>
      <c r="E523">
        <v>1</v>
      </c>
      <c r="G523" s="18">
        <v>41837828</v>
      </c>
      <c r="H523">
        <v>1</v>
      </c>
    </row>
    <row r="524" spans="1:8" x14ac:dyDescent="0.35">
      <c r="A524" s="5">
        <v>6766881</v>
      </c>
      <c r="B524" s="6">
        <v>42926</v>
      </c>
      <c r="C524" s="7">
        <v>0.35249999999999998</v>
      </c>
      <c r="D524" s="8">
        <v>0.35278935185185184</v>
      </c>
      <c r="E524">
        <v>1</v>
      </c>
      <c r="G524" s="18">
        <v>22583033</v>
      </c>
      <c r="H524">
        <v>1</v>
      </c>
    </row>
    <row r="525" spans="1:8" x14ac:dyDescent="0.35">
      <c r="A525" s="9">
        <v>9502975</v>
      </c>
      <c r="B525" s="10">
        <v>42926</v>
      </c>
      <c r="C525" s="11">
        <v>0.35483796296296294</v>
      </c>
      <c r="D525" s="12">
        <v>0.35699074074074072</v>
      </c>
      <c r="E525">
        <v>1</v>
      </c>
      <c r="G525" s="18">
        <v>42373338</v>
      </c>
      <c r="H525">
        <v>1</v>
      </c>
    </row>
    <row r="526" spans="1:8" x14ac:dyDescent="0.35">
      <c r="A526" s="5">
        <v>4212838</v>
      </c>
      <c r="B526" s="6">
        <v>42926</v>
      </c>
      <c r="C526" s="7">
        <v>0.35760416666666667</v>
      </c>
      <c r="D526" s="8">
        <v>0.35951388888888891</v>
      </c>
      <c r="E526">
        <v>1</v>
      </c>
      <c r="G526" s="18">
        <v>11425383</v>
      </c>
      <c r="H526">
        <v>1</v>
      </c>
    </row>
    <row r="527" spans="1:8" x14ac:dyDescent="0.35">
      <c r="A527" s="9">
        <v>6952061</v>
      </c>
      <c r="B527" s="10">
        <v>42926</v>
      </c>
      <c r="C527" s="11">
        <v>0.36282407407407408</v>
      </c>
      <c r="D527" s="12">
        <v>0.37093749999999998</v>
      </c>
      <c r="E527">
        <v>1</v>
      </c>
      <c r="G527" s="18">
        <v>14919021</v>
      </c>
      <c r="H527">
        <v>1</v>
      </c>
    </row>
    <row r="528" spans="1:8" x14ac:dyDescent="0.35">
      <c r="A528" s="5">
        <v>56127547</v>
      </c>
      <c r="B528" s="6">
        <v>42926</v>
      </c>
      <c r="C528" s="7">
        <v>0.36803240740740739</v>
      </c>
      <c r="D528" s="8">
        <v>0.37565972222222221</v>
      </c>
      <c r="E528">
        <v>1</v>
      </c>
      <c r="G528" s="18">
        <v>22966872</v>
      </c>
      <c r="H528">
        <v>1</v>
      </c>
    </row>
    <row r="529" spans="1:8" x14ac:dyDescent="0.35">
      <c r="A529" s="9">
        <v>4952685</v>
      </c>
      <c r="B529" s="10">
        <v>42926</v>
      </c>
      <c r="C529" s="11">
        <v>0.36895833333333333</v>
      </c>
      <c r="D529" s="12">
        <v>0.37655092592592593</v>
      </c>
      <c r="E529">
        <v>1</v>
      </c>
      <c r="G529" s="18">
        <v>44017210</v>
      </c>
      <c r="H529">
        <v>1</v>
      </c>
    </row>
    <row r="530" spans="1:8" x14ac:dyDescent="0.35">
      <c r="A530" s="5">
        <v>8632893</v>
      </c>
      <c r="B530" s="6">
        <v>42926</v>
      </c>
      <c r="C530" s="7">
        <v>0.36996527777777777</v>
      </c>
      <c r="D530" s="8">
        <v>0.37988425925925928</v>
      </c>
      <c r="E530">
        <v>1</v>
      </c>
      <c r="G530" s="18">
        <v>10201038</v>
      </c>
      <c r="H530">
        <v>1</v>
      </c>
    </row>
    <row r="531" spans="1:8" x14ac:dyDescent="0.35">
      <c r="A531" s="9">
        <v>7320123</v>
      </c>
      <c r="B531" s="10">
        <v>42926</v>
      </c>
      <c r="C531" s="11">
        <v>0.37015046296296295</v>
      </c>
      <c r="D531" s="12">
        <v>0.37528935185185186</v>
      </c>
      <c r="E531">
        <v>1</v>
      </c>
      <c r="G531" s="18">
        <v>44882393</v>
      </c>
      <c r="H531">
        <v>1</v>
      </c>
    </row>
    <row r="532" spans="1:8" x14ac:dyDescent="0.35">
      <c r="A532" s="5">
        <v>4600571814</v>
      </c>
      <c r="B532" s="6">
        <v>42926</v>
      </c>
      <c r="C532" s="7">
        <v>0.3706712962962963</v>
      </c>
      <c r="D532" s="8">
        <v>0.37572916666666667</v>
      </c>
      <c r="E532">
        <v>1</v>
      </c>
      <c r="G532" s="18">
        <v>23300236</v>
      </c>
      <c r="H532">
        <v>1</v>
      </c>
    </row>
    <row r="533" spans="1:8" x14ac:dyDescent="0.35">
      <c r="A533" s="9">
        <v>38063903</v>
      </c>
      <c r="B533" s="10">
        <v>42926</v>
      </c>
      <c r="C533" s="11">
        <v>0.37207175925925928</v>
      </c>
      <c r="D533" s="12">
        <v>0.37332175925925926</v>
      </c>
      <c r="E533">
        <v>1</v>
      </c>
      <c r="G533" s="18">
        <v>45158089</v>
      </c>
      <c r="H533">
        <v>1</v>
      </c>
    </row>
    <row r="534" spans="1:8" x14ac:dyDescent="0.35">
      <c r="A534" s="5">
        <v>4901642</v>
      </c>
      <c r="B534" s="6">
        <v>42926</v>
      </c>
      <c r="C534" s="7">
        <v>0.37747685185185187</v>
      </c>
      <c r="D534" s="8">
        <v>0.38609953703703703</v>
      </c>
      <c r="E534">
        <v>1</v>
      </c>
      <c r="G534" s="18">
        <v>23368531</v>
      </c>
      <c r="H534">
        <v>1</v>
      </c>
    </row>
    <row r="535" spans="1:8" x14ac:dyDescent="0.35">
      <c r="A535" s="9">
        <v>39669014</v>
      </c>
      <c r="B535" s="10">
        <v>42926</v>
      </c>
      <c r="C535" s="11">
        <v>0.37930555555555556</v>
      </c>
      <c r="D535" s="12">
        <v>0.38686342592592593</v>
      </c>
      <c r="E535">
        <v>1</v>
      </c>
      <c r="G535" s="18">
        <v>45940361</v>
      </c>
      <c r="H535">
        <v>1</v>
      </c>
    </row>
    <row r="536" spans="1:8" x14ac:dyDescent="0.35">
      <c r="A536" s="5">
        <v>48919339</v>
      </c>
      <c r="B536" s="6">
        <v>42926</v>
      </c>
      <c r="C536" s="7">
        <v>0.38040509259259259</v>
      </c>
      <c r="D536" s="8">
        <v>0.38484953703703706</v>
      </c>
      <c r="E536">
        <v>1</v>
      </c>
      <c r="G536" s="18">
        <v>23504109</v>
      </c>
      <c r="H536">
        <v>1</v>
      </c>
    </row>
    <row r="537" spans="1:8" x14ac:dyDescent="0.35">
      <c r="A537" s="9">
        <v>4960687</v>
      </c>
      <c r="B537" s="10">
        <v>42926</v>
      </c>
      <c r="C537" s="11">
        <v>0.3835648148148148</v>
      </c>
      <c r="D537" s="12">
        <v>0.3941087962962963</v>
      </c>
      <c r="E537">
        <v>1</v>
      </c>
      <c r="G537" s="18">
        <v>47025160</v>
      </c>
      <c r="H537">
        <v>1</v>
      </c>
    </row>
    <row r="538" spans="1:8" x14ac:dyDescent="0.35">
      <c r="A538" s="5">
        <v>41156424</v>
      </c>
      <c r="B538" s="6">
        <v>42926</v>
      </c>
      <c r="C538" s="7">
        <v>0.38715277777777779</v>
      </c>
      <c r="D538" s="8">
        <v>0.39293981481481483</v>
      </c>
      <c r="E538">
        <v>1</v>
      </c>
      <c r="G538" s="18">
        <v>23580194</v>
      </c>
      <c r="H538">
        <v>1</v>
      </c>
    </row>
    <row r="539" spans="1:8" x14ac:dyDescent="0.35">
      <c r="A539" s="9">
        <v>5087066</v>
      </c>
      <c r="B539" s="10">
        <v>42926</v>
      </c>
      <c r="C539" s="11">
        <v>0.3894097222222222</v>
      </c>
      <c r="D539" s="12">
        <v>0.39869212962962963</v>
      </c>
      <c r="E539">
        <v>1</v>
      </c>
      <c r="G539" s="18">
        <v>47677051</v>
      </c>
      <c r="H539">
        <v>1</v>
      </c>
    </row>
    <row r="540" spans="1:8" x14ac:dyDescent="0.35">
      <c r="A540" s="5">
        <v>4636713</v>
      </c>
      <c r="B540" s="6">
        <v>42926</v>
      </c>
      <c r="C540" s="7">
        <v>0.39193287037037039</v>
      </c>
      <c r="D540" s="8">
        <v>0.39712962962962961</v>
      </c>
      <c r="E540">
        <v>1</v>
      </c>
      <c r="G540" s="18">
        <v>23715237</v>
      </c>
      <c r="H540">
        <v>1</v>
      </c>
    </row>
    <row r="541" spans="1:8" x14ac:dyDescent="0.35">
      <c r="A541" s="9">
        <v>3944120</v>
      </c>
      <c r="B541" s="10">
        <v>42926</v>
      </c>
      <c r="C541" s="11">
        <v>0.39307870370370368</v>
      </c>
      <c r="D541" s="12">
        <v>0.39380787037037035</v>
      </c>
      <c r="E541">
        <v>1</v>
      </c>
      <c r="G541" s="18">
        <v>48529464</v>
      </c>
      <c r="H541">
        <v>1</v>
      </c>
    </row>
    <row r="542" spans="1:8" x14ac:dyDescent="0.35">
      <c r="A542" s="5">
        <v>5960122</v>
      </c>
      <c r="B542" s="6">
        <v>42926</v>
      </c>
      <c r="C542" s="7">
        <v>0.3984375</v>
      </c>
      <c r="D542" s="8">
        <v>0.40802083333333333</v>
      </c>
      <c r="E542">
        <v>1</v>
      </c>
      <c r="G542" s="18">
        <v>24024164</v>
      </c>
      <c r="H542">
        <v>1</v>
      </c>
    </row>
    <row r="543" spans="1:8" x14ac:dyDescent="0.35">
      <c r="A543" s="9">
        <v>6795454</v>
      </c>
      <c r="B543" s="10">
        <v>42926</v>
      </c>
      <c r="C543" s="11">
        <v>0.40265046296296297</v>
      </c>
      <c r="D543" s="12">
        <v>0.40284722222222225</v>
      </c>
      <c r="E543">
        <v>1</v>
      </c>
      <c r="G543" s="18">
        <v>16392077</v>
      </c>
      <c r="H543">
        <v>1</v>
      </c>
    </row>
    <row r="544" spans="1:8" x14ac:dyDescent="0.35">
      <c r="A544" s="5">
        <v>5013688</v>
      </c>
      <c r="B544" s="6">
        <v>42926</v>
      </c>
      <c r="C544" s="7">
        <v>0.40662037037037035</v>
      </c>
      <c r="D544" s="8">
        <v>0.41171296296296295</v>
      </c>
      <c r="E544">
        <v>1</v>
      </c>
      <c r="G544" s="18">
        <v>12377650</v>
      </c>
      <c r="H544">
        <v>1</v>
      </c>
    </row>
    <row r="545" spans="1:8" x14ac:dyDescent="0.35">
      <c r="A545" s="9">
        <v>9487255</v>
      </c>
      <c r="B545" s="10">
        <v>42926</v>
      </c>
      <c r="C545" s="11">
        <v>0.40997685185185184</v>
      </c>
      <c r="D545" s="12">
        <v>0.41947916666666668</v>
      </c>
      <c r="E545">
        <v>1</v>
      </c>
      <c r="G545" s="18">
        <v>49278984</v>
      </c>
      <c r="H545">
        <v>1</v>
      </c>
    </row>
    <row r="546" spans="1:8" x14ac:dyDescent="0.35">
      <c r="A546" s="5">
        <v>1592822</v>
      </c>
      <c r="B546" s="6">
        <v>42926</v>
      </c>
      <c r="C546" s="7">
        <v>0.41422453703703704</v>
      </c>
      <c r="D546" s="8">
        <v>0.42549768518518516</v>
      </c>
      <c r="E546">
        <v>1</v>
      </c>
      <c r="G546" s="18">
        <v>24454566</v>
      </c>
      <c r="H546">
        <v>1</v>
      </c>
    </row>
    <row r="547" spans="1:8" x14ac:dyDescent="0.35">
      <c r="A547" s="9">
        <v>9084978</v>
      </c>
      <c r="B547" s="10">
        <v>42926</v>
      </c>
      <c r="C547" s="11">
        <v>0.41553240740740743</v>
      </c>
      <c r="D547" s="12">
        <v>0.42593750000000002</v>
      </c>
      <c r="E547">
        <v>1</v>
      </c>
      <c r="G547" s="18">
        <v>49920930</v>
      </c>
      <c r="H547">
        <v>1</v>
      </c>
    </row>
    <row r="548" spans="1:8" x14ac:dyDescent="0.35">
      <c r="A548" s="5">
        <v>80038636</v>
      </c>
      <c r="B548" s="6">
        <v>42926</v>
      </c>
      <c r="C548" s="7">
        <v>0.41734953703703703</v>
      </c>
      <c r="D548" s="8">
        <v>0.42822916666666666</v>
      </c>
      <c r="E548">
        <v>1</v>
      </c>
      <c r="G548" s="18">
        <v>12471534</v>
      </c>
      <c r="H548">
        <v>1</v>
      </c>
    </row>
    <row r="549" spans="1:8" x14ac:dyDescent="0.35">
      <c r="A549" s="9">
        <v>2021941339</v>
      </c>
      <c r="B549" s="10">
        <v>42926</v>
      </c>
      <c r="C549" s="11">
        <v>0.41863425925925923</v>
      </c>
      <c r="D549" s="12">
        <v>0.42877314814814815</v>
      </c>
      <c r="E549">
        <v>1</v>
      </c>
      <c r="G549" s="18">
        <v>52064221</v>
      </c>
      <c r="H549">
        <v>1</v>
      </c>
    </row>
    <row r="550" spans="1:8" x14ac:dyDescent="0.35">
      <c r="A550" s="5">
        <v>7718350</v>
      </c>
      <c r="B550" s="6">
        <v>42926</v>
      </c>
      <c r="C550" s="7">
        <v>0.42002314814814817</v>
      </c>
      <c r="D550" s="8">
        <v>0.42700231481481482</v>
      </c>
      <c r="E550">
        <v>1</v>
      </c>
      <c r="G550" s="18">
        <v>24724114</v>
      </c>
      <c r="H550">
        <v>1</v>
      </c>
    </row>
    <row r="551" spans="1:8" x14ac:dyDescent="0.35">
      <c r="A551" s="9">
        <v>3153283</v>
      </c>
      <c r="B551" s="10">
        <v>42926</v>
      </c>
      <c r="C551" s="11">
        <v>0.42396990740740742</v>
      </c>
      <c r="D551" s="12">
        <v>0.43335648148148148</v>
      </c>
      <c r="E551">
        <v>1</v>
      </c>
      <c r="G551" s="18">
        <v>52468382</v>
      </c>
      <c r="H551">
        <v>1</v>
      </c>
    </row>
    <row r="552" spans="1:8" x14ac:dyDescent="0.35">
      <c r="A552" s="5">
        <v>6341482</v>
      </c>
      <c r="B552" s="6">
        <v>42926</v>
      </c>
      <c r="C552" s="7">
        <v>0.42922453703703706</v>
      </c>
      <c r="D552" s="8">
        <v>0.43947916666666664</v>
      </c>
      <c r="E552">
        <v>1</v>
      </c>
      <c r="G552" s="18">
        <v>24724570</v>
      </c>
      <c r="H552">
        <v>1</v>
      </c>
    </row>
    <row r="553" spans="1:8" x14ac:dyDescent="0.35">
      <c r="A553" s="9">
        <v>67964973</v>
      </c>
      <c r="B553" s="10">
        <v>42926</v>
      </c>
      <c r="C553" s="11">
        <v>0.43475694444444446</v>
      </c>
      <c r="D553" s="12">
        <v>0.43590277777777775</v>
      </c>
      <c r="E553">
        <v>1</v>
      </c>
      <c r="G553" s="18">
        <v>53386383</v>
      </c>
      <c r="H553">
        <v>1</v>
      </c>
    </row>
    <row r="554" spans="1:8" x14ac:dyDescent="0.35">
      <c r="A554" s="5">
        <v>1223943</v>
      </c>
      <c r="B554" s="6">
        <v>42926</v>
      </c>
      <c r="C554" s="7">
        <v>0.43961805555555555</v>
      </c>
      <c r="D554" s="8">
        <v>0.45087962962962963</v>
      </c>
      <c r="E554">
        <v>1</v>
      </c>
      <c r="G554" s="18">
        <v>24850212</v>
      </c>
      <c r="H554">
        <v>1</v>
      </c>
    </row>
    <row r="555" spans="1:8" x14ac:dyDescent="0.35">
      <c r="A555" s="9">
        <v>8049834</v>
      </c>
      <c r="B555" s="10">
        <v>42926</v>
      </c>
      <c r="C555" s="11">
        <v>0.44210648148148146</v>
      </c>
      <c r="D555" s="12">
        <v>0.44369212962962962</v>
      </c>
      <c r="E555">
        <v>1</v>
      </c>
      <c r="G555" s="18">
        <v>54536153</v>
      </c>
      <c r="H555">
        <v>1</v>
      </c>
    </row>
    <row r="556" spans="1:8" x14ac:dyDescent="0.35">
      <c r="A556" s="5">
        <v>6374704</v>
      </c>
      <c r="B556" s="6">
        <v>42926</v>
      </c>
      <c r="C556" s="7">
        <v>0.44572916666666668</v>
      </c>
      <c r="D556" s="8">
        <v>0.4548726851851852</v>
      </c>
      <c r="E556">
        <v>1</v>
      </c>
      <c r="G556" s="18">
        <v>25133293</v>
      </c>
      <c r="H556">
        <v>1</v>
      </c>
    </row>
    <row r="557" spans="1:8" x14ac:dyDescent="0.35">
      <c r="A557" s="9">
        <v>99625315</v>
      </c>
      <c r="B557" s="10">
        <v>42926</v>
      </c>
      <c r="C557" s="11">
        <v>0.44592592592592595</v>
      </c>
      <c r="D557" s="12">
        <v>0.45026620370370368</v>
      </c>
      <c r="E557">
        <v>1</v>
      </c>
      <c r="G557" s="18">
        <v>16775888</v>
      </c>
      <c r="H557">
        <v>1</v>
      </c>
    </row>
    <row r="558" spans="1:8" x14ac:dyDescent="0.35">
      <c r="A558" s="5">
        <v>9728932</v>
      </c>
      <c r="B558" s="6">
        <v>42926</v>
      </c>
      <c r="C558" s="7">
        <v>0.44641203703703702</v>
      </c>
      <c r="D558" s="8">
        <v>0.45089120370370372</v>
      </c>
      <c r="E558">
        <v>1</v>
      </c>
      <c r="G558" s="18">
        <v>25147401</v>
      </c>
      <c r="H558">
        <v>1</v>
      </c>
    </row>
    <row r="559" spans="1:8" x14ac:dyDescent="0.35">
      <c r="A559" s="9">
        <v>9121149</v>
      </c>
      <c r="B559" s="10">
        <v>42926</v>
      </c>
      <c r="C559" s="11">
        <v>0.45106481481481481</v>
      </c>
      <c r="D559" s="12">
        <v>0.45603009259259258</v>
      </c>
      <c r="E559">
        <v>1</v>
      </c>
      <c r="G559" s="18">
        <v>55614678</v>
      </c>
      <c r="H559">
        <v>1</v>
      </c>
    </row>
    <row r="560" spans="1:8" x14ac:dyDescent="0.35">
      <c r="A560" s="5">
        <v>2790475</v>
      </c>
      <c r="B560" s="6">
        <v>42926</v>
      </c>
      <c r="C560" s="7">
        <v>0.45663194444444444</v>
      </c>
      <c r="D560" s="8">
        <v>0.46517361111111111</v>
      </c>
      <c r="E560">
        <v>1</v>
      </c>
      <c r="G560" s="18">
        <v>25194612</v>
      </c>
      <c r="H560">
        <v>1</v>
      </c>
    </row>
    <row r="561" spans="1:8" x14ac:dyDescent="0.35">
      <c r="A561" s="9">
        <v>4148520</v>
      </c>
      <c r="B561" s="10">
        <v>42926</v>
      </c>
      <c r="C561" s="11">
        <v>0.46108796296296295</v>
      </c>
      <c r="D561" s="12">
        <v>0.46989583333333335</v>
      </c>
      <c r="E561">
        <v>1</v>
      </c>
      <c r="G561" s="18">
        <v>56127547</v>
      </c>
      <c r="H561">
        <v>1</v>
      </c>
    </row>
    <row r="562" spans="1:8" x14ac:dyDescent="0.35">
      <c r="A562" s="5">
        <v>55462392</v>
      </c>
      <c r="B562" s="6">
        <v>42926</v>
      </c>
      <c r="C562" s="7">
        <v>0.46597222222222223</v>
      </c>
      <c r="D562" s="8">
        <v>0.46732638888888889</v>
      </c>
      <c r="E562">
        <v>1</v>
      </c>
      <c r="G562" s="18">
        <v>25240352</v>
      </c>
      <c r="H562">
        <v>1</v>
      </c>
    </row>
    <row r="563" spans="1:8" x14ac:dyDescent="0.35">
      <c r="A563" s="9">
        <v>8130722</v>
      </c>
      <c r="B563" s="10">
        <v>42926</v>
      </c>
      <c r="C563" s="11">
        <v>0.46649305555555554</v>
      </c>
      <c r="D563" s="12">
        <v>0.47717592592592595</v>
      </c>
      <c r="E563">
        <v>1</v>
      </c>
      <c r="G563" s="18">
        <v>16977213</v>
      </c>
      <c r="H563">
        <v>1</v>
      </c>
    </row>
    <row r="564" spans="1:8" x14ac:dyDescent="0.35">
      <c r="A564" s="5">
        <v>5448890</v>
      </c>
      <c r="B564" s="6">
        <v>42926</v>
      </c>
      <c r="C564" s="7">
        <v>0.46957175925925926</v>
      </c>
      <c r="D564" s="8">
        <v>0.47247685185185184</v>
      </c>
      <c r="E564">
        <v>1</v>
      </c>
      <c r="G564" s="18">
        <v>25459710</v>
      </c>
      <c r="H564">
        <v>1</v>
      </c>
    </row>
    <row r="565" spans="1:8" x14ac:dyDescent="0.35">
      <c r="A565" s="9">
        <v>6118241</v>
      </c>
      <c r="B565" s="10">
        <v>42926</v>
      </c>
      <c r="C565" s="11">
        <v>0.47462962962962962</v>
      </c>
      <c r="D565" s="12">
        <v>0.47839120370370369</v>
      </c>
      <c r="E565">
        <v>1</v>
      </c>
      <c r="G565" s="18">
        <v>16999529</v>
      </c>
      <c r="H565">
        <v>1</v>
      </c>
    </row>
    <row r="566" spans="1:8" x14ac:dyDescent="0.35">
      <c r="A566" s="5">
        <v>1088377750</v>
      </c>
      <c r="B566" s="6">
        <v>42926</v>
      </c>
      <c r="C566" s="7">
        <v>0.47535879629629629</v>
      </c>
      <c r="D566" s="8">
        <v>0.48454861111111114</v>
      </c>
      <c r="E566">
        <v>1</v>
      </c>
      <c r="G566" s="18">
        <v>25545000</v>
      </c>
      <c r="H566">
        <v>1</v>
      </c>
    </row>
    <row r="567" spans="1:8" x14ac:dyDescent="0.35">
      <c r="A567" s="9">
        <v>98238772</v>
      </c>
      <c r="B567" s="10">
        <v>42926</v>
      </c>
      <c r="C567" s="11">
        <v>0.47989583333333335</v>
      </c>
      <c r="D567" s="12">
        <v>0.48138888888888887</v>
      </c>
      <c r="E567">
        <v>1</v>
      </c>
      <c r="G567" s="18">
        <v>59984179</v>
      </c>
      <c r="H567">
        <v>1</v>
      </c>
    </row>
    <row r="568" spans="1:8" x14ac:dyDescent="0.35">
      <c r="A568" s="5">
        <v>9524588</v>
      </c>
      <c r="B568" s="6">
        <v>42926</v>
      </c>
      <c r="C568" s="7">
        <v>0.4846759259259259</v>
      </c>
      <c r="D568" s="8">
        <v>0.49550925925925926</v>
      </c>
      <c r="E568">
        <v>1</v>
      </c>
      <c r="G568" s="18">
        <v>25574074</v>
      </c>
      <c r="H568">
        <v>1</v>
      </c>
    </row>
    <row r="569" spans="1:8" x14ac:dyDescent="0.35">
      <c r="A569" s="9">
        <v>96375379</v>
      </c>
      <c r="B569" s="10">
        <v>42926</v>
      </c>
      <c r="C569" s="11">
        <v>0.4881712962962963</v>
      </c>
      <c r="D569" s="12">
        <v>0.49769675925925927</v>
      </c>
      <c r="E569">
        <v>1</v>
      </c>
      <c r="G569" s="18">
        <v>60885211</v>
      </c>
      <c r="H569">
        <v>1</v>
      </c>
    </row>
    <row r="570" spans="1:8" x14ac:dyDescent="0.35">
      <c r="A570" s="5">
        <v>4759206</v>
      </c>
      <c r="B570" s="6">
        <v>42926</v>
      </c>
      <c r="C570" s="7">
        <v>0.49055555555555558</v>
      </c>
      <c r="D570" s="8">
        <v>0.49449074074074073</v>
      </c>
      <c r="E570">
        <v>1</v>
      </c>
      <c r="G570" s="18">
        <v>25581178</v>
      </c>
      <c r="H570">
        <v>1</v>
      </c>
    </row>
    <row r="571" spans="1:8" x14ac:dyDescent="0.35">
      <c r="A571" s="9">
        <v>9197309</v>
      </c>
      <c r="B571" s="10">
        <v>42926</v>
      </c>
      <c r="C571" s="11">
        <v>0.49488425925925927</v>
      </c>
      <c r="D571" s="12">
        <v>0.50590277777777781</v>
      </c>
      <c r="E571">
        <v>1</v>
      </c>
      <c r="G571" s="18">
        <v>61812355</v>
      </c>
      <c r="H571">
        <v>1</v>
      </c>
    </row>
    <row r="572" spans="1:8" x14ac:dyDescent="0.35">
      <c r="A572" s="5">
        <v>8322522</v>
      </c>
      <c r="B572" s="6">
        <v>42926</v>
      </c>
      <c r="C572" s="7">
        <v>0.49674768518518519</v>
      </c>
      <c r="D572" s="8">
        <v>0.50796296296296295</v>
      </c>
      <c r="E572">
        <v>1</v>
      </c>
      <c r="G572" s="18">
        <v>12687991</v>
      </c>
      <c r="H572">
        <v>1</v>
      </c>
    </row>
    <row r="573" spans="1:8" x14ac:dyDescent="0.35">
      <c r="A573" s="9">
        <v>4264808</v>
      </c>
      <c r="B573" s="10">
        <v>42926</v>
      </c>
      <c r="C573" s="11">
        <v>0.50089120370370366</v>
      </c>
      <c r="D573" s="12">
        <v>0.50109953703703702</v>
      </c>
      <c r="E573">
        <v>1</v>
      </c>
      <c r="G573" s="18">
        <v>14201334</v>
      </c>
      <c r="H573">
        <v>1</v>
      </c>
    </row>
    <row r="574" spans="1:8" x14ac:dyDescent="0.35">
      <c r="A574" s="5">
        <v>3095218</v>
      </c>
      <c r="B574" s="6">
        <v>42926</v>
      </c>
      <c r="C574" s="7">
        <v>0.50635416666666666</v>
      </c>
      <c r="D574" s="8">
        <v>0.51716435185185183</v>
      </c>
      <c r="E574">
        <v>1</v>
      </c>
      <c r="G574" s="18">
        <v>26254490</v>
      </c>
      <c r="H574">
        <v>1</v>
      </c>
    </row>
    <row r="575" spans="1:8" x14ac:dyDescent="0.35">
      <c r="A575" s="9">
        <v>5820632164</v>
      </c>
      <c r="B575" s="10">
        <v>42926</v>
      </c>
      <c r="C575" s="11">
        <v>0.51010416666666669</v>
      </c>
      <c r="D575" s="12">
        <v>0.51879629629629631</v>
      </c>
      <c r="E575">
        <v>1</v>
      </c>
      <c r="G575" s="18">
        <v>40120881</v>
      </c>
      <c r="H575">
        <v>1</v>
      </c>
    </row>
    <row r="576" spans="1:8" x14ac:dyDescent="0.35">
      <c r="A576" s="5">
        <v>89814525</v>
      </c>
      <c r="B576" s="6">
        <v>42926</v>
      </c>
      <c r="C576" s="7">
        <v>0.51090277777777782</v>
      </c>
      <c r="D576" s="8">
        <v>0.51175925925925925</v>
      </c>
      <c r="E576">
        <v>1</v>
      </c>
      <c r="G576" s="18">
        <v>26463662</v>
      </c>
      <c r="H576">
        <v>1</v>
      </c>
    </row>
    <row r="577" spans="1:8" x14ac:dyDescent="0.35">
      <c r="A577" s="9">
        <v>1223816</v>
      </c>
      <c r="B577" s="10">
        <v>42926</v>
      </c>
      <c r="C577" s="11">
        <v>0.51116898148148149</v>
      </c>
      <c r="D577" s="12">
        <v>0.51718750000000002</v>
      </c>
      <c r="E577">
        <v>1</v>
      </c>
      <c r="G577" s="18">
        <v>40395856</v>
      </c>
      <c r="H577">
        <v>1</v>
      </c>
    </row>
    <row r="578" spans="1:8" x14ac:dyDescent="0.35">
      <c r="A578" s="5">
        <v>18503160</v>
      </c>
      <c r="B578" s="6">
        <v>42926</v>
      </c>
      <c r="C578" s="7">
        <v>0.51157407407407407</v>
      </c>
      <c r="D578" s="8">
        <v>0.51663194444444449</v>
      </c>
      <c r="E578">
        <v>1</v>
      </c>
      <c r="G578" s="18">
        <v>26699217</v>
      </c>
      <c r="H578">
        <v>1</v>
      </c>
    </row>
    <row r="579" spans="1:8" x14ac:dyDescent="0.35">
      <c r="A579" s="9">
        <v>21677804</v>
      </c>
      <c r="B579" s="10">
        <v>42926</v>
      </c>
      <c r="C579" s="11">
        <v>0.51328703703703704</v>
      </c>
      <c r="D579" s="12">
        <v>0.51821759259259259</v>
      </c>
      <c r="E579">
        <v>1</v>
      </c>
      <c r="G579" s="18">
        <v>41144838</v>
      </c>
      <c r="H579">
        <v>1</v>
      </c>
    </row>
    <row r="580" spans="1:8" x14ac:dyDescent="0.35">
      <c r="A580" s="5">
        <v>5087066</v>
      </c>
      <c r="B580" s="6">
        <v>42926</v>
      </c>
      <c r="C580" s="7">
        <v>0.51603009259259258</v>
      </c>
      <c r="D580" s="8">
        <v>0.5269907407407407</v>
      </c>
      <c r="E580">
        <v>1</v>
      </c>
      <c r="G580" s="18">
        <v>26766818</v>
      </c>
      <c r="H580">
        <v>1</v>
      </c>
    </row>
    <row r="581" spans="1:8" x14ac:dyDescent="0.35">
      <c r="A581" s="9">
        <v>6905863</v>
      </c>
      <c r="B581" s="10">
        <v>42926</v>
      </c>
      <c r="C581" s="11">
        <v>0.52123842592592595</v>
      </c>
      <c r="D581" s="12">
        <v>0.53008101851851852</v>
      </c>
      <c r="E581">
        <v>1</v>
      </c>
      <c r="G581" s="18">
        <v>41210751</v>
      </c>
      <c r="H581">
        <v>1</v>
      </c>
    </row>
    <row r="582" spans="1:8" x14ac:dyDescent="0.35">
      <c r="A582" s="5">
        <v>4144248</v>
      </c>
      <c r="B582" s="6">
        <v>42926</v>
      </c>
      <c r="C582" s="7">
        <v>0.52134259259259264</v>
      </c>
      <c r="D582" s="8">
        <v>0.53226851851851853</v>
      </c>
      <c r="E582">
        <v>1</v>
      </c>
      <c r="G582" s="18">
        <v>26891502</v>
      </c>
      <c r="H582">
        <v>1</v>
      </c>
    </row>
    <row r="583" spans="1:8" x14ac:dyDescent="0.35">
      <c r="A583" s="9">
        <v>16392077</v>
      </c>
      <c r="B583" s="10">
        <v>42926</v>
      </c>
      <c r="C583" s="11">
        <v>0.52254629629629634</v>
      </c>
      <c r="D583" s="12">
        <v>0.52263888888888888</v>
      </c>
      <c r="E583">
        <v>1</v>
      </c>
      <c r="G583" s="18">
        <v>11070759</v>
      </c>
      <c r="H583">
        <v>1</v>
      </c>
    </row>
    <row r="584" spans="1:8" x14ac:dyDescent="0.35">
      <c r="A584" s="5">
        <v>8865092</v>
      </c>
      <c r="B584" s="6">
        <v>42926</v>
      </c>
      <c r="C584" s="7">
        <v>0.52392361111111108</v>
      </c>
      <c r="D584" s="8">
        <v>0.53378472222222217</v>
      </c>
      <c r="E584">
        <v>1</v>
      </c>
      <c r="G584" s="18">
        <v>26895957</v>
      </c>
      <c r="H584">
        <v>1</v>
      </c>
    </row>
    <row r="585" spans="1:8" x14ac:dyDescent="0.35">
      <c r="A585" s="9">
        <v>92597723</v>
      </c>
      <c r="B585" s="10">
        <v>42926</v>
      </c>
      <c r="C585" s="11">
        <v>0.52837962962962959</v>
      </c>
      <c r="D585" s="12">
        <v>0.53084490740740742</v>
      </c>
      <c r="E585">
        <v>1</v>
      </c>
      <c r="G585" s="18">
        <v>42038927</v>
      </c>
      <c r="H585">
        <v>1</v>
      </c>
    </row>
    <row r="586" spans="1:8" x14ac:dyDescent="0.35">
      <c r="A586" s="5">
        <v>49840829</v>
      </c>
      <c r="B586" s="6">
        <v>42926</v>
      </c>
      <c r="C586" s="7">
        <v>0.53204861111111112</v>
      </c>
      <c r="D586" s="8">
        <v>0.53737268518518522</v>
      </c>
      <c r="E586">
        <v>1</v>
      </c>
      <c r="G586" s="18">
        <v>27410048</v>
      </c>
      <c r="H586">
        <v>1</v>
      </c>
    </row>
    <row r="587" spans="1:8" x14ac:dyDescent="0.35">
      <c r="A587" s="9">
        <v>20354301</v>
      </c>
      <c r="B587" s="10">
        <v>42926</v>
      </c>
      <c r="C587" s="11">
        <v>0.53291666666666671</v>
      </c>
      <c r="D587" s="12">
        <v>0.53758101851851847</v>
      </c>
      <c r="E587">
        <v>1</v>
      </c>
      <c r="G587" s="18">
        <v>42603700</v>
      </c>
      <c r="H587">
        <v>1</v>
      </c>
    </row>
    <row r="588" spans="1:8" x14ac:dyDescent="0.35">
      <c r="A588" s="5">
        <v>2731955</v>
      </c>
      <c r="B588" s="6">
        <v>42926</v>
      </c>
      <c r="C588" s="7">
        <v>0.53843750000000001</v>
      </c>
      <c r="D588" s="8">
        <v>0.54283564814814811</v>
      </c>
      <c r="E588">
        <v>1</v>
      </c>
      <c r="G588" s="18">
        <v>27487200</v>
      </c>
      <c r="H588">
        <v>1</v>
      </c>
    </row>
    <row r="589" spans="1:8" x14ac:dyDescent="0.35">
      <c r="A589" s="9">
        <v>2304726</v>
      </c>
      <c r="B589" s="10">
        <v>42926</v>
      </c>
      <c r="C589" s="11">
        <v>0.54197916666666668</v>
      </c>
      <c r="D589" s="12">
        <v>0.54866898148148147</v>
      </c>
      <c r="E589">
        <v>1</v>
      </c>
      <c r="G589" s="18">
        <v>43019885</v>
      </c>
      <c r="H589">
        <v>1</v>
      </c>
    </row>
    <row r="590" spans="1:8" x14ac:dyDescent="0.35">
      <c r="A590" s="5">
        <v>4653709</v>
      </c>
      <c r="B590" s="6">
        <v>42926</v>
      </c>
      <c r="C590" s="7">
        <v>0.54292824074074075</v>
      </c>
      <c r="D590" s="8">
        <v>0.5444444444444444</v>
      </c>
      <c r="E590">
        <v>1</v>
      </c>
      <c r="G590" s="18">
        <v>27610972</v>
      </c>
      <c r="H590">
        <v>1</v>
      </c>
    </row>
    <row r="591" spans="1:8" x14ac:dyDescent="0.35">
      <c r="A591" s="9">
        <v>4848864</v>
      </c>
      <c r="B591" s="10">
        <v>42926</v>
      </c>
      <c r="C591" s="11">
        <v>0.54432870370370368</v>
      </c>
      <c r="D591" s="12">
        <v>0.55090277777777774</v>
      </c>
      <c r="E591">
        <v>1</v>
      </c>
      <c r="G591" s="18">
        <v>43277353</v>
      </c>
      <c r="H591">
        <v>1</v>
      </c>
    </row>
    <row r="592" spans="1:8" x14ac:dyDescent="0.35">
      <c r="A592" s="5">
        <v>6709939</v>
      </c>
      <c r="B592" s="6">
        <v>42926</v>
      </c>
      <c r="C592" s="7">
        <v>0.54692129629629627</v>
      </c>
      <c r="D592" s="8">
        <v>0.55000000000000004</v>
      </c>
      <c r="E592">
        <v>1</v>
      </c>
      <c r="G592" s="18">
        <v>27684909</v>
      </c>
      <c r="H592">
        <v>1</v>
      </c>
    </row>
    <row r="593" spans="1:8" x14ac:dyDescent="0.35">
      <c r="A593" s="9">
        <v>8870498</v>
      </c>
      <c r="B593" s="10">
        <v>42926</v>
      </c>
      <c r="C593" s="11">
        <v>0.55046296296296293</v>
      </c>
      <c r="D593" s="12">
        <v>0.55986111111111114</v>
      </c>
      <c r="E593">
        <v>1</v>
      </c>
      <c r="G593" s="18">
        <v>43897696</v>
      </c>
      <c r="H593">
        <v>1</v>
      </c>
    </row>
    <row r="594" spans="1:8" x14ac:dyDescent="0.35">
      <c r="A594" s="5">
        <v>2947889</v>
      </c>
      <c r="B594" s="6">
        <v>42926</v>
      </c>
      <c r="C594" s="7">
        <v>0.55246527777777776</v>
      </c>
      <c r="D594" s="8">
        <v>0.56334490740740739</v>
      </c>
      <c r="E594">
        <v>1</v>
      </c>
      <c r="G594" s="18">
        <v>12721215</v>
      </c>
      <c r="H594">
        <v>1</v>
      </c>
    </row>
    <row r="595" spans="1:8" x14ac:dyDescent="0.35">
      <c r="A595" s="9">
        <v>8270097</v>
      </c>
      <c r="B595" s="10">
        <v>42926</v>
      </c>
      <c r="C595" s="11">
        <v>0.55650462962962965</v>
      </c>
      <c r="D595" s="12">
        <v>0.55850694444444449</v>
      </c>
      <c r="E595">
        <v>1</v>
      </c>
      <c r="G595" s="18">
        <v>44200961</v>
      </c>
      <c r="H595">
        <v>1</v>
      </c>
    </row>
    <row r="596" spans="1:8" x14ac:dyDescent="0.35">
      <c r="A596" s="5">
        <v>8183468</v>
      </c>
      <c r="B596" s="6">
        <v>42926</v>
      </c>
      <c r="C596" s="7">
        <v>0.55832175925925931</v>
      </c>
      <c r="D596" s="8">
        <v>0.56265046296296295</v>
      </c>
      <c r="E596">
        <v>1</v>
      </c>
      <c r="G596" s="18">
        <v>27798660</v>
      </c>
      <c r="H596">
        <v>1</v>
      </c>
    </row>
    <row r="597" spans="1:8" x14ac:dyDescent="0.35">
      <c r="A597" s="9">
        <v>3263806</v>
      </c>
      <c r="B597" s="10">
        <v>42926</v>
      </c>
      <c r="C597" s="11">
        <v>0.55864583333333329</v>
      </c>
      <c r="D597" s="12">
        <v>0.56383101851851847</v>
      </c>
      <c r="E597">
        <v>1</v>
      </c>
      <c r="G597" s="18">
        <v>44765837</v>
      </c>
      <c r="H597">
        <v>1</v>
      </c>
    </row>
    <row r="598" spans="1:8" x14ac:dyDescent="0.35">
      <c r="A598" s="5">
        <v>7792980</v>
      </c>
      <c r="B598" s="6">
        <v>42926</v>
      </c>
      <c r="C598" s="7">
        <v>0.56234953703703705</v>
      </c>
      <c r="D598" s="8">
        <v>0.57378472222222221</v>
      </c>
      <c r="E598">
        <v>1</v>
      </c>
      <c r="G598" s="18">
        <v>27858818</v>
      </c>
      <c r="H598">
        <v>1</v>
      </c>
    </row>
    <row r="599" spans="1:8" x14ac:dyDescent="0.35">
      <c r="A599" s="9">
        <v>88929925</v>
      </c>
      <c r="B599" s="10">
        <v>42926</v>
      </c>
      <c r="C599" s="11">
        <v>0.56688657407407406</v>
      </c>
      <c r="D599" s="12">
        <v>0.57342592592592589</v>
      </c>
      <c r="E599">
        <v>1</v>
      </c>
      <c r="G599" s="18">
        <v>44937926</v>
      </c>
      <c r="H599">
        <v>1</v>
      </c>
    </row>
    <row r="600" spans="1:8" x14ac:dyDescent="0.35">
      <c r="A600" s="5">
        <v>2478461</v>
      </c>
      <c r="B600" s="6">
        <v>42926</v>
      </c>
      <c r="C600" s="7">
        <v>0.56980324074074074</v>
      </c>
      <c r="D600" s="8">
        <v>0.575775462962963</v>
      </c>
      <c r="E600">
        <v>1</v>
      </c>
      <c r="G600" s="18">
        <v>28145499</v>
      </c>
      <c r="H600">
        <v>1</v>
      </c>
    </row>
    <row r="601" spans="1:8" x14ac:dyDescent="0.35">
      <c r="A601" s="9">
        <v>2838216</v>
      </c>
      <c r="B601" s="10">
        <v>42926</v>
      </c>
      <c r="C601" s="11">
        <v>0.5755555555555556</v>
      </c>
      <c r="D601" s="12">
        <v>0.57737268518518514</v>
      </c>
      <c r="E601">
        <v>1</v>
      </c>
      <c r="G601" s="18">
        <v>15643568</v>
      </c>
      <c r="H601">
        <v>1</v>
      </c>
    </row>
    <row r="602" spans="1:8" x14ac:dyDescent="0.35">
      <c r="A602" s="5">
        <v>4853153</v>
      </c>
      <c r="B602" s="6">
        <v>42926</v>
      </c>
      <c r="C602" s="7">
        <v>0.5803935185185185</v>
      </c>
      <c r="D602" s="8">
        <v>0.58190972222222226</v>
      </c>
      <c r="E602">
        <v>1</v>
      </c>
      <c r="G602" s="18">
        <v>28185580</v>
      </c>
      <c r="H602">
        <v>1</v>
      </c>
    </row>
    <row r="603" spans="1:8" x14ac:dyDescent="0.35">
      <c r="A603" s="9">
        <v>2985743</v>
      </c>
      <c r="B603" s="10">
        <v>42926</v>
      </c>
      <c r="C603" s="11">
        <v>0.58189814814814811</v>
      </c>
      <c r="D603" s="12">
        <v>0.59070601851851856</v>
      </c>
      <c r="E603">
        <v>1</v>
      </c>
      <c r="G603" s="18">
        <v>45232967</v>
      </c>
      <c r="H603">
        <v>1</v>
      </c>
    </row>
    <row r="604" spans="1:8" x14ac:dyDescent="0.35">
      <c r="A604" s="5">
        <v>3434934</v>
      </c>
      <c r="B604" s="6">
        <v>42926</v>
      </c>
      <c r="C604" s="7">
        <v>0.58254629629629628</v>
      </c>
      <c r="D604" s="8">
        <v>0.58601851851851849</v>
      </c>
      <c r="E604">
        <v>1</v>
      </c>
      <c r="G604" s="18">
        <v>28282891</v>
      </c>
      <c r="H604">
        <v>1</v>
      </c>
    </row>
    <row r="605" spans="1:8" x14ac:dyDescent="0.35">
      <c r="A605" s="9">
        <v>97596112</v>
      </c>
      <c r="B605" s="10">
        <v>42926</v>
      </c>
      <c r="C605" s="11">
        <v>0.58351851851851855</v>
      </c>
      <c r="D605" s="12">
        <v>0.59368055555555554</v>
      </c>
      <c r="E605">
        <v>1</v>
      </c>
      <c r="G605" s="18">
        <v>45862784</v>
      </c>
      <c r="H605">
        <v>1</v>
      </c>
    </row>
    <row r="606" spans="1:8" x14ac:dyDescent="0.35">
      <c r="A606" s="5">
        <v>1247125</v>
      </c>
      <c r="B606" s="6">
        <v>42926</v>
      </c>
      <c r="C606" s="7">
        <v>0.58575231481481482</v>
      </c>
      <c r="D606" s="8">
        <v>0.5935300925925926</v>
      </c>
      <c r="E606">
        <v>1</v>
      </c>
      <c r="G606" s="18">
        <v>28601187</v>
      </c>
      <c r="H606">
        <v>1</v>
      </c>
    </row>
    <row r="607" spans="1:8" x14ac:dyDescent="0.35">
      <c r="A607" s="9">
        <v>6982652</v>
      </c>
      <c r="B607" s="10">
        <v>42926</v>
      </c>
      <c r="C607" s="11">
        <v>0.58677083333333335</v>
      </c>
      <c r="D607" s="12">
        <v>0.58759259259259256</v>
      </c>
      <c r="E607">
        <v>1</v>
      </c>
      <c r="G607" s="18">
        <v>16303399</v>
      </c>
      <c r="H607">
        <v>1</v>
      </c>
    </row>
    <row r="608" spans="1:8" x14ac:dyDescent="0.35">
      <c r="A608" s="5">
        <v>11209967</v>
      </c>
      <c r="B608" s="6">
        <v>42926</v>
      </c>
      <c r="C608" s="7">
        <v>0.58877314814814818</v>
      </c>
      <c r="D608" s="8">
        <v>0.59027777777777779</v>
      </c>
      <c r="E608">
        <v>1</v>
      </c>
      <c r="G608" s="18">
        <v>28791070</v>
      </c>
      <c r="H608">
        <v>1</v>
      </c>
    </row>
    <row r="609" spans="1:8" x14ac:dyDescent="0.35">
      <c r="A609" s="9">
        <v>6251788</v>
      </c>
      <c r="B609" s="10">
        <v>42926</v>
      </c>
      <c r="C609" s="11">
        <v>0.58910879629629631</v>
      </c>
      <c r="D609" s="12">
        <v>0.59431712962962968</v>
      </c>
      <c r="E609">
        <v>1</v>
      </c>
      <c r="G609" s="18">
        <v>46255010</v>
      </c>
      <c r="H609">
        <v>1</v>
      </c>
    </row>
    <row r="610" spans="1:8" x14ac:dyDescent="0.35">
      <c r="A610" s="5">
        <v>8679036</v>
      </c>
      <c r="B610" s="6">
        <v>42926</v>
      </c>
      <c r="C610" s="7">
        <v>0.58976851851851853</v>
      </c>
      <c r="D610" s="8">
        <v>0.60074074074074069</v>
      </c>
      <c r="E610">
        <v>1</v>
      </c>
      <c r="G610" s="18">
        <v>12919749</v>
      </c>
      <c r="H610">
        <v>1</v>
      </c>
    </row>
    <row r="611" spans="1:8" x14ac:dyDescent="0.35">
      <c r="A611" s="9">
        <v>1288637</v>
      </c>
      <c r="B611" s="10">
        <v>42926</v>
      </c>
      <c r="C611" s="11">
        <v>0.59277777777777774</v>
      </c>
      <c r="D611" s="12">
        <v>0.59365740740740736</v>
      </c>
      <c r="E611">
        <v>1</v>
      </c>
      <c r="G611" s="18">
        <v>47261256</v>
      </c>
      <c r="H611">
        <v>1</v>
      </c>
    </row>
    <row r="612" spans="1:8" x14ac:dyDescent="0.35">
      <c r="A612" s="5">
        <v>4825302</v>
      </c>
      <c r="B612" s="6">
        <v>42926</v>
      </c>
      <c r="C612" s="7">
        <v>0.59670138888888891</v>
      </c>
      <c r="D612" s="8">
        <v>0.59701388888888884</v>
      </c>
      <c r="E612">
        <v>1</v>
      </c>
      <c r="G612" s="18">
        <v>29121099</v>
      </c>
      <c r="H612">
        <v>1</v>
      </c>
    </row>
    <row r="613" spans="1:8" x14ac:dyDescent="0.35">
      <c r="A613" s="9">
        <v>5349562</v>
      </c>
      <c r="B613" s="10">
        <v>42926</v>
      </c>
      <c r="C613" s="11">
        <v>0.60041666666666671</v>
      </c>
      <c r="D613" s="12">
        <v>0.6095949074074074</v>
      </c>
      <c r="E613">
        <v>1</v>
      </c>
      <c r="G613" s="18">
        <v>47615054</v>
      </c>
      <c r="H613">
        <v>1</v>
      </c>
    </row>
    <row r="614" spans="1:8" x14ac:dyDescent="0.35">
      <c r="A614" s="5">
        <v>5893512</v>
      </c>
      <c r="B614" s="6">
        <v>42926</v>
      </c>
      <c r="C614" s="7">
        <v>0.60517361111111112</v>
      </c>
      <c r="D614" s="8">
        <v>0.61063657407407412</v>
      </c>
      <c r="E614">
        <v>1</v>
      </c>
      <c r="G614" s="18">
        <v>29391132</v>
      </c>
      <c r="H614">
        <v>1</v>
      </c>
    </row>
    <row r="615" spans="1:8" x14ac:dyDescent="0.35">
      <c r="A615" s="9">
        <v>7138804596</v>
      </c>
      <c r="B615" s="10">
        <v>42926</v>
      </c>
      <c r="C615" s="11">
        <v>0.60578703703703707</v>
      </c>
      <c r="D615" s="12">
        <v>0.61459490740740741</v>
      </c>
      <c r="E615">
        <v>1</v>
      </c>
      <c r="G615" s="18">
        <v>47707639</v>
      </c>
      <c r="H615">
        <v>1</v>
      </c>
    </row>
    <row r="616" spans="1:8" x14ac:dyDescent="0.35">
      <c r="A616" s="5">
        <v>6468376</v>
      </c>
      <c r="B616" s="6">
        <v>42926</v>
      </c>
      <c r="C616" s="7">
        <v>0.61140046296296291</v>
      </c>
      <c r="D616" s="8">
        <v>0.61952546296296296</v>
      </c>
      <c r="E616">
        <v>1</v>
      </c>
      <c r="G616" s="18">
        <v>29555837</v>
      </c>
      <c r="H616">
        <v>1</v>
      </c>
    </row>
    <row r="617" spans="1:8" x14ac:dyDescent="0.35">
      <c r="A617" s="9">
        <v>5076649</v>
      </c>
      <c r="B617" s="10">
        <v>42926</v>
      </c>
      <c r="C617" s="11">
        <v>0.61699074074074078</v>
      </c>
      <c r="D617" s="12">
        <v>0.62163194444444447</v>
      </c>
      <c r="E617">
        <v>1</v>
      </c>
      <c r="G617" s="18">
        <v>48497496</v>
      </c>
      <c r="H617">
        <v>1</v>
      </c>
    </row>
    <row r="618" spans="1:8" x14ac:dyDescent="0.35">
      <c r="A618" s="5">
        <v>3494192</v>
      </c>
      <c r="B618" s="6">
        <v>42926</v>
      </c>
      <c r="C618" s="7">
        <v>0.62216435185185182</v>
      </c>
      <c r="D618" s="8">
        <v>0.62291666666666667</v>
      </c>
      <c r="E618">
        <v>1</v>
      </c>
      <c r="G618" s="18">
        <v>29771613</v>
      </c>
      <c r="H618">
        <v>1</v>
      </c>
    </row>
    <row r="619" spans="1:8" x14ac:dyDescent="0.35">
      <c r="A619" s="9">
        <v>8150086</v>
      </c>
      <c r="B619" s="10">
        <v>42926</v>
      </c>
      <c r="C619" s="11">
        <v>0.6272685185185185</v>
      </c>
      <c r="D619" s="12">
        <v>0.63475694444444442</v>
      </c>
      <c r="E619">
        <v>1</v>
      </c>
      <c r="G619" s="18">
        <v>48625903</v>
      </c>
      <c r="H619">
        <v>1</v>
      </c>
    </row>
    <row r="620" spans="1:8" x14ac:dyDescent="0.35">
      <c r="A620" s="5">
        <v>3934931</v>
      </c>
      <c r="B620" s="6">
        <v>42927</v>
      </c>
      <c r="C620" s="7">
        <v>0.3349537037037037</v>
      </c>
      <c r="D620" s="8">
        <v>0.3379861111111111</v>
      </c>
      <c r="E620">
        <v>1</v>
      </c>
      <c r="G620" s="18">
        <v>29880225</v>
      </c>
      <c r="H620">
        <v>1</v>
      </c>
    </row>
    <row r="621" spans="1:8" x14ac:dyDescent="0.35">
      <c r="A621" s="9">
        <v>2111996</v>
      </c>
      <c r="B621" s="10">
        <v>42927</v>
      </c>
      <c r="C621" s="11">
        <v>0.33706018518518521</v>
      </c>
      <c r="D621" s="12">
        <v>0.33875</v>
      </c>
      <c r="E621">
        <v>1</v>
      </c>
      <c r="G621" s="18">
        <v>48661666</v>
      </c>
      <c r="H621">
        <v>1</v>
      </c>
    </row>
    <row r="622" spans="1:8" x14ac:dyDescent="0.35">
      <c r="A622" s="5">
        <v>6484436</v>
      </c>
      <c r="B622" s="6">
        <v>42927</v>
      </c>
      <c r="C622" s="7">
        <v>0.34006944444444442</v>
      </c>
      <c r="D622" s="8">
        <v>0.3427546296296296</v>
      </c>
      <c r="E622">
        <v>1</v>
      </c>
      <c r="G622" s="18">
        <v>13221411</v>
      </c>
      <c r="H622">
        <v>1</v>
      </c>
    </row>
    <row r="623" spans="1:8" x14ac:dyDescent="0.35">
      <c r="A623" s="9">
        <v>97646706</v>
      </c>
      <c r="B623" s="10">
        <v>42927</v>
      </c>
      <c r="C623" s="11">
        <v>0.34304398148148146</v>
      </c>
      <c r="D623" s="12">
        <v>0.34310185185185182</v>
      </c>
      <c r="E623">
        <v>1</v>
      </c>
      <c r="G623" s="18">
        <v>48919339</v>
      </c>
      <c r="H623">
        <v>1</v>
      </c>
    </row>
    <row r="624" spans="1:8" x14ac:dyDescent="0.35">
      <c r="A624" s="5">
        <v>9932676</v>
      </c>
      <c r="B624" s="6">
        <v>42927</v>
      </c>
      <c r="C624" s="7">
        <v>0.34778935185185184</v>
      </c>
      <c r="D624" s="8">
        <v>0.35474537037037035</v>
      </c>
      <c r="E624">
        <v>1</v>
      </c>
      <c r="G624" s="18">
        <v>30270334</v>
      </c>
      <c r="H624">
        <v>1</v>
      </c>
    </row>
    <row r="625" spans="1:8" x14ac:dyDescent="0.35">
      <c r="A625" s="9">
        <v>6062869</v>
      </c>
      <c r="B625" s="10">
        <v>42927</v>
      </c>
      <c r="C625" s="11">
        <v>0.3513425925925926</v>
      </c>
      <c r="D625" s="12">
        <v>0.35505787037037034</v>
      </c>
      <c r="E625">
        <v>1</v>
      </c>
      <c r="G625" s="18">
        <v>49158974</v>
      </c>
      <c r="H625">
        <v>1</v>
      </c>
    </row>
    <row r="626" spans="1:8" x14ac:dyDescent="0.35">
      <c r="A626" s="5">
        <v>2828759</v>
      </c>
      <c r="B626" s="6">
        <v>42927</v>
      </c>
      <c r="C626" s="7">
        <v>0.35575231481481484</v>
      </c>
      <c r="D626" s="8">
        <v>0.35851851851851851</v>
      </c>
      <c r="E626">
        <v>1</v>
      </c>
      <c r="G626" s="18">
        <v>30678431</v>
      </c>
      <c r="H626">
        <v>1</v>
      </c>
    </row>
    <row r="627" spans="1:8" x14ac:dyDescent="0.35">
      <c r="A627" s="9">
        <v>7215284</v>
      </c>
      <c r="B627" s="10">
        <v>42927</v>
      </c>
      <c r="C627" s="11">
        <v>0.3596759259259259</v>
      </c>
      <c r="D627" s="12">
        <v>0.36363425925925924</v>
      </c>
      <c r="E627">
        <v>1</v>
      </c>
      <c r="G627" s="18">
        <v>16527855</v>
      </c>
      <c r="H627">
        <v>1</v>
      </c>
    </row>
    <row r="628" spans="1:8" x14ac:dyDescent="0.35">
      <c r="A628" s="5">
        <v>1384299</v>
      </c>
      <c r="B628" s="6">
        <v>42927</v>
      </c>
      <c r="C628" s="7">
        <v>0.36203703703703705</v>
      </c>
      <c r="D628" s="8">
        <v>0.37155092592592592</v>
      </c>
      <c r="E628">
        <v>1</v>
      </c>
      <c r="G628" s="18">
        <v>10760583</v>
      </c>
      <c r="H628">
        <v>1</v>
      </c>
    </row>
    <row r="629" spans="1:8" x14ac:dyDescent="0.35">
      <c r="A629" s="9">
        <v>2486941</v>
      </c>
      <c r="B629" s="10">
        <v>42927</v>
      </c>
      <c r="C629" s="11">
        <v>0.36394675925925923</v>
      </c>
      <c r="D629" s="12">
        <v>0.36422453703703705</v>
      </c>
      <c r="E629">
        <v>1</v>
      </c>
      <c r="G629" s="18">
        <v>49840829</v>
      </c>
      <c r="H629">
        <v>1</v>
      </c>
    </row>
    <row r="630" spans="1:8" x14ac:dyDescent="0.35">
      <c r="A630" s="5">
        <v>6561564994</v>
      </c>
      <c r="B630" s="6">
        <v>42927</v>
      </c>
      <c r="C630" s="7">
        <v>0.36930555555555555</v>
      </c>
      <c r="D630" s="8">
        <v>0.37052083333333335</v>
      </c>
      <c r="E630">
        <v>1</v>
      </c>
      <c r="G630" s="18">
        <v>31516318</v>
      </c>
      <c r="H630">
        <v>1</v>
      </c>
    </row>
    <row r="631" spans="1:8" x14ac:dyDescent="0.35">
      <c r="A631" s="9">
        <v>1207918</v>
      </c>
      <c r="B631" s="10">
        <v>42927</v>
      </c>
      <c r="C631" s="11">
        <v>0.37410879629629629</v>
      </c>
      <c r="D631" s="12">
        <v>0.3767361111111111</v>
      </c>
      <c r="E631">
        <v>1</v>
      </c>
      <c r="G631" s="18">
        <v>50583407</v>
      </c>
      <c r="H631">
        <v>1</v>
      </c>
    </row>
    <row r="632" spans="1:8" x14ac:dyDescent="0.35">
      <c r="A632" s="5">
        <v>66800387</v>
      </c>
      <c r="B632" s="6">
        <v>42927</v>
      </c>
      <c r="C632" s="7">
        <v>0.37684027777777779</v>
      </c>
      <c r="D632" s="8">
        <v>0.38072916666666667</v>
      </c>
      <c r="E632">
        <v>1</v>
      </c>
      <c r="G632" s="18">
        <v>32779069</v>
      </c>
      <c r="H632">
        <v>1</v>
      </c>
    </row>
    <row r="633" spans="1:8" x14ac:dyDescent="0.35">
      <c r="A633" s="9">
        <v>49093359</v>
      </c>
      <c r="B633" s="10">
        <v>42927</v>
      </c>
      <c r="C633" s="11">
        <v>0.37695601851851851</v>
      </c>
      <c r="D633" s="12">
        <v>0.38138888888888889</v>
      </c>
      <c r="E633">
        <v>1</v>
      </c>
      <c r="G633" s="18">
        <v>51855396</v>
      </c>
      <c r="H633">
        <v>1</v>
      </c>
    </row>
    <row r="634" spans="1:8" x14ac:dyDescent="0.35">
      <c r="A634" s="5">
        <v>2252239</v>
      </c>
      <c r="B634" s="6">
        <v>42927</v>
      </c>
      <c r="C634" s="7">
        <v>0.38233796296296296</v>
      </c>
      <c r="D634" s="8">
        <v>0.39034722222222223</v>
      </c>
      <c r="E634">
        <v>1</v>
      </c>
      <c r="G634" s="18">
        <v>33166727</v>
      </c>
      <c r="H634">
        <v>1</v>
      </c>
    </row>
    <row r="635" spans="1:8" x14ac:dyDescent="0.35">
      <c r="A635" s="9">
        <v>4925279</v>
      </c>
      <c r="B635" s="10">
        <v>42927</v>
      </c>
      <c r="C635" s="11">
        <v>0.3850925925925926</v>
      </c>
      <c r="D635" s="12">
        <v>0.38929398148148148</v>
      </c>
      <c r="E635">
        <v>1</v>
      </c>
      <c r="G635" s="18">
        <v>16580449</v>
      </c>
      <c r="H635">
        <v>1</v>
      </c>
    </row>
    <row r="636" spans="1:8" x14ac:dyDescent="0.35">
      <c r="A636" s="5">
        <v>25459710</v>
      </c>
      <c r="B636" s="6">
        <v>42927</v>
      </c>
      <c r="C636" s="7">
        <v>0.38797453703703705</v>
      </c>
      <c r="D636" s="8">
        <v>0.39458333333333334</v>
      </c>
      <c r="E636">
        <v>1</v>
      </c>
      <c r="G636" s="18">
        <v>33320202</v>
      </c>
      <c r="H636">
        <v>1</v>
      </c>
    </row>
    <row r="637" spans="1:8" x14ac:dyDescent="0.35">
      <c r="A637" s="9">
        <v>3943994</v>
      </c>
      <c r="B637" s="10">
        <v>42927</v>
      </c>
      <c r="C637" s="11">
        <v>0.39199074074074075</v>
      </c>
      <c r="D637" s="12">
        <v>0.39934027777777775</v>
      </c>
      <c r="E637">
        <v>1</v>
      </c>
      <c r="G637" s="18">
        <v>52391912</v>
      </c>
      <c r="H637">
        <v>1</v>
      </c>
    </row>
    <row r="638" spans="1:8" x14ac:dyDescent="0.35">
      <c r="A638" s="5">
        <v>2109147679</v>
      </c>
      <c r="B638" s="6">
        <v>42927</v>
      </c>
      <c r="C638" s="7">
        <v>0.39260416666666664</v>
      </c>
      <c r="D638" s="8">
        <v>0.40322916666666669</v>
      </c>
      <c r="E638">
        <v>1</v>
      </c>
      <c r="G638" s="18">
        <v>33708687</v>
      </c>
      <c r="H638">
        <v>1</v>
      </c>
    </row>
    <row r="639" spans="1:8" x14ac:dyDescent="0.35">
      <c r="A639" s="9">
        <v>9967649</v>
      </c>
      <c r="B639" s="10">
        <v>42927</v>
      </c>
      <c r="C639" s="11">
        <v>0.39659722222222221</v>
      </c>
      <c r="D639" s="12">
        <v>0.4042824074074074</v>
      </c>
      <c r="E639">
        <v>1</v>
      </c>
      <c r="G639" s="18">
        <v>53117702</v>
      </c>
      <c r="H639">
        <v>1</v>
      </c>
    </row>
    <row r="640" spans="1:8" x14ac:dyDescent="0.35">
      <c r="A640" s="5">
        <v>2947660</v>
      </c>
      <c r="B640" s="6">
        <v>42927</v>
      </c>
      <c r="C640" s="7">
        <v>0.39817129629629627</v>
      </c>
      <c r="D640" s="8">
        <v>0.4045023148148148</v>
      </c>
      <c r="E640">
        <v>1</v>
      </c>
      <c r="G640" s="18">
        <v>34556399</v>
      </c>
      <c r="H640">
        <v>1</v>
      </c>
    </row>
    <row r="641" spans="1:8" x14ac:dyDescent="0.35">
      <c r="A641" s="9">
        <v>6492842</v>
      </c>
      <c r="B641" s="10">
        <v>42927</v>
      </c>
      <c r="C641" s="11">
        <v>0.40379629629629632</v>
      </c>
      <c r="D641" s="12">
        <v>0.4100462962962963</v>
      </c>
      <c r="E641">
        <v>1</v>
      </c>
      <c r="G641" s="18">
        <v>53378457</v>
      </c>
      <c r="H641">
        <v>1</v>
      </c>
    </row>
    <row r="642" spans="1:8" x14ac:dyDescent="0.35">
      <c r="A642" s="5">
        <v>70730125</v>
      </c>
      <c r="B642" s="6">
        <v>42927</v>
      </c>
      <c r="C642" s="7">
        <v>0.40777777777777779</v>
      </c>
      <c r="D642" s="8">
        <v>0.4181597222222222</v>
      </c>
      <c r="E642">
        <v>1</v>
      </c>
      <c r="G642" s="18">
        <v>34628061</v>
      </c>
      <c r="H642">
        <v>1</v>
      </c>
    </row>
    <row r="643" spans="1:8" x14ac:dyDescent="0.35">
      <c r="A643" s="9">
        <v>4056361</v>
      </c>
      <c r="B643" s="10">
        <v>42927</v>
      </c>
      <c r="C643" s="11">
        <v>0.41239583333333335</v>
      </c>
      <c r="D643" s="12">
        <v>0.41844907407407406</v>
      </c>
      <c r="E643">
        <v>1</v>
      </c>
      <c r="G643" s="18">
        <v>53762222</v>
      </c>
      <c r="H643">
        <v>1</v>
      </c>
    </row>
    <row r="644" spans="1:8" x14ac:dyDescent="0.35">
      <c r="A644" s="5">
        <v>12721215</v>
      </c>
      <c r="B644" s="6">
        <v>42927</v>
      </c>
      <c r="C644" s="7">
        <v>0.41431712962962963</v>
      </c>
      <c r="D644" s="8">
        <v>0.41986111111111113</v>
      </c>
      <c r="E644">
        <v>1</v>
      </c>
      <c r="G644" s="18">
        <v>13494237</v>
      </c>
      <c r="H644">
        <v>1</v>
      </c>
    </row>
    <row r="645" spans="1:8" x14ac:dyDescent="0.35">
      <c r="A645" s="9">
        <v>4566750</v>
      </c>
      <c r="B645" s="10">
        <v>42927</v>
      </c>
      <c r="C645" s="11">
        <v>0.41666666666666669</v>
      </c>
      <c r="D645" s="12">
        <v>0.42190972222222223</v>
      </c>
      <c r="E645">
        <v>1</v>
      </c>
      <c r="G645" s="18">
        <v>16592072</v>
      </c>
      <c r="H645">
        <v>1</v>
      </c>
    </row>
    <row r="646" spans="1:8" x14ac:dyDescent="0.35">
      <c r="A646" s="5">
        <v>7279106</v>
      </c>
      <c r="B646" s="6">
        <v>42927</v>
      </c>
      <c r="C646" s="7">
        <v>0.41935185185185186</v>
      </c>
      <c r="D646" s="8">
        <v>0.43002314814814813</v>
      </c>
      <c r="E646">
        <v>1</v>
      </c>
      <c r="G646" s="18">
        <v>62150310</v>
      </c>
      <c r="H646">
        <v>1</v>
      </c>
    </row>
    <row r="647" spans="1:8" x14ac:dyDescent="0.35">
      <c r="A647" s="9">
        <v>3824660</v>
      </c>
      <c r="B647" s="10">
        <v>42927</v>
      </c>
      <c r="C647" s="11">
        <v>0.4238425925925926</v>
      </c>
      <c r="D647" s="12">
        <v>0.4321875</v>
      </c>
      <c r="E647">
        <v>1</v>
      </c>
      <c r="G647" s="18">
        <v>54554135</v>
      </c>
      <c r="H647">
        <v>1</v>
      </c>
    </row>
    <row r="648" spans="1:8" x14ac:dyDescent="0.35">
      <c r="A648" s="5">
        <v>5815339</v>
      </c>
      <c r="B648" s="6">
        <v>42927</v>
      </c>
      <c r="C648" s="7">
        <v>0.42818287037037039</v>
      </c>
      <c r="D648" s="8">
        <v>0.43273148148148149</v>
      </c>
      <c r="E648">
        <v>1</v>
      </c>
      <c r="G648" s="18">
        <v>62836073</v>
      </c>
      <c r="H648">
        <v>1</v>
      </c>
    </row>
    <row r="649" spans="1:8" x14ac:dyDescent="0.35">
      <c r="A649" s="9">
        <v>77946476</v>
      </c>
      <c r="B649" s="10">
        <v>42927</v>
      </c>
      <c r="C649" s="11">
        <v>0.42995370370370373</v>
      </c>
      <c r="D649" s="12">
        <v>0.43024305555555553</v>
      </c>
      <c r="E649">
        <v>1</v>
      </c>
      <c r="G649" s="18">
        <v>54713807</v>
      </c>
      <c r="H649">
        <v>1</v>
      </c>
    </row>
    <row r="650" spans="1:8" x14ac:dyDescent="0.35">
      <c r="A650" s="5">
        <v>84589848</v>
      </c>
      <c r="B650" s="6">
        <v>42927</v>
      </c>
      <c r="C650" s="7">
        <v>0.43539351851851854</v>
      </c>
      <c r="D650" s="8">
        <v>0.43763888888888891</v>
      </c>
      <c r="E650">
        <v>1</v>
      </c>
      <c r="G650" s="18">
        <v>63291235</v>
      </c>
      <c r="H650">
        <v>1</v>
      </c>
    </row>
    <row r="651" spans="1:8" x14ac:dyDescent="0.35">
      <c r="A651" s="9">
        <v>4501823</v>
      </c>
      <c r="B651" s="10">
        <v>42927</v>
      </c>
      <c r="C651" s="11">
        <v>0.44013888888888891</v>
      </c>
      <c r="D651" s="12">
        <v>0.44690972222222225</v>
      </c>
      <c r="E651">
        <v>1</v>
      </c>
      <c r="G651" s="18">
        <v>16883712</v>
      </c>
      <c r="H651">
        <v>1</v>
      </c>
    </row>
    <row r="652" spans="1:8" x14ac:dyDescent="0.35">
      <c r="A652" s="5">
        <v>38244568</v>
      </c>
      <c r="B652" s="6">
        <v>42927</v>
      </c>
      <c r="C652" s="7">
        <v>0.44381944444444443</v>
      </c>
      <c r="D652" s="8">
        <v>0.45199074074074075</v>
      </c>
      <c r="E652">
        <v>1</v>
      </c>
      <c r="G652" s="18">
        <v>63613334</v>
      </c>
      <c r="H652">
        <v>1</v>
      </c>
    </row>
    <row r="653" spans="1:8" x14ac:dyDescent="0.35">
      <c r="A653" s="9">
        <v>3613950</v>
      </c>
      <c r="B653" s="10">
        <v>42927</v>
      </c>
      <c r="C653" s="11">
        <v>0.44657407407407407</v>
      </c>
      <c r="D653" s="12">
        <v>0.44774305555555555</v>
      </c>
      <c r="E653">
        <v>1</v>
      </c>
      <c r="G653" s="18">
        <v>55464931</v>
      </c>
      <c r="H653">
        <v>1</v>
      </c>
    </row>
    <row r="654" spans="1:8" x14ac:dyDescent="0.35">
      <c r="A654" s="5">
        <v>5750819</v>
      </c>
      <c r="B654" s="6">
        <v>42927</v>
      </c>
      <c r="C654" s="7">
        <v>0.44751157407407405</v>
      </c>
      <c r="D654" s="8">
        <v>0.45284722222222223</v>
      </c>
      <c r="E654">
        <v>1</v>
      </c>
      <c r="G654" s="18">
        <v>64733982</v>
      </c>
      <c r="H654">
        <v>1</v>
      </c>
    </row>
    <row r="655" spans="1:8" x14ac:dyDescent="0.35">
      <c r="A655" s="9">
        <v>63291235</v>
      </c>
      <c r="B655" s="10">
        <v>42927</v>
      </c>
      <c r="C655" s="11">
        <v>0.45091435185185186</v>
      </c>
      <c r="D655" s="12">
        <v>0.45429398148148148</v>
      </c>
      <c r="E655">
        <v>1</v>
      </c>
      <c r="G655" s="18">
        <v>55621633</v>
      </c>
      <c r="H655">
        <v>1</v>
      </c>
    </row>
    <row r="656" spans="1:8" x14ac:dyDescent="0.35">
      <c r="A656" s="5">
        <v>3198725</v>
      </c>
      <c r="B656" s="6">
        <v>42927</v>
      </c>
      <c r="C656" s="7">
        <v>0.45157407407407407</v>
      </c>
      <c r="D656" s="8">
        <v>0.45738425925925924</v>
      </c>
      <c r="E656">
        <v>1</v>
      </c>
      <c r="G656" s="18">
        <v>37077953</v>
      </c>
      <c r="H656">
        <v>1</v>
      </c>
    </row>
    <row r="657" spans="1:8" x14ac:dyDescent="0.35">
      <c r="A657" s="9">
        <v>6248157784</v>
      </c>
      <c r="B657" s="10">
        <v>42927</v>
      </c>
      <c r="C657" s="11">
        <v>0.45475694444444442</v>
      </c>
      <c r="D657" s="12">
        <v>0.4566898148148148</v>
      </c>
      <c r="E657">
        <v>1</v>
      </c>
      <c r="G657" s="18">
        <v>56115408</v>
      </c>
      <c r="H657">
        <v>1</v>
      </c>
    </row>
    <row r="658" spans="1:8" x14ac:dyDescent="0.35">
      <c r="A658" s="5">
        <v>6607648</v>
      </c>
      <c r="B658" s="6">
        <v>42927</v>
      </c>
      <c r="C658" s="7">
        <v>0.45873842592592595</v>
      </c>
      <c r="D658" s="8">
        <v>0.46986111111111112</v>
      </c>
      <c r="E658">
        <v>1</v>
      </c>
      <c r="G658" s="18">
        <v>37838778</v>
      </c>
      <c r="H658">
        <v>1</v>
      </c>
    </row>
    <row r="659" spans="1:8" x14ac:dyDescent="0.35">
      <c r="A659" s="9">
        <v>5340881</v>
      </c>
      <c r="B659" s="10">
        <v>42927</v>
      </c>
      <c r="C659" s="11">
        <v>0.46413194444444444</v>
      </c>
      <c r="D659" s="12">
        <v>0.46585648148148145</v>
      </c>
      <c r="E659">
        <v>1</v>
      </c>
      <c r="G659" s="18">
        <v>57101974</v>
      </c>
      <c r="H659">
        <v>1</v>
      </c>
    </row>
    <row r="660" spans="1:8" x14ac:dyDescent="0.35">
      <c r="A660" s="5">
        <v>99162491</v>
      </c>
      <c r="B660" s="6">
        <v>42927</v>
      </c>
      <c r="C660" s="7">
        <v>0.46738425925925925</v>
      </c>
      <c r="D660" s="8">
        <v>0.46800925925925924</v>
      </c>
      <c r="E660">
        <v>1</v>
      </c>
      <c r="G660" s="18">
        <v>37906881</v>
      </c>
      <c r="H660">
        <v>1</v>
      </c>
    </row>
    <row r="661" spans="1:8" x14ac:dyDescent="0.35">
      <c r="A661" s="9">
        <v>3072421</v>
      </c>
      <c r="B661" s="10">
        <v>42927</v>
      </c>
      <c r="C661" s="11">
        <v>0.46942129629629631</v>
      </c>
      <c r="D661" s="12">
        <v>0.47766203703703702</v>
      </c>
      <c r="E661">
        <v>1</v>
      </c>
      <c r="G661" s="18">
        <v>57395204</v>
      </c>
      <c r="H661">
        <v>1</v>
      </c>
    </row>
    <row r="662" spans="1:8" x14ac:dyDescent="0.35">
      <c r="A662" s="5">
        <v>1909553</v>
      </c>
      <c r="B662" s="6">
        <v>42927</v>
      </c>
      <c r="C662" s="7">
        <v>0.47193287037037035</v>
      </c>
      <c r="D662" s="8">
        <v>0.47763888888888889</v>
      </c>
      <c r="E662">
        <v>1</v>
      </c>
      <c r="G662" s="18">
        <v>37930610</v>
      </c>
      <c r="H662">
        <v>1</v>
      </c>
    </row>
    <row r="663" spans="1:8" x14ac:dyDescent="0.35">
      <c r="A663" s="9">
        <v>62836073</v>
      </c>
      <c r="B663" s="10">
        <v>42927</v>
      </c>
      <c r="C663" s="11">
        <v>0.47739583333333335</v>
      </c>
      <c r="D663" s="12">
        <v>0.48168981481481482</v>
      </c>
      <c r="E663">
        <v>1</v>
      </c>
      <c r="G663" s="18">
        <v>57957786</v>
      </c>
      <c r="H663">
        <v>1</v>
      </c>
    </row>
    <row r="664" spans="1:8" x14ac:dyDescent="0.35">
      <c r="A664" s="5">
        <v>9566647</v>
      </c>
      <c r="B664" s="6">
        <v>42927</v>
      </c>
      <c r="C664" s="7">
        <v>0.48005787037037034</v>
      </c>
      <c r="D664" s="8">
        <v>0.48971064814814813</v>
      </c>
      <c r="E664">
        <v>1</v>
      </c>
      <c r="G664" s="18">
        <v>38047574</v>
      </c>
      <c r="H664">
        <v>1</v>
      </c>
    </row>
    <row r="665" spans="1:8" x14ac:dyDescent="0.35">
      <c r="A665" s="9">
        <v>5833452</v>
      </c>
      <c r="B665" s="10">
        <v>42927</v>
      </c>
      <c r="C665" s="11">
        <v>0.48511574074074076</v>
      </c>
      <c r="D665" s="12">
        <v>0.49502314814814813</v>
      </c>
      <c r="E665">
        <v>1</v>
      </c>
      <c r="G665" s="18">
        <v>58067439</v>
      </c>
      <c r="H665">
        <v>1</v>
      </c>
    </row>
    <row r="666" spans="1:8" x14ac:dyDescent="0.35">
      <c r="A666" s="5">
        <v>10760583</v>
      </c>
      <c r="B666" s="6">
        <v>42927</v>
      </c>
      <c r="C666" s="7">
        <v>0.48994212962962963</v>
      </c>
      <c r="D666" s="8">
        <v>0.4914351851851852</v>
      </c>
      <c r="E666">
        <v>1</v>
      </c>
      <c r="G666" s="18">
        <v>13588783</v>
      </c>
      <c r="H666">
        <v>1</v>
      </c>
    </row>
    <row r="667" spans="1:8" x14ac:dyDescent="0.35">
      <c r="A667" s="9">
        <v>39669014</v>
      </c>
      <c r="B667" s="10">
        <v>42927</v>
      </c>
      <c r="C667" s="11">
        <v>0.49035879629629631</v>
      </c>
      <c r="D667" s="12">
        <v>0.49082175925925925</v>
      </c>
      <c r="E667">
        <v>1</v>
      </c>
      <c r="G667" s="18">
        <v>59508384</v>
      </c>
      <c r="H667">
        <v>1</v>
      </c>
    </row>
    <row r="668" spans="1:8" x14ac:dyDescent="0.35">
      <c r="A668" s="5">
        <v>5147651</v>
      </c>
      <c r="B668" s="6">
        <v>42927</v>
      </c>
      <c r="C668" s="7">
        <v>0.49399305555555556</v>
      </c>
      <c r="D668" s="8">
        <v>0.4959027777777778</v>
      </c>
      <c r="E668">
        <v>1</v>
      </c>
      <c r="G668" s="18">
        <v>13639748</v>
      </c>
      <c r="H668">
        <v>1</v>
      </c>
    </row>
    <row r="669" spans="1:8" x14ac:dyDescent="0.35">
      <c r="A669" s="9">
        <v>41144838</v>
      </c>
      <c r="B669" s="10">
        <v>42927</v>
      </c>
      <c r="C669" s="11">
        <v>0.49949074074074074</v>
      </c>
      <c r="D669" s="12">
        <v>0.50931712962962961</v>
      </c>
      <c r="E669">
        <v>1</v>
      </c>
      <c r="G669" s="18">
        <v>59864989</v>
      </c>
      <c r="H669">
        <v>1</v>
      </c>
    </row>
    <row r="670" spans="1:8" x14ac:dyDescent="0.35">
      <c r="A670" s="5">
        <v>1332513</v>
      </c>
      <c r="B670" s="6">
        <v>42927</v>
      </c>
      <c r="C670" s="7">
        <v>0.50326388888888884</v>
      </c>
      <c r="D670" s="8">
        <v>0.50407407407407412</v>
      </c>
      <c r="E670">
        <v>1</v>
      </c>
      <c r="G670" s="18">
        <v>13674393</v>
      </c>
      <c r="H670">
        <v>1</v>
      </c>
    </row>
    <row r="671" spans="1:8" x14ac:dyDescent="0.35">
      <c r="A671" s="9">
        <v>7743548</v>
      </c>
      <c r="B671" s="10">
        <v>42927</v>
      </c>
      <c r="C671" s="11">
        <v>0.50376157407407407</v>
      </c>
      <c r="D671" s="12">
        <v>0.50907407407407412</v>
      </c>
      <c r="E671">
        <v>1</v>
      </c>
      <c r="G671" s="18">
        <v>17005785</v>
      </c>
      <c r="H671">
        <v>1</v>
      </c>
    </row>
    <row r="672" spans="1:8" x14ac:dyDescent="0.35">
      <c r="A672" s="5">
        <v>7451541965</v>
      </c>
      <c r="B672" s="6">
        <v>42927</v>
      </c>
      <c r="C672" s="7">
        <v>0.50866898148148143</v>
      </c>
      <c r="D672" s="8">
        <v>0.51324074074074078</v>
      </c>
      <c r="E672">
        <v>1</v>
      </c>
      <c r="G672" s="18">
        <v>38823305</v>
      </c>
      <c r="H672">
        <v>1</v>
      </c>
    </row>
    <row r="673" spans="1:8" x14ac:dyDescent="0.35">
      <c r="A673" s="9">
        <v>2109147679</v>
      </c>
      <c r="B673" s="10">
        <v>42927</v>
      </c>
      <c r="C673" s="11">
        <v>0.51282407407407404</v>
      </c>
      <c r="D673" s="12">
        <v>0.51666666666666672</v>
      </c>
      <c r="E673">
        <v>1</v>
      </c>
      <c r="G673" s="18">
        <v>60454232</v>
      </c>
      <c r="H673">
        <v>1</v>
      </c>
    </row>
    <row r="674" spans="1:8" x14ac:dyDescent="0.35">
      <c r="A674" s="5">
        <v>5022247</v>
      </c>
      <c r="B674" s="6">
        <v>42927</v>
      </c>
      <c r="C674" s="7">
        <v>0.51854166666666668</v>
      </c>
      <c r="D674" s="8">
        <v>0.52810185185185188</v>
      </c>
      <c r="E674">
        <v>1</v>
      </c>
      <c r="G674" s="18">
        <v>39210366</v>
      </c>
      <c r="H674">
        <v>1</v>
      </c>
    </row>
    <row r="675" spans="1:8" x14ac:dyDescent="0.35">
      <c r="A675" s="9">
        <v>2920581</v>
      </c>
      <c r="B675" s="10">
        <v>42927</v>
      </c>
      <c r="C675" s="11">
        <v>0.52399305555555553</v>
      </c>
      <c r="D675" s="12">
        <v>0.53120370370370373</v>
      </c>
      <c r="E675">
        <v>1</v>
      </c>
      <c r="G675" s="18">
        <v>61228399</v>
      </c>
      <c r="H675">
        <v>1</v>
      </c>
    </row>
    <row r="676" spans="1:8" x14ac:dyDescent="0.35">
      <c r="A676" s="5">
        <v>7126980</v>
      </c>
      <c r="B676" s="6">
        <v>42927</v>
      </c>
      <c r="C676" s="7">
        <v>0.52592592592592591</v>
      </c>
      <c r="D676" s="8">
        <v>0.53515046296296298</v>
      </c>
      <c r="E676">
        <v>1</v>
      </c>
      <c r="G676" s="18">
        <v>39663331</v>
      </c>
      <c r="H676">
        <v>1</v>
      </c>
    </row>
    <row r="677" spans="1:8" x14ac:dyDescent="0.35">
      <c r="A677" s="9">
        <v>54006070</v>
      </c>
      <c r="B677" s="10">
        <v>42927</v>
      </c>
      <c r="C677" s="11">
        <v>0.53164351851851854</v>
      </c>
      <c r="D677" s="12">
        <v>0.53324074074074079</v>
      </c>
      <c r="E677">
        <v>1</v>
      </c>
      <c r="G677" s="18">
        <v>61527800</v>
      </c>
      <c r="H677">
        <v>1</v>
      </c>
    </row>
    <row r="678" spans="1:8" x14ac:dyDescent="0.35">
      <c r="A678" s="5">
        <v>8672651</v>
      </c>
      <c r="B678" s="6">
        <v>42927</v>
      </c>
      <c r="C678" s="7">
        <v>0.53401620370370373</v>
      </c>
      <c r="D678" s="8">
        <v>0.54462962962962957</v>
      </c>
      <c r="E678">
        <v>1</v>
      </c>
      <c r="G678" s="18">
        <v>13898038</v>
      </c>
      <c r="H678">
        <v>1</v>
      </c>
    </row>
    <row r="679" spans="1:8" x14ac:dyDescent="0.35">
      <c r="A679" s="9">
        <v>54136845</v>
      </c>
      <c r="B679" s="10">
        <v>42927</v>
      </c>
      <c r="C679" s="11">
        <v>0.53920138888888891</v>
      </c>
      <c r="D679" s="12">
        <v>0.54092592592592592</v>
      </c>
      <c r="E679">
        <v>1</v>
      </c>
      <c r="G679" s="18">
        <v>17314583</v>
      </c>
      <c r="H679">
        <v>1</v>
      </c>
    </row>
    <row r="680" spans="1:8" x14ac:dyDescent="0.35">
      <c r="A680" s="5">
        <v>5223970</v>
      </c>
      <c r="B680" s="6">
        <v>42927</v>
      </c>
      <c r="C680" s="7">
        <v>0.53920138888888891</v>
      </c>
      <c r="D680" s="8">
        <v>0.55046296296296293</v>
      </c>
      <c r="E680">
        <v>1</v>
      </c>
      <c r="G680" s="18">
        <v>13972929</v>
      </c>
      <c r="H680">
        <v>1</v>
      </c>
    </row>
    <row r="681" spans="1:8" x14ac:dyDescent="0.35">
      <c r="A681" s="9">
        <v>4264808</v>
      </c>
      <c r="B681" s="10">
        <v>42927</v>
      </c>
      <c r="C681" s="11">
        <v>0.53950231481481481</v>
      </c>
      <c r="D681" s="12">
        <v>0.55071759259259256</v>
      </c>
      <c r="E681">
        <v>1</v>
      </c>
      <c r="G681" s="18">
        <v>34964547</v>
      </c>
      <c r="H681">
        <v>1</v>
      </c>
    </row>
    <row r="682" spans="1:8" x14ac:dyDescent="0.35">
      <c r="A682" s="5">
        <v>5790304</v>
      </c>
      <c r="B682" s="6">
        <v>42927</v>
      </c>
      <c r="C682" s="7">
        <v>0.539525462962963</v>
      </c>
      <c r="D682" s="8">
        <v>0.54025462962962967</v>
      </c>
      <c r="E682">
        <v>1</v>
      </c>
      <c r="G682" s="18">
        <v>62653835</v>
      </c>
      <c r="H682">
        <v>1</v>
      </c>
    </row>
    <row r="683" spans="1:8" x14ac:dyDescent="0.35">
      <c r="A683" s="9">
        <v>13484133</v>
      </c>
      <c r="B683" s="10">
        <v>42927</v>
      </c>
      <c r="C683" s="11">
        <v>0.54137731481481477</v>
      </c>
      <c r="D683" s="12">
        <v>0.54577546296296298</v>
      </c>
      <c r="E683">
        <v>1</v>
      </c>
      <c r="G683" s="18">
        <v>35281950</v>
      </c>
      <c r="H683">
        <v>1</v>
      </c>
    </row>
    <row r="684" spans="1:8" x14ac:dyDescent="0.35">
      <c r="A684" s="5">
        <v>6269166</v>
      </c>
      <c r="B684" s="6">
        <v>42927</v>
      </c>
      <c r="C684" s="7">
        <v>0.54408564814814819</v>
      </c>
      <c r="D684" s="8">
        <v>0.55355324074074075</v>
      </c>
      <c r="E684">
        <v>1</v>
      </c>
      <c r="G684" s="18">
        <v>63141248</v>
      </c>
      <c r="H684">
        <v>1</v>
      </c>
    </row>
    <row r="685" spans="1:8" x14ac:dyDescent="0.35">
      <c r="A685" s="9">
        <v>5089019</v>
      </c>
      <c r="B685" s="10">
        <v>42927</v>
      </c>
      <c r="C685" s="11">
        <v>0.54431712962962964</v>
      </c>
      <c r="D685" s="12">
        <v>0.54921296296296296</v>
      </c>
      <c r="E685">
        <v>1</v>
      </c>
      <c r="G685" s="18">
        <v>35634368</v>
      </c>
      <c r="H685">
        <v>1</v>
      </c>
    </row>
    <row r="686" spans="1:8" x14ac:dyDescent="0.35">
      <c r="A686" s="5">
        <v>6994188</v>
      </c>
      <c r="B686" s="6">
        <v>42927</v>
      </c>
      <c r="C686" s="7">
        <v>0.54797453703703702</v>
      </c>
      <c r="D686" s="8">
        <v>0.55550925925925931</v>
      </c>
      <c r="E686">
        <v>1</v>
      </c>
      <c r="G686" s="18">
        <v>63492662</v>
      </c>
      <c r="H686">
        <v>1</v>
      </c>
    </row>
    <row r="687" spans="1:8" x14ac:dyDescent="0.35">
      <c r="A687" s="9">
        <v>16883712</v>
      </c>
      <c r="B687" s="10">
        <v>42927</v>
      </c>
      <c r="C687" s="11">
        <v>0.55070601851851853</v>
      </c>
      <c r="D687" s="12">
        <v>0.55662037037037038</v>
      </c>
      <c r="E687">
        <v>1</v>
      </c>
      <c r="G687" s="18">
        <v>36332723</v>
      </c>
      <c r="H687">
        <v>1</v>
      </c>
    </row>
    <row r="688" spans="1:8" x14ac:dyDescent="0.35">
      <c r="A688" s="5">
        <v>2781512</v>
      </c>
      <c r="B688" s="6">
        <v>42927</v>
      </c>
      <c r="C688" s="7">
        <v>0.55374999999999996</v>
      </c>
      <c r="D688" s="8">
        <v>0.56312499999999999</v>
      </c>
      <c r="E688">
        <v>1</v>
      </c>
      <c r="G688" s="18">
        <v>64586869</v>
      </c>
      <c r="H688">
        <v>1</v>
      </c>
    </row>
    <row r="689" spans="1:8" x14ac:dyDescent="0.35">
      <c r="A689" s="9">
        <v>4273704</v>
      </c>
      <c r="B689" s="10">
        <v>42927</v>
      </c>
      <c r="C689" s="11">
        <v>0.554224537037037</v>
      </c>
      <c r="D689" s="12">
        <v>0.56221064814814814</v>
      </c>
      <c r="E689">
        <v>1</v>
      </c>
      <c r="G689" s="18">
        <v>36929553</v>
      </c>
      <c r="H689">
        <v>1</v>
      </c>
    </row>
    <row r="690" spans="1:8" x14ac:dyDescent="0.35">
      <c r="A690" s="5">
        <v>3707498</v>
      </c>
      <c r="B690" s="6">
        <v>42927</v>
      </c>
      <c r="C690" s="7">
        <v>0.55982638888888892</v>
      </c>
      <c r="D690" s="8">
        <v>0.56802083333333331</v>
      </c>
      <c r="E690">
        <v>1</v>
      </c>
      <c r="G690" s="18">
        <v>9983997</v>
      </c>
      <c r="H690">
        <v>1</v>
      </c>
    </row>
    <row r="691" spans="1:8" x14ac:dyDescent="0.35">
      <c r="A691" s="9">
        <v>3407358</v>
      </c>
      <c r="B691" s="10">
        <v>42927</v>
      </c>
      <c r="C691" s="11">
        <v>0.56560185185185186</v>
      </c>
      <c r="D691" s="12">
        <v>0.56677083333333333</v>
      </c>
      <c r="E691">
        <v>1</v>
      </c>
      <c r="G691" s="18">
        <v>37032078</v>
      </c>
      <c r="H691">
        <v>1</v>
      </c>
    </row>
    <row r="692" spans="1:8" x14ac:dyDescent="0.35">
      <c r="A692" s="5">
        <v>5251861</v>
      </c>
      <c r="B692" s="6">
        <v>42927</v>
      </c>
      <c r="C692" s="7">
        <v>0.56940972222222219</v>
      </c>
      <c r="D692" s="8">
        <v>0.57149305555555552</v>
      </c>
      <c r="E692">
        <v>1</v>
      </c>
      <c r="G692" s="18">
        <v>9364912</v>
      </c>
      <c r="H692">
        <v>1</v>
      </c>
    </row>
    <row r="693" spans="1:8" x14ac:dyDescent="0.35">
      <c r="A693" s="9">
        <v>7473070</v>
      </c>
      <c r="B693" s="10">
        <v>42927</v>
      </c>
      <c r="C693" s="11">
        <v>0.57185185185185183</v>
      </c>
      <c r="D693" s="12">
        <v>0.58304398148148151</v>
      </c>
      <c r="E693">
        <v>1</v>
      </c>
      <c r="G693" s="18">
        <v>9797571</v>
      </c>
      <c r="H693">
        <v>1</v>
      </c>
    </row>
    <row r="694" spans="1:8" x14ac:dyDescent="0.35">
      <c r="A694" s="5">
        <v>3596504</v>
      </c>
      <c r="B694" s="6">
        <v>42927</v>
      </c>
      <c r="C694" s="7">
        <v>0.57592592592592595</v>
      </c>
      <c r="D694" s="8">
        <v>0.58302083333333332</v>
      </c>
      <c r="E694">
        <v>1</v>
      </c>
      <c r="G694" s="18">
        <v>8362094</v>
      </c>
      <c r="H694">
        <v>1</v>
      </c>
    </row>
    <row r="695" spans="1:8" x14ac:dyDescent="0.35">
      <c r="A695" s="9">
        <v>9620982</v>
      </c>
      <c r="B695" s="10">
        <v>42927</v>
      </c>
      <c r="C695" s="11">
        <v>0.57593749999999999</v>
      </c>
      <c r="D695" s="12">
        <v>0.58310185185185182</v>
      </c>
      <c r="E695">
        <v>1</v>
      </c>
      <c r="G695" s="18">
        <v>8424969</v>
      </c>
      <c r="H695">
        <v>1</v>
      </c>
    </row>
    <row r="696" spans="1:8" x14ac:dyDescent="0.35">
      <c r="A696" s="5">
        <v>93696449</v>
      </c>
      <c r="B696" s="6">
        <v>42927</v>
      </c>
      <c r="C696" s="7">
        <v>0.57939814814814816</v>
      </c>
      <c r="D696" s="8">
        <v>0.5795717592592593</v>
      </c>
      <c r="E696">
        <v>1</v>
      </c>
      <c r="G696" s="18">
        <v>9282666</v>
      </c>
      <c r="H696">
        <v>1</v>
      </c>
    </row>
    <row r="697" spans="1:8" x14ac:dyDescent="0.35">
      <c r="A697" s="9">
        <v>6833658</v>
      </c>
      <c r="B697" s="10">
        <v>42927</v>
      </c>
      <c r="C697" s="11">
        <v>0.5823842592592593</v>
      </c>
      <c r="D697" s="12">
        <v>0.58479166666666671</v>
      </c>
      <c r="E697">
        <v>1</v>
      </c>
      <c r="G697" s="18">
        <v>8429072</v>
      </c>
      <c r="H697">
        <v>1</v>
      </c>
    </row>
    <row r="698" spans="1:8" x14ac:dyDescent="0.35">
      <c r="A698" s="5">
        <v>85422307</v>
      </c>
      <c r="B698" s="6">
        <v>42927</v>
      </c>
      <c r="C698" s="7">
        <v>0.58656249999999999</v>
      </c>
      <c r="D698" s="8">
        <v>0.59008101851851846</v>
      </c>
      <c r="E698">
        <v>1</v>
      </c>
      <c r="G698" s="18">
        <v>9506446</v>
      </c>
      <c r="H698">
        <v>1</v>
      </c>
    </row>
    <row r="699" spans="1:8" x14ac:dyDescent="0.35">
      <c r="A699" s="9">
        <v>6191682</v>
      </c>
      <c r="B699" s="10">
        <v>42927</v>
      </c>
      <c r="C699" s="11">
        <v>0.58711805555555552</v>
      </c>
      <c r="D699" s="12">
        <v>0.59739583333333335</v>
      </c>
      <c r="E699">
        <v>1</v>
      </c>
      <c r="G699" s="18">
        <v>8434044</v>
      </c>
      <c r="H699">
        <v>1</v>
      </c>
    </row>
    <row r="700" spans="1:8" x14ac:dyDescent="0.35">
      <c r="A700" s="5">
        <v>6461167</v>
      </c>
      <c r="B700" s="6">
        <v>42927</v>
      </c>
      <c r="C700" s="7">
        <v>0.5889699074074074</v>
      </c>
      <c r="D700" s="8">
        <v>0.59409722222222228</v>
      </c>
      <c r="E700">
        <v>1</v>
      </c>
      <c r="G700" s="18">
        <v>9716545</v>
      </c>
      <c r="H700">
        <v>1</v>
      </c>
    </row>
    <row r="701" spans="1:8" x14ac:dyDescent="0.35">
      <c r="A701" s="9">
        <v>8270097</v>
      </c>
      <c r="B701" s="10">
        <v>42927</v>
      </c>
      <c r="C701" s="11">
        <v>0.5900347222222222</v>
      </c>
      <c r="D701" s="12">
        <v>0.59217592592592594</v>
      </c>
      <c r="E701">
        <v>1</v>
      </c>
      <c r="G701" s="18">
        <v>8449157</v>
      </c>
      <c r="H701">
        <v>1</v>
      </c>
    </row>
    <row r="702" spans="1:8" x14ac:dyDescent="0.35">
      <c r="A702" s="5">
        <v>8982137</v>
      </c>
      <c r="B702" s="6">
        <v>42927</v>
      </c>
      <c r="C702" s="7">
        <v>0.59010416666666665</v>
      </c>
      <c r="D702" s="8">
        <v>0.59864583333333332</v>
      </c>
      <c r="E702">
        <v>1</v>
      </c>
      <c r="G702" s="18">
        <v>9866204</v>
      </c>
      <c r="H702">
        <v>1</v>
      </c>
    </row>
    <row r="703" spans="1:8" x14ac:dyDescent="0.35">
      <c r="A703" s="9">
        <v>47677051</v>
      </c>
      <c r="B703" s="10">
        <v>42927</v>
      </c>
      <c r="C703" s="11">
        <v>0.59370370370370373</v>
      </c>
      <c r="D703" s="12">
        <v>0.60396990740740741</v>
      </c>
      <c r="E703">
        <v>1</v>
      </c>
      <c r="G703" s="18">
        <v>8233999</v>
      </c>
      <c r="H703">
        <v>1</v>
      </c>
    </row>
    <row r="704" spans="1:8" x14ac:dyDescent="0.35">
      <c r="A704" s="5">
        <v>76139570</v>
      </c>
      <c r="B704" s="6">
        <v>42927</v>
      </c>
      <c r="C704" s="7">
        <v>0.59593750000000001</v>
      </c>
      <c r="D704" s="8">
        <v>0.6004976851851852</v>
      </c>
      <c r="E704">
        <v>1</v>
      </c>
      <c r="G704" s="18">
        <v>9328179</v>
      </c>
      <c r="H704">
        <v>1</v>
      </c>
    </row>
    <row r="705" spans="1:8" x14ac:dyDescent="0.35">
      <c r="A705" s="9">
        <v>62016185</v>
      </c>
      <c r="B705" s="10">
        <v>42927</v>
      </c>
      <c r="C705" s="11">
        <v>0.60037037037037033</v>
      </c>
      <c r="D705" s="12">
        <v>0.60719907407407403</v>
      </c>
      <c r="E705">
        <v>1</v>
      </c>
      <c r="G705" s="18">
        <v>8471021</v>
      </c>
      <c r="H705">
        <v>1</v>
      </c>
    </row>
    <row r="706" spans="1:8" x14ac:dyDescent="0.35">
      <c r="A706" s="5">
        <v>93696449</v>
      </c>
      <c r="B706" s="6">
        <v>42927</v>
      </c>
      <c r="C706" s="7">
        <v>0.60077546296296291</v>
      </c>
      <c r="D706" s="8">
        <v>0.60853009259259261</v>
      </c>
      <c r="E706">
        <v>1</v>
      </c>
      <c r="G706" s="18">
        <v>9446278</v>
      </c>
      <c r="H706">
        <v>1</v>
      </c>
    </row>
    <row r="707" spans="1:8" x14ac:dyDescent="0.35">
      <c r="A707" s="9">
        <v>7914439</v>
      </c>
      <c r="B707" s="10">
        <v>42927</v>
      </c>
      <c r="C707" s="11">
        <v>0.60320601851851852</v>
      </c>
      <c r="D707" s="12">
        <v>0.61459490740740741</v>
      </c>
      <c r="E707">
        <v>1</v>
      </c>
      <c r="G707" s="18">
        <v>8471219</v>
      </c>
      <c r="H707">
        <v>1</v>
      </c>
    </row>
    <row r="708" spans="1:8" x14ac:dyDescent="0.35">
      <c r="A708" s="5">
        <v>38047574</v>
      </c>
      <c r="B708" s="6">
        <v>42927</v>
      </c>
      <c r="C708" s="7">
        <v>0.60721064814814818</v>
      </c>
      <c r="D708" s="8">
        <v>0.61490740740740746</v>
      </c>
      <c r="E708">
        <v>1</v>
      </c>
      <c r="G708" s="18">
        <v>8322802</v>
      </c>
      <c r="H708">
        <v>1</v>
      </c>
    </row>
    <row r="709" spans="1:8" x14ac:dyDescent="0.35">
      <c r="A709" s="9">
        <v>3184339</v>
      </c>
      <c r="B709" s="10">
        <v>42927</v>
      </c>
      <c r="C709" s="11">
        <v>0.61179398148148145</v>
      </c>
      <c r="D709" s="12">
        <v>0.61260416666666662</v>
      </c>
      <c r="E709">
        <v>1</v>
      </c>
      <c r="G709" s="18">
        <v>8471544</v>
      </c>
      <c r="H709">
        <v>1</v>
      </c>
    </row>
    <row r="710" spans="1:8" x14ac:dyDescent="0.35">
      <c r="A710" s="5">
        <v>8126744698</v>
      </c>
      <c r="B710" s="6">
        <v>42927</v>
      </c>
      <c r="C710" s="7">
        <v>0.61664351851851851</v>
      </c>
      <c r="D710" s="8">
        <v>0.61856481481481485</v>
      </c>
      <c r="E710">
        <v>1</v>
      </c>
      <c r="G710" s="18">
        <v>9664191</v>
      </c>
      <c r="H710">
        <v>1</v>
      </c>
    </row>
    <row r="711" spans="1:8" x14ac:dyDescent="0.35">
      <c r="A711" s="9">
        <v>52391912</v>
      </c>
      <c r="B711" s="10">
        <v>42927</v>
      </c>
      <c r="C711" s="11">
        <v>0.62067129629629625</v>
      </c>
      <c r="D711" s="12">
        <v>0.62475694444444441</v>
      </c>
      <c r="E711">
        <v>1</v>
      </c>
      <c r="G711" s="18">
        <v>8487003</v>
      </c>
      <c r="H711">
        <v>1</v>
      </c>
    </row>
    <row r="712" spans="1:8" x14ac:dyDescent="0.35">
      <c r="A712" s="5">
        <v>1223943</v>
      </c>
      <c r="B712" s="6">
        <v>42927</v>
      </c>
      <c r="C712" s="7">
        <v>0.6252199074074074</v>
      </c>
      <c r="D712" s="8">
        <v>0.63226851851851851</v>
      </c>
      <c r="E712">
        <v>1</v>
      </c>
      <c r="G712" s="18">
        <v>8384647</v>
      </c>
      <c r="H712">
        <v>1</v>
      </c>
    </row>
    <row r="713" spans="1:8" x14ac:dyDescent="0.35">
      <c r="A713" s="9">
        <v>14201334</v>
      </c>
      <c r="B713" s="10">
        <v>42928</v>
      </c>
      <c r="C713" s="11">
        <v>0.33568287037037037</v>
      </c>
      <c r="D713" s="12">
        <v>0.34125</v>
      </c>
      <c r="E713">
        <v>1</v>
      </c>
      <c r="G713" s="18">
        <v>8489588</v>
      </c>
      <c r="H713">
        <v>1</v>
      </c>
    </row>
    <row r="714" spans="1:8" x14ac:dyDescent="0.35">
      <c r="A714" s="5">
        <v>1972250241</v>
      </c>
      <c r="B714" s="6">
        <v>42928</v>
      </c>
      <c r="C714" s="7">
        <v>0.33716435185185184</v>
      </c>
      <c r="D714" s="8">
        <v>0.33778935185185183</v>
      </c>
      <c r="E714">
        <v>1</v>
      </c>
      <c r="G714" s="18">
        <v>9827875</v>
      </c>
      <c r="H714">
        <v>1</v>
      </c>
    </row>
    <row r="715" spans="1:8" x14ac:dyDescent="0.35">
      <c r="A715" s="9">
        <v>3028093</v>
      </c>
      <c r="B715" s="10">
        <v>42928</v>
      </c>
      <c r="C715" s="11">
        <v>0.34185185185185185</v>
      </c>
      <c r="D715" s="12">
        <v>0.34375</v>
      </c>
      <c r="E715">
        <v>1</v>
      </c>
      <c r="G715" s="18">
        <v>8493652</v>
      </c>
      <c r="H715">
        <v>1</v>
      </c>
    </row>
    <row r="716" spans="1:8" x14ac:dyDescent="0.35">
      <c r="A716" s="5">
        <v>27487200</v>
      </c>
      <c r="B716" s="6">
        <v>42928</v>
      </c>
      <c r="C716" s="7">
        <v>0.34646990740740741</v>
      </c>
      <c r="D716" s="8">
        <v>0.3550462962962963</v>
      </c>
      <c r="E716">
        <v>1</v>
      </c>
      <c r="G716" s="18">
        <v>9266643</v>
      </c>
      <c r="H716">
        <v>1</v>
      </c>
    </row>
    <row r="717" spans="1:8" x14ac:dyDescent="0.35">
      <c r="A717" s="9">
        <v>7377702</v>
      </c>
      <c r="B717" s="10">
        <v>42928</v>
      </c>
      <c r="C717" s="11">
        <v>0.34722222222222221</v>
      </c>
      <c r="D717" s="12">
        <v>0.3532986111111111</v>
      </c>
      <c r="E717">
        <v>1</v>
      </c>
      <c r="G717" s="18">
        <v>8246306</v>
      </c>
      <c r="H717">
        <v>1</v>
      </c>
    </row>
    <row r="718" spans="1:8" x14ac:dyDescent="0.35">
      <c r="A718" s="5">
        <v>9294571</v>
      </c>
      <c r="B718" s="6">
        <v>42928</v>
      </c>
      <c r="C718" s="7">
        <v>0.35115740740740742</v>
      </c>
      <c r="D718" s="8">
        <v>0.35447916666666668</v>
      </c>
      <c r="E718">
        <v>1</v>
      </c>
      <c r="G718" s="18">
        <v>8284495</v>
      </c>
      <c r="H718">
        <v>1</v>
      </c>
    </row>
    <row r="719" spans="1:8" x14ac:dyDescent="0.35">
      <c r="A719" s="9">
        <v>6865106</v>
      </c>
      <c r="B719" s="10">
        <v>42928</v>
      </c>
      <c r="C719" s="11">
        <v>0.35636574074074073</v>
      </c>
      <c r="D719" s="12">
        <v>0.36511574074074077</v>
      </c>
      <c r="E719">
        <v>1</v>
      </c>
      <c r="G719" s="18">
        <v>8498683</v>
      </c>
      <c r="H719">
        <v>1</v>
      </c>
    </row>
    <row r="720" spans="1:8" x14ac:dyDescent="0.35">
      <c r="A720" s="5">
        <v>62086163</v>
      </c>
      <c r="B720" s="6">
        <v>42928</v>
      </c>
      <c r="C720" s="7">
        <v>0.36060185185185184</v>
      </c>
      <c r="D720" s="8">
        <v>0.36312499999999998</v>
      </c>
      <c r="E720">
        <v>1</v>
      </c>
      <c r="G720" s="18">
        <v>9355422</v>
      </c>
      <c r="H720">
        <v>1</v>
      </c>
    </row>
    <row r="721" spans="1:8" x14ac:dyDescent="0.35">
      <c r="A721" s="9">
        <v>6367284</v>
      </c>
      <c r="B721" s="10">
        <v>42928</v>
      </c>
      <c r="C721" s="11">
        <v>0.36519675925925926</v>
      </c>
      <c r="D721" s="12">
        <v>0.36751157407407409</v>
      </c>
      <c r="E721">
        <v>1</v>
      </c>
      <c r="G721" s="18">
        <v>8501225</v>
      </c>
      <c r="H721">
        <v>1</v>
      </c>
    </row>
    <row r="722" spans="1:8" x14ac:dyDescent="0.35">
      <c r="A722" s="5">
        <v>1811630</v>
      </c>
      <c r="B722" s="6">
        <v>42928</v>
      </c>
      <c r="C722" s="7">
        <v>0.36787037037037035</v>
      </c>
      <c r="D722" s="8">
        <v>0.36855324074074075</v>
      </c>
      <c r="E722">
        <v>1</v>
      </c>
      <c r="G722" s="18">
        <v>9418587</v>
      </c>
      <c r="H722">
        <v>1</v>
      </c>
    </row>
    <row r="723" spans="1:8" x14ac:dyDescent="0.35">
      <c r="A723" s="9">
        <v>9346036178</v>
      </c>
      <c r="B723" s="10">
        <v>42928</v>
      </c>
      <c r="C723" s="11">
        <v>0.37017361111111113</v>
      </c>
      <c r="D723" s="12">
        <v>0.38035879629629632</v>
      </c>
      <c r="E723">
        <v>1</v>
      </c>
      <c r="G723" s="18">
        <v>8501947</v>
      </c>
      <c r="H723">
        <v>1</v>
      </c>
    </row>
    <row r="724" spans="1:8" x14ac:dyDescent="0.35">
      <c r="A724" s="5">
        <v>1138033</v>
      </c>
      <c r="B724" s="6">
        <v>42928</v>
      </c>
      <c r="C724" s="7">
        <v>0.37504629629629632</v>
      </c>
      <c r="D724" s="8">
        <v>0.37731481481481483</v>
      </c>
      <c r="E724">
        <v>1</v>
      </c>
      <c r="G724" s="18">
        <v>9475290</v>
      </c>
      <c r="H724">
        <v>1</v>
      </c>
    </row>
    <row r="725" spans="1:8" x14ac:dyDescent="0.35">
      <c r="A725" s="9">
        <v>2114812</v>
      </c>
      <c r="B725" s="10">
        <v>42928</v>
      </c>
      <c r="C725" s="11">
        <v>0.37615740740740738</v>
      </c>
      <c r="D725" s="12">
        <v>0.38158564814814816</v>
      </c>
      <c r="E725">
        <v>1</v>
      </c>
      <c r="G725" s="18">
        <v>8504601</v>
      </c>
      <c r="H725">
        <v>1</v>
      </c>
    </row>
    <row r="726" spans="1:8" x14ac:dyDescent="0.35">
      <c r="A726" s="5">
        <v>4195677</v>
      </c>
      <c r="B726" s="6">
        <v>42928</v>
      </c>
      <c r="C726" s="7">
        <v>0.37644675925925924</v>
      </c>
      <c r="D726" s="8">
        <v>0.38192129629629629</v>
      </c>
      <c r="E726">
        <v>1</v>
      </c>
      <c r="G726" s="18">
        <v>9527543</v>
      </c>
      <c r="H726">
        <v>1</v>
      </c>
    </row>
    <row r="727" spans="1:8" x14ac:dyDescent="0.35">
      <c r="A727" s="9">
        <v>3493348</v>
      </c>
      <c r="B727" s="10">
        <v>42928</v>
      </c>
      <c r="C727" s="11">
        <v>0.37934027777777779</v>
      </c>
      <c r="D727" s="12">
        <v>0.38925925925925925</v>
      </c>
      <c r="E727">
        <v>1</v>
      </c>
      <c r="G727" s="18">
        <v>8512255</v>
      </c>
      <c r="H727">
        <v>1</v>
      </c>
    </row>
    <row r="728" spans="1:8" x14ac:dyDescent="0.35">
      <c r="A728" s="5">
        <v>6005020</v>
      </c>
      <c r="B728" s="6">
        <v>42928</v>
      </c>
      <c r="C728" s="7">
        <v>0.38046296296296295</v>
      </c>
      <c r="D728" s="8">
        <v>0.38739583333333333</v>
      </c>
      <c r="E728">
        <v>1</v>
      </c>
      <c r="G728" s="18">
        <v>9589060</v>
      </c>
      <c r="H728">
        <v>1</v>
      </c>
    </row>
    <row r="729" spans="1:8" x14ac:dyDescent="0.35">
      <c r="A729" s="9">
        <v>7421868</v>
      </c>
      <c r="B729" s="10">
        <v>42928</v>
      </c>
      <c r="C729" s="11">
        <v>0.38292824074074072</v>
      </c>
      <c r="D729" s="12">
        <v>0.38613425925925926</v>
      </c>
      <c r="E729">
        <v>1</v>
      </c>
      <c r="G729" s="18">
        <v>8514016</v>
      </c>
      <c r="H729">
        <v>1</v>
      </c>
    </row>
    <row r="730" spans="1:8" x14ac:dyDescent="0.35">
      <c r="A730" s="5">
        <v>2227803</v>
      </c>
      <c r="B730" s="6">
        <v>42928</v>
      </c>
      <c r="C730" s="7">
        <v>0.38317129629629632</v>
      </c>
      <c r="D730" s="8">
        <v>0.39157407407407407</v>
      </c>
      <c r="E730">
        <v>1</v>
      </c>
      <c r="G730" s="18">
        <v>9620982</v>
      </c>
      <c r="H730">
        <v>1</v>
      </c>
    </row>
    <row r="731" spans="1:8" x14ac:dyDescent="0.35">
      <c r="A731" s="9">
        <v>4007464</v>
      </c>
      <c r="B731" s="10">
        <v>42928</v>
      </c>
      <c r="C731" s="11">
        <v>0.38767361111111109</v>
      </c>
      <c r="D731" s="12">
        <v>0.38848379629629631</v>
      </c>
      <c r="E731">
        <v>1</v>
      </c>
      <c r="G731" s="18">
        <v>8534481</v>
      </c>
      <c r="H731">
        <v>1</v>
      </c>
    </row>
    <row r="732" spans="1:8" x14ac:dyDescent="0.35">
      <c r="A732" s="5">
        <v>54713807</v>
      </c>
      <c r="B732" s="6">
        <v>42928</v>
      </c>
      <c r="C732" s="7">
        <v>0.38968750000000002</v>
      </c>
      <c r="D732" s="8">
        <v>0.39152777777777775</v>
      </c>
      <c r="E732">
        <v>1</v>
      </c>
      <c r="G732" s="18">
        <v>8228350</v>
      </c>
      <c r="H732">
        <v>1</v>
      </c>
    </row>
    <row r="733" spans="1:8" x14ac:dyDescent="0.35">
      <c r="A733" s="9">
        <v>7097883</v>
      </c>
      <c r="B733" s="10">
        <v>42928</v>
      </c>
      <c r="C733" s="11">
        <v>0.39206018518518521</v>
      </c>
      <c r="D733" s="12">
        <v>0.39436342592592594</v>
      </c>
      <c r="E733">
        <v>1</v>
      </c>
      <c r="G733" s="18">
        <v>8541151</v>
      </c>
      <c r="H733">
        <v>1</v>
      </c>
    </row>
    <row r="734" spans="1:8" x14ac:dyDescent="0.35">
      <c r="A734" s="5">
        <v>48630026</v>
      </c>
      <c r="B734" s="6">
        <v>42928</v>
      </c>
      <c r="C734" s="7">
        <v>0.39709490740740738</v>
      </c>
      <c r="D734" s="8">
        <v>0.40651620370370373</v>
      </c>
      <c r="E734">
        <v>1</v>
      </c>
      <c r="G734" s="18">
        <v>9740908</v>
      </c>
      <c r="H734">
        <v>1</v>
      </c>
    </row>
    <row r="735" spans="1:8" x14ac:dyDescent="0.35">
      <c r="A735" s="9">
        <v>1279245</v>
      </c>
      <c r="B735" s="10">
        <v>42928</v>
      </c>
      <c r="C735" s="11">
        <v>0.40247685185185184</v>
      </c>
      <c r="D735" s="12">
        <v>0.40831018518518519</v>
      </c>
      <c r="E735">
        <v>1</v>
      </c>
      <c r="G735" s="18">
        <v>8570276</v>
      </c>
      <c r="H735">
        <v>1</v>
      </c>
    </row>
    <row r="736" spans="1:8" x14ac:dyDescent="0.35">
      <c r="A736" s="5">
        <v>2571251</v>
      </c>
      <c r="B736" s="6">
        <v>42928</v>
      </c>
      <c r="C736" s="7">
        <v>0.40822916666666664</v>
      </c>
      <c r="D736" s="8">
        <v>0.41586805555555556</v>
      </c>
      <c r="E736">
        <v>1</v>
      </c>
      <c r="G736" s="18">
        <v>9777118</v>
      </c>
      <c r="H736">
        <v>1</v>
      </c>
    </row>
    <row r="737" spans="1:8" x14ac:dyDescent="0.35">
      <c r="A737" s="9">
        <v>9566647</v>
      </c>
      <c r="B737" s="10">
        <v>42928</v>
      </c>
      <c r="C737" s="11">
        <v>0.40881944444444446</v>
      </c>
      <c r="D737" s="12">
        <v>0.40950231481481481</v>
      </c>
      <c r="E737">
        <v>1</v>
      </c>
      <c r="G737" s="18">
        <v>8249721</v>
      </c>
      <c r="H737">
        <v>1</v>
      </c>
    </row>
    <row r="738" spans="1:8" x14ac:dyDescent="0.35">
      <c r="A738" s="5">
        <v>1454555</v>
      </c>
      <c r="B738" s="6">
        <v>42928</v>
      </c>
      <c r="C738" s="7">
        <v>0.41078703703703706</v>
      </c>
      <c r="D738" s="8">
        <v>0.41078703703703706</v>
      </c>
      <c r="E738">
        <v>1</v>
      </c>
      <c r="G738" s="18">
        <v>9805082</v>
      </c>
      <c r="H738">
        <v>1</v>
      </c>
    </row>
    <row r="739" spans="1:8" x14ac:dyDescent="0.35">
      <c r="A739" s="9">
        <v>21996267</v>
      </c>
      <c r="B739" s="10">
        <v>42928</v>
      </c>
      <c r="C739" s="11">
        <v>0.41218749999999998</v>
      </c>
      <c r="D739" s="12">
        <v>0.41280092592592593</v>
      </c>
      <c r="E739">
        <v>1</v>
      </c>
      <c r="G739" s="18">
        <v>8590206</v>
      </c>
      <c r="H739">
        <v>1</v>
      </c>
    </row>
    <row r="740" spans="1:8" x14ac:dyDescent="0.35">
      <c r="A740" s="5">
        <v>8429072</v>
      </c>
      <c r="B740" s="6">
        <v>42928</v>
      </c>
      <c r="C740" s="7">
        <v>0.41414351851851849</v>
      </c>
      <c r="D740" s="8">
        <v>0.42015046296296299</v>
      </c>
      <c r="E740">
        <v>1</v>
      </c>
      <c r="G740" s="18">
        <v>9861652</v>
      </c>
      <c r="H740">
        <v>1</v>
      </c>
    </row>
    <row r="741" spans="1:8" x14ac:dyDescent="0.35">
      <c r="A741" s="9">
        <v>9815754</v>
      </c>
      <c r="B741" s="10">
        <v>42928</v>
      </c>
      <c r="C741" s="11">
        <v>0.41853009259259261</v>
      </c>
      <c r="D741" s="12">
        <v>0.42037037037037039</v>
      </c>
      <c r="E741">
        <v>1</v>
      </c>
      <c r="G741" s="18">
        <v>8596442</v>
      </c>
      <c r="H741">
        <v>1</v>
      </c>
    </row>
    <row r="742" spans="1:8" x14ac:dyDescent="0.35">
      <c r="A742" s="5">
        <v>2434652</v>
      </c>
      <c r="B742" s="6">
        <v>42928</v>
      </c>
      <c r="C742" s="7">
        <v>0.42370370370370369</v>
      </c>
      <c r="D742" s="8">
        <v>0.43412037037037038</v>
      </c>
      <c r="E742">
        <v>1</v>
      </c>
      <c r="G742" s="18">
        <v>9874705</v>
      </c>
      <c r="H742">
        <v>1</v>
      </c>
    </row>
    <row r="743" spans="1:8" x14ac:dyDescent="0.35">
      <c r="A743" s="9">
        <v>4939683</v>
      </c>
      <c r="B743" s="10">
        <v>42928</v>
      </c>
      <c r="C743" s="11">
        <v>0.42650462962962965</v>
      </c>
      <c r="D743" s="12">
        <v>0.43417824074074074</v>
      </c>
      <c r="E743">
        <v>1</v>
      </c>
      <c r="G743" s="18">
        <v>8596929</v>
      </c>
      <c r="H743">
        <v>1</v>
      </c>
    </row>
    <row r="744" spans="1:8" x14ac:dyDescent="0.35">
      <c r="A744" s="5">
        <v>6821027</v>
      </c>
      <c r="B744" s="6">
        <v>42928</v>
      </c>
      <c r="C744" s="7">
        <v>0.42766203703703703</v>
      </c>
      <c r="D744" s="8">
        <v>0.43533564814814812</v>
      </c>
      <c r="E744">
        <v>1</v>
      </c>
      <c r="G744" s="18">
        <v>9279730</v>
      </c>
      <c r="H744">
        <v>1</v>
      </c>
    </row>
    <row r="745" spans="1:8" x14ac:dyDescent="0.35">
      <c r="A745" s="9">
        <v>3253368</v>
      </c>
      <c r="B745" s="10">
        <v>42928</v>
      </c>
      <c r="C745" s="11">
        <v>0.43041666666666667</v>
      </c>
      <c r="D745" s="12">
        <v>0.43164351851851851</v>
      </c>
      <c r="E745">
        <v>1</v>
      </c>
      <c r="G745" s="18">
        <v>8605742</v>
      </c>
      <c r="H745">
        <v>1</v>
      </c>
    </row>
    <row r="746" spans="1:8" x14ac:dyDescent="0.35">
      <c r="A746" s="5">
        <v>3505978</v>
      </c>
      <c r="B746" s="6">
        <v>42928</v>
      </c>
      <c r="C746" s="7">
        <v>0.43381944444444442</v>
      </c>
      <c r="D746" s="8">
        <v>0.44515046296296296</v>
      </c>
      <c r="E746">
        <v>1</v>
      </c>
      <c r="G746" s="18">
        <v>9287211</v>
      </c>
      <c r="H746">
        <v>1</v>
      </c>
    </row>
    <row r="747" spans="1:8" x14ac:dyDescent="0.35">
      <c r="A747" s="9">
        <v>91743317</v>
      </c>
      <c r="B747" s="10">
        <v>42928</v>
      </c>
      <c r="C747" s="11">
        <v>0.43717592592592591</v>
      </c>
      <c r="D747" s="12">
        <v>0.44695601851851852</v>
      </c>
      <c r="E747">
        <v>1</v>
      </c>
      <c r="G747" s="18">
        <v>8622421</v>
      </c>
      <c r="H747">
        <v>1</v>
      </c>
    </row>
    <row r="748" spans="1:8" x14ac:dyDescent="0.35">
      <c r="A748" s="5">
        <v>5104536</v>
      </c>
      <c r="B748" s="6">
        <v>42928</v>
      </c>
      <c r="C748" s="7">
        <v>0.44146990740740738</v>
      </c>
      <c r="D748" s="8">
        <v>0.44412037037037039</v>
      </c>
      <c r="E748">
        <v>1</v>
      </c>
      <c r="G748" s="18">
        <v>9319894</v>
      </c>
      <c r="H748">
        <v>1</v>
      </c>
    </row>
    <row r="749" spans="1:8" x14ac:dyDescent="0.35">
      <c r="A749" s="9">
        <v>7353916</v>
      </c>
      <c r="B749" s="10">
        <v>42928</v>
      </c>
      <c r="C749" s="11">
        <v>0.44663194444444443</v>
      </c>
      <c r="D749" s="12">
        <v>0.45378472222222221</v>
      </c>
      <c r="E749">
        <v>1</v>
      </c>
      <c r="G749" s="18">
        <v>8632893</v>
      </c>
      <c r="H749">
        <v>1</v>
      </c>
    </row>
    <row r="750" spans="1:8" x14ac:dyDescent="0.35">
      <c r="A750" s="5">
        <v>4412771</v>
      </c>
      <c r="B750" s="6">
        <v>42928</v>
      </c>
      <c r="C750" s="7">
        <v>0.44809027777777777</v>
      </c>
      <c r="D750" s="8">
        <v>0.45256944444444447</v>
      </c>
      <c r="E750">
        <v>1</v>
      </c>
      <c r="G750" s="18">
        <v>9339774</v>
      </c>
      <c r="H750">
        <v>1</v>
      </c>
    </row>
    <row r="751" spans="1:8" x14ac:dyDescent="0.35">
      <c r="A751" s="9">
        <v>6709939</v>
      </c>
      <c r="B751" s="10">
        <v>42928</v>
      </c>
      <c r="C751" s="11">
        <v>0.44817129629629632</v>
      </c>
      <c r="D751" s="12">
        <v>0.4506134259259259</v>
      </c>
      <c r="E751">
        <v>1</v>
      </c>
      <c r="G751" s="18">
        <v>8647144</v>
      </c>
      <c r="H751">
        <v>1</v>
      </c>
    </row>
    <row r="752" spans="1:8" x14ac:dyDescent="0.35">
      <c r="A752" s="5">
        <v>7891185</v>
      </c>
      <c r="B752" s="6">
        <v>42928</v>
      </c>
      <c r="C752" s="7">
        <v>0.45010416666666669</v>
      </c>
      <c r="D752" s="8">
        <v>0.46153935185185185</v>
      </c>
      <c r="E752">
        <v>1</v>
      </c>
      <c r="G752" s="18">
        <v>9356324</v>
      </c>
      <c r="H752">
        <v>1</v>
      </c>
    </row>
    <row r="753" spans="1:8" x14ac:dyDescent="0.35">
      <c r="A753" s="9">
        <v>90417363</v>
      </c>
      <c r="B753" s="10">
        <v>42928</v>
      </c>
      <c r="C753" s="11">
        <v>0.45504629629629628</v>
      </c>
      <c r="D753" s="12">
        <v>0.4607175925925926</v>
      </c>
      <c r="E753">
        <v>1</v>
      </c>
      <c r="G753" s="18">
        <v>8655825</v>
      </c>
      <c r="H753">
        <v>1</v>
      </c>
    </row>
    <row r="754" spans="1:8" x14ac:dyDescent="0.35">
      <c r="A754" s="5">
        <v>4929499</v>
      </c>
      <c r="B754" s="6">
        <v>42928</v>
      </c>
      <c r="C754" s="7">
        <v>0.45673611111111112</v>
      </c>
      <c r="D754" s="8">
        <v>0.4586574074074074</v>
      </c>
      <c r="E754">
        <v>1</v>
      </c>
      <c r="G754" s="18">
        <v>9398644</v>
      </c>
      <c r="H754">
        <v>1</v>
      </c>
    </row>
    <row r="755" spans="1:8" x14ac:dyDescent="0.35">
      <c r="A755" s="9">
        <v>3824371</v>
      </c>
      <c r="B755" s="10">
        <v>42928</v>
      </c>
      <c r="C755" s="11">
        <v>0.46217592592592593</v>
      </c>
      <c r="D755" s="12">
        <v>0.47150462962962963</v>
      </c>
      <c r="E755">
        <v>1</v>
      </c>
      <c r="G755" s="18">
        <v>8667012</v>
      </c>
      <c r="H755">
        <v>1</v>
      </c>
    </row>
    <row r="756" spans="1:8" x14ac:dyDescent="0.35">
      <c r="A756" s="5">
        <v>1119740</v>
      </c>
      <c r="B756" s="6">
        <v>42928</v>
      </c>
      <c r="C756" s="7">
        <v>0.46663194444444445</v>
      </c>
      <c r="D756" s="8">
        <v>0.47532407407407407</v>
      </c>
      <c r="E756">
        <v>1</v>
      </c>
      <c r="G756" s="18">
        <v>8322522</v>
      </c>
      <c r="H756">
        <v>1</v>
      </c>
    </row>
    <row r="757" spans="1:8" x14ac:dyDescent="0.35">
      <c r="A757" s="9">
        <v>1219073</v>
      </c>
      <c r="B757" s="10">
        <v>42928</v>
      </c>
      <c r="C757" s="11">
        <v>0.46870370370370368</v>
      </c>
      <c r="D757" s="12">
        <v>0.47320601851851851</v>
      </c>
      <c r="E757">
        <v>1</v>
      </c>
      <c r="G757" s="18">
        <v>8672623</v>
      </c>
      <c r="H757">
        <v>1</v>
      </c>
    </row>
    <row r="758" spans="1:8" x14ac:dyDescent="0.35">
      <c r="A758" s="5">
        <v>87702896</v>
      </c>
      <c r="B758" s="6">
        <v>42928</v>
      </c>
      <c r="C758" s="7">
        <v>0.47358796296296296</v>
      </c>
      <c r="D758" s="8">
        <v>0.47878472222222224</v>
      </c>
      <c r="E758">
        <v>1</v>
      </c>
      <c r="G758" s="18">
        <v>9468070</v>
      </c>
      <c r="H758">
        <v>1</v>
      </c>
    </row>
    <row r="759" spans="1:8" x14ac:dyDescent="0.35">
      <c r="A759" s="9">
        <v>94197168</v>
      </c>
      <c r="B759" s="10">
        <v>42928</v>
      </c>
      <c r="C759" s="11">
        <v>0.47819444444444442</v>
      </c>
      <c r="D759" s="12">
        <v>0.48442129629629632</v>
      </c>
      <c r="E759">
        <v>1</v>
      </c>
      <c r="G759" s="18">
        <v>8672651</v>
      </c>
      <c r="H759">
        <v>1</v>
      </c>
    </row>
    <row r="760" spans="1:8" x14ac:dyDescent="0.35">
      <c r="A760" s="5">
        <v>8655825</v>
      </c>
      <c r="B760" s="6">
        <v>42928</v>
      </c>
      <c r="C760" s="7">
        <v>0.48251157407407408</v>
      </c>
      <c r="D760" s="8">
        <v>0.48732638888888891</v>
      </c>
      <c r="E760">
        <v>1</v>
      </c>
      <c r="G760" s="18">
        <v>9500083</v>
      </c>
      <c r="H760">
        <v>1</v>
      </c>
    </row>
    <row r="761" spans="1:8" x14ac:dyDescent="0.35">
      <c r="A761" s="9">
        <v>47707639</v>
      </c>
      <c r="B761" s="10">
        <v>42928</v>
      </c>
      <c r="C761" s="11">
        <v>0.48827546296296298</v>
      </c>
      <c r="D761" s="12">
        <v>0.49432870370370369</v>
      </c>
      <c r="E761">
        <v>1</v>
      </c>
      <c r="G761" s="18">
        <v>8187780</v>
      </c>
      <c r="H761">
        <v>1</v>
      </c>
    </row>
    <row r="762" spans="1:8" x14ac:dyDescent="0.35">
      <c r="A762" s="5">
        <v>5029329</v>
      </c>
      <c r="B762" s="6">
        <v>42928</v>
      </c>
      <c r="C762" s="7">
        <v>0.49062499999999998</v>
      </c>
      <c r="D762" s="8">
        <v>0.49535879629629631</v>
      </c>
      <c r="E762">
        <v>1</v>
      </c>
      <c r="G762" s="18">
        <v>9524588</v>
      </c>
      <c r="H762">
        <v>1</v>
      </c>
    </row>
    <row r="763" spans="1:8" x14ac:dyDescent="0.35">
      <c r="A763" s="9">
        <v>8825868</v>
      </c>
      <c r="B763" s="10">
        <v>42928</v>
      </c>
      <c r="C763" s="11">
        <v>0.49552083333333335</v>
      </c>
      <c r="D763" s="12">
        <v>0.50263888888888886</v>
      </c>
      <c r="E763">
        <v>1</v>
      </c>
      <c r="G763" s="18">
        <v>8690793</v>
      </c>
      <c r="H763">
        <v>1</v>
      </c>
    </row>
    <row r="764" spans="1:8" x14ac:dyDescent="0.35">
      <c r="A764" s="5">
        <v>8461631</v>
      </c>
      <c r="B764" s="6">
        <v>42928</v>
      </c>
      <c r="C764" s="7">
        <v>0.50025462962962963</v>
      </c>
      <c r="D764" s="8">
        <v>0.50344907407407402</v>
      </c>
      <c r="E764">
        <v>1</v>
      </c>
      <c r="G764" s="18">
        <v>9543572</v>
      </c>
      <c r="H764">
        <v>1</v>
      </c>
    </row>
    <row r="765" spans="1:8" x14ac:dyDescent="0.35">
      <c r="A765" s="9">
        <v>76777492</v>
      </c>
      <c r="B765" s="10">
        <v>42928</v>
      </c>
      <c r="C765" s="11">
        <v>0.50071759259259263</v>
      </c>
      <c r="D765" s="12">
        <v>0.5085763888888889</v>
      </c>
      <c r="E765">
        <v>1</v>
      </c>
      <c r="G765" s="18">
        <v>8691743</v>
      </c>
      <c r="H765">
        <v>1</v>
      </c>
    </row>
    <row r="766" spans="1:8" x14ac:dyDescent="0.35">
      <c r="A766" s="5">
        <v>71036125</v>
      </c>
      <c r="B766" s="6">
        <v>42928</v>
      </c>
      <c r="C766" s="7">
        <v>0.50597222222222227</v>
      </c>
      <c r="D766" s="8">
        <v>0.51633101851851848</v>
      </c>
      <c r="E766">
        <v>1</v>
      </c>
      <c r="G766" s="18">
        <v>8331262</v>
      </c>
      <c r="H766">
        <v>1</v>
      </c>
    </row>
    <row r="767" spans="1:8" x14ac:dyDescent="0.35">
      <c r="A767" s="9">
        <v>2989192</v>
      </c>
      <c r="B767" s="10">
        <v>42928</v>
      </c>
      <c r="C767" s="11">
        <v>0.5087962962962963</v>
      </c>
      <c r="D767" s="12">
        <v>0.51349537037037041</v>
      </c>
      <c r="E767">
        <v>1</v>
      </c>
      <c r="G767" s="18">
        <v>8715278</v>
      </c>
      <c r="H767">
        <v>1</v>
      </c>
    </row>
    <row r="768" spans="1:8" x14ac:dyDescent="0.35">
      <c r="A768" s="5">
        <v>5131341</v>
      </c>
      <c r="B768" s="6">
        <v>42928</v>
      </c>
      <c r="C768" s="7">
        <v>0.50974537037037038</v>
      </c>
      <c r="D768" s="8">
        <v>0.51072916666666668</v>
      </c>
      <c r="E768">
        <v>1</v>
      </c>
      <c r="G768" s="18">
        <v>9593481</v>
      </c>
      <c r="H768">
        <v>1</v>
      </c>
    </row>
    <row r="769" spans="1:8" x14ac:dyDescent="0.35">
      <c r="A769" s="9">
        <v>2826868</v>
      </c>
      <c r="B769" s="10">
        <v>42928</v>
      </c>
      <c r="C769" s="11">
        <v>0.51549768518518524</v>
      </c>
      <c r="D769" s="12">
        <v>0.51550925925925928</v>
      </c>
      <c r="E769">
        <v>1</v>
      </c>
      <c r="G769" s="18">
        <v>8723323</v>
      </c>
      <c r="H769">
        <v>1</v>
      </c>
    </row>
    <row r="770" spans="1:8" x14ac:dyDescent="0.35">
      <c r="A770" s="5">
        <v>9849071</v>
      </c>
      <c r="B770" s="6">
        <v>42928</v>
      </c>
      <c r="C770" s="7">
        <v>0.51561342592592596</v>
      </c>
      <c r="D770" s="8">
        <v>0.52171296296296299</v>
      </c>
      <c r="E770">
        <v>1</v>
      </c>
      <c r="G770" s="18">
        <v>9610703</v>
      </c>
      <c r="H770">
        <v>1</v>
      </c>
    </row>
    <row r="771" spans="1:8" x14ac:dyDescent="0.35">
      <c r="A771" s="9">
        <v>47025160</v>
      </c>
      <c r="B771" s="10">
        <v>42928</v>
      </c>
      <c r="C771" s="11">
        <v>0.52009259259259255</v>
      </c>
      <c r="D771" s="12">
        <v>0.52987268518518515</v>
      </c>
      <c r="E771">
        <v>1</v>
      </c>
      <c r="G771" s="18">
        <v>8743781</v>
      </c>
      <c r="H771">
        <v>1</v>
      </c>
    </row>
    <row r="772" spans="1:8" x14ac:dyDescent="0.35">
      <c r="A772" s="5">
        <v>97798921</v>
      </c>
      <c r="B772" s="6">
        <v>42928</v>
      </c>
      <c r="C772" s="7">
        <v>0.52172453703703703</v>
      </c>
      <c r="D772" s="8">
        <v>0.52606481481481482</v>
      </c>
      <c r="E772">
        <v>1</v>
      </c>
      <c r="G772" s="18">
        <v>9655946</v>
      </c>
      <c r="H772">
        <v>1</v>
      </c>
    </row>
    <row r="773" spans="1:8" x14ac:dyDescent="0.35">
      <c r="A773" s="9">
        <v>2248131</v>
      </c>
      <c r="B773" s="10">
        <v>42928</v>
      </c>
      <c r="C773" s="11">
        <v>0.52298611111111115</v>
      </c>
      <c r="D773" s="12">
        <v>0.53249999999999997</v>
      </c>
      <c r="E773">
        <v>1</v>
      </c>
      <c r="G773" s="18">
        <v>8748493</v>
      </c>
      <c r="H773">
        <v>1</v>
      </c>
    </row>
    <row r="774" spans="1:8" x14ac:dyDescent="0.35">
      <c r="A774" s="5">
        <v>1973826522</v>
      </c>
      <c r="B774" s="6">
        <v>42928</v>
      </c>
      <c r="C774" s="7">
        <v>0.52342592592592596</v>
      </c>
      <c r="D774" s="8">
        <v>0.52350694444444446</v>
      </c>
      <c r="E774">
        <v>1</v>
      </c>
      <c r="G774" s="18">
        <v>9680416</v>
      </c>
      <c r="H774">
        <v>1</v>
      </c>
    </row>
    <row r="775" spans="1:8" x14ac:dyDescent="0.35">
      <c r="A775" s="9">
        <v>6293367175</v>
      </c>
      <c r="B775" s="10">
        <v>42928</v>
      </c>
      <c r="C775" s="11">
        <v>0.52649305555555559</v>
      </c>
      <c r="D775" s="12">
        <v>0.53123842592592596</v>
      </c>
      <c r="E775">
        <v>1</v>
      </c>
      <c r="G775" s="18">
        <v>8749135</v>
      </c>
      <c r="H775">
        <v>1</v>
      </c>
    </row>
    <row r="776" spans="1:8" x14ac:dyDescent="0.35">
      <c r="A776" s="5">
        <v>5092577</v>
      </c>
      <c r="B776" s="6">
        <v>42928</v>
      </c>
      <c r="C776" s="7">
        <v>0.52834490740740736</v>
      </c>
      <c r="D776" s="8">
        <v>0.53267361111111111</v>
      </c>
      <c r="E776">
        <v>1</v>
      </c>
      <c r="G776" s="18">
        <v>9697189</v>
      </c>
      <c r="H776">
        <v>1</v>
      </c>
    </row>
    <row r="777" spans="1:8" x14ac:dyDescent="0.35">
      <c r="A777" s="9">
        <v>62086163</v>
      </c>
      <c r="B777" s="10">
        <v>42928</v>
      </c>
      <c r="C777" s="11">
        <v>0.53126157407407404</v>
      </c>
      <c r="D777" s="12">
        <v>0.5326157407407407</v>
      </c>
      <c r="E777">
        <v>1</v>
      </c>
      <c r="G777" s="18">
        <v>8750619</v>
      </c>
      <c r="H777">
        <v>1</v>
      </c>
    </row>
    <row r="778" spans="1:8" x14ac:dyDescent="0.35">
      <c r="A778" s="5">
        <v>4657345</v>
      </c>
      <c r="B778" s="6">
        <v>42928</v>
      </c>
      <c r="C778" s="7">
        <v>0.53608796296296302</v>
      </c>
      <c r="D778" s="8">
        <v>0.53631944444444446</v>
      </c>
      <c r="E778">
        <v>1</v>
      </c>
      <c r="G778" s="18">
        <v>9727873</v>
      </c>
      <c r="H778">
        <v>1</v>
      </c>
    </row>
    <row r="779" spans="1:8" x14ac:dyDescent="0.35">
      <c r="A779" s="9">
        <v>7937998</v>
      </c>
      <c r="B779" s="10">
        <v>42928</v>
      </c>
      <c r="C779" s="11">
        <v>0.53798611111111116</v>
      </c>
      <c r="D779" s="12">
        <v>0.54011574074074076</v>
      </c>
      <c r="E779">
        <v>1</v>
      </c>
      <c r="G779" s="18">
        <v>8750670</v>
      </c>
      <c r="H779">
        <v>1</v>
      </c>
    </row>
    <row r="780" spans="1:8" x14ac:dyDescent="0.35">
      <c r="A780" s="5">
        <v>7269536</v>
      </c>
      <c r="B780" s="6">
        <v>42928</v>
      </c>
      <c r="C780" s="7">
        <v>0.53827546296296291</v>
      </c>
      <c r="D780" s="8">
        <v>0.54309027777777774</v>
      </c>
      <c r="E780">
        <v>1</v>
      </c>
      <c r="G780" s="18">
        <v>9747700</v>
      </c>
      <c r="H780">
        <v>1</v>
      </c>
    </row>
    <row r="781" spans="1:8" x14ac:dyDescent="0.35">
      <c r="A781" s="9">
        <v>98939809</v>
      </c>
      <c r="B781" s="10">
        <v>42928</v>
      </c>
      <c r="C781" s="11">
        <v>0.53873842592592591</v>
      </c>
      <c r="D781" s="12">
        <v>0.54084490740740743</v>
      </c>
      <c r="E781">
        <v>1</v>
      </c>
      <c r="G781" s="18">
        <v>8251878</v>
      </c>
      <c r="H781">
        <v>1</v>
      </c>
    </row>
    <row r="782" spans="1:8" x14ac:dyDescent="0.35">
      <c r="A782" s="5">
        <v>7766265</v>
      </c>
      <c r="B782" s="6">
        <v>42928</v>
      </c>
      <c r="C782" s="7">
        <v>0.54391203703703705</v>
      </c>
      <c r="D782" s="8">
        <v>0.54538194444444443</v>
      </c>
      <c r="E782">
        <v>1</v>
      </c>
      <c r="G782" s="18">
        <v>8387594</v>
      </c>
      <c r="H782">
        <v>1</v>
      </c>
    </row>
    <row r="783" spans="1:8" x14ac:dyDescent="0.35">
      <c r="A783" s="9">
        <v>7377702</v>
      </c>
      <c r="B783" s="10">
        <v>42928</v>
      </c>
      <c r="C783" s="11">
        <v>0.54689814814814819</v>
      </c>
      <c r="D783" s="12">
        <v>0.54949074074074078</v>
      </c>
      <c r="E783">
        <v>1</v>
      </c>
      <c r="G783" s="18">
        <v>8770898</v>
      </c>
      <c r="H783">
        <v>1</v>
      </c>
    </row>
    <row r="784" spans="1:8" x14ac:dyDescent="0.35">
      <c r="A784" s="5">
        <v>38244568</v>
      </c>
      <c r="B784" s="6">
        <v>42928</v>
      </c>
      <c r="C784" s="7">
        <v>0.54826388888888888</v>
      </c>
      <c r="D784" s="8">
        <v>0.54920138888888892</v>
      </c>
      <c r="E784">
        <v>1</v>
      </c>
      <c r="G784" s="18">
        <v>9788998</v>
      </c>
      <c r="H784">
        <v>1</v>
      </c>
    </row>
    <row r="785" spans="1:8" x14ac:dyDescent="0.35">
      <c r="A785" s="9">
        <v>5094248</v>
      </c>
      <c r="B785" s="10">
        <v>42928</v>
      </c>
      <c r="C785" s="11">
        <v>0.55118055555555556</v>
      </c>
      <c r="D785" s="12">
        <v>0.56003472222222217</v>
      </c>
      <c r="E785">
        <v>1</v>
      </c>
      <c r="G785" s="18">
        <v>8773356</v>
      </c>
      <c r="H785">
        <v>1</v>
      </c>
    </row>
    <row r="786" spans="1:8" x14ac:dyDescent="0.35">
      <c r="A786" s="5">
        <v>1233459</v>
      </c>
      <c r="B786" s="6">
        <v>42928</v>
      </c>
      <c r="C786" s="7">
        <v>0.55565972222222226</v>
      </c>
      <c r="D786" s="8">
        <v>0.55674768518518514</v>
      </c>
      <c r="E786">
        <v>1</v>
      </c>
      <c r="G786" s="18">
        <v>9803545</v>
      </c>
      <c r="H786">
        <v>1</v>
      </c>
    </row>
    <row r="787" spans="1:8" x14ac:dyDescent="0.35">
      <c r="A787" s="9">
        <v>9398644</v>
      </c>
      <c r="B787" s="10">
        <v>42928</v>
      </c>
      <c r="C787" s="11">
        <v>0.55717592592592591</v>
      </c>
      <c r="D787" s="12">
        <v>0.56753472222222223</v>
      </c>
      <c r="E787">
        <v>1</v>
      </c>
      <c r="G787" s="18">
        <v>8252939</v>
      </c>
      <c r="H787">
        <v>1</v>
      </c>
    </row>
    <row r="788" spans="1:8" x14ac:dyDescent="0.35">
      <c r="A788" s="5">
        <v>3390459</v>
      </c>
      <c r="B788" s="6">
        <v>42928</v>
      </c>
      <c r="C788" s="7">
        <v>0.55869212962962966</v>
      </c>
      <c r="D788" s="8">
        <v>0.55922453703703701</v>
      </c>
      <c r="E788">
        <v>1</v>
      </c>
      <c r="G788" s="18">
        <v>9808221</v>
      </c>
      <c r="H788">
        <v>1</v>
      </c>
    </row>
    <row r="789" spans="1:8" x14ac:dyDescent="0.35">
      <c r="A789" s="9">
        <v>5252835</v>
      </c>
      <c r="B789" s="10">
        <v>42928</v>
      </c>
      <c r="C789" s="11">
        <v>0.55907407407407406</v>
      </c>
      <c r="D789" s="12">
        <v>0.56937499999999996</v>
      </c>
      <c r="E789">
        <v>1</v>
      </c>
      <c r="G789" s="18">
        <v>8819206</v>
      </c>
      <c r="H789">
        <v>1</v>
      </c>
    </row>
    <row r="790" spans="1:8" x14ac:dyDescent="0.35">
      <c r="A790" s="5">
        <v>15643568</v>
      </c>
      <c r="B790" s="6">
        <v>42928</v>
      </c>
      <c r="C790" s="7">
        <v>0.56074074074074076</v>
      </c>
      <c r="D790" s="8">
        <v>0.56283564814814813</v>
      </c>
      <c r="E790">
        <v>1</v>
      </c>
      <c r="G790" s="18">
        <v>9849476</v>
      </c>
      <c r="H790">
        <v>1</v>
      </c>
    </row>
    <row r="791" spans="1:8" x14ac:dyDescent="0.35">
      <c r="A791" s="9">
        <v>39921944</v>
      </c>
      <c r="B791" s="10">
        <v>42928</v>
      </c>
      <c r="C791" s="11">
        <v>0.56398148148148153</v>
      </c>
      <c r="D791" s="12">
        <v>0.57387731481481485</v>
      </c>
      <c r="E791">
        <v>1</v>
      </c>
      <c r="G791" s="18">
        <v>8825868</v>
      </c>
      <c r="H791">
        <v>1</v>
      </c>
    </row>
    <row r="792" spans="1:8" x14ac:dyDescent="0.35">
      <c r="A792" s="5">
        <v>66800387</v>
      </c>
      <c r="B792" s="6">
        <v>42928</v>
      </c>
      <c r="C792" s="7">
        <v>0.56509259259259259</v>
      </c>
      <c r="D792" s="8">
        <v>0.56554398148148144</v>
      </c>
      <c r="E792">
        <v>1</v>
      </c>
      <c r="G792" s="18">
        <v>9865524</v>
      </c>
      <c r="H792">
        <v>1</v>
      </c>
    </row>
    <row r="793" spans="1:8" x14ac:dyDescent="0.35">
      <c r="A793" s="9">
        <v>88664428</v>
      </c>
      <c r="B793" s="10">
        <v>42928</v>
      </c>
      <c r="C793" s="11">
        <v>0.56527777777777777</v>
      </c>
      <c r="D793" s="12">
        <v>0.56814814814814818</v>
      </c>
      <c r="E793">
        <v>1</v>
      </c>
      <c r="G793" s="18">
        <v>8831940</v>
      </c>
      <c r="H793">
        <v>1</v>
      </c>
    </row>
    <row r="794" spans="1:8" x14ac:dyDescent="0.35">
      <c r="A794" s="5">
        <v>4111617</v>
      </c>
      <c r="B794" s="6">
        <v>42928</v>
      </c>
      <c r="C794" s="7">
        <v>0.56555555555555559</v>
      </c>
      <c r="D794" s="8">
        <v>0.5697106481481482</v>
      </c>
      <c r="E794">
        <v>1</v>
      </c>
      <c r="G794" s="18">
        <v>9870841</v>
      </c>
      <c r="H794">
        <v>1</v>
      </c>
    </row>
    <row r="795" spans="1:8" x14ac:dyDescent="0.35">
      <c r="A795" s="9">
        <v>9804309</v>
      </c>
      <c r="B795" s="10">
        <v>42928</v>
      </c>
      <c r="C795" s="11">
        <v>0.56918981481481479</v>
      </c>
      <c r="D795" s="12">
        <v>0.5784259259259259</v>
      </c>
      <c r="E795">
        <v>1</v>
      </c>
      <c r="G795" s="18">
        <v>8838584</v>
      </c>
      <c r="H795">
        <v>1</v>
      </c>
    </row>
    <row r="796" spans="1:8" x14ac:dyDescent="0.35">
      <c r="A796" s="5">
        <v>3382728</v>
      </c>
      <c r="B796" s="6">
        <v>42928</v>
      </c>
      <c r="C796" s="7">
        <v>0.56953703703703706</v>
      </c>
      <c r="D796" s="8">
        <v>0.57401620370370365</v>
      </c>
      <c r="E796">
        <v>1</v>
      </c>
      <c r="G796" s="18">
        <v>9892639</v>
      </c>
      <c r="H796">
        <v>1</v>
      </c>
    </row>
    <row r="797" spans="1:8" x14ac:dyDescent="0.35">
      <c r="A797" s="9">
        <v>9091369</v>
      </c>
      <c r="B797" s="10">
        <v>42928</v>
      </c>
      <c r="C797" s="11">
        <v>0.57231481481481483</v>
      </c>
      <c r="D797" s="12">
        <v>0.57403935185185184</v>
      </c>
      <c r="E797">
        <v>1</v>
      </c>
      <c r="G797" s="18">
        <v>8840288</v>
      </c>
      <c r="H797">
        <v>1</v>
      </c>
    </row>
    <row r="798" spans="1:8" x14ac:dyDescent="0.35">
      <c r="A798" s="5">
        <v>3981821518</v>
      </c>
      <c r="B798" s="6">
        <v>42928</v>
      </c>
      <c r="C798" s="7">
        <v>0.57445601851851846</v>
      </c>
      <c r="D798" s="8">
        <v>0.57703703703703701</v>
      </c>
      <c r="E798">
        <v>1</v>
      </c>
      <c r="G798" s="18">
        <v>9270571</v>
      </c>
      <c r="H798">
        <v>1</v>
      </c>
    </row>
    <row r="799" spans="1:8" x14ac:dyDescent="0.35">
      <c r="A799" s="9">
        <v>6304174</v>
      </c>
      <c r="B799" s="10">
        <v>42928</v>
      </c>
      <c r="C799" s="11">
        <v>0.57445601851851846</v>
      </c>
      <c r="D799" s="12">
        <v>0.58512731481481484</v>
      </c>
      <c r="E799">
        <v>1</v>
      </c>
      <c r="G799" s="18">
        <v>8841955</v>
      </c>
      <c r="H799">
        <v>1</v>
      </c>
    </row>
    <row r="800" spans="1:8" x14ac:dyDescent="0.35">
      <c r="A800" s="5">
        <v>8233999</v>
      </c>
      <c r="B800" s="6">
        <v>42928</v>
      </c>
      <c r="C800" s="7">
        <v>0.57828703703703699</v>
      </c>
      <c r="D800" s="8">
        <v>0.58834490740740741</v>
      </c>
      <c r="E800">
        <v>1</v>
      </c>
      <c r="G800" s="18">
        <v>9282166</v>
      </c>
      <c r="H800">
        <v>1</v>
      </c>
    </row>
    <row r="801" spans="1:8" x14ac:dyDescent="0.35">
      <c r="A801" s="9">
        <v>97782375</v>
      </c>
      <c r="B801" s="10">
        <v>42928</v>
      </c>
      <c r="C801" s="11">
        <v>0.58054398148148145</v>
      </c>
      <c r="D801" s="12">
        <v>0.58196759259259256</v>
      </c>
      <c r="E801">
        <v>1</v>
      </c>
      <c r="G801" s="18">
        <v>8849918</v>
      </c>
      <c r="H801">
        <v>1</v>
      </c>
    </row>
    <row r="802" spans="1:8" x14ac:dyDescent="0.35">
      <c r="A802" s="5">
        <v>2826868</v>
      </c>
      <c r="B802" s="6">
        <v>42928</v>
      </c>
      <c r="C802" s="7">
        <v>0.58266203703703701</v>
      </c>
      <c r="D802" s="8">
        <v>0.59348379629629633</v>
      </c>
      <c r="E802">
        <v>1</v>
      </c>
      <c r="G802" s="18">
        <v>9283739</v>
      </c>
      <c r="H802">
        <v>1</v>
      </c>
    </row>
    <row r="803" spans="1:8" x14ac:dyDescent="0.35">
      <c r="A803" s="9">
        <v>93794133</v>
      </c>
      <c r="B803" s="10">
        <v>42928</v>
      </c>
      <c r="C803" s="11">
        <v>0.58592592592592596</v>
      </c>
      <c r="D803" s="12">
        <v>0.59038194444444447</v>
      </c>
      <c r="E803">
        <v>1</v>
      </c>
      <c r="G803" s="18">
        <v>8863988</v>
      </c>
      <c r="H803">
        <v>1</v>
      </c>
    </row>
    <row r="804" spans="1:8" x14ac:dyDescent="0.35">
      <c r="A804" s="5">
        <v>85838361</v>
      </c>
      <c r="B804" s="6">
        <v>42928</v>
      </c>
      <c r="C804" s="7">
        <v>0.58909722222222227</v>
      </c>
      <c r="D804" s="8">
        <v>0.5993518518518518</v>
      </c>
      <c r="E804">
        <v>1</v>
      </c>
      <c r="G804" s="18">
        <v>9294571</v>
      </c>
      <c r="H804">
        <v>1</v>
      </c>
    </row>
    <row r="805" spans="1:8" x14ac:dyDescent="0.35">
      <c r="A805" s="9">
        <v>1616328</v>
      </c>
      <c r="B805" s="10">
        <v>42928</v>
      </c>
      <c r="C805" s="11">
        <v>0.59354166666666663</v>
      </c>
      <c r="D805" s="12">
        <v>0.59888888888888892</v>
      </c>
      <c r="E805">
        <v>1</v>
      </c>
      <c r="G805" s="18">
        <v>8865092</v>
      </c>
      <c r="H805">
        <v>1</v>
      </c>
    </row>
    <row r="806" spans="1:8" x14ac:dyDescent="0.35">
      <c r="A806" s="5">
        <v>9773176</v>
      </c>
      <c r="B806" s="6">
        <v>42928</v>
      </c>
      <c r="C806" s="7">
        <v>0.59873842592592597</v>
      </c>
      <c r="D806" s="8">
        <v>0.60127314814814814</v>
      </c>
      <c r="E806">
        <v>1</v>
      </c>
      <c r="G806" s="18">
        <v>9305031</v>
      </c>
      <c r="H806">
        <v>1</v>
      </c>
    </row>
    <row r="807" spans="1:8" x14ac:dyDescent="0.35">
      <c r="A807" s="9">
        <v>8246306</v>
      </c>
      <c r="B807" s="10">
        <v>42928</v>
      </c>
      <c r="C807" s="11">
        <v>0.59928240740740746</v>
      </c>
      <c r="D807" s="12">
        <v>0.60182870370370367</v>
      </c>
      <c r="E807">
        <v>1</v>
      </c>
      <c r="G807" s="18">
        <v>8253162</v>
      </c>
      <c r="H807">
        <v>1</v>
      </c>
    </row>
    <row r="808" spans="1:8" x14ac:dyDescent="0.35">
      <c r="A808" s="5">
        <v>2412611</v>
      </c>
      <c r="B808" s="6">
        <v>42928</v>
      </c>
      <c r="C808" s="7">
        <v>0.60065972222222219</v>
      </c>
      <c r="D808" s="8">
        <v>0.60902777777777772</v>
      </c>
      <c r="E808">
        <v>1</v>
      </c>
      <c r="G808" s="18">
        <v>8299537</v>
      </c>
      <c r="H808">
        <v>1</v>
      </c>
    </row>
    <row r="809" spans="1:8" x14ac:dyDescent="0.35">
      <c r="A809" s="9">
        <v>7795911</v>
      </c>
      <c r="B809" s="10">
        <v>42928</v>
      </c>
      <c r="C809" s="11">
        <v>0.60528935185185184</v>
      </c>
      <c r="D809" s="12">
        <v>0.60805555555555557</v>
      </c>
      <c r="E809">
        <v>1</v>
      </c>
      <c r="G809" s="18">
        <v>8872311</v>
      </c>
      <c r="H809">
        <v>1</v>
      </c>
    </row>
    <row r="810" spans="1:8" x14ac:dyDescent="0.35">
      <c r="A810" s="5">
        <v>8063487</v>
      </c>
      <c r="B810" s="6">
        <v>42928</v>
      </c>
      <c r="C810" s="7">
        <v>0.61028935185185185</v>
      </c>
      <c r="D810" s="8">
        <v>0.61681712962962965</v>
      </c>
      <c r="E810">
        <v>1</v>
      </c>
      <c r="G810" s="18">
        <v>9329226</v>
      </c>
      <c r="H810">
        <v>1</v>
      </c>
    </row>
    <row r="811" spans="1:8" x14ac:dyDescent="0.35">
      <c r="A811" s="9">
        <v>68677362</v>
      </c>
      <c r="B811" s="10">
        <v>42928</v>
      </c>
      <c r="C811" s="11">
        <v>0.61534722222222227</v>
      </c>
      <c r="D811" s="12">
        <v>0.61554398148148148</v>
      </c>
      <c r="E811">
        <v>1</v>
      </c>
      <c r="G811" s="18">
        <v>8880275</v>
      </c>
      <c r="H811">
        <v>1</v>
      </c>
    </row>
    <row r="812" spans="1:8" x14ac:dyDescent="0.35">
      <c r="A812" s="5">
        <v>6766787935</v>
      </c>
      <c r="B812" s="6">
        <v>42928</v>
      </c>
      <c r="C812" s="7">
        <v>0.62077546296296293</v>
      </c>
      <c r="D812" s="8">
        <v>0.62708333333333333</v>
      </c>
      <c r="E812">
        <v>1</v>
      </c>
      <c r="G812" s="18">
        <v>9340299</v>
      </c>
      <c r="H812">
        <v>1</v>
      </c>
    </row>
    <row r="813" spans="1:8" x14ac:dyDescent="0.35">
      <c r="A813" s="9">
        <v>27791497</v>
      </c>
      <c r="B813" s="10">
        <v>42928</v>
      </c>
      <c r="C813" s="11">
        <v>0.62372685185185184</v>
      </c>
      <c r="D813" s="12">
        <v>0.63241898148148146</v>
      </c>
      <c r="E813">
        <v>1</v>
      </c>
      <c r="G813" s="18">
        <v>8885606</v>
      </c>
      <c r="H813">
        <v>1</v>
      </c>
    </row>
    <row r="814" spans="1:8" x14ac:dyDescent="0.35">
      <c r="A814" s="5">
        <v>6158527</v>
      </c>
      <c r="B814" s="6">
        <v>42928</v>
      </c>
      <c r="C814" s="7">
        <v>0.62449074074074074</v>
      </c>
      <c r="D814" s="8">
        <v>0.62653935185185183</v>
      </c>
      <c r="E814">
        <v>1</v>
      </c>
      <c r="G814" s="18">
        <v>9356216</v>
      </c>
      <c r="H814">
        <v>1</v>
      </c>
    </row>
    <row r="815" spans="1:8" x14ac:dyDescent="0.35">
      <c r="A815" s="9">
        <v>3456554</v>
      </c>
      <c r="B815" s="10">
        <v>42928</v>
      </c>
      <c r="C815" s="11">
        <v>0.62615740740740744</v>
      </c>
      <c r="D815" s="12">
        <v>0.63491898148148151</v>
      </c>
      <c r="E815">
        <v>1</v>
      </c>
      <c r="G815" s="18">
        <v>8895257</v>
      </c>
      <c r="H815">
        <v>1</v>
      </c>
    </row>
    <row r="816" spans="1:8" x14ac:dyDescent="0.35">
      <c r="A816" s="5">
        <v>3437033</v>
      </c>
      <c r="B816" s="6">
        <v>42929</v>
      </c>
      <c r="C816" s="7">
        <v>0.33812500000000001</v>
      </c>
      <c r="D816" s="8">
        <v>0.34457175925925926</v>
      </c>
      <c r="E816">
        <v>1</v>
      </c>
      <c r="G816" s="18">
        <v>9357185</v>
      </c>
      <c r="H816">
        <v>1</v>
      </c>
    </row>
    <row r="817" spans="1:8" x14ac:dyDescent="0.35">
      <c r="A817" s="9">
        <v>2128068</v>
      </c>
      <c r="B817" s="10">
        <v>42929</v>
      </c>
      <c r="C817" s="11">
        <v>0.34258101851851852</v>
      </c>
      <c r="D817" s="12">
        <v>0.34574074074074074</v>
      </c>
      <c r="E817">
        <v>1</v>
      </c>
      <c r="G817" s="18">
        <v>8900603</v>
      </c>
      <c r="H817">
        <v>1</v>
      </c>
    </row>
    <row r="818" spans="1:8" x14ac:dyDescent="0.35">
      <c r="A818" s="5">
        <v>20679187</v>
      </c>
      <c r="B818" s="6">
        <v>42929</v>
      </c>
      <c r="C818" s="7">
        <v>0.34833333333333333</v>
      </c>
      <c r="D818" s="8">
        <v>0.35206018518518517</v>
      </c>
      <c r="E818">
        <v>1</v>
      </c>
      <c r="G818" s="18">
        <v>9388066</v>
      </c>
      <c r="H818">
        <v>1</v>
      </c>
    </row>
    <row r="819" spans="1:8" x14ac:dyDescent="0.35">
      <c r="A819" s="9">
        <v>9259392564</v>
      </c>
      <c r="B819" s="10">
        <v>42929</v>
      </c>
      <c r="C819" s="11">
        <v>0.35311342592592593</v>
      </c>
      <c r="D819" s="12">
        <v>0.35888888888888887</v>
      </c>
      <c r="E819">
        <v>1</v>
      </c>
      <c r="G819" s="18">
        <v>8929993</v>
      </c>
      <c r="H819">
        <v>1</v>
      </c>
    </row>
    <row r="820" spans="1:8" x14ac:dyDescent="0.35">
      <c r="A820" s="5">
        <v>7852624</v>
      </c>
      <c r="B820" s="6">
        <v>42929</v>
      </c>
      <c r="C820" s="7">
        <v>0.35885416666666664</v>
      </c>
      <c r="D820" s="8">
        <v>0.36913194444444447</v>
      </c>
      <c r="E820">
        <v>1</v>
      </c>
      <c r="G820" s="18">
        <v>8223406</v>
      </c>
      <c r="H820">
        <v>1</v>
      </c>
    </row>
    <row r="821" spans="1:8" x14ac:dyDescent="0.35">
      <c r="A821" s="9">
        <v>8838584</v>
      </c>
      <c r="B821" s="10">
        <v>42929</v>
      </c>
      <c r="C821" s="11">
        <v>0.36204861111111108</v>
      </c>
      <c r="D821" s="12">
        <v>0.37230324074074073</v>
      </c>
      <c r="E821">
        <v>1</v>
      </c>
      <c r="G821" s="18">
        <v>8936656</v>
      </c>
      <c r="H821">
        <v>1</v>
      </c>
    </row>
    <row r="822" spans="1:8" x14ac:dyDescent="0.35">
      <c r="A822" s="5">
        <v>2492731</v>
      </c>
      <c r="B822" s="6">
        <v>42929</v>
      </c>
      <c r="C822" s="7">
        <v>0.36341435185185184</v>
      </c>
      <c r="D822" s="8">
        <v>0.36506944444444445</v>
      </c>
      <c r="E822">
        <v>1</v>
      </c>
      <c r="G822" s="18">
        <v>9419117</v>
      </c>
      <c r="H822">
        <v>1</v>
      </c>
    </row>
    <row r="823" spans="1:8" x14ac:dyDescent="0.35">
      <c r="A823" s="9">
        <v>8028777</v>
      </c>
      <c r="B823" s="10">
        <v>42929</v>
      </c>
      <c r="C823" s="11">
        <v>0.36505787037037035</v>
      </c>
      <c r="D823" s="12">
        <v>0.37204861111111109</v>
      </c>
      <c r="E823">
        <v>1</v>
      </c>
      <c r="G823" s="18">
        <v>8938444</v>
      </c>
      <c r="H823">
        <v>1</v>
      </c>
    </row>
    <row r="824" spans="1:8" x14ac:dyDescent="0.35">
      <c r="A824" s="5">
        <v>2619219</v>
      </c>
      <c r="B824" s="6">
        <v>42929</v>
      </c>
      <c r="C824" s="7">
        <v>0.36586805555555557</v>
      </c>
      <c r="D824" s="8">
        <v>0.36783564814814818</v>
      </c>
      <c r="E824">
        <v>1</v>
      </c>
      <c r="G824" s="18">
        <v>9427353</v>
      </c>
      <c r="H824">
        <v>1</v>
      </c>
    </row>
    <row r="825" spans="1:8" x14ac:dyDescent="0.35">
      <c r="A825" s="9">
        <v>2506618</v>
      </c>
      <c r="B825" s="10">
        <v>42929</v>
      </c>
      <c r="C825" s="11">
        <v>0.36704861111111109</v>
      </c>
      <c r="D825" s="12">
        <v>0.37783564814814813</v>
      </c>
      <c r="E825">
        <v>1</v>
      </c>
      <c r="G825" s="18">
        <v>8953850</v>
      </c>
      <c r="H825">
        <v>1</v>
      </c>
    </row>
    <row r="826" spans="1:8" x14ac:dyDescent="0.35">
      <c r="A826" s="5">
        <v>7979313</v>
      </c>
      <c r="B826" s="6">
        <v>42929</v>
      </c>
      <c r="C826" s="7">
        <v>0.37074074074074076</v>
      </c>
      <c r="D826" s="8">
        <v>0.37601851851851853</v>
      </c>
      <c r="E826">
        <v>1</v>
      </c>
      <c r="G826" s="18">
        <v>9458504</v>
      </c>
      <c r="H826">
        <v>1</v>
      </c>
    </row>
    <row r="827" spans="1:8" x14ac:dyDescent="0.35">
      <c r="A827" s="9">
        <v>23123600</v>
      </c>
      <c r="B827" s="10">
        <v>42929</v>
      </c>
      <c r="C827" s="11">
        <v>0.37334490740740739</v>
      </c>
      <c r="D827" s="12">
        <v>0.37408564814814815</v>
      </c>
      <c r="E827">
        <v>1</v>
      </c>
      <c r="G827" s="18">
        <v>8957203</v>
      </c>
      <c r="H827">
        <v>1</v>
      </c>
    </row>
    <row r="828" spans="1:8" x14ac:dyDescent="0.35">
      <c r="A828" s="5">
        <v>9849476</v>
      </c>
      <c r="B828" s="6">
        <v>42929</v>
      </c>
      <c r="C828" s="7">
        <v>0.37653935185185183</v>
      </c>
      <c r="D828" s="8">
        <v>0.37709490740740742</v>
      </c>
      <c r="E828">
        <v>1</v>
      </c>
      <c r="G828" s="18">
        <v>9474267</v>
      </c>
      <c r="H828">
        <v>1</v>
      </c>
    </row>
    <row r="829" spans="1:8" x14ac:dyDescent="0.35">
      <c r="A829" s="9">
        <v>27410048</v>
      </c>
      <c r="B829" s="10">
        <v>42929</v>
      </c>
      <c r="C829" s="11">
        <v>0.37748842592592591</v>
      </c>
      <c r="D829" s="12">
        <v>0.37763888888888891</v>
      </c>
      <c r="E829">
        <v>1</v>
      </c>
      <c r="G829" s="18">
        <v>8967842</v>
      </c>
      <c r="H829">
        <v>1</v>
      </c>
    </row>
    <row r="830" spans="1:8" x14ac:dyDescent="0.35">
      <c r="A830" s="5">
        <v>6746757</v>
      </c>
      <c r="B830" s="6">
        <v>42929</v>
      </c>
      <c r="C830" s="7">
        <v>0.3790162037037037</v>
      </c>
      <c r="D830" s="8">
        <v>0.38123842592592594</v>
      </c>
      <c r="E830">
        <v>1</v>
      </c>
      <c r="G830" s="18">
        <v>9487255</v>
      </c>
      <c r="H830">
        <v>1</v>
      </c>
    </row>
    <row r="831" spans="1:8" x14ac:dyDescent="0.35">
      <c r="A831" s="9">
        <v>5087066</v>
      </c>
      <c r="B831" s="10">
        <v>42929</v>
      </c>
      <c r="C831" s="11">
        <v>0.38018518518518518</v>
      </c>
      <c r="D831" s="12">
        <v>0.38339120370370372</v>
      </c>
      <c r="E831">
        <v>1</v>
      </c>
      <c r="G831" s="18">
        <v>8972366</v>
      </c>
      <c r="H831">
        <v>1</v>
      </c>
    </row>
    <row r="832" spans="1:8" x14ac:dyDescent="0.35">
      <c r="A832" s="5">
        <v>9680416</v>
      </c>
      <c r="B832" s="6">
        <v>42929</v>
      </c>
      <c r="C832" s="7">
        <v>0.38480324074074074</v>
      </c>
      <c r="D832" s="8">
        <v>0.39057870370370368</v>
      </c>
      <c r="E832">
        <v>1</v>
      </c>
      <c r="G832" s="18">
        <v>9502975</v>
      </c>
      <c r="H832">
        <v>1</v>
      </c>
    </row>
    <row r="833" spans="1:8" x14ac:dyDescent="0.35">
      <c r="A833" s="9">
        <v>9356216</v>
      </c>
      <c r="B833" s="10">
        <v>42929</v>
      </c>
      <c r="C833" s="11">
        <v>0.38966435185185183</v>
      </c>
      <c r="D833" s="12">
        <v>0.40104166666666669</v>
      </c>
      <c r="E833">
        <v>1</v>
      </c>
      <c r="G833" s="18">
        <v>8982137</v>
      </c>
      <c r="H833">
        <v>1</v>
      </c>
    </row>
    <row r="834" spans="1:8" x14ac:dyDescent="0.35">
      <c r="A834" s="5">
        <v>7415603</v>
      </c>
      <c r="B834" s="6">
        <v>42929</v>
      </c>
      <c r="C834" s="7">
        <v>0.39194444444444443</v>
      </c>
      <c r="D834" s="8">
        <v>0.39535879629629628</v>
      </c>
      <c r="E834">
        <v>1</v>
      </c>
      <c r="G834" s="18">
        <v>9521805</v>
      </c>
      <c r="H834">
        <v>1</v>
      </c>
    </row>
    <row r="835" spans="1:8" x14ac:dyDescent="0.35">
      <c r="A835" s="9">
        <v>28145499</v>
      </c>
      <c r="B835" s="10">
        <v>42929</v>
      </c>
      <c r="C835" s="11">
        <v>0.3972222222222222</v>
      </c>
      <c r="D835" s="12">
        <v>0.40084490740740741</v>
      </c>
      <c r="E835">
        <v>1</v>
      </c>
      <c r="G835" s="18">
        <v>8984769</v>
      </c>
      <c r="H835">
        <v>1</v>
      </c>
    </row>
    <row r="836" spans="1:8" x14ac:dyDescent="0.35">
      <c r="A836" s="5">
        <v>61527800</v>
      </c>
      <c r="B836" s="6">
        <v>42929</v>
      </c>
      <c r="C836" s="7">
        <v>0.39988425925925924</v>
      </c>
      <c r="D836" s="8">
        <v>0.4100462962962963</v>
      </c>
      <c r="E836">
        <v>1</v>
      </c>
      <c r="G836" s="18">
        <v>9526179</v>
      </c>
      <c r="H836">
        <v>1</v>
      </c>
    </row>
    <row r="837" spans="1:8" x14ac:dyDescent="0.35">
      <c r="A837" s="9">
        <v>4873703</v>
      </c>
      <c r="B837" s="10">
        <v>42929</v>
      </c>
      <c r="C837" s="11">
        <v>0.40539351851851851</v>
      </c>
      <c r="D837" s="12">
        <v>0.4143634259259259</v>
      </c>
      <c r="E837">
        <v>1</v>
      </c>
      <c r="G837" s="18">
        <v>8985437</v>
      </c>
      <c r="H837">
        <v>1</v>
      </c>
    </row>
    <row r="838" spans="1:8" x14ac:dyDescent="0.35">
      <c r="A838" s="5">
        <v>43019885</v>
      </c>
      <c r="B838" s="6">
        <v>42929</v>
      </c>
      <c r="C838" s="7">
        <v>0.4064814814814815</v>
      </c>
      <c r="D838" s="8">
        <v>0.41630787037037037</v>
      </c>
      <c r="E838">
        <v>1</v>
      </c>
      <c r="G838" s="18">
        <v>9535780</v>
      </c>
      <c r="H838">
        <v>1</v>
      </c>
    </row>
    <row r="839" spans="1:8" x14ac:dyDescent="0.35">
      <c r="A839" s="9">
        <v>7388260</v>
      </c>
      <c r="B839" s="10">
        <v>42929</v>
      </c>
      <c r="C839" s="11">
        <v>0.41149305555555554</v>
      </c>
      <c r="D839" s="12">
        <v>0.41928240740740741</v>
      </c>
      <c r="E839">
        <v>1</v>
      </c>
      <c r="G839" s="18">
        <v>8991671</v>
      </c>
      <c r="H839">
        <v>1</v>
      </c>
    </row>
    <row r="840" spans="1:8" x14ac:dyDescent="0.35">
      <c r="A840" s="5">
        <v>4581715</v>
      </c>
      <c r="B840" s="6">
        <v>42929</v>
      </c>
      <c r="C840" s="7">
        <v>0.41172453703703704</v>
      </c>
      <c r="D840" s="8">
        <v>0.42146990740740742</v>
      </c>
      <c r="E840">
        <v>1</v>
      </c>
      <c r="G840" s="18">
        <v>9547712</v>
      </c>
      <c r="H840">
        <v>1</v>
      </c>
    </row>
    <row r="841" spans="1:8" x14ac:dyDescent="0.35">
      <c r="A841" s="9">
        <v>58420185</v>
      </c>
      <c r="B841" s="10">
        <v>42929</v>
      </c>
      <c r="C841" s="11">
        <v>0.41729166666666667</v>
      </c>
      <c r="D841" s="12">
        <v>0.42122685185185182</v>
      </c>
      <c r="E841">
        <v>1</v>
      </c>
      <c r="G841" s="18">
        <v>9005999</v>
      </c>
      <c r="H841">
        <v>1</v>
      </c>
    </row>
    <row r="842" spans="1:8" x14ac:dyDescent="0.35">
      <c r="A842" s="5">
        <v>45948073</v>
      </c>
      <c r="B842" s="6">
        <v>42929</v>
      </c>
      <c r="C842" s="7">
        <v>0.41979166666666667</v>
      </c>
      <c r="D842" s="8">
        <v>0.42586805555555557</v>
      </c>
      <c r="E842">
        <v>1</v>
      </c>
      <c r="G842" s="18">
        <v>9560827</v>
      </c>
      <c r="H842">
        <v>1</v>
      </c>
    </row>
    <row r="843" spans="1:8" x14ac:dyDescent="0.35">
      <c r="A843" s="9">
        <v>4473835</v>
      </c>
      <c r="B843" s="10">
        <v>42929</v>
      </c>
      <c r="C843" s="11">
        <v>0.42091435185185183</v>
      </c>
      <c r="D843" s="12">
        <v>0.42609953703703701</v>
      </c>
      <c r="E843">
        <v>1</v>
      </c>
      <c r="G843" s="18">
        <v>9021766</v>
      </c>
      <c r="H843">
        <v>1</v>
      </c>
    </row>
    <row r="844" spans="1:8" x14ac:dyDescent="0.35">
      <c r="A844" s="5">
        <v>7739841</v>
      </c>
      <c r="B844" s="6">
        <v>42929</v>
      </c>
      <c r="C844" s="7">
        <v>0.42418981481481483</v>
      </c>
      <c r="D844" s="8">
        <v>0.42598379629629629</v>
      </c>
      <c r="E844">
        <v>1</v>
      </c>
      <c r="G844" s="18">
        <v>9570286</v>
      </c>
      <c r="H844">
        <v>1</v>
      </c>
    </row>
    <row r="845" spans="1:8" x14ac:dyDescent="0.35">
      <c r="A845" s="9">
        <v>6275284312</v>
      </c>
      <c r="B845" s="10">
        <v>42929</v>
      </c>
      <c r="C845" s="11">
        <v>0.4291550925925926</v>
      </c>
      <c r="D845" s="12">
        <v>0.4339351851851852</v>
      </c>
      <c r="E845">
        <v>1</v>
      </c>
      <c r="G845" s="18">
        <v>9039872</v>
      </c>
      <c r="H845">
        <v>1</v>
      </c>
    </row>
    <row r="846" spans="1:8" x14ac:dyDescent="0.35">
      <c r="A846" s="5">
        <v>1692981</v>
      </c>
      <c r="B846" s="6">
        <v>42929</v>
      </c>
      <c r="C846" s="7">
        <v>0.43297453703703703</v>
      </c>
      <c r="D846" s="8">
        <v>0.43424768518518519</v>
      </c>
      <c r="E846">
        <v>1</v>
      </c>
      <c r="G846" s="18">
        <v>9591892</v>
      </c>
      <c r="H846">
        <v>1</v>
      </c>
    </row>
    <row r="847" spans="1:8" x14ac:dyDescent="0.35">
      <c r="A847" s="9">
        <v>9270571</v>
      </c>
      <c r="B847" s="10">
        <v>42929</v>
      </c>
      <c r="C847" s="11">
        <v>0.43782407407407409</v>
      </c>
      <c r="D847" s="12">
        <v>0.44560185185185186</v>
      </c>
      <c r="E847">
        <v>1</v>
      </c>
      <c r="G847" s="18">
        <v>9045402</v>
      </c>
      <c r="H847">
        <v>1</v>
      </c>
    </row>
    <row r="848" spans="1:8" x14ac:dyDescent="0.35">
      <c r="A848" s="5">
        <v>6299545</v>
      </c>
      <c r="B848" s="6">
        <v>42929</v>
      </c>
      <c r="C848" s="7">
        <v>0.43986111111111109</v>
      </c>
      <c r="D848" s="8">
        <v>0.44298611111111114</v>
      </c>
      <c r="E848">
        <v>1</v>
      </c>
      <c r="G848" s="18">
        <v>9595194</v>
      </c>
      <c r="H848">
        <v>1</v>
      </c>
    </row>
    <row r="849" spans="1:8" x14ac:dyDescent="0.35">
      <c r="A849" s="9">
        <v>67064385</v>
      </c>
      <c r="B849" s="10">
        <v>42929</v>
      </c>
      <c r="C849" s="11">
        <v>0.44278935185185186</v>
      </c>
      <c r="D849" s="12">
        <v>0.44480324074074074</v>
      </c>
      <c r="E849">
        <v>1</v>
      </c>
      <c r="G849" s="18">
        <v>9046365</v>
      </c>
      <c r="H849">
        <v>1</v>
      </c>
    </row>
    <row r="850" spans="1:8" x14ac:dyDescent="0.35">
      <c r="A850" s="5">
        <v>4062215</v>
      </c>
      <c r="B850" s="6">
        <v>42929</v>
      </c>
      <c r="C850" s="7">
        <v>0.44732638888888887</v>
      </c>
      <c r="D850" s="8">
        <v>0.45466435185185183</v>
      </c>
      <c r="E850">
        <v>1</v>
      </c>
      <c r="G850" s="18">
        <v>9603024</v>
      </c>
      <c r="H850">
        <v>1</v>
      </c>
    </row>
    <row r="851" spans="1:8" x14ac:dyDescent="0.35">
      <c r="A851" s="9">
        <v>2835355</v>
      </c>
      <c r="B851" s="10">
        <v>42929</v>
      </c>
      <c r="C851" s="11">
        <v>0.45131944444444444</v>
      </c>
      <c r="D851" s="12">
        <v>0.45689814814814816</v>
      </c>
      <c r="E851">
        <v>1</v>
      </c>
      <c r="G851" s="18">
        <v>9052582</v>
      </c>
      <c r="H851">
        <v>1</v>
      </c>
    </row>
    <row r="852" spans="1:8" x14ac:dyDescent="0.35">
      <c r="A852" s="5">
        <v>9283739</v>
      </c>
      <c r="B852" s="6">
        <v>42929</v>
      </c>
      <c r="C852" s="7">
        <v>0.45489583333333333</v>
      </c>
      <c r="D852" s="8">
        <v>0.46451388888888889</v>
      </c>
      <c r="E852">
        <v>1</v>
      </c>
      <c r="G852" s="18">
        <v>9620895</v>
      </c>
      <c r="H852">
        <v>1</v>
      </c>
    </row>
    <row r="853" spans="1:8" x14ac:dyDescent="0.35">
      <c r="A853" s="9">
        <v>7118082</v>
      </c>
      <c r="B853" s="10">
        <v>42929</v>
      </c>
      <c r="C853" s="11">
        <v>0.45682870370370371</v>
      </c>
      <c r="D853" s="12">
        <v>0.4664699074074074</v>
      </c>
      <c r="E853">
        <v>1</v>
      </c>
      <c r="G853" s="18">
        <v>9052652</v>
      </c>
      <c r="H853">
        <v>1</v>
      </c>
    </row>
    <row r="854" spans="1:8" x14ac:dyDescent="0.35">
      <c r="A854" s="5">
        <v>30178521</v>
      </c>
      <c r="B854" s="6">
        <v>42929</v>
      </c>
      <c r="C854" s="7">
        <v>0.45968750000000003</v>
      </c>
      <c r="D854" s="8">
        <v>0.46520833333333333</v>
      </c>
      <c r="E854">
        <v>1</v>
      </c>
      <c r="G854" s="18">
        <v>9647309</v>
      </c>
      <c r="H854">
        <v>1</v>
      </c>
    </row>
    <row r="855" spans="1:8" x14ac:dyDescent="0.35">
      <c r="A855" s="9">
        <v>5014399</v>
      </c>
      <c r="B855" s="10">
        <v>42929</v>
      </c>
      <c r="C855" s="11">
        <v>0.46444444444444444</v>
      </c>
      <c r="D855" s="12">
        <v>0.46787037037037038</v>
      </c>
      <c r="E855">
        <v>1</v>
      </c>
      <c r="G855" s="18">
        <v>9061957</v>
      </c>
      <c r="H855">
        <v>1</v>
      </c>
    </row>
    <row r="856" spans="1:8" x14ac:dyDescent="0.35">
      <c r="A856" s="5">
        <v>3984696</v>
      </c>
      <c r="B856" s="6">
        <v>42929</v>
      </c>
      <c r="C856" s="7">
        <v>0.46581018518518519</v>
      </c>
      <c r="D856" s="8">
        <v>0.46589120370370368</v>
      </c>
      <c r="E856">
        <v>1</v>
      </c>
      <c r="G856" s="18">
        <v>9662407</v>
      </c>
      <c r="H856">
        <v>1</v>
      </c>
    </row>
    <row r="857" spans="1:8" x14ac:dyDescent="0.35">
      <c r="A857" s="9">
        <v>53386383</v>
      </c>
      <c r="B857" s="10">
        <v>42929</v>
      </c>
      <c r="C857" s="11">
        <v>0.47099537037037037</v>
      </c>
      <c r="D857" s="12">
        <v>0.47175925925925927</v>
      </c>
      <c r="E857">
        <v>1</v>
      </c>
      <c r="G857" s="18">
        <v>9065927</v>
      </c>
      <c r="H857">
        <v>1</v>
      </c>
    </row>
    <row r="858" spans="1:8" x14ac:dyDescent="0.35">
      <c r="A858" s="5">
        <v>8733120283</v>
      </c>
      <c r="B858" s="6">
        <v>42929</v>
      </c>
      <c r="C858" s="7">
        <v>0.47134259259259259</v>
      </c>
      <c r="D858" s="8">
        <v>0.47659722222222223</v>
      </c>
      <c r="E858">
        <v>1</v>
      </c>
      <c r="G858" s="18">
        <v>9664752</v>
      </c>
      <c r="H858">
        <v>1</v>
      </c>
    </row>
    <row r="859" spans="1:8" x14ac:dyDescent="0.35">
      <c r="A859" s="9">
        <v>6934405</v>
      </c>
      <c r="B859" s="10">
        <v>42929</v>
      </c>
      <c r="C859" s="11">
        <v>0.47321759259259261</v>
      </c>
      <c r="D859" s="12">
        <v>0.48008101851851853</v>
      </c>
      <c r="E859">
        <v>1</v>
      </c>
      <c r="G859" s="18">
        <v>9076015</v>
      </c>
      <c r="H859">
        <v>1</v>
      </c>
    </row>
    <row r="860" spans="1:8" x14ac:dyDescent="0.35">
      <c r="A860" s="5">
        <v>54136845</v>
      </c>
      <c r="B860" s="6">
        <v>42929</v>
      </c>
      <c r="C860" s="7">
        <v>0.47890046296296296</v>
      </c>
      <c r="D860" s="8">
        <v>0.48042824074074075</v>
      </c>
      <c r="E860">
        <v>1</v>
      </c>
      <c r="G860" s="18">
        <v>9683894</v>
      </c>
      <c r="H860">
        <v>1</v>
      </c>
    </row>
    <row r="861" spans="1:8" x14ac:dyDescent="0.35">
      <c r="A861" s="9">
        <v>76310343</v>
      </c>
      <c r="B861" s="10">
        <v>42929</v>
      </c>
      <c r="C861" s="11">
        <v>0.48312500000000003</v>
      </c>
      <c r="D861" s="12">
        <v>0.4889236111111111</v>
      </c>
      <c r="E861">
        <v>1</v>
      </c>
      <c r="G861" s="18">
        <v>9084978</v>
      </c>
      <c r="H861">
        <v>1</v>
      </c>
    </row>
    <row r="862" spans="1:8" x14ac:dyDescent="0.35">
      <c r="A862" s="5">
        <v>9005999</v>
      </c>
      <c r="B862" s="6">
        <v>42929</v>
      </c>
      <c r="C862" s="7">
        <v>0.4878587962962963</v>
      </c>
      <c r="D862" s="8">
        <v>0.49609953703703702</v>
      </c>
      <c r="E862">
        <v>1</v>
      </c>
      <c r="G862" s="18">
        <v>9689833</v>
      </c>
      <c r="H862">
        <v>1</v>
      </c>
    </row>
    <row r="863" spans="1:8" x14ac:dyDescent="0.35">
      <c r="A863" s="9">
        <v>7763451</v>
      </c>
      <c r="B863" s="10">
        <v>42929</v>
      </c>
      <c r="C863" s="11">
        <v>0.4911226851851852</v>
      </c>
      <c r="D863" s="12">
        <v>0.49859953703703702</v>
      </c>
      <c r="E863">
        <v>1</v>
      </c>
      <c r="G863" s="18">
        <v>8261808</v>
      </c>
      <c r="H863">
        <v>1</v>
      </c>
    </row>
    <row r="864" spans="1:8" x14ac:dyDescent="0.35">
      <c r="A864" s="5">
        <v>3765001</v>
      </c>
      <c r="B864" s="6">
        <v>42929</v>
      </c>
      <c r="C864" s="7">
        <v>0.49283564814814818</v>
      </c>
      <c r="D864" s="8">
        <v>0.50396990740740744</v>
      </c>
      <c r="E864">
        <v>1</v>
      </c>
      <c r="G864" s="18">
        <v>9709339</v>
      </c>
      <c r="H864">
        <v>1</v>
      </c>
    </row>
    <row r="865" spans="1:8" x14ac:dyDescent="0.35">
      <c r="A865" s="9">
        <v>8498076</v>
      </c>
      <c r="B865" s="10">
        <v>42929</v>
      </c>
      <c r="C865" s="11">
        <v>0.49493055555555554</v>
      </c>
      <c r="D865" s="12">
        <v>0.49898148148148147</v>
      </c>
      <c r="E865">
        <v>1</v>
      </c>
      <c r="G865" s="18">
        <v>8195842</v>
      </c>
      <c r="H865">
        <v>1</v>
      </c>
    </row>
    <row r="866" spans="1:8" x14ac:dyDescent="0.35">
      <c r="A866" s="5">
        <v>4995171</v>
      </c>
      <c r="B866" s="6">
        <v>42929</v>
      </c>
      <c r="C866" s="7">
        <v>0.5006018518518518</v>
      </c>
      <c r="D866" s="8">
        <v>0.50388888888888894</v>
      </c>
      <c r="E866">
        <v>1</v>
      </c>
      <c r="G866" s="18">
        <v>9722484</v>
      </c>
      <c r="H866">
        <v>1</v>
      </c>
    </row>
    <row r="867" spans="1:8" x14ac:dyDescent="0.35">
      <c r="A867" s="9">
        <v>8929993</v>
      </c>
      <c r="B867" s="10">
        <v>42929</v>
      </c>
      <c r="C867" s="11">
        <v>0.50173611111111116</v>
      </c>
      <c r="D867" s="12">
        <v>0.50722222222222224</v>
      </c>
      <c r="E867">
        <v>1</v>
      </c>
      <c r="G867" s="18">
        <v>9091369</v>
      </c>
      <c r="H867">
        <v>1</v>
      </c>
    </row>
    <row r="868" spans="1:8" x14ac:dyDescent="0.35">
      <c r="A868" s="5">
        <v>7473804</v>
      </c>
      <c r="B868" s="6">
        <v>42929</v>
      </c>
      <c r="C868" s="7">
        <v>0.50675925925925924</v>
      </c>
      <c r="D868" s="8">
        <v>0.5138194444444445</v>
      </c>
      <c r="E868">
        <v>1</v>
      </c>
      <c r="G868" s="18">
        <v>8375968</v>
      </c>
      <c r="H868">
        <v>1</v>
      </c>
    </row>
    <row r="869" spans="1:8" x14ac:dyDescent="0.35">
      <c r="A869" s="9">
        <v>1816002</v>
      </c>
      <c r="B869" s="10">
        <v>42929</v>
      </c>
      <c r="C869" s="11">
        <v>0.50732638888888892</v>
      </c>
      <c r="D869" s="12">
        <v>0.51005787037037043</v>
      </c>
      <c r="E869">
        <v>1</v>
      </c>
      <c r="G869" s="18">
        <v>9100303</v>
      </c>
      <c r="H869">
        <v>1</v>
      </c>
    </row>
    <row r="870" spans="1:8" x14ac:dyDescent="0.35">
      <c r="A870" s="5">
        <v>4133182</v>
      </c>
      <c r="B870" s="6">
        <v>42929</v>
      </c>
      <c r="C870" s="7">
        <v>0.51061342592592596</v>
      </c>
      <c r="D870" s="8">
        <v>0.5118287037037037</v>
      </c>
      <c r="E870">
        <v>1</v>
      </c>
      <c r="G870" s="18">
        <v>9747403</v>
      </c>
      <c r="H870">
        <v>1</v>
      </c>
    </row>
    <row r="871" spans="1:8" x14ac:dyDescent="0.35">
      <c r="A871" s="9">
        <v>63141248</v>
      </c>
      <c r="B871" s="10">
        <v>42929</v>
      </c>
      <c r="C871" s="11">
        <v>0.51224537037037032</v>
      </c>
      <c r="D871" s="12">
        <v>0.51730324074074074</v>
      </c>
      <c r="E871">
        <v>1</v>
      </c>
      <c r="G871" s="18">
        <v>9120318</v>
      </c>
      <c r="H871">
        <v>1</v>
      </c>
    </row>
    <row r="872" spans="1:8" x14ac:dyDescent="0.35">
      <c r="A872" s="5">
        <v>7384686</v>
      </c>
      <c r="B872" s="6">
        <v>42929</v>
      </c>
      <c r="C872" s="7">
        <v>0.51616898148148149</v>
      </c>
      <c r="D872" s="8">
        <v>0.52461805555555552</v>
      </c>
      <c r="E872">
        <v>1</v>
      </c>
      <c r="G872" s="18">
        <v>9759222</v>
      </c>
      <c r="H872">
        <v>1</v>
      </c>
    </row>
    <row r="873" spans="1:8" x14ac:dyDescent="0.35">
      <c r="A873" s="9">
        <v>3150344</v>
      </c>
      <c r="B873" s="10">
        <v>42929</v>
      </c>
      <c r="C873" s="11">
        <v>0.51709490740740738</v>
      </c>
      <c r="D873" s="12">
        <v>0.52684027777777775</v>
      </c>
      <c r="E873">
        <v>1</v>
      </c>
      <c r="G873" s="18">
        <v>9894723</v>
      </c>
      <c r="H873">
        <v>1</v>
      </c>
    </row>
    <row r="874" spans="1:8" x14ac:dyDescent="0.35">
      <c r="A874" s="5">
        <v>6786847</v>
      </c>
      <c r="B874" s="6">
        <v>42929</v>
      </c>
      <c r="C874" s="7">
        <v>0.51986111111111111</v>
      </c>
      <c r="D874" s="8">
        <v>0.52924768518518517</v>
      </c>
      <c r="E874">
        <v>1</v>
      </c>
      <c r="G874" s="18">
        <v>8385222</v>
      </c>
      <c r="H874">
        <v>1</v>
      </c>
    </row>
    <row r="875" spans="1:8" x14ac:dyDescent="0.35">
      <c r="A875" s="9">
        <v>2947889</v>
      </c>
      <c r="B875" s="10">
        <v>42929</v>
      </c>
      <c r="C875" s="11">
        <v>0.5232175925925926</v>
      </c>
      <c r="D875" s="12">
        <v>0.52965277777777775</v>
      </c>
      <c r="E875">
        <v>1</v>
      </c>
      <c r="G875" s="18">
        <v>9905075</v>
      </c>
      <c r="H875">
        <v>1</v>
      </c>
    </row>
    <row r="876" spans="1:8" x14ac:dyDescent="0.35">
      <c r="A876" s="5">
        <v>28961250</v>
      </c>
      <c r="B876" s="6">
        <v>42929</v>
      </c>
      <c r="C876" s="7">
        <v>0.52353009259259264</v>
      </c>
      <c r="D876" s="8">
        <v>0.53097222222222218</v>
      </c>
      <c r="E876">
        <v>1</v>
      </c>
      <c r="G876" s="18">
        <v>9776810</v>
      </c>
      <c r="H876">
        <v>1</v>
      </c>
    </row>
    <row r="877" spans="1:8" x14ac:dyDescent="0.35">
      <c r="A877" s="9">
        <v>3328479</v>
      </c>
      <c r="B877" s="10">
        <v>42929</v>
      </c>
      <c r="C877" s="11">
        <v>0.52668981481481481</v>
      </c>
      <c r="D877" s="12">
        <v>0.53594907407407411</v>
      </c>
      <c r="E877">
        <v>1</v>
      </c>
      <c r="G877" s="18">
        <v>9932676</v>
      </c>
      <c r="H877">
        <v>1</v>
      </c>
    </row>
    <row r="878" spans="1:8" x14ac:dyDescent="0.35">
      <c r="A878" s="5">
        <v>61322035</v>
      </c>
      <c r="B878" s="6">
        <v>42929</v>
      </c>
      <c r="C878" s="7">
        <v>0.52906249999999999</v>
      </c>
      <c r="D878" s="8">
        <v>0.5294444444444445</v>
      </c>
      <c r="E878">
        <v>1</v>
      </c>
      <c r="G878" s="18">
        <v>9781981</v>
      </c>
      <c r="H878">
        <v>1</v>
      </c>
    </row>
    <row r="879" spans="1:8" x14ac:dyDescent="0.35">
      <c r="A879" s="9">
        <v>40308049</v>
      </c>
      <c r="B879" s="10">
        <v>42929</v>
      </c>
      <c r="C879" s="11">
        <v>0.53047453703703706</v>
      </c>
      <c r="D879" s="12">
        <v>0.53797453703703701</v>
      </c>
      <c r="E879">
        <v>1</v>
      </c>
      <c r="G879" s="18">
        <v>8183468</v>
      </c>
      <c r="H879">
        <v>1</v>
      </c>
    </row>
    <row r="880" spans="1:8" x14ac:dyDescent="0.35">
      <c r="A880" s="5">
        <v>7066778</v>
      </c>
      <c r="B880" s="6">
        <v>42929</v>
      </c>
      <c r="C880" s="7">
        <v>0.53484953703703708</v>
      </c>
      <c r="D880" s="8">
        <v>0.538599537037037</v>
      </c>
      <c r="E880">
        <v>1</v>
      </c>
      <c r="G880" s="18">
        <v>9791237</v>
      </c>
      <c r="H880">
        <v>1</v>
      </c>
    </row>
    <row r="881" spans="1:8" x14ac:dyDescent="0.35">
      <c r="A881" s="9">
        <v>3434934</v>
      </c>
      <c r="B881" s="10">
        <v>42929</v>
      </c>
      <c r="C881" s="11">
        <v>0.54039351851851847</v>
      </c>
      <c r="D881" s="12">
        <v>0.55039351851851848</v>
      </c>
      <c r="E881">
        <v>1</v>
      </c>
      <c r="G881" s="18">
        <v>9950462</v>
      </c>
      <c r="H881">
        <v>1</v>
      </c>
    </row>
    <row r="882" spans="1:8" x14ac:dyDescent="0.35">
      <c r="A882" s="5">
        <v>3017523</v>
      </c>
      <c r="B882" s="6">
        <v>42929</v>
      </c>
      <c r="C882" s="7">
        <v>0.54342592592592598</v>
      </c>
      <c r="D882" s="8">
        <v>0.54971064814814818</v>
      </c>
      <c r="E882">
        <v>1</v>
      </c>
      <c r="G882" s="18">
        <v>9803006</v>
      </c>
      <c r="H882">
        <v>1</v>
      </c>
    </row>
    <row r="883" spans="1:8" x14ac:dyDescent="0.35">
      <c r="A883" s="9">
        <v>26699217</v>
      </c>
      <c r="B883" s="10">
        <v>42929</v>
      </c>
      <c r="C883" s="11">
        <v>0.5471759259259259</v>
      </c>
      <c r="D883" s="12">
        <v>0.55871527777777774</v>
      </c>
      <c r="E883">
        <v>1</v>
      </c>
      <c r="G883" s="18">
        <v>9961121</v>
      </c>
      <c r="H883">
        <v>1</v>
      </c>
    </row>
    <row r="884" spans="1:8" x14ac:dyDescent="0.35">
      <c r="A884" s="5">
        <v>3192836</v>
      </c>
      <c r="B884" s="6">
        <v>42929</v>
      </c>
      <c r="C884" s="7">
        <v>0.54806712962962967</v>
      </c>
      <c r="D884" s="8">
        <v>0.54826388888888888</v>
      </c>
      <c r="E884">
        <v>1</v>
      </c>
      <c r="G884" s="18">
        <v>9804309</v>
      </c>
      <c r="H884">
        <v>1</v>
      </c>
    </row>
    <row r="885" spans="1:8" x14ac:dyDescent="0.35">
      <c r="A885" s="9">
        <v>6979384</v>
      </c>
      <c r="B885" s="10">
        <v>42929</v>
      </c>
      <c r="C885" s="11">
        <v>0.55315972222222221</v>
      </c>
      <c r="D885" s="12">
        <v>0.56252314814814819</v>
      </c>
      <c r="E885">
        <v>1</v>
      </c>
      <c r="G885" s="18">
        <v>9975967</v>
      </c>
      <c r="H885">
        <v>1</v>
      </c>
    </row>
    <row r="886" spans="1:8" x14ac:dyDescent="0.35">
      <c r="A886" s="5">
        <v>5277660</v>
      </c>
      <c r="B886" s="6">
        <v>42929</v>
      </c>
      <c r="C886" s="7">
        <v>0.55543981481481486</v>
      </c>
      <c r="D886" s="8">
        <v>0.56340277777777781</v>
      </c>
      <c r="E886">
        <v>1</v>
      </c>
      <c r="G886" s="18">
        <v>9807682</v>
      </c>
      <c r="H886">
        <v>1</v>
      </c>
    </row>
    <row r="887" spans="1:8" x14ac:dyDescent="0.35">
      <c r="A887" s="9">
        <v>9543572</v>
      </c>
      <c r="B887" s="10">
        <v>42929</v>
      </c>
      <c r="C887" s="11">
        <v>0.55556712962962962</v>
      </c>
      <c r="D887" s="12">
        <v>0.56344907407407407</v>
      </c>
      <c r="E887">
        <v>1</v>
      </c>
      <c r="G887" s="18">
        <v>9979899</v>
      </c>
      <c r="H887">
        <v>1</v>
      </c>
    </row>
    <row r="888" spans="1:8" x14ac:dyDescent="0.35">
      <c r="A888" s="5">
        <v>3984696</v>
      </c>
      <c r="B888" s="6">
        <v>42929</v>
      </c>
      <c r="C888" s="7">
        <v>0.55923611111111116</v>
      </c>
      <c r="D888" s="8">
        <v>0.5665162037037037</v>
      </c>
      <c r="E888">
        <v>1</v>
      </c>
      <c r="G888" s="18">
        <v>8400710</v>
      </c>
      <c r="H888">
        <v>1</v>
      </c>
    </row>
    <row r="889" spans="1:8" x14ac:dyDescent="0.35">
      <c r="A889" s="9">
        <v>47855743</v>
      </c>
      <c r="B889" s="10">
        <v>42929</v>
      </c>
      <c r="C889" s="11">
        <v>0.56371527777777775</v>
      </c>
      <c r="D889" s="12">
        <v>0.57344907407407408</v>
      </c>
      <c r="E889">
        <v>1</v>
      </c>
      <c r="G889" s="18">
        <v>9182658</v>
      </c>
      <c r="H889">
        <v>1</v>
      </c>
    </row>
    <row r="890" spans="1:8" x14ac:dyDescent="0.35">
      <c r="A890" s="5">
        <v>3095218</v>
      </c>
      <c r="B890" s="6">
        <v>42929</v>
      </c>
      <c r="C890" s="7">
        <v>0.56581018518518522</v>
      </c>
      <c r="D890" s="8">
        <v>0.57694444444444448</v>
      </c>
      <c r="E890">
        <v>1</v>
      </c>
      <c r="G890" s="18">
        <v>8405292</v>
      </c>
      <c r="H890">
        <v>1</v>
      </c>
    </row>
    <row r="891" spans="1:8" x14ac:dyDescent="0.35">
      <c r="A891" s="9">
        <v>7933399</v>
      </c>
      <c r="B891" s="10">
        <v>42929</v>
      </c>
      <c r="C891" s="11">
        <v>0.57054398148148144</v>
      </c>
      <c r="D891" s="12">
        <v>0.57388888888888889</v>
      </c>
      <c r="E891">
        <v>1</v>
      </c>
      <c r="G891" s="18">
        <v>9183185</v>
      </c>
      <c r="H891">
        <v>1</v>
      </c>
    </row>
    <row r="892" spans="1:8" x14ac:dyDescent="0.35">
      <c r="A892" s="5">
        <v>54821549</v>
      </c>
      <c r="B892" s="6">
        <v>42929</v>
      </c>
      <c r="C892" s="7">
        <v>0.57287037037037036</v>
      </c>
      <c r="D892" s="8">
        <v>0.57663194444444443</v>
      </c>
      <c r="E892">
        <v>1</v>
      </c>
      <c r="G892" s="18">
        <v>9853612</v>
      </c>
      <c r="H892">
        <v>1</v>
      </c>
    </row>
    <row r="893" spans="1:8" x14ac:dyDescent="0.35">
      <c r="A893" s="9">
        <v>14919021</v>
      </c>
      <c r="B893" s="10">
        <v>42929</v>
      </c>
      <c r="C893" s="11">
        <v>0.57331018518518517</v>
      </c>
      <c r="D893" s="12">
        <v>0.57547453703703699</v>
      </c>
      <c r="E893">
        <v>1</v>
      </c>
      <c r="G893" s="18">
        <v>9187410</v>
      </c>
      <c r="H893">
        <v>1</v>
      </c>
    </row>
    <row r="894" spans="1:8" x14ac:dyDescent="0.35">
      <c r="A894" s="5">
        <v>9175377</v>
      </c>
      <c r="B894" s="6">
        <v>42929</v>
      </c>
      <c r="C894" s="7">
        <v>0.57648148148148148</v>
      </c>
      <c r="D894" s="8">
        <v>0.57916666666666672</v>
      </c>
      <c r="E894">
        <v>1</v>
      </c>
      <c r="G894" s="18">
        <v>9864502</v>
      </c>
      <c r="H894">
        <v>1</v>
      </c>
    </row>
    <row r="895" spans="1:8" x14ac:dyDescent="0.35">
      <c r="A895" s="9">
        <v>3656681</v>
      </c>
      <c r="B895" s="10">
        <v>42929</v>
      </c>
      <c r="C895" s="11">
        <v>0.58067129629629632</v>
      </c>
      <c r="D895" s="12">
        <v>0.59149305555555554</v>
      </c>
      <c r="E895">
        <v>1</v>
      </c>
      <c r="G895" s="18">
        <v>9192546</v>
      </c>
      <c r="H895">
        <v>1</v>
      </c>
    </row>
    <row r="896" spans="1:8" x14ac:dyDescent="0.35">
      <c r="A896" s="5">
        <v>5741700</v>
      </c>
      <c r="B896" s="6">
        <v>42929</v>
      </c>
      <c r="C896" s="7">
        <v>0.58644675925925926</v>
      </c>
      <c r="D896" s="8">
        <v>0.5978472222222222</v>
      </c>
      <c r="E896">
        <v>1</v>
      </c>
      <c r="G896" s="18">
        <v>8405954</v>
      </c>
      <c r="H896">
        <v>1</v>
      </c>
    </row>
    <row r="897" spans="1:8" x14ac:dyDescent="0.35">
      <c r="A897" s="9">
        <v>18816694</v>
      </c>
      <c r="B897" s="10">
        <v>42929</v>
      </c>
      <c r="C897" s="11">
        <v>0.59179398148148143</v>
      </c>
      <c r="D897" s="12">
        <v>0.60054398148148147</v>
      </c>
      <c r="E897">
        <v>1</v>
      </c>
      <c r="G897" s="18">
        <v>9197309</v>
      </c>
      <c r="H897">
        <v>1</v>
      </c>
    </row>
    <row r="898" spans="1:8" x14ac:dyDescent="0.35">
      <c r="A898" s="5">
        <v>6177366</v>
      </c>
      <c r="B898" s="6">
        <v>42929</v>
      </c>
      <c r="C898" s="7">
        <v>0.59266203703703701</v>
      </c>
      <c r="D898" s="8">
        <v>0.59672453703703698</v>
      </c>
      <c r="E898">
        <v>1</v>
      </c>
      <c r="G898" s="18">
        <v>9866373</v>
      </c>
      <c r="H898">
        <v>1</v>
      </c>
    </row>
    <row r="899" spans="1:8" x14ac:dyDescent="0.35">
      <c r="A899" s="9">
        <v>4221160</v>
      </c>
      <c r="B899" s="10">
        <v>42929</v>
      </c>
      <c r="C899" s="11">
        <v>0.59437499999999999</v>
      </c>
      <c r="D899" s="12">
        <v>0.60349537037037038</v>
      </c>
      <c r="E899">
        <v>1</v>
      </c>
      <c r="G899" s="18">
        <v>9219408</v>
      </c>
      <c r="H899">
        <v>1</v>
      </c>
    </row>
    <row r="900" spans="1:8" x14ac:dyDescent="0.35">
      <c r="A900" s="5">
        <v>9339774</v>
      </c>
      <c r="B900" s="6">
        <v>42929</v>
      </c>
      <c r="C900" s="7">
        <v>0.59745370370370365</v>
      </c>
      <c r="D900" s="8">
        <v>0.607025462962963</v>
      </c>
      <c r="E900">
        <v>1</v>
      </c>
      <c r="G900" s="18">
        <v>9872216</v>
      </c>
      <c r="H900">
        <v>1</v>
      </c>
    </row>
    <row r="901" spans="1:8" x14ac:dyDescent="0.35">
      <c r="A901" s="9">
        <v>46255010</v>
      </c>
      <c r="B901" s="10">
        <v>42929</v>
      </c>
      <c r="C901" s="11">
        <v>0.60008101851851847</v>
      </c>
      <c r="D901" s="12">
        <v>0.60182870370370367</v>
      </c>
      <c r="E901">
        <v>1</v>
      </c>
      <c r="G901" s="18">
        <v>9225043</v>
      </c>
      <c r="H901">
        <v>1</v>
      </c>
    </row>
    <row r="902" spans="1:8" x14ac:dyDescent="0.35">
      <c r="A902" s="5">
        <v>91208799</v>
      </c>
      <c r="B902" s="6">
        <v>42929</v>
      </c>
      <c r="C902" s="7">
        <v>0.60311342592592587</v>
      </c>
      <c r="D902" s="8">
        <v>0.61048611111111106</v>
      </c>
      <c r="E902">
        <v>1</v>
      </c>
      <c r="G902" s="18">
        <v>9878283</v>
      </c>
      <c r="H902">
        <v>1</v>
      </c>
    </row>
    <row r="903" spans="1:8" x14ac:dyDescent="0.35">
      <c r="A903" s="9">
        <v>7211782</v>
      </c>
      <c r="B903" s="10">
        <v>42929</v>
      </c>
      <c r="C903" s="11">
        <v>0.60773148148148148</v>
      </c>
      <c r="D903" s="12">
        <v>0.60799768518518515</v>
      </c>
      <c r="E903">
        <v>1</v>
      </c>
      <c r="G903" s="18">
        <v>8279741</v>
      </c>
      <c r="H903">
        <v>1</v>
      </c>
    </row>
    <row r="904" spans="1:8" x14ac:dyDescent="0.35">
      <c r="A904" s="5">
        <v>3429335</v>
      </c>
      <c r="B904" s="6">
        <v>42929</v>
      </c>
      <c r="C904" s="7">
        <v>0.61346064814814816</v>
      </c>
      <c r="D904" s="8">
        <v>0.62468749999999995</v>
      </c>
      <c r="E904">
        <v>1</v>
      </c>
      <c r="G904" s="18">
        <v>8414788</v>
      </c>
      <c r="H904">
        <v>1</v>
      </c>
    </row>
    <row r="905" spans="1:8" x14ac:dyDescent="0.35">
      <c r="A905" s="9">
        <v>3206241</v>
      </c>
      <c r="B905" s="10">
        <v>42929</v>
      </c>
      <c r="C905" s="11">
        <v>0.61614583333333328</v>
      </c>
      <c r="D905" s="12">
        <v>0.62736111111111115</v>
      </c>
      <c r="E905">
        <v>1</v>
      </c>
      <c r="G905" s="18">
        <v>9254070</v>
      </c>
      <c r="H905">
        <v>1</v>
      </c>
    </row>
    <row r="906" spans="1:8" x14ac:dyDescent="0.35">
      <c r="A906" s="5">
        <v>8750670</v>
      </c>
      <c r="B906" s="6">
        <v>42929</v>
      </c>
      <c r="C906" s="7">
        <v>0.61686342592592591</v>
      </c>
      <c r="D906" s="8">
        <v>0.61760416666666662</v>
      </c>
      <c r="E906">
        <v>1</v>
      </c>
      <c r="G906" s="18">
        <v>9121149</v>
      </c>
      <c r="H906">
        <v>1</v>
      </c>
    </row>
    <row r="907" spans="1:8" x14ac:dyDescent="0.35">
      <c r="A907" s="9">
        <v>7792679</v>
      </c>
      <c r="B907" s="10">
        <v>42929</v>
      </c>
      <c r="C907" s="11">
        <v>0.62046296296296299</v>
      </c>
      <c r="D907" s="12">
        <v>0.62071759259259263</v>
      </c>
      <c r="E907">
        <v>1</v>
      </c>
      <c r="G907" s="18">
        <v>9926754</v>
      </c>
      <c r="H907">
        <v>1</v>
      </c>
    </row>
    <row r="908" spans="1:8" x14ac:dyDescent="0.35">
      <c r="A908" s="5">
        <v>9287211</v>
      </c>
      <c r="B908" s="6">
        <v>42929</v>
      </c>
      <c r="C908" s="7">
        <v>0.62178240740740742</v>
      </c>
      <c r="D908" s="8">
        <v>0.62540509259259258</v>
      </c>
      <c r="E908">
        <v>1</v>
      </c>
      <c r="G908" s="18">
        <v>9132555</v>
      </c>
      <c r="H908">
        <v>1</v>
      </c>
    </row>
    <row r="909" spans="1:8" x14ac:dyDescent="0.35">
      <c r="A909" s="9">
        <v>1997542</v>
      </c>
      <c r="B909" s="10">
        <v>42929</v>
      </c>
      <c r="C909" s="11">
        <v>0.62749999999999995</v>
      </c>
      <c r="D909" s="12">
        <v>0.63146990740740738</v>
      </c>
      <c r="E909">
        <v>1</v>
      </c>
      <c r="G909" s="18">
        <v>9937257</v>
      </c>
      <c r="H909">
        <v>1</v>
      </c>
    </row>
    <row r="910" spans="1:8" x14ac:dyDescent="0.35">
      <c r="A910" s="5">
        <v>3558582</v>
      </c>
      <c r="B910" s="6">
        <v>42930</v>
      </c>
      <c r="C910" s="7">
        <v>0.33658564814814818</v>
      </c>
      <c r="D910" s="8">
        <v>0.34384259259259259</v>
      </c>
      <c r="E910">
        <v>1</v>
      </c>
      <c r="G910" s="18">
        <v>9137235</v>
      </c>
      <c r="H910">
        <v>1</v>
      </c>
    </row>
    <row r="911" spans="1:8" x14ac:dyDescent="0.35">
      <c r="A911" s="9">
        <v>25240352</v>
      </c>
      <c r="B911" s="10">
        <v>42930</v>
      </c>
      <c r="C911" s="11">
        <v>0.3369212962962963</v>
      </c>
      <c r="D911" s="12">
        <v>0.34468749999999998</v>
      </c>
      <c r="E911">
        <v>1</v>
      </c>
      <c r="G911" s="18">
        <v>9948096</v>
      </c>
      <c r="H911">
        <v>1</v>
      </c>
    </row>
    <row r="912" spans="1:8" x14ac:dyDescent="0.35">
      <c r="A912" s="5">
        <v>5829504</v>
      </c>
      <c r="B912" s="6">
        <v>42930</v>
      </c>
      <c r="C912" s="7">
        <v>0.33802083333333333</v>
      </c>
      <c r="D912" s="8">
        <v>0.34233796296296298</v>
      </c>
      <c r="E912">
        <v>1</v>
      </c>
      <c r="G912" s="18">
        <v>9147613</v>
      </c>
      <c r="H912">
        <v>1</v>
      </c>
    </row>
    <row r="913" spans="1:8" x14ac:dyDescent="0.35">
      <c r="A913" s="9">
        <v>97317489</v>
      </c>
      <c r="B913" s="10">
        <v>42930</v>
      </c>
      <c r="C913" s="11">
        <v>0.34062500000000001</v>
      </c>
      <c r="D913" s="12">
        <v>0.34333333333333332</v>
      </c>
      <c r="E913">
        <v>1</v>
      </c>
      <c r="G913" s="18">
        <v>9953379</v>
      </c>
      <c r="H913">
        <v>1</v>
      </c>
    </row>
    <row r="914" spans="1:8" x14ac:dyDescent="0.35">
      <c r="A914" s="5">
        <v>53762222</v>
      </c>
      <c r="B914" s="6">
        <v>42930</v>
      </c>
      <c r="C914" s="7">
        <v>0.34262731481481479</v>
      </c>
      <c r="D914" s="8">
        <v>0.34824074074074074</v>
      </c>
      <c r="E914">
        <v>1</v>
      </c>
      <c r="G914" s="18">
        <v>9156106</v>
      </c>
      <c r="H914">
        <v>1</v>
      </c>
    </row>
    <row r="915" spans="1:8" x14ac:dyDescent="0.35">
      <c r="A915" s="9">
        <v>3363840</v>
      </c>
      <c r="B915" s="10">
        <v>42930</v>
      </c>
      <c r="C915" s="11">
        <v>0.34431712962962963</v>
      </c>
      <c r="D915" s="12">
        <v>0.34605324074074073</v>
      </c>
      <c r="E915">
        <v>1</v>
      </c>
      <c r="G915" s="18">
        <v>9967649</v>
      </c>
      <c r="H915">
        <v>1</v>
      </c>
    </row>
    <row r="916" spans="1:8" x14ac:dyDescent="0.35">
      <c r="A916" s="5">
        <v>5542324</v>
      </c>
      <c r="B916" s="6">
        <v>42930</v>
      </c>
      <c r="C916" s="7">
        <v>0.34528935185185183</v>
      </c>
      <c r="D916" s="8">
        <v>0.3541435185185185</v>
      </c>
      <c r="E916">
        <v>1</v>
      </c>
      <c r="G916" s="18">
        <v>9171025</v>
      </c>
      <c r="H916">
        <v>1</v>
      </c>
    </row>
    <row r="917" spans="1:8" x14ac:dyDescent="0.35">
      <c r="A917" s="9">
        <v>9853612</v>
      </c>
      <c r="B917" s="10">
        <v>42930</v>
      </c>
      <c r="C917" s="11">
        <v>0.34848379629629628</v>
      </c>
      <c r="D917" s="12">
        <v>0.35927083333333332</v>
      </c>
      <c r="E917">
        <v>1</v>
      </c>
      <c r="G917" s="18">
        <v>9975977</v>
      </c>
      <c r="H917">
        <v>1</v>
      </c>
    </row>
    <row r="918" spans="1:8" x14ac:dyDescent="0.35">
      <c r="A918" s="5">
        <v>5392799</v>
      </c>
      <c r="B918" s="6">
        <v>42930</v>
      </c>
      <c r="C918" s="7">
        <v>0.35270833333333335</v>
      </c>
      <c r="D918" s="8">
        <v>0.36254629629629631</v>
      </c>
      <c r="E918">
        <v>1</v>
      </c>
      <c r="G918" s="18">
        <v>9175377</v>
      </c>
      <c r="H918">
        <v>1</v>
      </c>
    </row>
    <row r="919" spans="1:8" x14ac:dyDescent="0.35">
      <c r="A919" s="9">
        <v>1089768</v>
      </c>
      <c r="B919" s="10">
        <v>42930</v>
      </c>
      <c r="C919" s="11">
        <v>0.35497685185185185</v>
      </c>
      <c r="D919" s="12">
        <v>0.36493055555555554</v>
      </c>
      <c r="E919">
        <v>1</v>
      </c>
      <c r="G919" s="18">
        <v>8177683</v>
      </c>
      <c r="H919">
        <v>1</v>
      </c>
    </row>
    <row r="920" spans="1:8" x14ac:dyDescent="0.35">
      <c r="A920" s="5">
        <v>4274311</v>
      </c>
      <c r="B920" s="6">
        <v>42930</v>
      </c>
      <c r="C920" s="7">
        <v>0.35699074074074072</v>
      </c>
      <c r="D920" s="8">
        <v>0.36554398148148148</v>
      </c>
      <c r="E920">
        <v>1</v>
      </c>
      <c r="G920" s="18">
        <v>9176754</v>
      </c>
      <c r="H920">
        <v>1</v>
      </c>
    </row>
    <row r="921" spans="1:8" x14ac:dyDescent="0.35">
      <c r="A921" s="9">
        <v>8276893</v>
      </c>
      <c r="B921" s="10">
        <v>42930</v>
      </c>
      <c r="C921" s="11">
        <v>0.36056712962962961</v>
      </c>
      <c r="D921" s="12">
        <v>0.36929398148148146</v>
      </c>
      <c r="E921">
        <v>1</v>
      </c>
      <c r="G921" s="18">
        <v>7507831</v>
      </c>
      <c r="H921">
        <v>1</v>
      </c>
    </row>
    <row r="922" spans="1:8" x14ac:dyDescent="0.35">
      <c r="A922" s="5">
        <v>24724114</v>
      </c>
      <c r="B922" s="6">
        <v>42930</v>
      </c>
      <c r="C922" s="7">
        <v>0.36212962962962963</v>
      </c>
      <c r="D922" s="8">
        <v>0.36342592592592593</v>
      </c>
      <c r="E922">
        <v>1</v>
      </c>
      <c r="G922" s="18">
        <v>7973319</v>
      </c>
      <c r="H922">
        <v>1</v>
      </c>
    </row>
    <row r="923" spans="1:8" x14ac:dyDescent="0.35">
      <c r="A923" s="9">
        <v>23580194</v>
      </c>
      <c r="B923" s="10">
        <v>42930</v>
      </c>
      <c r="C923" s="11">
        <v>0.36516203703703703</v>
      </c>
      <c r="D923" s="12">
        <v>0.37596064814814817</v>
      </c>
      <c r="E923">
        <v>1</v>
      </c>
      <c r="G923" s="18">
        <v>7763451</v>
      </c>
      <c r="H923">
        <v>1</v>
      </c>
    </row>
    <row r="924" spans="1:8" x14ac:dyDescent="0.35">
      <c r="A924" s="5">
        <v>1775131</v>
      </c>
      <c r="B924" s="6">
        <v>42930</v>
      </c>
      <c r="C924" s="7">
        <v>0.36922453703703706</v>
      </c>
      <c r="D924" s="8">
        <v>0.36994212962962963</v>
      </c>
      <c r="E924">
        <v>1</v>
      </c>
      <c r="G924" s="18">
        <v>6386788</v>
      </c>
      <c r="H924">
        <v>1</v>
      </c>
    </row>
    <row r="925" spans="1:8" x14ac:dyDescent="0.35">
      <c r="A925" s="9">
        <v>8001915</v>
      </c>
      <c r="B925" s="10">
        <v>42930</v>
      </c>
      <c r="C925" s="11">
        <v>0.3712037037037037</v>
      </c>
      <c r="D925" s="12">
        <v>0.38064814814814812</v>
      </c>
      <c r="E925">
        <v>1</v>
      </c>
      <c r="G925" s="18">
        <v>7396921</v>
      </c>
      <c r="H925">
        <v>1</v>
      </c>
    </row>
    <row r="926" spans="1:8" x14ac:dyDescent="0.35">
      <c r="A926" s="5">
        <v>7508054</v>
      </c>
      <c r="B926" s="6">
        <v>42930</v>
      </c>
      <c r="C926" s="7">
        <v>0.37480324074074073</v>
      </c>
      <c r="D926" s="8">
        <v>0.38201388888888888</v>
      </c>
      <c r="E926">
        <v>1</v>
      </c>
      <c r="G926" s="18">
        <v>6616163</v>
      </c>
      <c r="H926">
        <v>1</v>
      </c>
    </row>
    <row r="927" spans="1:8" x14ac:dyDescent="0.35">
      <c r="A927" s="9">
        <v>5854377</v>
      </c>
      <c r="B927" s="10">
        <v>42930</v>
      </c>
      <c r="C927" s="11">
        <v>0.37506944444444446</v>
      </c>
      <c r="D927" s="12">
        <v>0.37829861111111113</v>
      </c>
      <c r="E927">
        <v>1</v>
      </c>
      <c r="G927" s="18">
        <v>7627829</v>
      </c>
      <c r="H927">
        <v>1</v>
      </c>
    </row>
    <row r="928" spans="1:8" x14ac:dyDescent="0.35">
      <c r="A928" s="5">
        <v>3478173</v>
      </c>
      <c r="B928" s="6">
        <v>42930</v>
      </c>
      <c r="C928" s="7">
        <v>0.37942129629629628</v>
      </c>
      <c r="D928" s="8">
        <v>0.38388888888888889</v>
      </c>
      <c r="E928">
        <v>1</v>
      </c>
      <c r="G928" s="18">
        <v>6642574</v>
      </c>
      <c r="H928">
        <v>1</v>
      </c>
    </row>
    <row r="929" spans="1:8" x14ac:dyDescent="0.35">
      <c r="A929" s="9">
        <v>3999937</v>
      </c>
      <c r="B929" s="10">
        <v>42930</v>
      </c>
      <c r="C929" s="11">
        <v>0.38447916666666665</v>
      </c>
      <c r="D929" s="12">
        <v>0.39068287037037036</v>
      </c>
      <c r="E929">
        <v>1</v>
      </c>
      <c r="G929" s="18">
        <v>7865428</v>
      </c>
      <c r="H929">
        <v>1</v>
      </c>
    </row>
    <row r="930" spans="1:8" x14ac:dyDescent="0.35">
      <c r="A930" s="5">
        <v>83559673</v>
      </c>
      <c r="B930" s="6">
        <v>42930</v>
      </c>
      <c r="C930" s="7">
        <v>0.38571759259259258</v>
      </c>
      <c r="D930" s="8">
        <v>0.39630787037037035</v>
      </c>
      <c r="E930">
        <v>1</v>
      </c>
      <c r="G930" s="18">
        <v>6367284</v>
      </c>
      <c r="H930">
        <v>1</v>
      </c>
    </row>
    <row r="931" spans="1:8" x14ac:dyDescent="0.35">
      <c r="A931" s="9">
        <v>1355775</v>
      </c>
      <c r="B931" s="10">
        <v>42930</v>
      </c>
      <c r="C931" s="11">
        <v>0.38942129629629629</v>
      </c>
      <c r="D931" s="12">
        <v>0.39034722222222223</v>
      </c>
      <c r="E931">
        <v>1</v>
      </c>
      <c r="G931" s="18">
        <v>8056387</v>
      </c>
      <c r="H931">
        <v>1</v>
      </c>
    </row>
    <row r="932" spans="1:8" x14ac:dyDescent="0.35">
      <c r="A932" s="5">
        <v>3463982286</v>
      </c>
      <c r="B932" s="6">
        <v>42930</v>
      </c>
      <c r="C932" s="7">
        <v>0.39506944444444442</v>
      </c>
      <c r="D932" s="8">
        <v>0.40261574074074075</v>
      </c>
      <c r="E932">
        <v>1</v>
      </c>
      <c r="G932" s="18">
        <v>6663334</v>
      </c>
      <c r="H932">
        <v>1</v>
      </c>
    </row>
    <row r="933" spans="1:8" x14ac:dyDescent="0.35">
      <c r="A933" s="9">
        <v>8870498</v>
      </c>
      <c r="B933" s="10">
        <v>42930</v>
      </c>
      <c r="C933" s="11">
        <v>0.4001736111111111</v>
      </c>
      <c r="D933" s="12">
        <v>0.40182870370370372</v>
      </c>
      <c r="E933">
        <v>1</v>
      </c>
      <c r="G933" s="18">
        <v>7457716</v>
      </c>
      <c r="H933">
        <v>1</v>
      </c>
    </row>
    <row r="934" spans="1:8" x14ac:dyDescent="0.35">
      <c r="A934" s="5">
        <v>9894998</v>
      </c>
      <c r="B934" s="6">
        <v>42930</v>
      </c>
      <c r="C934" s="7">
        <v>0.40337962962962964</v>
      </c>
      <c r="D934" s="8">
        <v>0.41137731481481482</v>
      </c>
      <c r="E934">
        <v>1</v>
      </c>
      <c r="G934" s="18">
        <v>6374704</v>
      </c>
      <c r="H934">
        <v>1</v>
      </c>
    </row>
    <row r="935" spans="1:8" x14ac:dyDescent="0.35">
      <c r="A935" s="9">
        <v>8841955</v>
      </c>
      <c r="B935" s="10">
        <v>42930</v>
      </c>
      <c r="C935" s="11">
        <v>0.40635416666666668</v>
      </c>
      <c r="D935" s="12">
        <v>0.40642361111111114</v>
      </c>
      <c r="E935">
        <v>1</v>
      </c>
      <c r="G935" s="18">
        <v>7571642</v>
      </c>
      <c r="H935">
        <v>1</v>
      </c>
    </row>
    <row r="936" spans="1:8" x14ac:dyDescent="0.35">
      <c r="A936" s="5">
        <v>7379567</v>
      </c>
      <c r="B936" s="6">
        <v>42930</v>
      </c>
      <c r="C936" s="7">
        <v>0.4098148148148148</v>
      </c>
      <c r="D936" s="8">
        <v>0.41626157407407405</v>
      </c>
      <c r="E936">
        <v>1</v>
      </c>
      <c r="G936" s="18">
        <v>6333341</v>
      </c>
      <c r="H936">
        <v>1</v>
      </c>
    </row>
    <row r="937" spans="1:8" x14ac:dyDescent="0.35">
      <c r="A937" s="9">
        <v>2092198</v>
      </c>
      <c r="B937" s="10">
        <v>42930</v>
      </c>
      <c r="C937" s="11">
        <v>0.41068287037037038</v>
      </c>
      <c r="D937" s="12">
        <v>0.41288194444444443</v>
      </c>
      <c r="E937">
        <v>1</v>
      </c>
      <c r="G937" s="18">
        <v>7718350</v>
      </c>
      <c r="H937">
        <v>1</v>
      </c>
    </row>
    <row r="938" spans="1:8" x14ac:dyDescent="0.35">
      <c r="A938" s="5">
        <v>6006309</v>
      </c>
      <c r="B938" s="6">
        <v>42930</v>
      </c>
      <c r="C938" s="7">
        <v>0.41601851851851851</v>
      </c>
      <c r="D938" s="8">
        <v>0.41792824074074075</v>
      </c>
      <c r="E938">
        <v>1</v>
      </c>
      <c r="G938" s="18">
        <v>6694568</v>
      </c>
      <c r="H938">
        <v>1</v>
      </c>
    </row>
    <row r="939" spans="1:8" x14ac:dyDescent="0.35">
      <c r="A939" s="9">
        <v>6736331</v>
      </c>
      <c r="B939" s="10">
        <v>42930</v>
      </c>
      <c r="C939" s="11">
        <v>0.41616898148148146</v>
      </c>
      <c r="D939" s="12">
        <v>0.42019675925925926</v>
      </c>
      <c r="E939">
        <v>1</v>
      </c>
      <c r="G939" s="18">
        <v>7792980</v>
      </c>
      <c r="H939">
        <v>1</v>
      </c>
    </row>
    <row r="940" spans="1:8" x14ac:dyDescent="0.35">
      <c r="A940" s="5">
        <v>7291318</v>
      </c>
      <c r="B940" s="6">
        <v>42930</v>
      </c>
      <c r="C940" s="7">
        <v>0.41781249999999998</v>
      </c>
      <c r="D940" s="8">
        <v>0.42886574074074074</v>
      </c>
      <c r="E940">
        <v>1</v>
      </c>
      <c r="G940" s="18">
        <v>6703754</v>
      </c>
      <c r="H940">
        <v>1</v>
      </c>
    </row>
    <row r="941" spans="1:8" x14ac:dyDescent="0.35">
      <c r="A941" s="9">
        <v>30178521</v>
      </c>
      <c r="B941" s="10">
        <v>42930</v>
      </c>
      <c r="C941" s="11">
        <v>0.42238425925925926</v>
      </c>
      <c r="D941" s="12">
        <v>0.42388888888888887</v>
      </c>
      <c r="E941">
        <v>1</v>
      </c>
      <c r="G941" s="18">
        <v>7904403</v>
      </c>
      <c r="H941">
        <v>1</v>
      </c>
    </row>
    <row r="942" spans="1:8" x14ac:dyDescent="0.35">
      <c r="A942" s="5">
        <v>3232376</v>
      </c>
      <c r="B942" s="6">
        <v>42930</v>
      </c>
      <c r="C942" s="7">
        <v>0.42584490740740738</v>
      </c>
      <c r="D942" s="8">
        <v>0.43512731481481481</v>
      </c>
      <c r="E942">
        <v>1</v>
      </c>
      <c r="G942" s="18">
        <v>6420583</v>
      </c>
      <c r="H942">
        <v>1</v>
      </c>
    </row>
    <row r="943" spans="1:8" x14ac:dyDescent="0.35">
      <c r="A943" s="9">
        <v>7536048937</v>
      </c>
      <c r="B943" s="10">
        <v>42930</v>
      </c>
      <c r="C943" s="11">
        <v>0.43115740740740743</v>
      </c>
      <c r="D943" s="12">
        <v>0.43990740740740741</v>
      </c>
      <c r="E943">
        <v>1</v>
      </c>
      <c r="G943" s="18">
        <v>7994769</v>
      </c>
      <c r="H943">
        <v>1</v>
      </c>
    </row>
    <row r="944" spans="1:8" x14ac:dyDescent="0.35">
      <c r="A944" s="5">
        <v>6026397</v>
      </c>
      <c r="B944" s="6">
        <v>42930</v>
      </c>
      <c r="C944" s="7">
        <v>0.43362268518518521</v>
      </c>
      <c r="D944" s="8">
        <v>0.44447916666666665</v>
      </c>
      <c r="E944">
        <v>1</v>
      </c>
      <c r="G944" s="18">
        <v>6712006</v>
      </c>
      <c r="H944">
        <v>1</v>
      </c>
    </row>
    <row r="945" spans="1:8" x14ac:dyDescent="0.35">
      <c r="A945" s="9">
        <v>54821549</v>
      </c>
      <c r="B945" s="10">
        <v>42930</v>
      </c>
      <c r="C945" s="11">
        <v>0.43517361111111114</v>
      </c>
      <c r="D945" s="12">
        <v>0.4466087962962963</v>
      </c>
      <c r="E945">
        <v>1</v>
      </c>
      <c r="G945" s="18">
        <v>8133585</v>
      </c>
      <c r="H945">
        <v>1</v>
      </c>
    </row>
    <row r="946" spans="1:8" x14ac:dyDescent="0.35">
      <c r="A946" s="5">
        <v>4555937</v>
      </c>
      <c r="B946" s="6">
        <v>42930</v>
      </c>
      <c r="C946" s="7">
        <v>0.43956018518518519</v>
      </c>
      <c r="D946" s="8">
        <v>0.44253472222222223</v>
      </c>
      <c r="E946">
        <v>1</v>
      </c>
      <c r="G946" s="18">
        <v>6716140</v>
      </c>
      <c r="H946">
        <v>1</v>
      </c>
    </row>
    <row r="947" spans="1:8" x14ac:dyDescent="0.35">
      <c r="A947" s="9">
        <v>65621292</v>
      </c>
      <c r="B947" s="10">
        <v>42930</v>
      </c>
      <c r="C947" s="11">
        <v>0.44060185185185186</v>
      </c>
      <c r="D947" s="12">
        <v>0.44655092592592593</v>
      </c>
      <c r="E947">
        <v>1</v>
      </c>
      <c r="G947" s="18">
        <v>6510330</v>
      </c>
      <c r="H947">
        <v>1</v>
      </c>
    </row>
    <row r="948" spans="1:8" x14ac:dyDescent="0.35">
      <c r="A948" s="5">
        <v>13898038</v>
      </c>
      <c r="B948" s="6">
        <v>42930</v>
      </c>
      <c r="C948" s="7">
        <v>0.44072916666666667</v>
      </c>
      <c r="D948" s="8">
        <v>0.4496412037037037</v>
      </c>
      <c r="E948">
        <v>1</v>
      </c>
      <c r="G948" s="18">
        <v>6426011</v>
      </c>
      <c r="H948">
        <v>1</v>
      </c>
    </row>
    <row r="949" spans="1:8" x14ac:dyDescent="0.35">
      <c r="A949" s="9">
        <v>6018613</v>
      </c>
      <c r="B949" s="10">
        <v>42930</v>
      </c>
      <c r="C949" s="11">
        <v>0.44295138888888891</v>
      </c>
      <c r="D949" s="12">
        <v>0.44545138888888891</v>
      </c>
      <c r="E949">
        <v>1</v>
      </c>
      <c r="G949" s="18">
        <v>6516512</v>
      </c>
      <c r="H949">
        <v>1</v>
      </c>
    </row>
    <row r="950" spans="1:8" x14ac:dyDescent="0.35">
      <c r="A950" s="5">
        <v>7741751</v>
      </c>
      <c r="B950" s="6">
        <v>42930</v>
      </c>
      <c r="C950" s="7">
        <v>0.4450925925925926</v>
      </c>
      <c r="D950" s="8">
        <v>0.44888888888888889</v>
      </c>
      <c r="E950">
        <v>1</v>
      </c>
      <c r="G950" s="18">
        <v>6426246</v>
      </c>
      <c r="H950">
        <v>1</v>
      </c>
    </row>
    <row r="951" spans="1:8" x14ac:dyDescent="0.35">
      <c r="A951" s="9">
        <v>5512492</v>
      </c>
      <c r="B951" s="10">
        <v>42930</v>
      </c>
      <c r="C951" s="11">
        <v>0.44538194444444446</v>
      </c>
      <c r="D951" s="12">
        <v>0.4525925925925926</v>
      </c>
      <c r="E951">
        <v>1</v>
      </c>
      <c r="G951" s="18">
        <v>7518300</v>
      </c>
      <c r="H951">
        <v>1</v>
      </c>
    </row>
    <row r="952" spans="1:8" x14ac:dyDescent="0.35">
      <c r="A952" s="5">
        <v>36332723</v>
      </c>
      <c r="B952" s="6">
        <v>42930</v>
      </c>
      <c r="C952" s="7">
        <v>0.44593749999999999</v>
      </c>
      <c r="D952" s="8">
        <v>0.44957175925925924</v>
      </c>
      <c r="E952">
        <v>1</v>
      </c>
      <c r="G952" s="18">
        <v>6725216</v>
      </c>
      <c r="H952">
        <v>1</v>
      </c>
    </row>
    <row r="953" spans="1:8" x14ac:dyDescent="0.35">
      <c r="A953" s="9">
        <v>28961250</v>
      </c>
      <c r="B953" s="10">
        <v>42930</v>
      </c>
      <c r="C953" s="11">
        <v>0.4478935185185185</v>
      </c>
      <c r="D953" s="12">
        <v>0.44805555555555554</v>
      </c>
      <c r="E953">
        <v>1</v>
      </c>
      <c r="G953" s="18">
        <v>7599611</v>
      </c>
      <c r="H953">
        <v>1</v>
      </c>
    </row>
    <row r="954" spans="1:8" x14ac:dyDescent="0.35">
      <c r="A954" s="5">
        <v>96191858</v>
      </c>
      <c r="B954" s="6">
        <v>42930</v>
      </c>
      <c r="C954" s="7">
        <v>0.44916666666666666</v>
      </c>
      <c r="D954" s="8">
        <v>0.46023148148148146</v>
      </c>
      <c r="E954">
        <v>1</v>
      </c>
      <c r="G954" s="18">
        <v>6729705</v>
      </c>
      <c r="H954">
        <v>1</v>
      </c>
    </row>
    <row r="955" spans="1:8" x14ac:dyDescent="0.35">
      <c r="A955" s="9">
        <v>49342013</v>
      </c>
      <c r="B955" s="10">
        <v>42930</v>
      </c>
      <c r="C955" s="11">
        <v>0.45233796296296297</v>
      </c>
      <c r="D955" s="12">
        <v>0.45649305555555558</v>
      </c>
      <c r="E955">
        <v>1</v>
      </c>
      <c r="G955" s="18">
        <v>7677384</v>
      </c>
      <c r="H955">
        <v>1</v>
      </c>
    </row>
    <row r="956" spans="1:8" x14ac:dyDescent="0.35">
      <c r="A956" s="5">
        <v>2329556</v>
      </c>
      <c r="B956" s="6">
        <v>42930</v>
      </c>
      <c r="C956" s="7">
        <v>0.45667824074074076</v>
      </c>
      <c r="D956" s="8">
        <v>0.45679398148148148</v>
      </c>
      <c r="E956">
        <v>1</v>
      </c>
      <c r="G956" s="18">
        <v>6730442</v>
      </c>
      <c r="H956">
        <v>1</v>
      </c>
    </row>
    <row r="957" spans="1:8" x14ac:dyDescent="0.35">
      <c r="A957" s="9">
        <v>2969264</v>
      </c>
      <c r="B957" s="10">
        <v>42930</v>
      </c>
      <c r="C957" s="11">
        <v>0.45930555555555558</v>
      </c>
      <c r="D957" s="12">
        <v>0.4634375</v>
      </c>
      <c r="E957">
        <v>1</v>
      </c>
      <c r="G957" s="18">
        <v>7743548</v>
      </c>
      <c r="H957">
        <v>1</v>
      </c>
    </row>
    <row r="958" spans="1:8" x14ac:dyDescent="0.35">
      <c r="A958" s="5">
        <v>8498683</v>
      </c>
      <c r="B958" s="6">
        <v>42930</v>
      </c>
      <c r="C958" s="7">
        <v>0.45950231481481479</v>
      </c>
      <c r="D958" s="8">
        <v>0.46177083333333335</v>
      </c>
      <c r="E958">
        <v>1</v>
      </c>
      <c r="G958" s="18">
        <v>6434255</v>
      </c>
      <c r="H958">
        <v>1</v>
      </c>
    </row>
    <row r="959" spans="1:8" x14ac:dyDescent="0.35">
      <c r="A959" s="9">
        <v>2341441</v>
      </c>
      <c r="B959" s="10">
        <v>42930</v>
      </c>
      <c r="C959" s="11">
        <v>0.46333333333333332</v>
      </c>
      <c r="D959" s="12">
        <v>0.46409722222222222</v>
      </c>
      <c r="E959">
        <v>1</v>
      </c>
      <c r="G959" s="18">
        <v>7773546</v>
      </c>
      <c r="H959">
        <v>1</v>
      </c>
    </row>
    <row r="960" spans="1:8" x14ac:dyDescent="0.35">
      <c r="A960" s="5">
        <v>30270334</v>
      </c>
      <c r="B960" s="6">
        <v>42930</v>
      </c>
      <c r="C960" s="7">
        <v>0.46587962962962964</v>
      </c>
      <c r="D960" s="8">
        <v>0.46755787037037039</v>
      </c>
      <c r="E960">
        <v>1</v>
      </c>
      <c r="G960" s="18">
        <v>6736331</v>
      </c>
      <c r="H960">
        <v>1</v>
      </c>
    </row>
    <row r="961" spans="1:8" x14ac:dyDescent="0.35">
      <c r="A961" s="9">
        <v>4657345</v>
      </c>
      <c r="B961" s="10">
        <v>42930</v>
      </c>
      <c r="C961" s="11">
        <v>0.46988425925925925</v>
      </c>
      <c r="D961" s="12">
        <v>0.47721064814814818</v>
      </c>
      <c r="E961">
        <v>1</v>
      </c>
      <c r="G961" s="18">
        <v>7836418</v>
      </c>
      <c r="H961">
        <v>1</v>
      </c>
    </row>
    <row r="962" spans="1:8" x14ac:dyDescent="0.35">
      <c r="A962" s="5">
        <v>2145244</v>
      </c>
      <c r="B962" s="6">
        <v>42930</v>
      </c>
      <c r="C962" s="7">
        <v>0.47028935185185183</v>
      </c>
      <c r="D962" s="8">
        <v>0.47052083333333333</v>
      </c>
      <c r="E962">
        <v>1</v>
      </c>
      <c r="G962" s="18">
        <v>6439414</v>
      </c>
      <c r="H962">
        <v>1</v>
      </c>
    </row>
    <row r="963" spans="1:8" x14ac:dyDescent="0.35">
      <c r="A963" s="9">
        <v>7627829</v>
      </c>
      <c r="B963" s="10">
        <v>42930</v>
      </c>
      <c r="C963" s="11">
        <v>0.4742824074074074</v>
      </c>
      <c r="D963" s="12">
        <v>0.48538194444444444</v>
      </c>
      <c r="E963">
        <v>1</v>
      </c>
      <c r="G963" s="18">
        <v>7880585</v>
      </c>
      <c r="H963">
        <v>1</v>
      </c>
    </row>
    <row r="964" spans="1:8" x14ac:dyDescent="0.35">
      <c r="A964" s="5">
        <v>9182658</v>
      </c>
      <c r="B964" s="6">
        <v>42930</v>
      </c>
      <c r="C964" s="7">
        <v>0.47594907407407405</v>
      </c>
      <c r="D964" s="8">
        <v>0.47641203703703705</v>
      </c>
      <c r="E964">
        <v>1</v>
      </c>
      <c r="G964" s="18">
        <v>6746757</v>
      </c>
      <c r="H964">
        <v>1</v>
      </c>
    </row>
    <row r="965" spans="1:8" x14ac:dyDescent="0.35">
      <c r="A965" s="9">
        <v>4191600</v>
      </c>
      <c r="B965" s="10">
        <v>42930</v>
      </c>
      <c r="C965" s="11">
        <v>0.47799768518518521</v>
      </c>
      <c r="D965" s="12">
        <v>0.47905092592592591</v>
      </c>
      <c r="E965">
        <v>1</v>
      </c>
      <c r="G965" s="18">
        <v>7933399</v>
      </c>
      <c r="H965">
        <v>1</v>
      </c>
    </row>
    <row r="966" spans="1:8" x14ac:dyDescent="0.35">
      <c r="A966" s="5">
        <v>5492379</v>
      </c>
      <c r="B966" s="6">
        <v>42930</v>
      </c>
      <c r="C966" s="7">
        <v>0.47825231481481484</v>
      </c>
      <c r="D966" s="8">
        <v>0.48502314814814818</v>
      </c>
      <c r="E966">
        <v>1</v>
      </c>
      <c r="G966" s="18">
        <v>6763741</v>
      </c>
      <c r="H966">
        <v>1</v>
      </c>
    </row>
    <row r="967" spans="1:8" x14ac:dyDescent="0.35">
      <c r="A967" s="9">
        <v>2861766</v>
      </c>
      <c r="B967" s="10">
        <v>42930</v>
      </c>
      <c r="C967" s="11">
        <v>0.48138888888888887</v>
      </c>
      <c r="D967" s="12">
        <v>0.48574074074074075</v>
      </c>
      <c r="E967">
        <v>1</v>
      </c>
      <c r="G967" s="18">
        <v>7979313</v>
      </c>
      <c r="H967">
        <v>1</v>
      </c>
    </row>
    <row r="968" spans="1:8" x14ac:dyDescent="0.35">
      <c r="A968" s="5">
        <v>1309359</v>
      </c>
      <c r="B968" s="6">
        <v>42930</v>
      </c>
      <c r="C968" s="7">
        <v>0.48422453703703705</v>
      </c>
      <c r="D968" s="8">
        <v>0.48562499999999997</v>
      </c>
      <c r="E968">
        <v>1</v>
      </c>
      <c r="G968" s="18">
        <v>6766881</v>
      </c>
      <c r="H968">
        <v>1</v>
      </c>
    </row>
    <row r="969" spans="1:8" x14ac:dyDescent="0.35">
      <c r="A969" s="9">
        <v>5272270</v>
      </c>
      <c r="B969" s="10">
        <v>42930</v>
      </c>
      <c r="C969" s="11">
        <v>0.48579861111111111</v>
      </c>
      <c r="D969" s="12">
        <v>0.49395833333333333</v>
      </c>
      <c r="E969">
        <v>1</v>
      </c>
      <c r="G969" s="18">
        <v>8026912</v>
      </c>
      <c r="H969">
        <v>1</v>
      </c>
    </row>
    <row r="970" spans="1:8" x14ac:dyDescent="0.35">
      <c r="A970" s="5">
        <v>9266643</v>
      </c>
      <c r="B970" s="6">
        <v>42930</v>
      </c>
      <c r="C970" s="7">
        <v>0.48832175925925925</v>
      </c>
      <c r="D970" s="8">
        <v>0.49005787037037035</v>
      </c>
      <c r="E970">
        <v>1</v>
      </c>
      <c r="G970" s="18">
        <v>6333547</v>
      </c>
      <c r="H970">
        <v>1</v>
      </c>
    </row>
    <row r="971" spans="1:8" x14ac:dyDescent="0.35">
      <c r="A971" s="9">
        <v>3460208</v>
      </c>
      <c r="B971" s="10">
        <v>42930</v>
      </c>
      <c r="C971" s="11">
        <v>0.49302083333333335</v>
      </c>
      <c r="D971" s="12">
        <v>0.50244212962962964</v>
      </c>
      <c r="E971">
        <v>1</v>
      </c>
      <c r="G971" s="18">
        <v>8077806</v>
      </c>
      <c r="H971">
        <v>1</v>
      </c>
    </row>
    <row r="972" spans="1:8" x14ac:dyDescent="0.35">
      <c r="A972" s="5">
        <v>25545000</v>
      </c>
      <c r="B972" s="6">
        <v>42930</v>
      </c>
      <c r="C972" s="7">
        <v>0.4959722222222222</v>
      </c>
      <c r="D972" s="8">
        <v>0.50451388888888893</v>
      </c>
      <c r="E972">
        <v>1</v>
      </c>
      <c r="G972" s="18">
        <v>6785899</v>
      </c>
      <c r="H972">
        <v>1</v>
      </c>
    </row>
    <row r="973" spans="1:8" x14ac:dyDescent="0.35">
      <c r="A973" s="9">
        <v>1207918</v>
      </c>
      <c r="B973" s="10">
        <v>42930</v>
      </c>
      <c r="C973" s="11">
        <v>0.50126157407407412</v>
      </c>
      <c r="D973" s="12">
        <v>0.51184027777777774</v>
      </c>
      <c r="E973">
        <v>1</v>
      </c>
      <c r="G973" s="18">
        <v>8156713</v>
      </c>
      <c r="H973">
        <v>1</v>
      </c>
    </row>
    <row r="974" spans="1:8" x14ac:dyDescent="0.35">
      <c r="A974" s="5">
        <v>4471828</v>
      </c>
      <c r="B974" s="6">
        <v>42930</v>
      </c>
      <c r="C974" s="7">
        <v>0.50378472222222226</v>
      </c>
      <c r="D974" s="8">
        <v>0.51043981481481482</v>
      </c>
      <c r="E974">
        <v>1</v>
      </c>
      <c r="G974" s="18">
        <v>6786847</v>
      </c>
      <c r="H974">
        <v>1</v>
      </c>
    </row>
    <row r="975" spans="1:8" x14ac:dyDescent="0.35">
      <c r="A975" s="9">
        <v>6516836</v>
      </c>
      <c r="B975" s="10">
        <v>42930</v>
      </c>
      <c r="C975" s="11">
        <v>0.50812500000000005</v>
      </c>
      <c r="D975" s="12">
        <v>0.50862268518518516</v>
      </c>
      <c r="E975">
        <v>1</v>
      </c>
      <c r="G975" s="18">
        <v>7421094</v>
      </c>
      <c r="H975">
        <v>1</v>
      </c>
    </row>
    <row r="976" spans="1:8" x14ac:dyDescent="0.35">
      <c r="A976" s="5">
        <v>1197931</v>
      </c>
      <c r="B976" s="6">
        <v>42930</v>
      </c>
      <c r="C976" s="7">
        <v>0.51179398148148147</v>
      </c>
      <c r="D976" s="8">
        <v>0.51231481481481478</v>
      </c>
      <c r="E976">
        <v>1</v>
      </c>
      <c r="G976" s="18">
        <v>6795454</v>
      </c>
      <c r="H976">
        <v>1</v>
      </c>
    </row>
    <row r="977" spans="1:8" x14ac:dyDescent="0.35">
      <c r="A977" s="9">
        <v>8750619</v>
      </c>
      <c r="B977" s="10">
        <v>42930</v>
      </c>
      <c r="C977" s="11">
        <v>0.51645833333333335</v>
      </c>
      <c r="D977" s="12">
        <v>0.51701388888888888</v>
      </c>
      <c r="E977">
        <v>1</v>
      </c>
      <c r="G977" s="18">
        <v>7449832</v>
      </c>
      <c r="H977">
        <v>1</v>
      </c>
    </row>
    <row r="978" spans="1:8" x14ac:dyDescent="0.35">
      <c r="A978" s="5">
        <v>2076719</v>
      </c>
      <c r="B978" s="6">
        <v>42930</v>
      </c>
      <c r="C978" s="7">
        <v>0.52056712962962959</v>
      </c>
      <c r="D978" s="8">
        <v>0.52818287037037037</v>
      </c>
      <c r="E978">
        <v>1</v>
      </c>
      <c r="G978" s="18">
        <v>6460935</v>
      </c>
      <c r="H978">
        <v>1</v>
      </c>
    </row>
    <row r="979" spans="1:8" x14ac:dyDescent="0.35">
      <c r="A979" s="9">
        <v>3131883</v>
      </c>
      <c r="B979" s="10">
        <v>42930</v>
      </c>
      <c r="C979" s="11">
        <v>0.52427083333333335</v>
      </c>
      <c r="D979" s="12">
        <v>0.52818287037037037</v>
      </c>
      <c r="E979">
        <v>1</v>
      </c>
      <c r="G979" s="18">
        <v>7471152</v>
      </c>
      <c r="H979">
        <v>1</v>
      </c>
    </row>
    <row r="980" spans="1:8" x14ac:dyDescent="0.35">
      <c r="A980" s="5">
        <v>1552302</v>
      </c>
      <c r="B980" s="6">
        <v>42930</v>
      </c>
      <c r="C980" s="7">
        <v>0.52953703703703703</v>
      </c>
      <c r="D980" s="8">
        <v>0.54078703703703701</v>
      </c>
      <c r="E980">
        <v>1</v>
      </c>
      <c r="G980" s="18">
        <v>6813775</v>
      </c>
      <c r="H980">
        <v>1</v>
      </c>
    </row>
    <row r="981" spans="1:8" x14ac:dyDescent="0.35">
      <c r="A981" s="9">
        <v>33708687</v>
      </c>
      <c r="B981" s="10">
        <v>42930</v>
      </c>
      <c r="C981" s="11">
        <v>0.53237268518518521</v>
      </c>
      <c r="D981" s="12">
        <v>0.53413194444444445</v>
      </c>
      <c r="E981">
        <v>1</v>
      </c>
      <c r="G981" s="18">
        <v>7503173</v>
      </c>
      <c r="H981">
        <v>1</v>
      </c>
    </row>
    <row r="982" spans="1:8" x14ac:dyDescent="0.35">
      <c r="A982" s="5">
        <v>23123600</v>
      </c>
      <c r="B982" s="6">
        <v>42930</v>
      </c>
      <c r="C982" s="7">
        <v>0.53268518518518515</v>
      </c>
      <c r="D982" s="8">
        <v>0.54135416666666669</v>
      </c>
      <c r="E982">
        <v>1</v>
      </c>
      <c r="G982" s="18">
        <v>6818507</v>
      </c>
      <c r="H982">
        <v>1</v>
      </c>
    </row>
    <row r="983" spans="1:8" x14ac:dyDescent="0.35">
      <c r="A983" s="9">
        <v>5913571</v>
      </c>
      <c r="B983" s="10">
        <v>42930</v>
      </c>
      <c r="C983" s="11">
        <v>0.53740740740740744</v>
      </c>
      <c r="D983" s="12">
        <v>0.54893518518518514</v>
      </c>
      <c r="E983">
        <v>1</v>
      </c>
      <c r="G983" s="18">
        <v>7511410</v>
      </c>
      <c r="H983">
        <v>1</v>
      </c>
    </row>
    <row r="984" spans="1:8" x14ac:dyDescent="0.35">
      <c r="A984" s="5">
        <v>5790304</v>
      </c>
      <c r="B984" s="6">
        <v>42930</v>
      </c>
      <c r="C984" s="7">
        <v>0.53768518518518515</v>
      </c>
      <c r="D984" s="8">
        <v>0.53770833333333334</v>
      </c>
      <c r="E984">
        <v>1</v>
      </c>
      <c r="G984" s="18">
        <v>6821027</v>
      </c>
      <c r="H984">
        <v>1</v>
      </c>
    </row>
    <row r="985" spans="1:8" x14ac:dyDescent="0.35">
      <c r="A985" s="9">
        <v>97953696</v>
      </c>
      <c r="B985" s="10">
        <v>42930</v>
      </c>
      <c r="C985" s="11">
        <v>0.53909722222222223</v>
      </c>
      <c r="D985" s="12">
        <v>0.54540509259259262</v>
      </c>
      <c r="E985">
        <v>1</v>
      </c>
      <c r="G985" s="18">
        <v>7551668</v>
      </c>
      <c r="H985">
        <v>1</v>
      </c>
    </row>
    <row r="986" spans="1:8" x14ac:dyDescent="0.35">
      <c r="A986" s="5">
        <v>13588783</v>
      </c>
      <c r="B986" s="6">
        <v>42930</v>
      </c>
      <c r="C986" s="7">
        <v>0.54118055555555555</v>
      </c>
      <c r="D986" s="8">
        <v>0.54894675925925929</v>
      </c>
      <c r="E986">
        <v>1</v>
      </c>
      <c r="G986" s="18">
        <v>6833658</v>
      </c>
      <c r="H986">
        <v>1</v>
      </c>
    </row>
    <row r="987" spans="1:8" x14ac:dyDescent="0.35">
      <c r="A987" s="9">
        <v>3300626</v>
      </c>
      <c r="B987" s="10">
        <v>42930</v>
      </c>
      <c r="C987" s="11">
        <v>0.54415509259259254</v>
      </c>
      <c r="D987" s="12">
        <v>0.55156249999999996</v>
      </c>
      <c r="E987">
        <v>1</v>
      </c>
      <c r="G987" s="18">
        <v>7594764</v>
      </c>
      <c r="H987">
        <v>1</v>
      </c>
    </row>
    <row r="988" spans="1:8" x14ac:dyDescent="0.35">
      <c r="A988" s="5">
        <v>9849071</v>
      </c>
      <c r="B988" s="6">
        <v>42930</v>
      </c>
      <c r="C988" s="7">
        <v>0.54498842592592589</v>
      </c>
      <c r="D988" s="8">
        <v>0.54879629629629634</v>
      </c>
      <c r="E988">
        <v>1</v>
      </c>
      <c r="G988" s="18">
        <v>6844342</v>
      </c>
      <c r="H988">
        <v>1</v>
      </c>
    </row>
    <row r="989" spans="1:8" x14ac:dyDescent="0.35">
      <c r="A989" s="9">
        <v>39697250</v>
      </c>
      <c r="B989" s="10">
        <v>42930</v>
      </c>
      <c r="C989" s="11">
        <v>0.54616898148148152</v>
      </c>
      <c r="D989" s="12">
        <v>0.55153935185185188</v>
      </c>
      <c r="E989">
        <v>1</v>
      </c>
      <c r="G989" s="18">
        <v>7622848</v>
      </c>
      <c r="H989">
        <v>1</v>
      </c>
    </row>
    <row r="990" spans="1:8" x14ac:dyDescent="0.35">
      <c r="A990" s="5">
        <v>3826370863</v>
      </c>
      <c r="B990" s="6">
        <v>42930</v>
      </c>
      <c r="C990" s="7">
        <v>0.55155092592592592</v>
      </c>
      <c r="D990" s="8">
        <v>0.55709490740740741</v>
      </c>
      <c r="E990">
        <v>1</v>
      </c>
      <c r="G990" s="18">
        <v>6855900</v>
      </c>
      <c r="H990">
        <v>1</v>
      </c>
    </row>
    <row r="991" spans="1:8" x14ac:dyDescent="0.35">
      <c r="A991" s="9">
        <v>9088452</v>
      </c>
      <c r="B991" s="10">
        <v>42930</v>
      </c>
      <c r="C991" s="11">
        <v>0.55473379629629627</v>
      </c>
      <c r="D991" s="12">
        <v>0.56253472222222223</v>
      </c>
      <c r="E991">
        <v>1</v>
      </c>
      <c r="G991" s="18">
        <v>7646265</v>
      </c>
      <c r="H991">
        <v>1</v>
      </c>
    </row>
    <row r="992" spans="1:8" x14ac:dyDescent="0.35">
      <c r="A992" s="5">
        <v>8026912</v>
      </c>
      <c r="B992" s="6">
        <v>42930</v>
      </c>
      <c r="C992" s="7">
        <v>0.5561342592592593</v>
      </c>
      <c r="D992" s="8">
        <v>0.56366898148148148</v>
      </c>
      <c r="E992">
        <v>1</v>
      </c>
      <c r="G992" s="18">
        <v>6859181</v>
      </c>
      <c r="H992">
        <v>1</v>
      </c>
    </row>
    <row r="993" spans="1:8" x14ac:dyDescent="0.35">
      <c r="A993" s="9">
        <v>24290062</v>
      </c>
      <c r="B993" s="10">
        <v>42930</v>
      </c>
      <c r="C993" s="11">
        <v>0.56141203703703701</v>
      </c>
      <c r="D993" s="12">
        <v>0.57055555555555559</v>
      </c>
      <c r="E993">
        <v>1</v>
      </c>
      <c r="G993" s="18">
        <v>7712618</v>
      </c>
      <c r="H993">
        <v>1</v>
      </c>
    </row>
    <row r="994" spans="1:8" x14ac:dyDescent="0.35">
      <c r="A994" s="5">
        <v>6785899</v>
      </c>
      <c r="B994" s="6">
        <v>42930</v>
      </c>
      <c r="C994" s="7">
        <v>0.56650462962962966</v>
      </c>
      <c r="D994" s="8">
        <v>0.57533564814814819</v>
      </c>
      <c r="E994">
        <v>1</v>
      </c>
      <c r="G994" s="18">
        <v>6461167</v>
      </c>
      <c r="H994">
        <v>1</v>
      </c>
    </row>
    <row r="995" spans="1:8" x14ac:dyDescent="0.35">
      <c r="A995" s="9">
        <v>75048005</v>
      </c>
      <c r="B995" s="10">
        <v>42930</v>
      </c>
      <c r="C995" s="11">
        <v>0.57197916666666671</v>
      </c>
      <c r="D995" s="12">
        <v>0.58081018518518523</v>
      </c>
      <c r="E995">
        <v>1</v>
      </c>
      <c r="G995" s="18">
        <v>7739841</v>
      </c>
      <c r="H995">
        <v>1</v>
      </c>
    </row>
    <row r="996" spans="1:8" x14ac:dyDescent="0.35">
      <c r="A996" s="5">
        <v>97459926</v>
      </c>
      <c r="B996" s="6">
        <v>42930</v>
      </c>
      <c r="C996" s="7">
        <v>0.57262731481481477</v>
      </c>
      <c r="D996" s="8">
        <v>0.57991898148148147</v>
      </c>
      <c r="E996">
        <v>1</v>
      </c>
      <c r="G996" s="18">
        <v>6865322</v>
      </c>
      <c r="H996">
        <v>1</v>
      </c>
    </row>
    <row r="997" spans="1:8" x14ac:dyDescent="0.35">
      <c r="A997" s="9">
        <v>9600226</v>
      </c>
      <c r="B997" s="10">
        <v>42930</v>
      </c>
      <c r="C997" s="11">
        <v>0.57451388888888888</v>
      </c>
      <c r="D997" s="12">
        <v>0.57847222222222228</v>
      </c>
      <c r="E997">
        <v>1</v>
      </c>
      <c r="G997" s="18">
        <v>7751076</v>
      </c>
      <c r="H997">
        <v>1</v>
      </c>
    </row>
    <row r="998" spans="1:8" x14ac:dyDescent="0.35">
      <c r="A998" s="5">
        <v>9685747</v>
      </c>
      <c r="B998" s="6">
        <v>42930</v>
      </c>
      <c r="C998" s="7">
        <v>0.57810185185185181</v>
      </c>
      <c r="D998" s="8">
        <v>0.58810185185185182</v>
      </c>
      <c r="E998">
        <v>1</v>
      </c>
      <c r="G998" s="18">
        <v>6878722</v>
      </c>
      <c r="H998">
        <v>1</v>
      </c>
    </row>
    <row r="999" spans="1:8" x14ac:dyDescent="0.35">
      <c r="A999" s="9">
        <v>3178616</v>
      </c>
      <c r="B999" s="10">
        <v>42930</v>
      </c>
      <c r="C999" s="11">
        <v>0.58233796296296292</v>
      </c>
      <c r="D999" s="12">
        <v>0.58734953703703707</v>
      </c>
      <c r="E999">
        <v>1</v>
      </c>
      <c r="G999" s="18">
        <v>7768277</v>
      </c>
      <c r="H999">
        <v>1</v>
      </c>
    </row>
    <row r="1000" spans="1:8" x14ac:dyDescent="0.35">
      <c r="A1000" s="5">
        <v>9979899</v>
      </c>
      <c r="B1000" s="6">
        <v>42930</v>
      </c>
      <c r="C1000" s="7">
        <v>0.58810185185185182</v>
      </c>
      <c r="D1000" s="8">
        <v>0.59134259259259259</v>
      </c>
      <c r="E1000">
        <v>1</v>
      </c>
      <c r="G1000" s="18">
        <v>6884037</v>
      </c>
      <c r="H1000">
        <v>1</v>
      </c>
    </row>
    <row r="1001" spans="1:8" x14ac:dyDescent="0.35">
      <c r="A1001" s="9">
        <v>4575865</v>
      </c>
      <c r="B1001" s="10">
        <v>42930</v>
      </c>
      <c r="C1001" s="11">
        <v>0.58959490740740739</v>
      </c>
      <c r="D1001" s="12">
        <v>0.59105324074074073</v>
      </c>
      <c r="E1001">
        <v>1</v>
      </c>
      <c r="G1001" s="18">
        <v>7781904</v>
      </c>
      <c r="H1001">
        <v>1</v>
      </c>
    </row>
    <row r="1002" spans="1:8" x14ac:dyDescent="0.35">
      <c r="A1002" s="5">
        <v>1808444</v>
      </c>
      <c r="B1002" s="6">
        <v>42930</v>
      </c>
      <c r="C1002" s="7">
        <v>0.59284722222222219</v>
      </c>
      <c r="D1002" s="8">
        <v>0.59662037037037041</v>
      </c>
      <c r="E1002">
        <v>1</v>
      </c>
      <c r="G1002" s="18">
        <v>6890486</v>
      </c>
      <c r="H1002">
        <v>1</v>
      </c>
    </row>
    <row r="1003" spans="1:8" x14ac:dyDescent="0.35">
      <c r="A1003" s="9">
        <v>1649912</v>
      </c>
      <c r="B1003" s="10">
        <v>42930</v>
      </c>
      <c r="C1003" s="11">
        <v>0.59467592592592589</v>
      </c>
      <c r="D1003" s="12">
        <v>0.60392361111111115</v>
      </c>
      <c r="E1003">
        <v>1</v>
      </c>
      <c r="G1003" s="18">
        <v>7826456</v>
      </c>
      <c r="H1003">
        <v>1</v>
      </c>
    </row>
    <row r="1004" spans="1:8" x14ac:dyDescent="0.35">
      <c r="A1004" s="5">
        <v>6128500046</v>
      </c>
      <c r="B1004" s="6">
        <v>42930</v>
      </c>
      <c r="C1004" s="7">
        <v>0.5981481481481481</v>
      </c>
      <c r="D1004" s="8">
        <v>0.60513888888888889</v>
      </c>
      <c r="E1004">
        <v>1</v>
      </c>
      <c r="G1004" s="18">
        <v>6891636</v>
      </c>
      <c r="H1004">
        <v>1</v>
      </c>
    </row>
    <row r="1005" spans="1:8" x14ac:dyDescent="0.35">
      <c r="A1005" s="9">
        <v>6580951</v>
      </c>
      <c r="B1005" s="10">
        <v>42930</v>
      </c>
      <c r="C1005" s="11">
        <v>0.6001967592592593</v>
      </c>
      <c r="D1005" s="12">
        <v>0.60023148148148153</v>
      </c>
      <c r="E1005">
        <v>1</v>
      </c>
      <c r="G1005" s="18">
        <v>7852624</v>
      </c>
      <c r="H1005">
        <v>1</v>
      </c>
    </row>
    <row r="1006" spans="1:8" x14ac:dyDescent="0.35">
      <c r="A1006" s="5">
        <v>5536146</v>
      </c>
      <c r="B1006" s="6">
        <v>42930</v>
      </c>
      <c r="C1006" s="7">
        <v>0.60204861111111108</v>
      </c>
      <c r="D1006" s="8">
        <v>0.60319444444444448</v>
      </c>
      <c r="E1006">
        <v>1</v>
      </c>
      <c r="G1006" s="18">
        <v>6892980</v>
      </c>
      <c r="H1006">
        <v>1</v>
      </c>
    </row>
    <row r="1007" spans="1:8" x14ac:dyDescent="0.35">
      <c r="A1007" s="9">
        <v>7396921</v>
      </c>
      <c r="B1007" s="10">
        <v>42930</v>
      </c>
      <c r="C1007" s="11">
        <v>0.60775462962962967</v>
      </c>
      <c r="D1007" s="12">
        <v>0.61614583333333328</v>
      </c>
      <c r="E1007">
        <v>1</v>
      </c>
      <c r="G1007" s="18">
        <v>7872182</v>
      </c>
      <c r="H1007">
        <v>1</v>
      </c>
    </row>
    <row r="1008" spans="1:8" x14ac:dyDescent="0.35">
      <c r="A1008" s="5">
        <v>8331262</v>
      </c>
      <c r="B1008" s="6">
        <v>42930</v>
      </c>
      <c r="C1008" s="7">
        <v>0.61174768518518519</v>
      </c>
      <c r="D1008" s="8">
        <v>0.61697916666666663</v>
      </c>
      <c r="E1008">
        <v>1</v>
      </c>
      <c r="G1008" s="18">
        <v>6894270</v>
      </c>
      <c r="H1008">
        <v>1</v>
      </c>
    </row>
    <row r="1009" spans="1:8" x14ac:dyDescent="0.35">
      <c r="A1009" s="9">
        <v>5146166</v>
      </c>
      <c r="B1009" s="10">
        <v>42930</v>
      </c>
      <c r="C1009" s="11">
        <v>0.61546296296296299</v>
      </c>
      <c r="D1009" s="12">
        <v>0.62185185185185188</v>
      </c>
      <c r="E1009">
        <v>1</v>
      </c>
      <c r="G1009" s="18">
        <v>7891185</v>
      </c>
      <c r="H1009">
        <v>1</v>
      </c>
    </row>
    <row r="1010" spans="1:8" x14ac:dyDescent="0.35">
      <c r="A1010" s="5">
        <v>6729705</v>
      </c>
      <c r="B1010" s="6">
        <v>42930</v>
      </c>
      <c r="C1010" s="7">
        <v>0.62111111111111106</v>
      </c>
      <c r="D1010" s="8">
        <v>0.62814814814814812</v>
      </c>
      <c r="E1010">
        <v>1</v>
      </c>
      <c r="G1010" s="18">
        <v>6896175</v>
      </c>
      <c r="H1010">
        <v>1</v>
      </c>
    </row>
    <row r="1011" spans="1:8" x14ac:dyDescent="0.35">
      <c r="A1011" s="9">
        <v>5372125</v>
      </c>
      <c r="B1011" s="10">
        <v>42930</v>
      </c>
      <c r="C1011" s="11">
        <v>0.62517361111111114</v>
      </c>
      <c r="D1011" s="12">
        <v>0.62518518518518518</v>
      </c>
      <c r="E1011">
        <v>1</v>
      </c>
      <c r="G1011" s="18">
        <v>7915936</v>
      </c>
      <c r="H1011">
        <v>1</v>
      </c>
    </row>
    <row r="1012" spans="1:8" x14ac:dyDescent="0.35">
      <c r="A1012" s="5">
        <v>8870498</v>
      </c>
      <c r="B1012" s="6">
        <v>42933</v>
      </c>
      <c r="C1012" s="7">
        <v>0.33702546296296299</v>
      </c>
      <c r="D1012" s="8">
        <v>0.34466435185185185</v>
      </c>
      <c r="E1012">
        <v>1</v>
      </c>
      <c r="G1012" s="18">
        <v>6896787</v>
      </c>
      <c r="H1012">
        <v>1</v>
      </c>
    </row>
    <row r="1013" spans="1:8" x14ac:dyDescent="0.35">
      <c r="A1013" s="9">
        <v>7880585</v>
      </c>
      <c r="B1013" s="10">
        <v>42933</v>
      </c>
      <c r="C1013" s="11">
        <v>0.34074074074074073</v>
      </c>
      <c r="D1013" s="12">
        <v>0.34971064814814817</v>
      </c>
      <c r="E1013">
        <v>1</v>
      </c>
      <c r="G1013" s="18">
        <v>7969038</v>
      </c>
      <c r="H1013">
        <v>1</v>
      </c>
    </row>
    <row r="1014" spans="1:8" x14ac:dyDescent="0.35">
      <c r="A1014" s="5">
        <v>3652646</v>
      </c>
      <c r="B1014" s="6">
        <v>42933</v>
      </c>
      <c r="C1014" s="7">
        <v>0.34233796296296298</v>
      </c>
      <c r="D1014" s="8">
        <v>0.34569444444444447</v>
      </c>
      <c r="E1014">
        <v>1</v>
      </c>
      <c r="G1014" s="18">
        <v>6897893</v>
      </c>
      <c r="H1014">
        <v>1</v>
      </c>
    </row>
    <row r="1015" spans="1:8" x14ac:dyDescent="0.35">
      <c r="A1015" s="9">
        <v>3691457</v>
      </c>
      <c r="B1015" s="10">
        <v>42933</v>
      </c>
      <c r="C1015" s="11">
        <v>0.34688657407407408</v>
      </c>
      <c r="D1015" s="12">
        <v>0.35810185185185184</v>
      </c>
      <c r="E1015">
        <v>1</v>
      </c>
      <c r="G1015" s="18">
        <v>7975900</v>
      </c>
      <c r="H1015">
        <v>1</v>
      </c>
    </row>
    <row r="1016" spans="1:8" x14ac:dyDescent="0.35">
      <c r="A1016" s="5">
        <v>4344184930</v>
      </c>
      <c r="B1016" s="6">
        <v>42933</v>
      </c>
      <c r="C1016" s="7">
        <v>0.34866898148148145</v>
      </c>
      <c r="D1016" s="8">
        <v>0.35778935185185184</v>
      </c>
      <c r="E1016">
        <v>1</v>
      </c>
      <c r="G1016" s="18">
        <v>6900303</v>
      </c>
      <c r="H1016">
        <v>1</v>
      </c>
    </row>
    <row r="1017" spans="1:8" x14ac:dyDescent="0.35">
      <c r="A1017" s="9">
        <v>5290460</v>
      </c>
      <c r="B1017" s="10">
        <v>42933</v>
      </c>
      <c r="C1017" s="11">
        <v>0.3525578703703704</v>
      </c>
      <c r="D1017" s="12">
        <v>0.36346064814814816</v>
      </c>
      <c r="E1017">
        <v>1</v>
      </c>
      <c r="G1017" s="18">
        <v>7986409</v>
      </c>
      <c r="H1017">
        <v>1</v>
      </c>
    </row>
    <row r="1018" spans="1:8" x14ac:dyDescent="0.35">
      <c r="A1018" s="5">
        <v>6922037</v>
      </c>
      <c r="B1018" s="6">
        <v>42933</v>
      </c>
      <c r="C1018" s="7">
        <v>0.35569444444444442</v>
      </c>
      <c r="D1018" s="8">
        <v>0.35796296296296298</v>
      </c>
      <c r="E1018">
        <v>1</v>
      </c>
      <c r="G1018" s="18">
        <v>6465122</v>
      </c>
      <c r="H1018">
        <v>1</v>
      </c>
    </row>
    <row r="1019" spans="1:8" x14ac:dyDescent="0.35">
      <c r="A1019" s="9">
        <v>7060245</v>
      </c>
      <c r="B1019" s="10">
        <v>42933</v>
      </c>
      <c r="C1019" s="11">
        <v>0.35920138888888886</v>
      </c>
      <c r="D1019" s="12">
        <v>0.36319444444444443</v>
      </c>
      <c r="E1019">
        <v>1</v>
      </c>
      <c r="G1019" s="18">
        <v>8010775</v>
      </c>
      <c r="H1019">
        <v>1</v>
      </c>
    </row>
    <row r="1020" spans="1:8" x14ac:dyDescent="0.35">
      <c r="A1020" s="5">
        <v>5788783</v>
      </c>
      <c r="B1020" s="6">
        <v>42933</v>
      </c>
      <c r="C1020" s="7">
        <v>0.36114583333333333</v>
      </c>
      <c r="D1020" s="8">
        <v>0.36629629629629629</v>
      </c>
      <c r="E1020">
        <v>1</v>
      </c>
      <c r="G1020" s="18">
        <v>6919928</v>
      </c>
      <c r="H1020">
        <v>1</v>
      </c>
    </row>
    <row r="1021" spans="1:8" x14ac:dyDescent="0.35">
      <c r="A1021" s="9">
        <v>8647144</v>
      </c>
      <c r="B1021" s="10">
        <v>42933</v>
      </c>
      <c r="C1021" s="11">
        <v>0.36208333333333331</v>
      </c>
      <c r="D1021" s="12">
        <v>0.36282407407407408</v>
      </c>
      <c r="E1021">
        <v>1</v>
      </c>
      <c r="G1021" s="18">
        <v>8041809</v>
      </c>
      <c r="H1021">
        <v>1</v>
      </c>
    </row>
    <row r="1022" spans="1:8" x14ac:dyDescent="0.35">
      <c r="A1022" s="5">
        <v>24665933</v>
      </c>
      <c r="B1022" s="6">
        <v>42933</v>
      </c>
      <c r="C1022" s="7">
        <v>0.36373842592592592</v>
      </c>
      <c r="D1022" s="8">
        <v>0.36895833333333333</v>
      </c>
      <c r="E1022">
        <v>1</v>
      </c>
      <c r="G1022" s="18">
        <v>6920814</v>
      </c>
      <c r="H1022">
        <v>1</v>
      </c>
    </row>
    <row r="1023" spans="1:8" x14ac:dyDescent="0.35">
      <c r="A1023" s="9">
        <v>3326329</v>
      </c>
      <c r="B1023" s="10">
        <v>42933</v>
      </c>
      <c r="C1023" s="11">
        <v>0.36928240740740742</v>
      </c>
      <c r="D1023" s="12">
        <v>0.37148148148148147</v>
      </c>
      <c r="E1023">
        <v>1</v>
      </c>
      <c r="G1023" s="18">
        <v>6574044</v>
      </c>
      <c r="H1023">
        <v>1</v>
      </c>
    </row>
    <row r="1024" spans="1:8" x14ac:dyDescent="0.35">
      <c r="A1024" s="5">
        <v>3478111</v>
      </c>
      <c r="B1024" s="6">
        <v>42933</v>
      </c>
      <c r="C1024" s="7">
        <v>0.37144675925925924</v>
      </c>
      <c r="D1024" s="8">
        <v>0.37270833333333331</v>
      </c>
      <c r="E1024">
        <v>1</v>
      </c>
      <c r="G1024" s="18">
        <v>6922037</v>
      </c>
      <c r="H1024">
        <v>1</v>
      </c>
    </row>
    <row r="1025" spans="1:8" x14ac:dyDescent="0.35">
      <c r="A1025" s="9">
        <v>7937998</v>
      </c>
      <c r="B1025" s="10">
        <v>42933</v>
      </c>
      <c r="C1025" s="11">
        <v>0.37627314814814816</v>
      </c>
      <c r="D1025" s="12">
        <v>0.37802083333333331</v>
      </c>
      <c r="E1025">
        <v>1</v>
      </c>
      <c r="G1025" s="18">
        <v>8086847</v>
      </c>
      <c r="H1025">
        <v>1</v>
      </c>
    </row>
    <row r="1026" spans="1:8" x14ac:dyDescent="0.35">
      <c r="A1026" s="5">
        <v>82239478</v>
      </c>
      <c r="B1026" s="6">
        <v>42933</v>
      </c>
      <c r="C1026" s="7">
        <v>0.38178240740740743</v>
      </c>
      <c r="D1026" s="8">
        <v>0.38648148148148148</v>
      </c>
      <c r="E1026">
        <v>1</v>
      </c>
      <c r="G1026" s="18">
        <v>6927270</v>
      </c>
      <c r="H1026">
        <v>1</v>
      </c>
    </row>
    <row r="1027" spans="1:8" x14ac:dyDescent="0.35">
      <c r="A1027" s="9">
        <v>2557643</v>
      </c>
      <c r="B1027" s="10">
        <v>42933</v>
      </c>
      <c r="C1027" s="11">
        <v>0.38622685185185185</v>
      </c>
      <c r="D1027" s="12">
        <v>0.38957175925925924</v>
      </c>
      <c r="E1027">
        <v>1</v>
      </c>
      <c r="G1027" s="18">
        <v>6580951</v>
      </c>
      <c r="H1027">
        <v>1</v>
      </c>
    </row>
    <row r="1028" spans="1:8" x14ac:dyDescent="0.35">
      <c r="A1028" s="5">
        <v>4501726</v>
      </c>
      <c r="B1028" s="6">
        <v>42933</v>
      </c>
      <c r="C1028" s="7">
        <v>0.38754629629629628</v>
      </c>
      <c r="D1028" s="8">
        <v>0.39260416666666664</v>
      </c>
      <c r="E1028">
        <v>1</v>
      </c>
      <c r="G1028" s="18">
        <v>6934405</v>
      </c>
      <c r="H1028">
        <v>1</v>
      </c>
    </row>
    <row r="1029" spans="1:8" x14ac:dyDescent="0.35">
      <c r="A1029" s="9">
        <v>1415198</v>
      </c>
      <c r="B1029" s="10">
        <v>42933</v>
      </c>
      <c r="C1029" s="11">
        <v>0.38991898148148146</v>
      </c>
      <c r="D1029" s="12">
        <v>0.40072916666666669</v>
      </c>
      <c r="E1029">
        <v>1</v>
      </c>
      <c r="G1029" s="18">
        <v>8159631</v>
      </c>
      <c r="H1029">
        <v>1</v>
      </c>
    </row>
    <row r="1030" spans="1:8" x14ac:dyDescent="0.35">
      <c r="A1030" s="5">
        <v>23368531</v>
      </c>
      <c r="B1030" s="6">
        <v>42933</v>
      </c>
      <c r="C1030" s="7">
        <v>0.39103009259259258</v>
      </c>
      <c r="D1030" s="8">
        <v>0.39221064814814816</v>
      </c>
      <c r="E1030">
        <v>1</v>
      </c>
      <c r="G1030" s="18">
        <v>6940373</v>
      </c>
      <c r="H1030">
        <v>1</v>
      </c>
    </row>
    <row r="1031" spans="1:8" x14ac:dyDescent="0.35">
      <c r="A1031" s="9">
        <v>5750549</v>
      </c>
      <c r="B1031" s="10">
        <v>42933</v>
      </c>
      <c r="C1031" s="11">
        <v>0.3948726851851852</v>
      </c>
      <c r="D1031" s="12">
        <v>0.39504629629629628</v>
      </c>
      <c r="E1031">
        <v>1</v>
      </c>
      <c r="G1031" s="18">
        <v>6341482</v>
      </c>
      <c r="H1031">
        <v>1</v>
      </c>
    </row>
    <row r="1032" spans="1:8" x14ac:dyDescent="0.35">
      <c r="A1032" s="5">
        <v>3897850970</v>
      </c>
      <c r="B1032" s="6">
        <v>42933</v>
      </c>
      <c r="C1032" s="7">
        <v>0.3951736111111111</v>
      </c>
      <c r="D1032" s="8">
        <v>0.39697916666666666</v>
      </c>
      <c r="E1032">
        <v>1</v>
      </c>
      <c r="G1032" s="18">
        <v>6942059</v>
      </c>
      <c r="H1032">
        <v>1</v>
      </c>
    </row>
    <row r="1033" spans="1:8" x14ac:dyDescent="0.35">
      <c r="A1033" s="9">
        <v>2573868</v>
      </c>
      <c r="B1033" s="10">
        <v>42933</v>
      </c>
      <c r="C1033" s="11">
        <v>0.39962962962962961</v>
      </c>
      <c r="D1033" s="12">
        <v>0.40937499999999999</v>
      </c>
      <c r="E1033">
        <v>1</v>
      </c>
      <c r="G1033" s="18">
        <v>6495517</v>
      </c>
      <c r="H1033">
        <v>1</v>
      </c>
    </row>
    <row r="1034" spans="1:8" x14ac:dyDescent="0.35">
      <c r="A1034" s="5">
        <v>1701008</v>
      </c>
      <c r="B1034" s="6">
        <v>42933</v>
      </c>
      <c r="C1034" s="7">
        <v>0.40104166666666669</v>
      </c>
      <c r="D1034" s="8">
        <v>0.40837962962962965</v>
      </c>
      <c r="E1034">
        <v>1</v>
      </c>
      <c r="G1034" s="18">
        <v>6949463</v>
      </c>
      <c r="H1034">
        <v>1</v>
      </c>
    </row>
    <row r="1035" spans="1:8" x14ac:dyDescent="0.35">
      <c r="A1035" s="9">
        <v>1617146</v>
      </c>
      <c r="B1035" s="10">
        <v>42933</v>
      </c>
      <c r="C1035" s="11">
        <v>0.40575231481481483</v>
      </c>
      <c r="D1035" s="12">
        <v>0.41274305555555557</v>
      </c>
      <c r="E1035">
        <v>1</v>
      </c>
      <c r="G1035" s="18">
        <v>7439955</v>
      </c>
      <c r="H1035">
        <v>1</v>
      </c>
    </row>
    <row r="1036" spans="1:8" x14ac:dyDescent="0.35">
      <c r="A1036" s="5">
        <v>7085993</v>
      </c>
      <c r="B1036" s="6">
        <v>42933</v>
      </c>
      <c r="C1036" s="7">
        <v>0.40719907407407407</v>
      </c>
      <c r="D1036" s="8">
        <v>0.41578703703703701</v>
      </c>
      <c r="E1036">
        <v>1</v>
      </c>
      <c r="G1036" s="18">
        <v>6952061</v>
      </c>
      <c r="H1036">
        <v>1</v>
      </c>
    </row>
    <row r="1037" spans="1:8" x14ac:dyDescent="0.35">
      <c r="A1037" s="9">
        <v>73460179</v>
      </c>
      <c r="B1037" s="10">
        <v>42933</v>
      </c>
      <c r="C1037" s="11">
        <v>0.41060185185185183</v>
      </c>
      <c r="D1037" s="12">
        <v>0.41334490740740742</v>
      </c>
      <c r="E1037">
        <v>1</v>
      </c>
      <c r="G1037" s="18">
        <v>7456918</v>
      </c>
      <c r="H1037">
        <v>1</v>
      </c>
    </row>
    <row r="1038" spans="1:8" x14ac:dyDescent="0.35">
      <c r="A1038" s="5">
        <v>5983034</v>
      </c>
      <c r="B1038" s="6">
        <v>42933</v>
      </c>
      <c r="C1038" s="7">
        <v>0.41253472222222221</v>
      </c>
      <c r="D1038" s="8">
        <v>0.41753472222222221</v>
      </c>
      <c r="E1038">
        <v>1</v>
      </c>
      <c r="G1038" s="18">
        <v>6956143</v>
      </c>
      <c r="H1038">
        <v>1</v>
      </c>
    </row>
    <row r="1039" spans="1:8" x14ac:dyDescent="0.35">
      <c r="A1039" s="9">
        <v>16724936</v>
      </c>
      <c r="B1039" s="10">
        <v>42933</v>
      </c>
      <c r="C1039" s="11">
        <v>0.41317129629629629</v>
      </c>
      <c r="D1039" s="12">
        <v>0.41466435185185185</v>
      </c>
      <c r="E1039">
        <v>1</v>
      </c>
      <c r="G1039" s="18">
        <v>7467198</v>
      </c>
      <c r="H1039">
        <v>1</v>
      </c>
    </row>
    <row r="1040" spans="1:8" x14ac:dyDescent="0.35">
      <c r="A1040" s="5">
        <v>19343766</v>
      </c>
      <c r="B1040" s="6">
        <v>42933</v>
      </c>
      <c r="C1040" s="7">
        <v>0.41572916666666665</v>
      </c>
      <c r="D1040" s="8">
        <v>0.41825231481481484</v>
      </c>
      <c r="E1040">
        <v>1</v>
      </c>
      <c r="G1040" s="18">
        <v>6976431</v>
      </c>
      <c r="H1040">
        <v>1</v>
      </c>
    </row>
    <row r="1041" spans="1:8" x14ac:dyDescent="0.35">
      <c r="A1041" s="9">
        <v>7439955</v>
      </c>
      <c r="B1041" s="10">
        <v>42933</v>
      </c>
      <c r="C1041" s="11">
        <v>0.41716435185185186</v>
      </c>
      <c r="D1041" s="12">
        <v>0.4284722222222222</v>
      </c>
      <c r="E1041">
        <v>1</v>
      </c>
      <c r="G1041" s="18">
        <v>7473070</v>
      </c>
      <c r="H1041">
        <v>1</v>
      </c>
    </row>
    <row r="1042" spans="1:8" x14ac:dyDescent="0.35">
      <c r="A1042" s="5">
        <v>7224275</v>
      </c>
      <c r="B1042" s="6">
        <v>42933</v>
      </c>
      <c r="C1042" s="7">
        <v>0.41899305555555555</v>
      </c>
      <c r="D1042" s="8">
        <v>0.41968749999999999</v>
      </c>
      <c r="E1042">
        <v>1</v>
      </c>
      <c r="G1042" s="18">
        <v>6978234</v>
      </c>
      <c r="H1042">
        <v>1</v>
      </c>
    </row>
    <row r="1043" spans="1:8" x14ac:dyDescent="0.35">
      <c r="A1043" s="9">
        <v>1679471</v>
      </c>
      <c r="B1043" s="10">
        <v>42933</v>
      </c>
      <c r="C1043" s="11">
        <v>0.42386574074074074</v>
      </c>
      <c r="D1043" s="12">
        <v>0.42885416666666665</v>
      </c>
      <c r="E1043">
        <v>1</v>
      </c>
      <c r="G1043" s="18">
        <v>7488966</v>
      </c>
      <c r="H1043">
        <v>1</v>
      </c>
    </row>
    <row r="1044" spans="1:8" x14ac:dyDescent="0.35">
      <c r="A1044" s="5">
        <v>6270159</v>
      </c>
      <c r="B1044" s="6">
        <v>42933</v>
      </c>
      <c r="C1044" s="7">
        <v>0.42664351851851851</v>
      </c>
      <c r="D1044" s="8">
        <v>0.42697916666666669</v>
      </c>
      <c r="E1044">
        <v>1</v>
      </c>
      <c r="G1044" s="18">
        <v>6979384</v>
      </c>
      <c r="H1044">
        <v>1</v>
      </c>
    </row>
    <row r="1045" spans="1:8" x14ac:dyDescent="0.35">
      <c r="A1045" s="9">
        <v>1482340</v>
      </c>
      <c r="B1045" s="10">
        <v>42933</v>
      </c>
      <c r="C1045" s="11">
        <v>0.42983796296296295</v>
      </c>
      <c r="D1045" s="12">
        <v>0.43975694444444446</v>
      </c>
      <c r="E1045">
        <v>1</v>
      </c>
      <c r="G1045" s="18">
        <v>7507354</v>
      </c>
      <c r="H1045">
        <v>1</v>
      </c>
    </row>
    <row r="1046" spans="1:8" x14ac:dyDescent="0.35">
      <c r="A1046" s="5">
        <v>28185580</v>
      </c>
      <c r="B1046" s="6">
        <v>42933</v>
      </c>
      <c r="C1046" s="7">
        <v>0.43086805555555557</v>
      </c>
      <c r="D1046" s="8">
        <v>0.43388888888888888</v>
      </c>
      <c r="E1046">
        <v>1</v>
      </c>
      <c r="G1046" s="18">
        <v>6980867</v>
      </c>
      <c r="H1046">
        <v>1</v>
      </c>
    </row>
    <row r="1047" spans="1:8" x14ac:dyDescent="0.35">
      <c r="A1047" s="9">
        <v>4222605</v>
      </c>
      <c r="B1047" s="10">
        <v>42933</v>
      </c>
      <c r="C1047" s="11">
        <v>0.43375000000000002</v>
      </c>
      <c r="D1047" s="12">
        <v>0.43592592592592594</v>
      </c>
      <c r="E1047">
        <v>1</v>
      </c>
      <c r="G1047" s="18">
        <v>7508054</v>
      </c>
      <c r="H1047">
        <v>1</v>
      </c>
    </row>
    <row r="1048" spans="1:8" x14ac:dyDescent="0.35">
      <c r="A1048" s="5">
        <v>6689117</v>
      </c>
      <c r="B1048" s="6">
        <v>42933</v>
      </c>
      <c r="C1048" s="7">
        <v>0.43546296296296294</v>
      </c>
      <c r="D1048" s="8">
        <v>0.43662037037037038</v>
      </c>
      <c r="E1048">
        <v>1</v>
      </c>
      <c r="G1048" s="18">
        <v>6982652</v>
      </c>
      <c r="H1048">
        <v>1</v>
      </c>
    </row>
    <row r="1049" spans="1:8" x14ac:dyDescent="0.35">
      <c r="A1049" s="9">
        <v>3785540</v>
      </c>
      <c r="B1049" s="10">
        <v>42933</v>
      </c>
      <c r="C1049" s="11">
        <v>0.43569444444444444</v>
      </c>
      <c r="D1049" s="12">
        <v>0.4362037037037037</v>
      </c>
      <c r="E1049">
        <v>1</v>
      </c>
      <c r="G1049" s="18">
        <v>7513392</v>
      </c>
      <c r="H1049">
        <v>1</v>
      </c>
    </row>
    <row r="1050" spans="1:8" x14ac:dyDescent="0.35">
      <c r="A1050" s="5">
        <v>6151478</v>
      </c>
      <c r="B1050" s="6">
        <v>42933</v>
      </c>
      <c r="C1050" s="7">
        <v>0.44103009259259257</v>
      </c>
      <c r="D1050" s="8">
        <v>0.44807870370370373</v>
      </c>
      <c r="E1050">
        <v>1</v>
      </c>
      <c r="G1050" s="18">
        <v>6994188</v>
      </c>
      <c r="H1050">
        <v>1</v>
      </c>
    </row>
    <row r="1051" spans="1:8" x14ac:dyDescent="0.35">
      <c r="A1051" s="9">
        <v>9926754</v>
      </c>
      <c r="B1051" s="10">
        <v>42933</v>
      </c>
      <c r="C1051" s="11">
        <v>0.44421296296296298</v>
      </c>
      <c r="D1051" s="12">
        <v>0.44739583333333333</v>
      </c>
      <c r="E1051">
        <v>1</v>
      </c>
      <c r="G1051" s="18">
        <v>7536096</v>
      </c>
      <c r="H1051">
        <v>1</v>
      </c>
    </row>
    <row r="1052" spans="1:8" x14ac:dyDescent="0.35">
      <c r="A1052" s="5">
        <v>89098100</v>
      </c>
      <c r="B1052" s="6">
        <v>42933</v>
      </c>
      <c r="C1052" s="7">
        <v>0.44609953703703703</v>
      </c>
      <c r="D1052" s="8">
        <v>0.44979166666666665</v>
      </c>
      <c r="E1052">
        <v>1</v>
      </c>
      <c r="G1052" s="18">
        <v>6337931</v>
      </c>
      <c r="H1052">
        <v>1</v>
      </c>
    </row>
    <row r="1053" spans="1:8" x14ac:dyDescent="0.35">
      <c r="A1053" s="9">
        <v>6460935</v>
      </c>
      <c r="B1053" s="10">
        <v>42933</v>
      </c>
      <c r="C1053" s="11">
        <v>0.45122685185185185</v>
      </c>
      <c r="D1053" s="12">
        <v>0.45480324074074074</v>
      </c>
      <c r="E1053">
        <v>1</v>
      </c>
      <c r="G1053" s="18">
        <v>7564861</v>
      </c>
      <c r="H1053">
        <v>1</v>
      </c>
    </row>
    <row r="1054" spans="1:8" x14ac:dyDescent="0.35">
      <c r="A1054" s="5">
        <v>83559673</v>
      </c>
      <c r="B1054" s="6">
        <v>42933</v>
      </c>
      <c r="C1054" s="7">
        <v>0.45623842592592595</v>
      </c>
      <c r="D1054" s="8">
        <v>0.46062500000000001</v>
      </c>
      <c r="E1054">
        <v>1</v>
      </c>
      <c r="G1054" s="18">
        <v>7060245</v>
      </c>
      <c r="H1054">
        <v>1</v>
      </c>
    </row>
    <row r="1055" spans="1:8" x14ac:dyDescent="0.35">
      <c r="A1055" s="9">
        <v>1661633</v>
      </c>
      <c r="B1055" s="10">
        <v>42933</v>
      </c>
      <c r="C1055" s="11">
        <v>0.4611574074074074</v>
      </c>
      <c r="D1055" s="12">
        <v>0.46372685185185186</v>
      </c>
      <c r="E1055">
        <v>1</v>
      </c>
      <c r="G1055" s="18">
        <v>7589993</v>
      </c>
      <c r="H1055">
        <v>1</v>
      </c>
    </row>
    <row r="1056" spans="1:8" x14ac:dyDescent="0.35">
      <c r="A1056" s="5">
        <v>5809293</v>
      </c>
      <c r="B1056" s="6">
        <v>42933</v>
      </c>
      <c r="C1056" s="7">
        <v>0.46481481481481479</v>
      </c>
      <c r="D1056" s="8">
        <v>0.47425925925925927</v>
      </c>
      <c r="E1056">
        <v>1</v>
      </c>
      <c r="G1056" s="18">
        <v>7066389</v>
      </c>
      <c r="H1056">
        <v>1</v>
      </c>
    </row>
    <row r="1057" spans="1:8" x14ac:dyDescent="0.35">
      <c r="A1057" s="9">
        <v>5790304</v>
      </c>
      <c r="B1057" s="10">
        <v>42933</v>
      </c>
      <c r="C1057" s="11">
        <v>0.46655092592592595</v>
      </c>
      <c r="D1057" s="12">
        <v>0.47357638888888887</v>
      </c>
      <c r="E1057">
        <v>1</v>
      </c>
      <c r="G1057" s="18">
        <v>7595348</v>
      </c>
      <c r="H1057">
        <v>1</v>
      </c>
    </row>
    <row r="1058" spans="1:8" x14ac:dyDescent="0.35">
      <c r="A1058" s="5">
        <v>7088840</v>
      </c>
      <c r="B1058" s="6">
        <v>42933</v>
      </c>
      <c r="C1058" s="7">
        <v>0.46711805555555558</v>
      </c>
      <c r="D1058" s="8">
        <v>0.47856481481481483</v>
      </c>
      <c r="E1058">
        <v>1</v>
      </c>
      <c r="G1058" s="18">
        <v>7066778</v>
      </c>
      <c r="H1058">
        <v>1</v>
      </c>
    </row>
    <row r="1059" spans="1:8" x14ac:dyDescent="0.35">
      <c r="A1059" s="9">
        <v>1302112</v>
      </c>
      <c r="B1059" s="10">
        <v>42933</v>
      </c>
      <c r="C1059" s="11">
        <v>0.46939814814814818</v>
      </c>
      <c r="D1059" s="12">
        <v>0.47047453703703701</v>
      </c>
      <c r="E1059">
        <v>1</v>
      </c>
      <c r="G1059" s="18">
        <v>6516836</v>
      </c>
      <c r="H1059">
        <v>1</v>
      </c>
    </row>
    <row r="1060" spans="1:8" x14ac:dyDescent="0.35">
      <c r="A1060" s="5">
        <v>8299537</v>
      </c>
      <c r="B1060" s="6">
        <v>42933</v>
      </c>
      <c r="C1060" s="7">
        <v>0.47302083333333333</v>
      </c>
      <c r="D1060" s="8">
        <v>0.47939814814814813</v>
      </c>
      <c r="E1060">
        <v>1</v>
      </c>
      <c r="G1060" s="18">
        <v>7076463</v>
      </c>
      <c r="H1060">
        <v>1</v>
      </c>
    </row>
    <row r="1061" spans="1:8" x14ac:dyDescent="0.35">
      <c r="A1061" s="9">
        <v>1519891</v>
      </c>
      <c r="B1061" s="10">
        <v>42933</v>
      </c>
      <c r="C1061" s="11">
        <v>0.47604166666666664</v>
      </c>
      <c r="D1061" s="12">
        <v>0.48714120370370373</v>
      </c>
      <c r="E1061">
        <v>1</v>
      </c>
      <c r="G1061" s="18">
        <v>7624070</v>
      </c>
      <c r="H1061">
        <v>1</v>
      </c>
    </row>
    <row r="1062" spans="1:8" x14ac:dyDescent="0.35">
      <c r="A1062" s="5">
        <v>29771613</v>
      </c>
      <c r="B1062" s="6">
        <v>42933</v>
      </c>
      <c r="C1062" s="7">
        <v>0.47706018518518517</v>
      </c>
      <c r="D1062" s="8">
        <v>0.47881944444444446</v>
      </c>
      <c r="E1062">
        <v>1</v>
      </c>
      <c r="G1062" s="18">
        <v>6468376</v>
      </c>
      <c r="H1062">
        <v>1</v>
      </c>
    </row>
    <row r="1063" spans="1:8" x14ac:dyDescent="0.35">
      <c r="A1063" s="9">
        <v>9088045</v>
      </c>
      <c r="B1063" s="10">
        <v>42933</v>
      </c>
      <c r="C1063" s="11">
        <v>0.47714120370370372</v>
      </c>
      <c r="D1063" s="12">
        <v>0.47728009259259258</v>
      </c>
      <c r="E1063">
        <v>1</v>
      </c>
      <c r="G1063" s="18">
        <v>7632647</v>
      </c>
      <c r="H1063">
        <v>1</v>
      </c>
    </row>
    <row r="1064" spans="1:8" x14ac:dyDescent="0.35">
      <c r="A1064" s="5">
        <v>59864989</v>
      </c>
      <c r="B1064" s="6">
        <v>42933</v>
      </c>
      <c r="C1064" s="7">
        <v>0.48119212962962965</v>
      </c>
      <c r="D1064" s="8">
        <v>0.49038194444444444</v>
      </c>
      <c r="E1064">
        <v>1</v>
      </c>
      <c r="G1064" s="18">
        <v>7088840</v>
      </c>
      <c r="H1064">
        <v>1</v>
      </c>
    </row>
    <row r="1065" spans="1:8" x14ac:dyDescent="0.35">
      <c r="A1065" s="9">
        <v>2741017</v>
      </c>
      <c r="B1065" s="10">
        <v>42933</v>
      </c>
      <c r="C1065" s="11">
        <v>0.4838425925925926</v>
      </c>
      <c r="D1065" s="12">
        <v>0.49107638888888888</v>
      </c>
      <c r="E1065">
        <v>1</v>
      </c>
      <c r="G1065" s="18">
        <v>6523054</v>
      </c>
      <c r="H1065">
        <v>1</v>
      </c>
    </row>
    <row r="1066" spans="1:8" x14ac:dyDescent="0.35">
      <c r="A1066" s="5">
        <v>1092699</v>
      </c>
      <c r="B1066" s="6">
        <v>42933</v>
      </c>
      <c r="C1066" s="7">
        <v>0.48430555555555554</v>
      </c>
      <c r="D1066" s="8">
        <v>0.49372685185185183</v>
      </c>
      <c r="E1066">
        <v>1</v>
      </c>
      <c r="G1066" s="18">
        <v>7097883</v>
      </c>
      <c r="H1066">
        <v>1</v>
      </c>
    </row>
    <row r="1067" spans="1:8" x14ac:dyDescent="0.35">
      <c r="A1067" s="9">
        <v>3284714</v>
      </c>
      <c r="B1067" s="10">
        <v>42933</v>
      </c>
      <c r="C1067" s="11">
        <v>0.48533564814814817</v>
      </c>
      <c r="D1067" s="12">
        <v>0.49689814814814814</v>
      </c>
      <c r="E1067">
        <v>1</v>
      </c>
      <c r="G1067" s="18">
        <v>7701901</v>
      </c>
      <c r="H1067">
        <v>1</v>
      </c>
    </row>
    <row r="1068" spans="1:8" x14ac:dyDescent="0.35">
      <c r="A1068" s="5">
        <v>1822675725</v>
      </c>
      <c r="B1068" s="6">
        <v>42933</v>
      </c>
      <c r="C1068" s="7">
        <v>0.48542824074074076</v>
      </c>
      <c r="D1068" s="8">
        <v>0.49109953703703701</v>
      </c>
      <c r="E1068">
        <v>1</v>
      </c>
      <c r="G1068" s="18">
        <v>7110850</v>
      </c>
      <c r="H1068">
        <v>1</v>
      </c>
    </row>
    <row r="1069" spans="1:8" x14ac:dyDescent="0.35">
      <c r="A1069" s="9">
        <v>9595194</v>
      </c>
      <c r="B1069" s="10">
        <v>42933</v>
      </c>
      <c r="C1069" s="11">
        <v>0.48833333333333334</v>
      </c>
      <c r="D1069" s="12">
        <v>0.49960648148148146</v>
      </c>
      <c r="E1069">
        <v>1</v>
      </c>
      <c r="G1069" s="18">
        <v>7715424</v>
      </c>
      <c r="H1069">
        <v>1</v>
      </c>
    </row>
    <row r="1070" spans="1:8" x14ac:dyDescent="0.35">
      <c r="A1070" s="5">
        <v>5015921</v>
      </c>
      <c r="B1070" s="6">
        <v>42933</v>
      </c>
      <c r="C1070" s="7">
        <v>0.49362268518518521</v>
      </c>
      <c r="D1070" s="8">
        <v>0.49859953703703702</v>
      </c>
      <c r="E1070">
        <v>1</v>
      </c>
      <c r="G1070" s="18">
        <v>7114306</v>
      </c>
      <c r="H1070">
        <v>1</v>
      </c>
    </row>
    <row r="1071" spans="1:8" x14ac:dyDescent="0.35">
      <c r="A1071" s="9">
        <v>1015521</v>
      </c>
      <c r="B1071" s="10">
        <v>42933</v>
      </c>
      <c r="C1071" s="11">
        <v>0.49658564814814815</v>
      </c>
      <c r="D1071" s="12">
        <v>0.49866898148148148</v>
      </c>
      <c r="E1071">
        <v>1</v>
      </c>
      <c r="G1071" s="18">
        <v>6530661</v>
      </c>
      <c r="H1071">
        <v>1</v>
      </c>
    </row>
    <row r="1072" spans="1:8" x14ac:dyDescent="0.35">
      <c r="A1072" s="5">
        <v>4452201</v>
      </c>
      <c r="B1072" s="6">
        <v>42933</v>
      </c>
      <c r="C1072" s="7">
        <v>0.49760416666666668</v>
      </c>
      <c r="D1072" s="8">
        <v>0.50249999999999995</v>
      </c>
      <c r="E1072">
        <v>1</v>
      </c>
      <c r="G1072" s="18">
        <v>6484436</v>
      </c>
      <c r="H1072">
        <v>1</v>
      </c>
    </row>
    <row r="1073" spans="1:8" x14ac:dyDescent="0.35">
      <c r="A1073" s="9">
        <v>6801890</v>
      </c>
      <c r="B1073" s="10">
        <v>42933</v>
      </c>
      <c r="C1073" s="11">
        <v>0.50284722222222222</v>
      </c>
      <c r="D1073" s="12">
        <v>0.50736111111111115</v>
      </c>
      <c r="E1073">
        <v>1</v>
      </c>
      <c r="G1073" s="18">
        <v>7741751</v>
      </c>
      <c r="H1073">
        <v>1</v>
      </c>
    </row>
    <row r="1074" spans="1:8" x14ac:dyDescent="0.35">
      <c r="A1074" s="5">
        <v>19638469</v>
      </c>
      <c r="B1074" s="6">
        <v>42933</v>
      </c>
      <c r="C1074" s="7">
        <v>0.50768518518518524</v>
      </c>
      <c r="D1074" s="8">
        <v>0.51817129629629632</v>
      </c>
      <c r="E1074">
        <v>1</v>
      </c>
      <c r="G1074" s="18">
        <v>7123731</v>
      </c>
      <c r="H1074">
        <v>1</v>
      </c>
    </row>
    <row r="1075" spans="1:8" x14ac:dyDescent="0.35">
      <c r="A1075" s="9">
        <v>43897696</v>
      </c>
      <c r="B1075" s="10">
        <v>42933</v>
      </c>
      <c r="C1075" s="11">
        <v>0.51271990740740736</v>
      </c>
      <c r="D1075" s="12">
        <v>0.51616898148148149</v>
      </c>
      <c r="E1075">
        <v>1</v>
      </c>
      <c r="G1075" s="18">
        <v>7747085</v>
      </c>
      <c r="H1075">
        <v>1</v>
      </c>
    </row>
    <row r="1076" spans="1:8" x14ac:dyDescent="0.35">
      <c r="A1076" s="5">
        <v>8253162</v>
      </c>
      <c r="B1076" s="6">
        <v>42933</v>
      </c>
      <c r="C1076" s="7">
        <v>0.51468749999999996</v>
      </c>
      <c r="D1076" s="8">
        <v>0.5204050925925926</v>
      </c>
      <c r="E1076">
        <v>1</v>
      </c>
      <c r="G1076" s="18">
        <v>7126980</v>
      </c>
      <c r="H1076">
        <v>1</v>
      </c>
    </row>
    <row r="1077" spans="1:8" x14ac:dyDescent="0.35">
      <c r="A1077" s="9">
        <v>42038927</v>
      </c>
      <c r="B1077" s="10">
        <v>42933</v>
      </c>
      <c r="C1077" s="11">
        <v>0.51894675925925926</v>
      </c>
      <c r="D1077" s="12">
        <v>0.52336805555555554</v>
      </c>
      <c r="E1077">
        <v>1</v>
      </c>
      <c r="G1077" s="18">
        <v>7762020</v>
      </c>
      <c r="H1077">
        <v>1</v>
      </c>
    </row>
    <row r="1078" spans="1:8" x14ac:dyDescent="0.35">
      <c r="A1078" s="5">
        <v>5758962</v>
      </c>
      <c r="B1078" s="6">
        <v>42933</v>
      </c>
      <c r="C1078" s="7">
        <v>0.52460648148148148</v>
      </c>
      <c r="D1078" s="8">
        <v>0.53292824074074074</v>
      </c>
      <c r="E1078">
        <v>1</v>
      </c>
      <c r="G1078" s="18">
        <v>7151490</v>
      </c>
      <c r="H1078">
        <v>1</v>
      </c>
    </row>
    <row r="1079" spans="1:8" x14ac:dyDescent="0.35">
      <c r="A1079" s="9">
        <v>77096634</v>
      </c>
      <c r="B1079" s="10">
        <v>42933</v>
      </c>
      <c r="C1079" s="11">
        <v>0.52500000000000002</v>
      </c>
      <c r="D1079" s="12">
        <v>0.53071759259259255</v>
      </c>
      <c r="E1079">
        <v>1</v>
      </c>
      <c r="G1079" s="18">
        <v>7766265</v>
      </c>
      <c r="H1079">
        <v>1</v>
      </c>
    </row>
    <row r="1080" spans="1:8" x14ac:dyDescent="0.35">
      <c r="A1080" s="5">
        <v>8041809</v>
      </c>
      <c r="B1080" s="6">
        <v>42933</v>
      </c>
      <c r="C1080" s="7">
        <v>0.52508101851851852</v>
      </c>
      <c r="D1080" s="8">
        <v>0.53238425925925925</v>
      </c>
      <c r="E1080">
        <v>1</v>
      </c>
      <c r="G1080" s="18">
        <v>7160339</v>
      </c>
      <c r="H1080">
        <v>1</v>
      </c>
    </row>
    <row r="1081" spans="1:8" x14ac:dyDescent="0.35">
      <c r="A1081" s="9">
        <v>6735390</v>
      </c>
      <c r="B1081" s="10">
        <v>42933</v>
      </c>
      <c r="C1081" s="11">
        <v>0.52612268518518523</v>
      </c>
      <c r="D1081" s="12">
        <v>0.52849537037037042</v>
      </c>
      <c r="E1081">
        <v>1</v>
      </c>
      <c r="G1081" s="18">
        <v>7769531</v>
      </c>
      <c r="H1081">
        <v>1</v>
      </c>
    </row>
    <row r="1082" spans="1:8" x14ac:dyDescent="0.35">
      <c r="A1082" s="5">
        <v>93811207</v>
      </c>
      <c r="B1082" s="6">
        <v>42933</v>
      </c>
      <c r="C1082" s="7">
        <v>0.52707175925925931</v>
      </c>
      <c r="D1082" s="8">
        <v>0.53460648148148149</v>
      </c>
      <c r="E1082">
        <v>1</v>
      </c>
      <c r="G1082" s="18">
        <v>7166411</v>
      </c>
      <c r="H1082">
        <v>1</v>
      </c>
    </row>
    <row r="1083" spans="1:8" x14ac:dyDescent="0.35">
      <c r="A1083" s="9">
        <v>8079505</v>
      </c>
      <c r="B1083" s="10">
        <v>42933</v>
      </c>
      <c r="C1083" s="11">
        <v>0.52788194444444447</v>
      </c>
      <c r="D1083" s="12">
        <v>0.52908564814814818</v>
      </c>
      <c r="E1083">
        <v>1</v>
      </c>
      <c r="G1083" s="18">
        <v>7779935</v>
      </c>
      <c r="H1083">
        <v>1</v>
      </c>
    </row>
    <row r="1084" spans="1:8" x14ac:dyDescent="0.35">
      <c r="A1084" s="5">
        <v>3348581</v>
      </c>
      <c r="B1084" s="6">
        <v>42933</v>
      </c>
      <c r="C1084" s="7">
        <v>0.53150462962962963</v>
      </c>
      <c r="D1084" s="8">
        <v>0.54208333333333336</v>
      </c>
      <c r="E1084">
        <v>1</v>
      </c>
      <c r="G1084" s="18">
        <v>7191598</v>
      </c>
      <c r="H1084">
        <v>1</v>
      </c>
    </row>
    <row r="1085" spans="1:8" x14ac:dyDescent="0.35">
      <c r="A1085" s="9">
        <v>13484133</v>
      </c>
      <c r="B1085" s="10">
        <v>42933</v>
      </c>
      <c r="C1085" s="11">
        <v>0.53174768518518523</v>
      </c>
      <c r="D1085" s="12">
        <v>0.53931712962962963</v>
      </c>
      <c r="E1085">
        <v>1</v>
      </c>
      <c r="G1085" s="18">
        <v>7792679</v>
      </c>
      <c r="H1085">
        <v>1</v>
      </c>
    </row>
    <row r="1086" spans="1:8" x14ac:dyDescent="0.35">
      <c r="A1086" s="5">
        <v>3017523</v>
      </c>
      <c r="B1086" s="6">
        <v>42933</v>
      </c>
      <c r="C1086" s="7">
        <v>0.53241898148148148</v>
      </c>
      <c r="D1086" s="8">
        <v>0.54011574074074076</v>
      </c>
      <c r="E1086">
        <v>1</v>
      </c>
      <c r="G1086" s="18">
        <v>7203715</v>
      </c>
      <c r="H1086">
        <v>1</v>
      </c>
    </row>
    <row r="1087" spans="1:8" x14ac:dyDescent="0.35">
      <c r="A1087" s="9">
        <v>5464497</v>
      </c>
      <c r="B1087" s="10">
        <v>42933</v>
      </c>
      <c r="C1087" s="11">
        <v>0.53608796296296302</v>
      </c>
      <c r="D1087" s="12">
        <v>0.53657407407407409</v>
      </c>
      <c r="E1087">
        <v>1</v>
      </c>
      <c r="G1087" s="18">
        <v>6345014</v>
      </c>
      <c r="H1087">
        <v>1</v>
      </c>
    </row>
    <row r="1088" spans="1:8" x14ac:dyDescent="0.35">
      <c r="A1088" s="5">
        <v>5744567</v>
      </c>
      <c r="B1088" s="6">
        <v>42933</v>
      </c>
      <c r="C1088" s="7">
        <v>0.54048611111111111</v>
      </c>
      <c r="D1088" s="8">
        <v>0.54954861111111108</v>
      </c>
      <c r="E1088">
        <v>1</v>
      </c>
      <c r="G1088" s="18">
        <v>7207066</v>
      </c>
      <c r="H1088">
        <v>1</v>
      </c>
    </row>
    <row r="1089" spans="1:8" x14ac:dyDescent="0.35">
      <c r="A1089" s="9">
        <v>5107477025</v>
      </c>
      <c r="B1089" s="10">
        <v>42933</v>
      </c>
      <c r="C1089" s="11">
        <v>0.54495370370370366</v>
      </c>
      <c r="D1089" s="12">
        <v>0.5471759259259259</v>
      </c>
      <c r="E1089">
        <v>1</v>
      </c>
      <c r="G1089" s="18">
        <v>7834807</v>
      </c>
      <c r="H1089">
        <v>1</v>
      </c>
    </row>
    <row r="1090" spans="1:8" x14ac:dyDescent="0.35">
      <c r="A1090" s="5">
        <v>1332884</v>
      </c>
      <c r="B1090" s="6">
        <v>42933</v>
      </c>
      <c r="C1090" s="7">
        <v>0.546412037037037</v>
      </c>
      <c r="D1090" s="8">
        <v>0.54829861111111111</v>
      </c>
      <c r="E1090">
        <v>1</v>
      </c>
      <c r="G1090" s="18">
        <v>7211782</v>
      </c>
      <c r="H1090">
        <v>1</v>
      </c>
    </row>
    <row r="1091" spans="1:8" x14ac:dyDescent="0.35">
      <c r="A1091" s="9">
        <v>38823305</v>
      </c>
      <c r="B1091" s="10">
        <v>42933</v>
      </c>
      <c r="C1091" s="11">
        <v>0.54907407407407405</v>
      </c>
      <c r="D1091" s="12">
        <v>0.55969907407407404</v>
      </c>
      <c r="E1091">
        <v>1</v>
      </c>
      <c r="G1091" s="18">
        <v>7841442</v>
      </c>
      <c r="H1091">
        <v>1</v>
      </c>
    </row>
    <row r="1092" spans="1:8" x14ac:dyDescent="0.35">
      <c r="A1092" s="5">
        <v>7160339</v>
      </c>
      <c r="B1092" s="6">
        <v>42933</v>
      </c>
      <c r="C1092" s="7">
        <v>0.55456018518518524</v>
      </c>
      <c r="D1092" s="8">
        <v>0.5642476851851852</v>
      </c>
      <c r="E1092">
        <v>1</v>
      </c>
      <c r="G1092" s="18">
        <v>6492842</v>
      </c>
      <c r="H1092">
        <v>1</v>
      </c>
    </row>
    <row r="1093" spans="1:8" x14ac:dyDescent="0.35">
      <c r="A1093" s="9">
        <v>43277353</v>
      </c>
      <c r="B1093" s="10">
        <v>42933</v>
      </c>
      <c r="C1093" s="11">
        <v>0.55519675925925926</v>
      </c>
      <c r="D1093" s="12">
        <v>0.55809027777777775</v>
      </c>
      <c r="E1093">
        <v>1</v>
      </c>
      <c r="G1093" s="18">
        <v>7857206</v>
      </c>
      <c r="H1093">
        <v>1</v>
      </c>
    </row>
    <row r="1094" spans="1:8" x14ac:dyDescent="0.35">
      <c r="A1094" s="5">
        <v>8749135</v>
      </c>
      <c r="B1094" s="6">
        <v>42933</v>
      </c>
      <c r="C1094" s="7">
        <v>0.56083333333333329</v>
      </c>
      <c r="D1094" s="8">
        <v>0.56415509259259256</v>
      </c>
      <c r="E1094">
        <v>1</v>
      </c>
      <c r="G1094" s="18">
        <v>7219884</v>
      </c>
      <c r="H1094">
        <v>1</v>
      </c>
    </row>
    <row r="1095" spans="1:8" x14ac:dyDescent="0.35">
      <c r="A1095" s="9">
        <v>16977213</v>
      </c>
      <c r="B1095" s="10">
        <v>42933</v>
      </c>
      <c r="C1095" s="11">
        <v>0.56462962962962959</v>
      </c>
      <c r="D1095" s="12">
        <v>0.56841435185185185</v>
      </c>
      <c r="E1095">
        <v>1</v>
      </c>
      <c r="G1095" s="18">
        <v>7865609</v>
      </c>
      <c r="H1095">
        <v>1</v>
      </c>
    </row>
    <row r="1096" spans="1:8" x14ac:dyDescent="0.35">
      <c r="A1096" s="5">
        <v>13221411</v>
      </c>
      <c r="B1096" s="6">
        <v>42933</v>
      </c>
      <c r="C1096" s="7">
        <v>0.56511574074074078</v>
      </c>
      <c r="D1096" s="8">
        <v>0.57498842592592592</v>
      </c>
      <c r="E1096">
        <v>1</v>
      </c>
      <c r="G1096" s="18">
        <v>7224275</v>
      </c>
      <c r="H1096">
        <v>1</v>
      </c>
    </row>
    <row r="1097" spans="1:8" x14ac:dyDescent="0.35">
      <c r="A1097" s="9">
        <v>2653312</v>
      </c>
      <c r="B1097" s="10">
        <v>42933</v>
      </c>
      <c r="C1097" s="11">
        <v>0.56893518518518515</v>
      </c>
      <c r="D1097" s="12">
        <v>0.57289351851851855</v>
      </c>
      <c r="E1097">
        <v>1</v>
      </c>
      <c r="G1097" s="18">
        <v>7880396</v>
      </c>
      <c r="H1097">
        <v>1</v>
      </c>
    </row>
    <row r="1098" spans="1:8" x14ac:dyDescent="0.35">
      <c r="A1098" s="5">
        <v>4187727</v>
      </c>
      <c r="B1098" s="6">
        <v>42933</v>
      </c>
      <c r="C1098" s="7">
        <v>0.57038194444444446</v>
      </c>
      <c r="D1098" s="8">
        <v>0.57341435185185186</v>
      </c>
      <c r="E1098">
        <v>1</v>
      </c>
      <c r="G1098" s="18">
        <v>7225111</v>
      </c>
      <c r="H1098">
        <v>1</v>
      </c>
    </row>
    <row r="1099" spans="1:8" x14ac:dyDescent="0.35">
      <c r="A1099" s="9">
        <v>4370146</v>
      </c>
      <c r="B1099" s="10">
        <v>42933</v>
      </c>
      <c r="C1099" s="11">
        <v>0.57170138888888888</v>
      </c>
      <c r="D1099" s="12">
        <v>0.58212962962962966</v>
      </c>
      <c r="E1099">
        <v>1</v>
      </c>
      <c r="G1099" s="18">
        <v>7883595</v>
      </c>
      <c r="H1099">
        <v>1</v>
      </c>
    </row>
    <row r="1100" spans="1:8" x14ac:dyDescent="0.35">
      <c r="A1100" s="5">
        <v>5725773</v>
      </c>
      <c r="B1100" s="6">
        <v>42933</v>
      </c>
      <c r="C1100" s="7">
        <v>0.57466435185185183</v>
      </c>
      <c r="D1100" s="8">
        <v>0.58538194444444447</v>
      </c>
      <c r="E1100">
        <v>1</v>
      </c>
      <c r="G1100" s="18">
        <v>7226610</v>
      </c>
      <c r="H1100">
        <v>1</v>
      </c>
    </row>
    <row r="1101" spans="1:8" x14ac:dyDescent="0.35">
      <c r="A1101" s="9">
        <v>6345014</v>
      </c>
      <c r="B1101" s="10">
        <v>42933</v>
      </c>
      <c r="C1101" s="11">
        <v>0.58010416666666664</v>
      </c>
      <c r="D1101" s="12">
        <v>0.58166666666666667</v>
      </c>
      <c r="E1101">
        <v>1</v>
      </c>
      <c r="G1101" s="18">
        <v>7896629</v>
      </c>
      <c r="H1101">
        <v>1</v>
      </c>
    </row>
    <row r="1102" spans="1:8" x14ac:dyDescent="0.35">
      <c r="A1102" s="5">
        <v>7507831</v>
      </c>
      <c r="B1102" s="6">
        <v>42933</v>
      </c>
      <c r="C1102" s="7">
        <v>0.58545138888888892</v>
      </c>
      <c r="D1102" s="8">
        <v>0.59214120370370371</v>
      </c>
      <c r="E1102">
        <v>1</v>
      </c>
      <c r="G1102" s="18">
        <v>7230252</v>
      </c>
      <c r="H1102">
        <v>1</v>
      </c>
    </row>
    <row r="1103" spans="1:8" x14ac:dyDescent="0.35">
      <c r="A1103" s="9">
        <v>1198407</v>
      </c>
      <c r="B1103" s="10">
        <v>42933</v>
      </c>
      <c r="C1103" s="11">
        <v>0.59004629629629635</v>
      </c>
      <c r="D1103" s="12">
        <v>0.59799768518518515</v>
      </c>
      <c r="E1103">
        <v>1</v>
      </c>
      <c r="G1103" s="18">
        <v>6384230</v>
      </c>
      <c r="H1103">
        <v>1</v>
      </c>
    </row>
    <row r="1104" spans="1:8" x14ac:dyDescent="0.35">
      <c r="A1104" s="5">
        <v>4055319</v>
      </c>
      <c r="B1104" s="6">
        <v>42933</v>
      </c>
      <c r="C1104" s="7">
        <v>0.59471064814814811</v>
      </c>
      <c r="D1104" s="8">
        <v>0.60624999999999996</v>
      </c>
      <c r="E1104">
        <v>1</v>
      </c>
      <c r="G1104" s="18">
        <v>8159788</v>
      </c>
      <c r="H1104">
        <v>1</v>
      </c>
    </row>
    <row r="1105" spans="1:8" x14ac:dyDescent="0.35">
      <c r="A1105" s="9">
        <v>70730125</v>
      </c>
      <c r="B1105" s="10">
        <v>42933</v>
      </c>
      <c r="C1105" s="11">
        <v>0.59578703703703706</v>
      </c>
      <c r="D1105" s="12">
        <v>0.59671296296296295</v>
      </c>
      <c r="E1105">
        <v>1</v>
      </c>
      <c r="G1105" s="18">
        <v>7918038</v>
      </c>
      <c r="H1105">
        <v>1</v>
      </c>
    </row>
    <row r="1106" spans="1:8" x14ac:dyDescent="0.35">
      <c r="A1106" s="5">
        <v>45158089</v>
      </c>
      <c r="B1106" s="6">
        <v>42933</v>
      </c>
      <c r="C1106" s="7">
        <v>0.5962615740740741</v>
      </c>
      <c r="D1106" s="8">
        <v>0.59780092592592593</v>
      </c>
      <c r="E1106">
        <v>1</v>
      </c>
      <c r="G1106" s="18">
        <v>6493406</v>
      </c>
      <c r="H1106">
        <v>1</v>
      </c>
    </row>
    <row r="1107" spans="1:8" x14ac:dyDescent="0.35">
      <c r="A1107" s="9">
        <v>8159631</v>
      </c>
      <c r="B1107" s="10">
        <v>42933</v>
      </c>
      <c r="C1107" s="11">
        <v>0.59650462962962958</v>
      </c>
      <c r="D1107" s="12">
        <v>0.60144675925925928</v>
      </c>
      <c r="E1107">
        <v>1</v>
      </c>
      <c r="G1107" s="18">
        <v>6552755</v>
      </c>
      <c r="H1107">
        <v>1</v>
      </c>
    </row>
    <row r="1108" spans="1:8" x14ac:dyDescent="0.35">
      <c r="A1108" s="5">
        <v>2645518</v>
      </c>
      <c r="B1108" s="6">
        <v>42933</v>
      </c>
      <c r="C1108" s="7">
        <v>0.60025462962962961</v>
      </c>
      <c r="D1108" s="8">
        <v>0.60699074074074078</v>
      </c>
      <c r="E1108">
        <v>1</v>
      </c>
      <c r="G1108" s="18">
        <v>7273239</v>
      </c>
      <c r="H1108">
        <v>1</v>
      </c>
    </row>
    <row r="1109" spans="1:8" x14ac:dyDescent="0.35">
      <c r="A1109" s="9">
        <v>5199929</v>
      </c>
      <c r="B1109" s="10">
        <v>42933</v>
      </c>
      <c r="C1109" s="11">
        <v>0.60083333333333333</v>
      </c>
      <c r="D1109" s="12">
        <v>0.60971064814814813</v>
      </c>
      <c r="E1109">
        <v>1</v>
      </c>
      <c r="G1109" s="18">
        <v>7972076</v>
      </c>
      <c r="H1109">
        <v>1</v>
      </c>
    </row>
    <row r="1110" spans="1:8" x14ac:dyDescent="0.35">
      <c r="A1110" s="5">
        <v>4039284</v>
      </c>
      <c r="B1110" s="6">
        <v>42933</v>
      </c>
      <c r="C1110" s="7">
        <v>0.6021643518518518</v>
      </c>
      <c r="D1110" s="8">
        <v>0.60636574074074079</v>
      </c>
      <c r="E1110">
        <v>1</v>
      </c>
      <c r="G1110" s="18">
        <v>6357818</v>
      </c>
      <c r="H1110">
        <v>1</v>
      </c>
    </row>
    <row r="1111" spans="1:8" x14ac:dyDescent="0.35">
      <c r="A1111" s="9">
        <v>1431491</v>
      </c>
      <c r="B1111" s="10">
        <v>42933</v>
      </c>
      <c r="C1111" s="11">
        <v>0.60495370370370372</v>
      </c>
      <c r="D1111" s="12">
        <v>0.61153935185185182</v>
      </c>
      <c r="E1111">
        <v>1</v>
      </c>
      <c r="G1111" s="18">
        <v>7973476</v>
      </c>
      <c r="H1111">
        <v>1</v>
      </c>
    </row>
    <row r="1112" spans="1:8" x14ac:dyDescent="0.35">
      <c r="A1112" s="5">
        <v>39848401</v>
      </c>
      <c r="B1112" s="6">
        <v>42933</v>
      </c>
      <c r="C1112" s="7">
        <v>0.60783564814814817</v>
      </c>
      <c r="D1112" s="8">
        <v>0.60846064814814815</v>
      </c>
      <c r="E1112">
        <v>1</v>
      </c>
      <c r="G1112" s="18">
        <v>7279106</v>
      </c>
      <c r="H1112">
        <v>1</v>
      </c>
    </row>
    <row r="1113" spans="1:8" x14ac:dyDescent="0.35">
      <c r="A1113" s="9">
        <v>9225807</v>
      </c>
      <c r="B1113" s="10">
        <v>42933</v>
      </c>
      <c r="C1113" s="11">
        <v>0.61261574074074077</v>
      </c>
      <c r="D1113" s="12">
        <v>0.62048611111111107</v>
      </c>
      <c r="E1113">
        <v>1</v>
      </c>
      <c r="G1113" s="18">
        <v>7977726</v>
      </c>
      <c r="H1113">
        <v>1</v>
      </c>
    </row>
    <row r="1114" spans="1:8" x14ac:dyDescent="0.35">
      <c r="A1114" s="5">
        <v>7986409</v>
      </c>
      <c r="B1114" s="6">
        <v>42933</v>
      </c>
      <c r="C1114" s="7">
        <v>0.61473379629629632</v>
      </c>
      <c r="D1114" s="8">
        <v>0.61660879629629628</v>
      </c>
      <c r="E1114">
        <v>1</v>
      </c>
      <c r="G1114" s="18">
        <v>7288626</v>
      </c>
      <c r="H1114">
        <v>1</v>
      </c>
    </row>
    <row r="1115" spans="1:8" x14ac:dyDescent="0.35">
      <c r="A1115" s="9">
        <v>54554135</v>
      </c>
      <c r="B1115" s="10">
        <v>42933</v>
      </c>
      <c r="C1115" s="11">
        <v>0.61943287037037043</v>
      </c>
      <c r="D1115" s="12">
        <v>0.62100694444444449</v>
      </c>
      <c r="E1115">
        <v>1</v>
      </c>
      <c r="G1115" s="18">
        <v>7980513</v>
      </c>
      <c r="H1115">
        <v>1</v>
      </c>
    </row>
    <row r="1116" spans="1:8" x14ac:dyDescent="0.35">
      <c r="A1116" s="5">
        <v>1263080</v>
      </c>
      <c r="B1116" s="6">
        <v>42933</v>
      </c>
      <c r="C1116" s="7">
        <v>0.62292824074074071</v>
      </c>
      <c r="D1116" s="8">
        <v>0.63358796296296294</v>
      </c>
      <c r="E1116">
        <v>1</v>
      </c>
      <c r="G1116" s="18">
        <v>7291318</v>
      </c>
      <c r="H1116">
        <v>1</v>
      </c>
    </row>
    <row r="1117" spans="1:8" x14ac:dyDescent="0.35">
      <c r="A1117" s="9">
        <v>97953696</v>
      </c>
      <c r="B1117" s="10">
        <v>42933</v>
      </c>
      <c r="C1117" s="11">
        <v>0.62657407407407406</v>
      </c>
      <c r="D1117" s="12">
        <v>0.62818287037037035</v>
      </c>
      <c r="E1117">
        <v>1</v>
      </c>
      <c r="G1117" s="18">
        <v>7988607</v>
      </c>
      <c r="H1117">
        <v>1</v>
      </c>
    </row>
    <row r="1118" spans="1:8" x14ac:dyDescent="0.35">
      <c r="A1118" s="5">
        <v>9772824</v>
      </c>
      <c r="B1118" s="6">
        <v>42934</v>
      </c>
      <c r="C1118" s="7">
        <v>0.33355324074074072</v>
      </c>
      <c r="D1118" s="8">
        <v>0.33859953703703705</v>
      </c>
      <c r="E1118">
        <v>1</v>
      </c>
      <c r="G1118" s="18">
        <v>7292887</v>
      </c>
      <c r="H1118">
        <v>1</v>
      </c>
    </row>
    <row r="1119" spans="1:8" x14ac:dyDescent="0.35">
      <c r="A1119" s="9">
        <v>1157434</v>
      </c>
      <c r="B1119" s="10">
        <v>42934</v>
      </c>
      <c r="C1119" s="11">
        <v>0.33582175925925928</v>
      </c>
      <c r="D1119" s="12">
        <v>0.34681712962962963</v>
      </c>
      <c r="E1119">
        <v>1</v>
      </c>
      <c r="G1119" s="18">
        <v>8001915</v>
      </c>
      <c r="H1119">
        <v>1</v>
      </c>
    </row>
    <row r="1120" spans="1:8" x14ac:dyDescent="0.35">
      <c r="A1120" s="5">
        <v>8799928507</v>
      </c>
      <c r="B1120" s="6">
        <v>42934</v>
      </c>
      <c r="C1120" s="7">
        <v>0.34134259259259259</v>
      </c>
      <c r="D1120" s="8">
        <v>0.34931712962962963</v>
      </c>
      <c r="E1120">
        <v>1</v>
      </c>
      <c r="G1120" s="18">
        <v>7295667</v>
      </c>
      <c r="H1120">
        <v>1</v>
      </c>
    </row>
    <row r="1121" spans="1:8" x14ac:dyDescent="0.35">
      <c r="A1121" s="9">
        <v>5372891</v>
      </c>
      <c r="B1121" s="10">
        <v>42934</v>
      </c>
      <c r="C1121" s="11">
        <v>0.34586805555555555</v>
      </c>
      <c r="D1121" s="12">
        <v>0.34684027777777776</v>
      </c>
      <c r="E1121">
        <v>1</v>
      </c>
      <c r="G1121" s="18">
        <v>8023179</v>
      </c>
      <c r="H1121">
        <v>1</v>
      </c>
    </row>
    <row r="1122" spans="1:8" x14ac:dyDescent="0.35">
      <c r="A1122" s="5">
        <v>2663800</v>
      </c>
      <c r="B1122" s="6">
        <v>42934</v>
      </c>
      <c r="C1122" s="7">
        <v>0.35076388888888888</v>
      </c>
      <c r="D1122" s="8">
        <v>0.35863425925925924</v>
      </c>
      <c r="E1122">
        <v>1</v>
      </c>
      <c r="G1122" s="18">
        <v>7320123</v>
      </c>
      <c r="H1122">
        <v>1</v>
      </c>
    </row>
    <row r="1123" spans="1:8" x14ac:dyDescent="0.35">
      <c r="A1123" s="9">
        <v>32779069</v>
      </c>
      <c r="B1123" s="10">
        <v>42934</v>
      </c>
      <c r="C1123" s="11">
        <v>0.35430555555555554</v>
      </c>
      <c r="D1123" s="12">
        <v>0.36318287037037039</v>
      </c>
      <c r="E1123">
        <v>1</v>
      </c>
      <c r="G1123" s="18">
        <v>8028777</v>
      </c>
      <c r="H1123">
        <v>1</v>
      </c>
    </row>
    <row r="1124" spans="1:8" x14ac:dyDescent="0.35">
      <c r="A1124" s="5">
        <v>8261808</v>
      </c>
      <c r="B1124" s="6">
        <v>42934</v>
      </c>
      <c r="C1124" s="7">
        <v>0.35718749999999999</v>
      </c>
      <c r="D1124" s="8">
        <v>0.36684027777777778</v>
      </c>
      <c r="E1124">
        <v>1</v>
      </c>
      <c r="G1124" s="18">
        <v>7321543</v>
      </c>
      <c r="H1124">
        <v>1</v>
      </c>
    </row>
    <row r="1125" spans="1:8" x14ac:dyDescent="0.35">
      <c r="A1125" s="9">
        <v>7321543</v>
      </c>
      <c r="B1125" s="10">
        <v>42934</v>
      </c>
      <c r="C1125" s="11">
        <v>0.36151620370370369</v>
      </c>
      <c r="D1125" s="12">
        <v>0.3712037037037037</v>
      </c>
      <c r="E1125">
        <v>1</v>
      </c>
      <c r="G1125" s="18">
        <v>8049834</v>
      </c>
      <c r="H1125">
        <v>1</v>
      </c>
    </row>
    <row r="1126" spans="1:8" x14ac:dyDescent="0.35">
      <c r="A1126" s="5">
        <v>7513392</v>
      </c>
      <c r="B1126" s="6">
        <v>42934</v>
      </c>
      <c r="C1126" s="7">
        <v>0.36421296296296296</v>
      </c>
      <c r="D1126" s="8">
        <v>0.36640046296296297</v>
      </c>
      <c r="E1126">
        <v>1</v>
      </c>
      <c r="G1126" s="18">
        <v>7322741</v>
      </c>
      <c r="H1126">
        <v>1</v>
      </c>
    </row>
    <row r="1127" spans="1:8" x14ac:dyDescent="0.35">
      <c r="A1127" s="9">
        <v>77036136</v>
      </c>
      <c r="B1127" s="10">
        <v>42934</v>
      </c>
      <c r="C1127" s="11">
        <v>0.36937500000000001</v>
      </c>
      <c r="D1127" s="12">
        <v>0.37585648148148149</v>
      </c>
      <c r="E1127">
        <v>1</v>
      </c>
      <c r="G1127" s="18">
        <v>8060169</v>
      </c>
      <c r="H1127">
        <v>1</v>
      </c>
    </row>
    <row r="1128" spans="1:8" x14ac:dyDescent="0.35">
      <c r="A1128" s="5">
        <v>1700508</v>
      </c>
      <c r="B1128" s="6">
        <v>42934</v>
      </c>
      <c r="C1128" s="7">
        <v>0.37179398148148146</v>
      </c>
      <c r="D1128" s="8">
        <v>0.3828125</v>
      </c>
      <c r="E1128">
        <v>1</v>
      </c>
      <c r="G1128" s="18">
        <v>7340326</v>
      </c>
      <c r="H1128">
        <v>1</v>
      </c>
    </row>
    <row r="1129" spans="1:8" x14ac:dyDescent="0.35">
      <c r="A1129" s="9">
        <v>7872182</v>
      </c>
      <c r="B1129" s="10">
        <v>42934</v>
      </c>
      <c r="C1129" s="11">
        <v>0.3772800925925926</v>
      </c>
      <c r="D1129" s="12">
        <v>0.3837962962962963</v>
      </c>
      <c r="E1129">
        <v>1</v>
      </c>
      <c r="G1129" s="18">
        <v>8070345</v>
      </c>
      <c r="H1129">
        <v>1</v>
      </c>
    </row>
    <row r="1130" spans="1:8" x14ac:dyDescent="0.35">
      <c r="A1130" s="5">
        <v>84513035</v>
      </c>
      <c r="B1130" s="6">
        <v>42934</v>
      </c>
      <c r="C1130" s="7">
        <v>0.38017361111111109</v>
      </c>
      <c r="D1130" s="8">
        <v>0.38291666666666668</v>
      </c>
      <c r="E1130">
        <v>1</v>
      </c>
      <c r="G1130" s="18">
        <v>6493766</v>
      </c>
      <c r="H1130">
        <v>1</v>
      </c>
    </row>
    <row r="1131" spans="1:8" x14ac:dyDescent="0.35">
      <c r="A1131" s="9">
        <v>1775586</v>
      </c>
      <c r="B1131" s="10">
        <v>42934</v>
      </c>
      <c r="C1131" s="11">
        <v>0.38452546296296297</v>
      </c>
      <c r="D1131" s="12">
        <v>0.38978009259259261</v>
      </c>
      <c r="E1131">
        <v>1</v>
      </c>
      <c r="G1131" s="18">
        <v>6578914</v>
      </c>
      <c r="H1131">
        <v>1</v>
      </c>
    </row>
    <row r="1132" spans="1:8" x14ac:dyDescent="0.35">
      <c r="A1132" s="5">
        <v>1225082</v>
      </c>
      <c r="B1132" s="6">
        <v>42934</v>
      </c>
      <c r="C1132" s="7">
        <v>0.38516203703703705</v>
      </c>
      <c r="D1132" s="8">
        <v>0.38653935185185184</v>
      </c>
      <c r="E1132">
        <v>1</v>
      </c>
      <c r="G1132" s="18">
        <v>7362963</v>
      </c>
      <c r="H1132">
        <v>1</v>
      </c>
    </row>
    <row r="1133" spans="1:8" x14ac:dyDescent="0.35">
      <c r="A1133" s="9">
        <v>1586675</v>
      </c>
      <c r="B1133" s="10">
        <v>42934</v>
      </c>
      <c r="C1133" s="11">
        <v>0.39093749999999999</v>
      </c>
      <c r="D1133" s="12">
        <v>0.39787037037037037</v>
      </c>
      <c r="E1133">
        <v>1</v>
      </c>
      <c r="G1133" s="18">
        <v>8130722</v>
      </c>
      <c r="H1133">
        <v>1</v>
      </c>
    </row>
    <row r="1134" spans="1:8" x14ac:dyDescent="0.35">
      <c r="A1134" s="5">
        <v>2672229</v>
      </c>
      <c r="B1134" s="6">
        <v>42934</v>
      </c>
      <c r="C1134" s="7">
        <v>0.39552083333333332</v>
      </c>
      <c r="D1134" s="8">
        <v>0.4007175925925926</v>
      </c>
      <c r="E1134">
        <v>1</v>
      </c>
      <c r="G1134" s="18">
        <v>7364500</v>
      </c>
      <c r="H1134">
        <v>1</v>
      </c>
    </row>
    <row r="1135" spans="1:8" x14ac:dyDescent="0.35">
      <c r="A1135" s="9">
        <v>2443869</v>
      </c>
      <c r="B1135" s="10">
        <v>42934</v>
      </c>
      <c r="C1135" s="11">
        <v>0.39964120370370371</v>
      </c>
      <c r="D1135" s="12">
        <v>0.4074652777777778</v>
      </c>
      <c r="E1135">
        <v>1</v>
      </c>
      <c r="G1135" s="18">
        <v>8135542</v>
      </c>
      <c r="H1135">
        <v>1</v>
      </c>
    </row>
    <row r="1136" spans="1:8" x14ac:dyDescent="0.35">
      <c r="A1136" s="5">
        <v>7166411</v>
      </c>
      <c r="B1136" s="6">
        <v>42934</v>
      </c>
      <c r="C1136" s="7">
        <v>0.40263888888888888</v>
      </c>
      <c r="D1136" s="8">
        <v>0.40846064814814814</v>
      </c>
      <c r="E1136">
        <v>1</v>
      </c>
      <c r="G1136" s="18">
        <v>6495153</v>
      </c>
      <c r="H1136">
        <v>1</v>
      </c>
    </row>
    <row r="1137" spans="1:8" x14ac:dyDescent="0.35">
      <c r="A1137" s="9">
        <v>4657345</v>
      </c>
      <c r="B1137" s="10">
        <v>42934</v>
      </c>
      <c r="C1137" s="11">
        <v>0.40328703703703705</v>
      </c>
      <c r="D1137" s="12">
        <v>0.4140625</v>
      </c>
      <c r="E1137">
        <v>1</v>
      </c>
      <c r="G1137" s="18">
        <v>8150086</v>
      </c>
      <c r="H1137">
        <v>1</v>
      </c>
    </row>
    <row r="1138" spans="1:8" x14ac:dyDescent="0.35">
      <c r="A1138" s="5">
        <v>6070329</v>
      </c>
      <c r="B1138" s="6">
        <v>42934</v>
      </c>
      <c r="C1138" s="7">
        <v>0.40337962962962964</v>
      </c>
      <c r="D1138" s="8">
        <v>0.41432870370370373</v>
      </c>
      <c r="E1138">
        <v>1</v>
      </c>
      <c r="G1138" s="18">
        <v>7379567</v>
      </c>
      <c r="H1138">
        <v>1</v>
      </c>
    </row>
    <row r="1139" spans="1:8" x14ac:dyDescent="0.35">
      <c r="A1139" s="9">
        <v>4845362</v>
      </c>
      <c r="B1139" s="10">
        <v>42934</v>
      </c>
      <c r="C1139" s="11">
        <v>0.4034490740740741</v>
      </c>
      <c r="D1139" s="12">
        <v>0.40371527777777777</v>
      </c>
      <c r="E1139">
        <v>1</v>
      </c>
      <c r="G1139" s="18">
        <v>8159466</v>
      </c>
      <c r="H1139">
        <v>1</v>
      </c>
    </row>
    <row r="1140" spans="1:8" x14ac:dyDescent="0.35">
      <c r="A1140" s="5">
        <v>6333341</v>
      </c>
      <c r="B1140" s="6">
        <v>42934</v>
      </c>
      <c r="C1140" s="7">
        <v>0.40690972222222221</v>
      </c>
      <c r="D1140" s="8">
        <v>0.4103472222222222</v>
      </c>
      <c r="E1140">
        <v>1</v>
      </c>
      <c r="G1140" s="18">
        <v>7384686</v>
      </c>
      <c r="H1140">
        <v>1</v>
      </c>
    </row>
    <row r="1141" spans="1:8" x14ac:dyDescent="0.35">
      <c r="A1141" s="9">
        <v>5060909</v>
      </c>
      <c r="B1141" s="10">
        <v>42934</v>
      </c>
      <c r="C1141" s="11">
        <v>0.40699074074074076</v>
      </c>
      <c r="D1141" s="12">
        <v>0.41368055555555555</v>
      </c>
      <c r="E1141">
        <v>1</v>
      </c>
      <c r="G1141" s="18">
        <v>6607648</v>
      </c>
      <c r="H1141">
        <v>1</v>
      </c>
    </row>
    <row r="1142" spans="1:8" x14ac:dyDescent="0.35">
      <c r="A1142" s="5">
        <v>4673703944</v>
      </c>
      <c r="B1142" s="6">
        <v>42934</v>
      </c>
      <c r="C1142" s="7">
        <v>0.40822916666666664</v>
      </c>
      <c r="D1142" s="8">
        <v>0.41090277777777778</v>
      </c>
      <c r="E1142">
        <v>1</v>
      </c>
      <c r="G1142" s="18">
        <v>7388260</v>
      </c>
      <c r="H1142">
        <v>1</v>
      </c>
    </row>
    <row r="1143" spans="1:8" x14ac:dyDescent="0.35">
      <c r="A1143" s="9">
        <v>3178616</v>
      </c>
      <c r="B1143" s="10">
        <v>42934</v>
      </c>
      <c r="C1143" s="11">
        <v>0.40974537037037034</v>
      </c>
      <c r="D1143" s="12">
        <v>0.41177083333333331</v>
      </c>
      <c r="E1143">
        <v>1</v>
      </c>
      <c r="G1143" s="18">
        <v>6326108</v>
      </c>
      <c r="H1143">
        <v>1</v>
      </c>
    </row>
    <row r="1144" spans="1:8" x14ac:dyDescent="0.35">
      <c r="A1144" s="5">
        <v>2079170589</v>
      </c>
      <c r="B1144" s="6">
        <v>42934</v>
      </c>
      <c r="C1144" s="7">
        <v>0.41120370370370368</v>
      </c>
      <c r="D1144" s="8">
        <v>0.41769675925925925</v>
      </c>
      <c r="E1144">
        <v>1</v>
      </c>
      <c r="G1144" s="18">
        <v>7269536</v>
      </c>
      <c r="H1144">
        <v>1</v>
      </c>
    </row>
    <row r="1145" spans="1:8" x14ac:dyDescent="0.35">
      <c r="A1145" s="9">
        <v>9815754</v>
      </c>
      <c r="B1145" s="10">
        <v>42934</v>
      </c>
      <c r="C1145" s="11">
        <v>0.41260416666666666</v>
      </c>
      <c r="D1145" s="12">
        <v>0.41688657407407409</v>
      </c>
      <c r="E1145">
        <v>1</v>
      </c>
      <c r="G1145" s="18">
        <v>5631380</v>
      </c>
      <c r="H1145">
        <v>1</v>
      </c>
    </row>
    <row r="1146" spans="1:8" x14ac:dyDescent="0.35">
      <c r="A1146" s="5">
        <v>4111617</v>
      </c>
      <c r="B1146" s="6">
        <v>42934</v>
      </c>
      <c r="C1146" s="7">
        <v>0.41450231481481481</v>
      </c>
      <c r="D1146" s="8">
        <v>0.41574074074074074</v>
      </c>
      <c r="E1146">
        <v>1</v>
      </c>
      <c r="G1146" s="18">
        <v>6050570</v>
      </c>
      <c r="H1146">
        <v>1</v>
      </c>
    </row>
    <row r="1147" spans="1:8" x14ac:dyDescent="0.35">
      <c r="A1147" s="9">
        <v>1117628</v>
      </c>
      <c r="B1147" s="10">
        <v>42934</v>
      </c>
      <c r="C1147" s="11">
        <v>0.41652777777777777</v>
      </c>
      <c r="D1147" s="12">
        <v>0.42443287037037036</v>
      </c>
      <c r="E1147">
        <v>1</v>
      </c>
      <c r="G1147" s="18">
        <v>5881130</v>
      </c>
      <c r="H1147">
        <v>1</v>
      </c>
    </row>
    <row r="1148" spans="1:8" x14ac:dyDescent="0.35">
      <c r="A1148" s="5">
        <v>5487496</v>
      </c>
      <c r="B1148" s="6">
        <v>42934</v>
      </c>
      <c r="C1148" s="7">
        <v>0.42114583333333333</v>
      </c>
      <c r="D1148" s="8">
        <v>0.4230902777777778</v>
      </c>
      <c r="E1148">
        <v>1</v>
      </c>
      <c r="G1148" s="18">
        <v>4726561</v>
      </c>
      <c r="H1148">
        <v>1</v>
      </c>
    </row>
    <row r="1149" spans="1:8" x14ac:dyDescent="0.35">
      <c r="A1149" s="9">
        <v>1472682</v>
      </c>
      <c r="B1149" s="10">
        <v>42934</v>
      </c>
      <c r="C1149" s="11">
        <v>0.42533564814814817</v>
      </c>
      <c r="D1149" s="12">
        <v>0.43167824074074074</v>
      </c>
      <c r="E1149">
        <v>1</v>
      </c>
      <c r="G1149" s="18">
        <v>6290575</v>
      </c>
      <c r="H1149">
        <v>1</v>
      </c>
    </row>
    <row r="1150" spans="1:8" x14ac:dyDescent="0.35">
      <c r="A1150" s="5">
        <v>43885630</v>
      </c>
      <c r="B1150" s="6">
        <v>42934</v>
      </c>
      <c r="C1150" s="7">
        <v>0.42988425925925927</v>
      </c>
      <c r="D1150" s="8">
        <v>0.43424768518518519</v>
      </c>
      <c r="E1150">
        <v>1</v>
      </c>
      <c r="G1150" s="18">
        <v>4736016</v>
      </c>
      <c r="H1150">
        <v>1</v>
      </c>
    </row>
    <row r="1151" spans="1:8" x14ac:dyDescent="0.35">
      <c r="A1151" s="9">
        <v>5543741</v>
      </c>
      <c r="B1151" s="10">
        <v>42934</v>
      </c>
      <c r="C1151" s="11">
        <v>0.42997685185185186</v>
      </c>
      <c r="D1151" s="12">
        <v>0.43590277777777775</v>
      </c>
      <c r="E1151">
        <v>1</v>
      </c>
      <c r="G1151" s="18">
        <v>5758962</v>
      </c>
      <c r="H1151">
        <v>1</v>
      </c>
    </row>
    <row r="1152" spans="1:8" x14ac:dyDescent="0.35">
      <c r="A1152" s="5">
        <v>2590674</v>
      </c>
      <c r="B1152" s="6">
        <v>42934</v>
      </c>
      <c r="C1152" s="7">
        <v>0.43025462962962963</v>
      </c>
      <c r="D1152" s="8">
        <v>0.43677083333333333</v>
      </c>
      <c r="E1152">
        <v>1</v>
      </c>
      <c r="G1152" s="18">
        <v>4526057</v>
      </c>
      <c r="H1152">
        <v>1</v>
      </c>
    </row>
    <row r="1153" spans="1:8" x14ac:dyDescent="0.35">
      <c r="A1153" s="9">
        <v>4212838</v>
      </c>
      <c r="B1153" s="10">
        <v>42934</v>
      </c>
      <c r="C1153" s="11">
        <v>0.43420138888888887</v>
      </c>
      <c r="D1153" s="12">
        <v>0.43973379629629628</v>
      </c>
      <c r="E1153">
        <v>1</v>
      </c>
      <c r="G1153" s="18">
        <v>5991516</v>
      </c>
      <c r="H1153">
        <v>1</v>
      </c>
    </row>
    <row r="1154" spans="1:8" x14ac:dyDescent="0.35">
      <c r="A1154" s="5">
        <v>7836418</v>
      </c>
      <c r="B1154" s="6">
        <v>42934</v>
      </c>
      <c r="C1154" s="7">
        <v>0.4354513888888889</v>
      </c>
      <c r="D1154" s="8">
        <v>0.43745370370370368</v>
      </c>
      <c r="E1154">
        <v>1</v>
      </c>
      <c r="G1154" s="18">
        <v>4759206</v>
      </c>
      <c r="H1154">
        <v>1</v>
      </c>
    </row>
    <row r="1155" spans="1:8" x14ac:dyDescent="0.35">
      <c r="A1155" s="9">
        <v>2844911</v>
      </c>
      <c r="B1155" s="10">
        <v>42934</v>
      </c>
      <c r="C1155" s="11">
        <v>0.43821759259259258</v>
      </c>
      <c r="D1155" s="12">
        <v>0.44969907407407406</v>
      </c>
      <c r="E1155">
        <v>1</v>
      </c>
      <c r="G1155" s="18">
        <v>6156594</v>
      </c>
      <c r="H1155">
        <v>1</v>
      </c>
    </row>
    <row r="1156" spans="1:8" x14ac:dyDescent="0.35">
      <c r="A1156" s="5">
        <v>2861766</v>
      </c>
      <c r="B1156" s="6">
        <v>42934</v>
      </c>
      <c r="C1156" s="7">
        <v>0.4403125</v>
      </c>
      <c r="D1156" s="8">
        <v>0.4490972222222222</v>
      </c>
      <c r="E1156">
        <v>1</v>
      </c>
      <c r="G1156" s="18">
        <v>4767842</v>
      </c>
      <c r="H1156">
        <v>1</v>
      </c>
    </row>
    <row r="1157" spans="1:8" x14ac:dyDescent="0.35">
      <c r="A1157" s="9">
        <v>9655946</v>
      </c>
      <c r="B1157" s="10">
        <v>42934</v>
      </c>
      <c r="C1157" s="11">
        <v>0.44385416666666666</v>
      </c>
      <c r="D1157" s="12">
        <v>0.45193287037037039</v>
      </c>
      <c r="E1157">
        <v>1</v>
      </c>
      <c r="G1157" s="18">
        <v>5543741</v>
      </c>
      <c r="H1157">
        <v>1</v>
      </c>
    </row>
    <row r="1158" spans="1:8" x14ac:dyDescent="0.35">
      <c r="A1158" s="5">
        <v>6050570</v>
      </c>
      <c r="B1158" s="6">
        <v>42934</v>
      </c>
      <c r="C1158" s="7">
        <v>0.44744212962962965</v>
      </c>
      <c r="D1158" s="8">
        <v>0.45751157407407406</v>
      </c>
      <c r="E1158">
        <v>1</v>
      </c>
      <c r="G1158" s="18">
        <v>4774889</v>
      </c>
      <c r="H1158">
        <v>1</v>
      </c>
    </row>
    <row r="1159" spans="1:8" x14ac:dyDescent="0.35">
      <c r="A1159" s="9">
        <v>1607422</v>
      </c>
      <c r="B1159" s="10">
        <v>42934</v>
      </c>
      <c r="C1159" s="11">
        <v>0.45238425925925924</v>
      </c>
      <c r="D1159" s="12">
        <v>0.45937499999999998</v>
      </c>
      <c r="E1159">
        <v>1</v>
      </c>
      <c r="G1159" s="18">
        <v>5725773</v>
      </c>
      <c r="H1159">
        <v>1</v>
      </c>
    </row>
    <row r="1160" spans="1:8" x14ac:dyDescent="0.35">
      <c r="A1160" s="5">
        <v>1192412</v>
      </c>
      <c r="B1160" s="6">
        <v>42934</v>
      </c>
      <c r="C1160" s="7">
        <v>0.45417824074074076</v>
      </c>
      <c r="D1160" s="8">
        <v>0.46438657407407408</v>
      </c>
      <c r="E1160">
        <v>1</v>
      </c>
      <c r="G1160" s="18">
        <v>4785864</v>
      </c>
      <c r="H1160">
        <v>1</v>
      </c>
    </row>
    <row r="1161" spans="1:8" x14ac:dyDescent="0.35">
      <c r="A1161" s="9">
        <v>4959551431</v>
      </c>
      <c r="B1161" s="10">
        <v>42934</v>
      </c>
      <c r="C1161" s="11">
        <v>0.45437499999999997</v>
      </c>
      <c r="D1161" s="12">
        <v>0.45770833333333333</v>
      </c>
      <c r="E1161">
        <v>1</v>
      </c>
      <c r="G1161" s="18">
        <v>5822881</v>
      </c>
      <c r="H1161">
        <v>1</v>
      </c>
    </row>
    <row r="1162" spans="1:8" x14ac:dyDescent="0.35">
      <c r="A1162" s="5">
        <v>9808221</v>
      </c>
      <c r="B1162" s="6">
        <v>42934</v>
      </c>
      <c r="C1162" s="7">
        <v>0.45680555555555558</v>
      </c>
      <c r="D1162" s="8">
        <v>0.4636689814814815</v>
      </c>
      <c r="E1162">
        <v>1</v>
      </c>
      <c r="G1162" s="18">
        <v>4787793</v>
      </c>
      <c r="H1162">
        <v>1</v>
      </c>
    </row>
    <row r="1163" spans="1:8" x14ac:dyDescent="0.35">
      <c r="A1163" s="9">
        <v>8672623</v>
      </c>
      <c r="B1163" s="10">
        <v>42934</v>
      </c>
      <c r="C1163" s="11">
        <v>0.45947916666666666</v>
      </c>
      <c r="D1163" s="12">
        <v>0.46460648148148148</v>
      </c>
      <c r="E1163">
        <v>1</v>
      </c>
      <c r="G1163" s="18">
        <v>5913571</v>
      </c>
      <c r="H1163">
        <v>1</v>
      </c>
    </row>
    <row r="1164" spans="1:8" x14ac:dyDescent="0.35">
      <c r="A1164" s="5">
        <v>3862016</v>
      </c>
      <c r="B1164" s="6">
        <v>42934</v>
      </c>
      <c r="C1164" s="7">
        <v>0.46127314814814813</v>
      </c>
      <c r="D1164" s="8">
        <v>0.46726851851851853</v>
      </c>
      <c r="E1164">
        <v>1</v>
      </c>
      <c r="G1164" s="18">
        <v>4791902</v>
      </c>
      <c r="H1164">
        <v>1</v>
      </c>
    </row>
    <row r="1165" spans="1:8" x14ac:dyDescent="0.35">
      <c r="A1165" s="9">
        <v>16580449</v>
      </c>
      <c r="B1165" s="10">
        <v>42934</v>
      </c>
      <c r="C1165" s="11">
        <v>0.46130787037037035</v>
      </c>
      <c r="D1165" s="12">
        <v>0.47226851851851853</v>
      </c>
      <c r="E1165">
        <v>1</v>
      </c>
      <c r="G1165" s="18">
        <v>6021417</v>
      </c>
      <c r="H1165">
        <v>1</v>
      </c>
    </row>
    <row r="1166" spans="1:8" x14ac:dyDescent="0.35">
      <c r="A1166" s="5">
        <v>67064385</v>
      </c>
      <c r="B1166" s="6">
        <v>42934</v>
      </c>
      <c r="C1166" s="7">
        <v>0.46574074074074073</v>
      </c>
      <c r="D1166" s="8">
        <v>0.47495370370370371</v>
      </c>
      <c r="E1166">
        <v>1</v>
      </c>
      <c r="G1166" s="18">
        <v>4529192</v>
      </c>
      <c r="H1166">
        <v>1</v>
      </c>
    </row>
    <row r="1167" spans="1:8" x14ac:dyDescent="0.35">
      <c r="A1167" s="9">
        <v>2078150</v>
      </c>
      <c r="B1167" s="10">
        <v>42934</v>
      </c>
      <c r="C1167" s="11">
        <v>0.46872685185185187</v>
      </c>
      <c r="D1167" s="12">
        <v>0.47244212962962961</v>
      </c>
      <c r="E1167">
        <v>1</v>
      </c>
      <c r="G1167" s="18">
        <v>6070329</v>
      </c>
      <c r="H1167">
        <v>1</v>
      </c>
    </row>
    <row r="1168" spans="1:8" x14ac:dyDescent="0.35">
      <c r="A1168" s="5">
        <v>5094248</v>
      </c>
      <c r="B1168" s="6">
        <v>42934</v>
      </c>
      <c r="C1168" s="7">
        <v>0.47074074074074074</v>
      </c>
      <c r="D1168" s="8">
        <v>0.47409722222222223</v>
      </c>
      <c r="E1168">
        <v>1</v>
      </c>
      <c r="G1168" s="18">
        <v>4824250</v>
      </c>
      <c r="H1168">
        <v>1</v>
      </c>
    </row>
    <row r="1169" spans="1:8" x14ac:dyDescent="0.35">
      <c r="A1169" s="9">
        <v>2584185</v>
      </c>
      <c r="B1169" s="10">
        <v>42934</v>
      </c>
      <c r="C1169" s="11">
        <v>0.47208333333333335</v>
      </c>
      <c r="D1169" s="12">
        <v>0.48284722222222221</v>
      </c>
      <c r="E1169">
        <v>1</v>
      </c>
      <c r="G1169" s="18">
        <v>6220398</v>
      </c>
      <c r="H1169">
        <v>1</v>
      </c>
    </row>
    <row r="1170" spans="1:8" x14ac:dyDescent="0.35">
      <c r="A1170" s="5">
        <v>3346801494</v>
      </c>
      <c r="B1170" s="6">
        <v>42934</v>
      </c>
      <c r="C1170" s="7">
        <v>0.47394675925925928</v>
      </c>
      <c r="D1170" s="8">
        <v>0.48170138888888892</v>
      </c>
      <c r="E1170">
        <v>1</v>
      </c>
      <c r="G1170" s="18">
        <v>4824267</v>
      </c>
      <c r="H1170">
        <v>1</v>
      </c>
    </row>
    <row r="1171" spans="1:8" x14ac:dyDescent="0.35">
      <c r="A1171" s="9">
        <v>4535172</v>
      </c>
      <c r="B1171" s="10">
        <v>42934</v>
      </c>
      <c r="C1171" s="11">
        <v>0.4750462962962963</v>
      </c>
      <c r="D1171" s="12">
        <v>0.47592592592592592</v>
      </c>
      <c r="E1171">
        <v>1</v>
      </c>
      <c r="G1171" s="18">
        <v>5512492</v>
      </c>
      <c r="H1171">
        <v>1</v>
      </c>
    </row>
    <row r="1172" spans="1:8" x14ac:dyDescent="0.35">
      <c r="A1172" s="5">
        <v>8723323</v>
      </c>
      <c r="B1172" s="6">
        <v>42934</v>
      </c>
      <c r="C1172" s="7">
        <v>0.47505787037037039</v>
      </c>
      <c r="D1172" s="8">
        <v>0.48318287037037039</v>
      </c>
      <c r="E1172">
        <v>1</v>
      </c>
      <c r="G1172" s="18">
        <v>4824710</v>
      </c>
      <c r="H1172">
        <v>1</v>
      </c>
    </row>
    <row r="1173" spans="1:8" x14ac:dyDescent="0.35">
      <c r="A1173" s="9">
        <v>76845076</v>
      </c>
      <c r="B1173" s="10">
        <v>42934</v>
      </c>
      <c r="C1173" s="11">
        <v>0.47949074074074072</v>
      </c>
      <c r="D1173" s="12">
        <v>0.48335648148148147</v>
      </c>
      <c r="E1173">
        <v>1</v>
      </c>
      <c r="G1173" s="18">
        <v>5604405</v>
      </c>
      <c r="H1173">
        <v>1</v>
      </c>
    </row>
    <row r="1174" spans="1:8" x14ac:dyDescent="0.35">
      <c r="A1174" s="5">
        <v>12063341</v>
      </c>
      <c r="B1174" s="6">
        <v>42934</v>
      </c>
      <c r="C1174" s="7">
        <v>0.48378472222222224</v>
      </c>
      <c r="D1174" s="8">
        <v>0.48681712962962964</v>
      </c>
      <c r="E1174">
        <v>1</v>
      </c>
      <c r="G1174" s="18">
        <v>4825302</v>
      </c>
      <c r="H1174">
        <v>1</v>
      </c>
    </row>
    <row r="1175" spans="1:8" x14ac:dyDescent="0.35">
      <c r="A1175" s="9">
        <v>9866204</v>
      </c>
      <c r="B1175" s="10">
        <v>42934</v>
      </c>
      <c r="C1175" s="11">
        <v>0.48379629629629628</v>
      </c>
      <c r="D1175" s="12">
        <v>0.49018518518518517</v>
      </c>
      <c r="E1175">
        <v>1</v>
      </c>
      <c r="G1175" s="18">
        <v>5687077</v>
      </c>
      <c r="H1175">
        <v>1</v>
      </c>
    </row>
    <row r="1176" spans="1:8" x14ac:dyDescent="0.35">
      <c r="A1176" s="5">
        <v>9364912</v>
      </c>
      <c r="B1176" s="6">
        <v>42934</v>
      </c>
      <c r="C1176" s="7">
        <v>0.48715277777777777</v>
      </c>
      <c r="D1176" s="8">
        <v>0.49586805555555558</v>
      </c>
      <c r="E1176">
        <v>1</v>
      </c>
      <c r="G1176" s="18">
        <v>4843076</v>
      </c>
      <c r="H1176">
        <v>1</v>
      </c>
    </row>
    <row r="1177" spans="1:8" x14ac:dyDescent="0.35">
      <c r="A1177" s="9">
        <v>9975977</v>
      </c>
      <c r="B1177" s="10">
        <v>42934</v>
      </c>
      <c r="C1177" s="11">
        <v>0.48723379629629632</v>
      </c>
      <c r="D1177" s="12">
        <v>0.4914351851851852</v>
      </c>
      <c r="E1177">
        <v>1</v>
      </c>
      <c r="G1177" s="18">
        <v>5744555</v>
      </c>
      <c r="H1177">
        <v>1</v>
      </c>
    </row>
    <row r="1178" spans="1:8" x14ac:dyDescent="0.35">
      <c r="A1178" s="5">
        <v>8802222</v>
      </c>
      <c r="B1178" s="6">
        <v>42934</v>
      </c>
      <c r="C1178" s="7">
        <v>0.48899305555555556</v>
      </c>
      <c r="D1178" s="8">
        <v>0.49456018518518519</v>
      </c>
      <c r="E1178">
        <v>1</v>
      </c>
      <c r="G1178" s="18">
        <v>4844054</v>
      </c>
      <c r="H1178">
        <v>1</v>
      </c>
    </row>
    <row r="1179" spans="1:8" x14ac:dyDescent="0.35">
      <c r="A1179" s="9">
        <v>1552877</v>
      </c>
      <c r="B1179" s="10">
        <v>42934</v>
      </c>
      <c r="C1179" s="11">
        <v>0.49277777777777776</v>
      </c>
      <c r="D1179" s="12">
        <v>0.49600694444444443</v>
      </c>
      <c r="E1179">
        <v>1</v>
      </c>
      <c r="G1179" s="18">
        <v>4659808</v>
      </c>
      <c r="H1179">
        <v>1</v>
      </c>
    </row>
    <row r="1180" spans="1:8" x14ac:dyDescent="0.35">
      <c r="A1180" s="5">
        <v>6516534288</v>
      </c>
      <c r="B1180" s="6">
        <v>42934</v>
      </c>
      <c r="C1180" s="7">
        <v>0.49465277777777777</v>
      </c>
      <c r="D1180" s="8">
        <v>0.49899305555555556</v>
      </c>
      <c r="E1180">
        <v>1</v>
      </c>
      <c r="G1180" s="18">
        <v>4845362</v>
      </c>
      <c r="H1180">
        <v>1</v>
      </c>
    </row>
    <row r="1181" spans="1:8" x14ac:dyDescent="0.35">
      <c r="A1181" s="9">
        <v>68647777</v>
      </c>
      <c r="B1181" s="10">
        <v>42934</v>
      </c>
      <c r="C1181" s="11">
        <v>0.49968750000000001</v>
      </c>
      <c r="D1181" s="12">
        <v>0.50692129629629634</v>
      </c>
      <c r="E1181">
        <v>1</v>
      </c>
      <c r="G1181" s="18">
        <v>5850216</v>
      </c>
      <c r="H1181">
        <v>1</v>
      </c>
    </row>
    <row r="1182" spans="1:8" x14ac:dyDescent="0.35">
      <c r="A1182" s="5">
        <v>3360951</v>
      </c>
      <c r="B1182" s="6">
        <v>42934</v>
      </c>
      <c r="C1182" s="7">
        <v>0.50384259259259256</v>
      </c>
      <c r="D1182" s="8">
        <v>0.50868055555555558</v>
      </c>
      <c r="E1182">
        <v>1</v>
      </c>
      <c r="G1182" s="18">
        <v>4848864</v>
      </c>
      <c r="H1182">
        <v>1</v>
      </c>
    </row>
    <row r="1183" spans="1:8" x14ac:dyDescent="0.35">
      <c r="A1183" s="9">
        <v>9127211929</v>
      </c>
      <c r="B1183" s="10">
        <v>42934</v>
      </c>
      <c r="C1183" s="11">
        <v>0.50648148148148153</v>
      </c>
      <c r="D1183" s="12">
        <v>0.51042824074074078</v>
      </c>
      <c r="E1183">
        <v>1</v>
      </c>
      <c r="G1183" s="18">
        <v>5900506</v>
      </c>
      <c r="H1183">
        <v>1</v>
      </c>
    </row>
    <row r="1184" spans="1:8" x14ac:dyDescent="0.35">
      <c r="A1184" s="5">
        <v>9647309</v>
      </c>
      <c r="B1184" s="6">
        <v>42934</v>
      </c>
      <c r="C1184" s="7">
        <v>0.50979166666666664</v>
      </c>
      <c r="D1184" s="8">
        <v>0.51483796296296291</v>
      </c>
      <c r="E1184">
        <v>1</v>
      </c>
      <c r="G1184" s="18">
        <v>4852863</v>
      </c>
      <c r="H1184">
        <v>1</v>
      </c>
    </row>
    <row r="1185" spans="1:8" x14ac:dyDescent="0.35">
      <c r="A1185" s="9">
        <v>6024447</v>
      </c>
      <c r="B1185" s="10">
        <v>42934</v>
      </c>
      <c r="C1185" s="11">
        <v>0.51164351851851853</v>
      </c>
      <c r="D1185" s="12">
        <v>0.51975694444444442</v>
      </c>
      <c r="E1185">
        <v>1</v>
      </c>
      <c r="G1185" s="18">
        <v>5970183</v>
      </c>
      <c r="H1185">
        <v>1</v>
      </c>
    </row>
    <row r="1186" spans="1:8" x14ac:dyDescent="0.35">
      <c r="A1186" s="5">
        <v>12919749</v>
      </c>
      <c r="B1186" s="6">
        <v>42934</v>
      </c>
      <c r="C1186" s="7">
        <v>0.5161458333333333</v>
      </c>
      <c r="D1186" s="8">
        <v>0.5222106481481481</v>
      </c>
      <c r="E1186">
        <v>1</v>
      </c>
      <c r="G1186" s="18">
        <v>4853153</v>
      </c>
      <c r="H1186">
        <v>1</v>
      </c>
    </row>
    <row r="1187" spans="1:8" x14ac:dyDescent="0.35">
      <c r="A1187" s="9">
        <v>3287315</v>
      </c>
      <c r="B1187" s="10">
        <v>42934</v>
      </c>
      <c r="C1187" s="11">
        <v>0.51627314814814818</v>
      </c>
      <c r="D1187" s="12">
        <v>0.51844907407407403</v>
      </c>
      <c r="E1187">
        <v>1</v>
      </c>
      <c r="G1187" s="18">
        <v>6006309</v>
      </c>
      <c r="H1187">
        <v>1</v>
      </c>
    </row>
    <row r="1188" spans="1:8" x14ac:dyDescent="0.35">
      <c r="A1188" s="5">
        <v>9953379</v>
      </c>
      <c r="B1188" s="6">
        <v>42934</v>
      </c>
      <c r="C1188" s="7">
        <v>0.52061342592592597</v>
      </c>
      <c r="D1188" s="8">
        <v>0.52561342592592597</v>
      </c>
      <c r="E1188">
        <v>1</v>
      </c>
      <c r="G1188" s="18">
        <v>4857453</v>
      </c>
      <c r="H1188">
        <v>1</v>
      </c>
    </row>
    <row r="1189" spans="1:8" x14ac:dyDescent="0.35">
      <c r="A1189" s="9">
        <v>97558765</v>
      </c>
      <c r="B1189" s="10">
        <v>42934</v>
      </c>
      <c r="C1189" s="11">
        <v>0.5259490740740741</v>
      </c>
      <c r="D1189" s="12">
        <v>0.53439814814814812</v>
      </c>
      <c r="E1189">
        <v>1</v>
      </c>
      <c r="G1189" s="18">
        <v>6027120</v>
      </c>
      <c r="H1189">
        <v>1</v>
      </c>
    </row>
    <row r="1190" spans="1:8" x14ac:dyDescent="0.35">
      <c r="A1190" s="5">
        <v>2722706</v>
      </c>
      <c r="B1190" s="6">
        <v>42934</v>
      </c>
      <c r="C1190" s="7">
        <v>0.53025462962962966</v>
      </c>
      <c r="D1190" s="8">
        <v>0.53217592592592589</v>
      </c>
      <c r="E1190">
        <v>1</v>
      </c>
      <c r="G1190" s="18">
        <v>4860618</v>
      </c>
      <c r="H1190">
        <v>1</v>
      </c>
    </row>
    <row r="1191" spans="1:8" x14ac:dyDescent="0.35">
      <c r="A1191" s="9">
        <v>97876188</v>
      </c>
      <c r="B1191" s="10">
        <v>42934</v>
      </c>
      <c r="C1191" s="11">
        <v>0.53412037037037041</v>
      </c>
      <c r="D1191" s="12">
        <v>0.53467592592592594</v>
      </c>
      <c r="E1191">
        <v>1</v>
      </c>
      <c r="G1191" s="18">
        <v>4697138</v>
      </c>
      <c r="H1191">
        <v>1</v>
      </c>
    </row>
    <row r="1192" spans="1:8" x14ac:dyDescent="0.35">
      <c r="A1192" s="5">
        <v>4068728</v>
      </c>
      <c r="B1192" s="6">
        <v>42934</v>
      </c>
      <c r="C1192" s="7">
        <v>0.53760416666666666</v>
      </c>
      <c r="D1192" s="8">
        <v>0.546412037037037</v>
      </c>
      <c r="E1192">
        <v>1</v>
      </c>
      <c r="G1192" s="18">
        <v>4873703</v>
      </c>
      <c r="H1192">
        <v>1</v>
      </c>
    </row>
    <row r="1193" spans="1:8" x14ac:dyDescent="0.35">
      <c r="A1193" s="9">
        <v>7624070</v>
      </c>
      <c r="B1193" s="10">
        <v>42934</v>
      </c>
      <c r="C1193" s="11">
        <v>0.54335648148148152</v>
      </c>
      <c r="D1193" s="12">
        <v>0.55396990740740737</v>
      </c>
      <c r="E1193">
        <v>1</v>
      </c>
      <c r="G1193" s="18">
        <v>6124638</v>
      </c>
      <c r="H1193">
        <v>1</v>
      </c>
    </row>
    <row r="1194" spans="1:8" x14ac:dyDescent="0.35">
      <c r="A1194" s="5">
        <v>2419247</v>
      </c>
      <c r="B1194" s="6">
        <v>42934</v>
      </c>
      <c r="C1194" s="7">
        <v>0.54686342592592596</v>
      </c>
      <c r="D1194" s="8">
        <v>0.54782407407407407</v>
      </c>
      <c r="E1194">
        <v>1</v>
      </c>
      <c r="G1194" s="18">
        <v>4895290</v>
      </c>
      <c r="H1194">
        <v>1</v>
      </c>
    </row>
    <row r="1195" spans="1:8" x14ac:dyDescent="0.35">
      <c r="A1195" s="9">
        <v>5244597</v>
      </c>
      <c r="B1195" s="10">
        <v>42934</v>
      </c>
      <c r="C1195" s="11">
        <v>0.55008101851851854</v>
      </c>
      <c r="D1195" s="12">
        <v>0.55730324074074078</v>
      </c>
      <c r="E1195">
        <v>1</v>
      </c>
      <c r="G1195" s="18">
        <v>6177366</v>
      </c>
      <c r="H1195">
        <v>1</v>
      </c>
    </row>
    <row r="1196" spans="1:8" x14ac:dyDescent="0.35">
      <c r="A1196" s="5">
        <v>2005653</v>
      </c>
      <c r="B1196" s="6">
        <v>42934</v>
      </c>
      <c r="C1196" s="7">
        <v>0.55039351851851848</v>
      </c>
      <c r="D1196" s="8">
        <v>0.5572569444444444</v>
      </c>
      <c r="E1196">
        <v>1</v>
      </c>
      <c r="G1196" s="18">
        <v>4901642</v>
      </c>
      <c r="H1196">
        <v>1</v>
      </c>
    </row>
    <row r="1197" spans="1:8" x14ac:dyDescent="0.35">
      <c r="A1197" s="9">
        <v>7203715</v>
      </c>
      <c r="B1197" s="10">
        <v>42934</v>
      </c>
      <c r="C1197" s="11">
        <v>0.55447916666666663</v>
      </c>
      <c r="D1197" s="12">
        <v>0.56332175925925931</v>
      </c>
      <c r="E1197">
        <v>1</v>
      </c>
      <c r="G1197" s="18">
        <v>6257971</v>
      </c>
      <c r="H1197">
        <v>1</v>
      </c>
    </row>
    <row r="1198" spans="1:8" x14ac:dyDescent="0.35">
      <c r="A1198" s="5">
        <v>4520463</v>
      </c>
      <c r="B1198" s="6">
        <v>42934</v>
      </c>
      <c r="C1198" s="7">
        <v>0.55645833333333339</v>
      </c>
      <c r="D1198" s="8">
        <v>0.55648148148148147</v>
      </c>
      <c r="E1198">
        <v>1</v>
      </c>
      <c r="G1198" s="18">
        <v>4911005</v>
      </c>
      <c r="H1198">
        <v>1</v>
      </c>
    </row>
    <row r="1199" spans="1:8" x14ac:dyDescent="0.35">
      <c r="A1199" s="9">
        <v>4454837</v>
      </c>
      <c r="B1199" s="10">
        <v>42934</v>
      </c>
      <c r="C1199" s="11">
        <v>0.5621990740740741</v>
      </c>
      <c r="D1199" s="12">
        <v>0.56353009259259257</v>
      </c>
      <c r="E1199">
        <v>1</v>
      </c>
      <c r="G1199" s="18">
        <v>6309138</v>
      </c>
      <c r="H1199">
        <v>1</v>
      </c>
    </row>
    <row r="1200" spans="1:8" x14ac:dyDescent="0.35">
      <c r="A1200" s="5">
        <v>6999348</v>
      </c>
      <c r="B1200" s="6">
        <v>42934</v>
      </c>
      <c r="C1200" s="7">
        <v>0.56714120370370369</v>
      </c>
      <c r="D1200" s="8">
        <v>0.56869212962962967</v>
      </c>
      <c r="E1200">
        <v>1</v>
      </c>
      <c r="G1200" s="18">
        <v>4923459</v>
      </c>
      <c r="H1200">
        <v>1</v>
      </c>
    </row>
    <row r="1201" spans="1:8" x14ac:dyDescent="0.35">
      <c r="A1201" s="9">
        <v>90884366</v>
      </c>
      <c r="B1201" s="10">
        <v>42934</v>
      </c>
      <c r="C1201" s="11">
        <v>0.57276620370370368</v>
      </c>
      <c r="D1201" s="12">
        <v>0.57995370370370369</v>
      </c>
      <c r="E1201">
        <v>1</v>
      </c>
      <c r="G1201" s="18">
        <v>5536146</v>
      </c>
      <c r="H1201">
        <v>1</v>
      </c>
    </row>
    <row r="1202" spans="1:8" x14ac:dyDescent="0.35">
      <c r="A1202" s="5">
        <v>3121640</v>
      </c>
      <c r="B1202" s="6">
        <v>42934</v>
      </c>
      <c r="C1202" s="7">
        <v>0.57841435185185186</v>
      </c>
      <c r="D1202" s="8">
        <v>0.58364583333333331</v>
      </c>
      <c r="E1202">
        <v>1</v>
      </c>
      <c r="G1202" s="18">
        <v>4925279</v>
      </c>
      <c r="H1202">
        <v>1</v>
      </c>
    </row>
    <row r="1203" spans="1:8" x14ac:dyDescent="0.35">
      <c r="A1203" s="9">
        <v>5912710</v>
      </c>
      <c r="B1203" s="10">
        <v>42934</v>
      </c>
      <c r="C1203" s="11">
        <v>0.57988425925925924</v>
      </c>
      <c r="D1203" s="12">
        <v>0.58928240740740745</v>
      </c>
      <c r="E1203">
        <v>1</v>
      </c>
      <c r="G1203" s="18">
        <v>5582631</v>
      </c>
      <c r="H1203">
        <v>1</v>
      </c>
    </row>
    <row r="1204" spans="1:8" x14ac:dyDescent="0.35">
      <c r="A1204" s="5">
        <v>7118082</v>
      </c>
      <c r="B1204" s="6">
        <v>42934</v>
      </c>
      <c r="C1204" s="7">
        <v>0.58524305555555556</v>
      </c>
      <c r="D1204" s="8">
        <v>0.591400462962963</v>
      </c>
      <c r="E1204">
        <v>1</v>
      </c>
      <c r="G1204" s="18">
        <v>4927402</v>
      </c>
      <c r="H1204">
        <v>1</v>
      </c>
    </row>
    <row r="1205" spans="1:8" x14ac:dyDescent="0.35">
      <c r="A1205" s="9">
        <v>9100303</v>
      </c>
      <c r="B1205" s="10">
        <v>42934</v>
      </c>
      <c r="C1205" s="11">
        <v>0.58543981481481477</v>
      </c>
      <c r="D1205" s="12">
        <v>0.58929398148148149</v>
      </c>
      <c r="E1205">
        <v>1</v>
      </c>
      <c r="G1205" s="18">
        <v>5613566</v>
      </c>
      <c r="H1205">
        <v>1</v>
      </c>
    </row>
    <row r="1206" spans="1:8" x14ac:dyDescent="0.35">
      <c r="A1206" s="5">
        <v>25581178</v>
      </c>
      <c r="B1206" s="6">
        <v>42934</v>
      </c>
      <c r="C1206" s="7">
        <v>0.58942129629629625</v>
      </c>
      <c r="D1206" s="8">
        <v>0.59734953703703708</v>
      </c>
      <c r="E1206">
        <v>1</v>
      </c>
      <c r="G1206" s="18">
        <v>4929499</v>
      </c>
      <c r="H1206">
        <v>1</v>
      </c>
    </row>
    <row r="1207" spans="1:8" x14ac:dyDescent="0.35">
      <c r="A1207" s="9">
        <v>78976022</v>
      </c>
      <c r="B1207" s="10">
        <v>42934</v>
      </c>
      <c r="C1207" s="11">
        <v>0.59495370370370371</v>
      </c>
      <c r="D1207" s="12">
        <v>0.5965625</v>
      </c>
      <c r="E1207">
        <v>1</v>
      </c>
      <c r="G1207" s="18">
        <v>5646830</v>
      </c>
      <c r="H1207">
        <v>1</v>
      </c>
    </row>
    <row r="1208" spans="1:8" x14ac:dyDescent="0.35">
      <c r="A1208" s="5">
        <v>7781904</v>
      </c>
      <c r="B1208" s="6">
        <v>42934</v>
      </c>
      <c r="C1208" s="7">
        <v>0.59964120370370366</v>
      </c>
      <c r="D1208" s="8">
        <v>0.60444444444444445</v>
      </c>
      <c r="E1208">
        <v>1</v>
      </c>
      <c r="G1208" s="18">
        <v>4939683</v>
      </c>
      <c r="H1208">
        <v>1</v>
      </c>
    </row>
    <row r="1209" spans="1:8" x14ac:dyDescent="0.35">
      <c r="A1209" s="9">
        <v>7473804</v>
      </c>
      <c r="B1209" s="10">
        <v>42934</v>
      </c>
      <c r="C1209" s="11">
        <v>0.60268518518518521</v>
      </c>
      <c r="D1209" s="12">
        <v>0.60929398148148151</v>
      </c>
      <c r="E1209">
        <v>1</v>
      </c>
      <c r="G1209" s="18">
        <v>4520463</v>
      </c>
      <c r="H1209">
        <v>1</v>
      </c>
    </row>
    <row r="1210" spans="1:8" x14ac:dyDescent="0.35">
      <c r="A1210" s="5">
        <v>8474693946</v>
      </c>
      <c r="B1210" s="6">
        <v>42934</v>
      </c>
      <c r="C1210" s="7">
        <v>0.60423611111111108</v>
      </c>
      <c r="D1210" s="8">
        <v>0.61535879629629631</v>
      </c>
      <c r="E1210">
        <v>1</v>
      </c>
      <c r="G1210" s="18">
        <v>4945889</v>
      </c>
      <c r="H1210">
        <v>1</v>
      </c>
    </row>
    <row r="1211" spans="1:8" x14ac:dyDescent="0.35">
      <c r="A1211" s="9">
        <v>8984769</v>
      </c>
      <c r="B1211" s="10">
        <v>42934</v>
      </c>
      <c r="C1211" s="11">
        <v>0.60932870370370373</v>
      </c>
      <c r="D1211" s="12">
        <v>0.61124999999999996</v>
      </c>
      <c r="E1211">
        <v>1</v>
      </c>
      <c r="G1211" s="18">
        <v>5730350</v>
      </c>
      <c r="H1211">
        <v>1</v>
      </c>
    </row>
    <row r="1212" spans="1:8" x14ac:dyDescent="0.35">
      <c r="A1212" s="5">
        <v>40395856</v>
      </c>
      <c r="B1212" s="6">
        <v>42934</v>
      </c>
      <c r="C1212" s="7">
        <v>0.61365740740740737</v>
      </c>
      <c r="D1212" s="8">
        <v>0.61829861111111106</v>
      </c>
      <c r="E1212">
        <v>1</v>
      </c>
      <c r="G1212" s="18">
        <v>4952685</v>
      </c>
      <c r="H1212">
        <v>1</v>
      </c>
    </row>
    <row r="1213" spans="1:8" x14ac:dyDescent="0.35">
      <c r="A1213" s="9">
        <v>9728932</v>
      </c>
      <c r="B1213" s="10">
        <v>42934</v>
      </c>
      <c r="C1213" s="11">
        <v>0.61675925925925923</v>
      </c>
      <c r="D1213" s="12">
        <v>0.61790509259259263</v>
      </c>
      <c r="E1213">
        <v>1</v>
      </c>
      <c r="G1213" s="18">
        <v>5750549</v>
      </c>
      <c r="H1213">
        <v>1</v>
      </c>
    </row>
    <row r="1214" spans="1:8" x14ac:dyDescent="0.35">
      <c r="A1214" s="5">
        <v>8135542</v>
      </c>
      <c r="B1214" s="6">
        <v>42934</v>
      </c>
      <c r="C1214" s="7">
        <v>0.62184027777777773</v>
      </c>
      <c r="D1214" s="8">
        <v>0.63255787037037037</v>
      </c>
      <c r="E1214">
        <v>1</v>
      </c>
      <c r="G1214" s="18">
        <v>4959594</v>
      </c>
      <c r="H1214">
        <v>1</v>
      </c>
    </row>
    <row r="1215" spans="1:8" x14ac:dyDescent="0.35">
      <c r="A1215" s="9">
        <v>10093488</v>
      </c>
      <c r="B1215" s="10">
        <v>42934</v>
      </c>
      <c r="C1215" s="11">
        <v>0.62197916666666664</v>
      </c>
      <c r="D1215" s="12">
        <v>0.62238425925925922</v>
      </c>
      <c r="E1215">
        <v>1</v>
      </c>
      <c r="G1215" s="18">
        <v>5786740</v>
      </c>
      <c r="H1215">
        <v>1</v>
      </c>
    </row>
    <row r="1216" spans="1:8" x14ac:dyDescent="0.35">
      <c r="A1216" s="5">
        <v>4203418</v>
      </c>
      <c r="B1216" s="6">
        <v>42934</v>
      </c>
      <c r="C1216" s="7">
        <v>0.62556712962962968</v>
      </c>
      <c r="D1216" s="8">
        <v>0.63491898148148151</v>
      </c>
      <c r="E1216">
        <v>1</v>
      </c>
      <c r="G1216" s="18">
        <v>4960672</v>
      </c>
      <c r="H1216">
        <v>1</v>
      </c>
    </row>
    <row r="1217" spans="1:8" x14ac:dyDescent="0.35">
      <c r="A1217" s="9">
        <v>2456290</v>
      </c>
      <c r="B1217" s="10">
        <v>42935</v>
      </c>
      <c r="C1217" s="11">
        <v>0.33592592592592591</v>
      </c>
      <c r="D1217" s="12">
        <v>0.34680555555555553</v>
      </c>
      <c r="E1217">
        <v>1</v>
      </c>
      <c r="G1217" s="18">
        <v>5815339</v>
      </c>
      <c r="H1217">
        <v>1</v>
      </c>
    </row>
    <row r="1218" spans="1:8" x14ac:dyDescent="0.35">
      <c r="A1218" s="5">
        <v>27610972</v>
      </c>
      <c r="B1218" s="6">
        <v>42935</v>
      </c>
      <c r="C1218" s="7">
        <v>0.33888888888888891</v>
      </c>
      <c r="D1218" s="8">
        <v>0.3502777777777778</v>
      </c>
      <c r="E1218">
        <v>1</v>
      </c>
      <c r="G1218" s="18">
        <v>4960687</v>
      </c>
      <c r="H1218">
        <v>1</v>
      </c>
    </row>
    <row r="1219" spans="1:8" x14ac:dyDescent="0.35">
      <c r="A1219" s="9">
        <v>3073815</v>
      </c>
      <c r="B1219" s="10">
        <v>42935</v>
      </c>
      <c r="C1219" s="11">
        <v>0.34309027777777779</v>
      </c>
      <c r="D1219" s="12">
        <v>0.34798611111111111</v>
      </c>
      <c r="E1219">
        <v>1</v>
      </c>
      <c r="G1219" s="18">
        <v>4681236</v>
      </c>
      <c r="H1219">
        <v>1</v>
      </c>
    </row>
    <row r="1220" spans="1:8" x14ac:dyDescent="0.35">
      <c r="A1220" s="5">
        <v>9776810</v>
      </c>
      <c r="B1220" s="6">
        <v>42935</v>
      </c>
      <c r="C1220" s="7">
        <v>0.34704861111111113</v>
      </c>
      <c r="D1220" s="8">
        <v>0.35386574074074073</v>
      </c>
      <c r="E1220">
        <v>1</v>
      </c>
      <c r="G1220" s="18">
        <v>4535172</v>
      </c>
      <c r="H1220">
        <v>1</v>
      </c>
    </row>
    <row r="1221" spans="1:8" x14ac:dyDescent="0.35">
      <c r="A1221" s="9">
        <v>6763741</v>
      </c>
      <c r="B1221" s="10">
        <v>42935</v>
      </c>
      <c r="C1221" s="11">
        <v>0.35040509259259262</v>
      </c>
      <c r="D1221" s="12">
        <v>0.35600694444444442</v>
      </c>
      <c r="E1221">
        <v>1</v>
      </c>
      <c r="G1221" s="18">
        <v>5856822</v>
      </c>
      <c r="H1221">
        <v>1</v>
      </c>
    </row>
    <row r="1222" spans="1:8" x14ac:dyDescent="0.35">
      <c r="A1222" s="5">
        <v>2309436</v>
      </c>
      <c r="B1222" s="6">
        <v>42935</v>
      </c>
      <c r="C1222" s="7">
        <v>0.35304398148148147</v>
      </c>
      <c r="D1222" s="8">
        <v>0.35793981481481479</v>
      </c>
      <c r="E1222">
        <v>1</v>
      </c>
      <c r="G1222" s="18">
        <v>4965118</v>
      </c>
      <c r="H1222">
        <v>1</v>
      </c>
    </row>
    <row r="1223" spans="1:8" x14ac:dyDescent="0.35">
      <c r="A1223" s="9">
        <v>3131883</v>
      </c>
      <c r="B1223" s="10">
        <v>42935</v>
      </c>
      <c r="C1223" s="11">
        <v>0.35712962962962963</v>
      </c>
      <c r="D1223" s="12">
        <v>0.36243055555555553</v>
      </c>
      <c r="E1223">
        <v>1</v>
      </c>
      <c r="G1223" s="18">
        <v>5893512</v>
      </c>
      <c r="H1223">
        <v>1</v>
      </c>
    </row>
    <row r="1224" spans="1:8" x14ac:dyDescent="0.35">
      <c r="A1224" s="5">
        <v>69001821</v>
      </c>
      <c r="B1224" s="6">
        <v>42935</v>
      </c>
      <c r="C1224" s="7">
        <v>0.35835648148148147</v>
      </c>
      <c r="D1224" s="8">
        <v>0.36712962962962964</v>
      </c>
      <c r="E1224">
        <v>1</v>
      </c>
      <c r="G1224" s="18">
        <v>4983193</v>
      </c>
      <c r="H1224">
        <v>1</v>
      </c>
    </row>
    <row r="1225" spans="1:8" x14ac:dyDescent="0.35">
      <c r="A1225" s="9">
        <v>2150051</v>
      </c>
      <c r="B1225" s="10">
        <v>42935</v>
      </c>
      <c r="C1225" s="11">
        <v>0.36310185185185184</v>
      </c>
      <c r="D1225" s="12">
        <v>0.36723379629629632</v>
      </c>
      <c r="E1225">
        <v>1</v>
      </c>
      <c r="G1225" s="18">
        <v>5912710</v>
      </c>
      <c r="H1225">
        <v>1</v>
      </c>
    </row>
    <row r="1226" spans="1:8" x14ac:dyDescent="0.35">
      <c r="A1226" s="5">
        <v>9967523741</v>
      </c>
      <c r="B1226" s="6">
        <v>42935</v>
      </c>
      <c r="C1226" s="7">
        <v>0.36886574074074074</v>
      </c>
      <c r="D1226" s="8">
        <v>0.37324074074074076</v>
      </c>
      <c r="E1226">
        <v>1</v>
      </c>
      <c r="G1226" s="18">
        <v>4995171</v>
      </c>
      <c r="H1226">
        <v>1</v>
      </c>
    </row>
    <row r="1227" spans="1:8" x14ac:dyDescent="0.35">
      <c r="A1227" s="9">
        <v>23300236</v>
      </c>
      <c r="B1227" s="10">
        <v>42935</v>
      </c>
      <c r="C1227" s="11">
        <v>0.37094907407407407</v>
      </c>
      <c r="D1227" s="12">
        <v>0.37517361111111114</v>
      </c>
      <c r="E1227">
        <v>1</v>
      </c>
      <c r="G1227" s="18">
        <v>5952625</v>
      </c>
      <c r="H1227">
        <v>1</v>
      </c>
    </row>
    <row r="1228" spans="1:8" x14ac:dyDescent="0.35">
      <c r="A1228" s="5">
        <v>4714815</v>
      </c>
      <c r="B1228" s="6">
        <v>42935</v>
      </c>
      <c r="C1228" s="7">
        <v>0.37484953703703705</v>
      </c>
      <c r="D1228" s="8">
        <v>0.38143518518518521</v>
      </c>
      <c r="E1228">
        <v>1</v>
      </c>
      <c r="G1228" s="18">
        <v>5006675</v>
      </c>
      <c r="H1228">
        <v>1</v>
      </c>
    </row>
    <row r="1229" spans="1:8" x14ac:dyDescent="0.35">
      <c r="A1229" s="9">
        <v>80038636</v>
      </c>
      <c r="B1229" s="10">
        <v>42935</v>
      </c>
      <c r="C1229" s="11">
        <v>0.38028935185185186</v>
      </c>
      <c r="D1229" s="12">
        <v>0.38239583333333332</v>
      </c>
      <c r="E1229">
        <v>1</v>
      </c>
      <c r="G1229" s="18">
        <v>5983034</v>
      </c>
      <c r="H1229">
        <v>1</v>
      </c>
    </row>
    <row r="1230" spans="1:8" x14ac:dyDescent="0.35">
      <c r="A1230" s="5">
        <v>47596793</v>
      </c>
      <c r="B1230" s="6">
        <v>42935</v>
      </c>
      <c r="C1230" s="7">
        <v>0.38059027777777776</v>
      </c>
      <c r="D1230" s="8">
        <v>0.38280092592592591</v>
      </c>
      <c r="E1230">
        <v>1</v>
      </c>
      <c r="G1230" s="18">
        <v>5013602</v>
      </c>
      <c r="H1230">
        <v>1</v>
      </c>
    </row>
    <row r="1231" spans="1:8" x14ac:dyDescent="0.35">
      <c r="A1231" s="9">
        <v>6574044</v>
      </c>
      <c r="B1231" s="10">
        <v>42935</v>
      </c>
      <c r="C1231" s="11">
        <v>0.38173611111111111</v>
      </c>
      <c r="D1231" s="12">
        <v>0.38915509259259257</v>
      </c>
      <c r="E1231">
        <v>1</v>
      </c>
      <c r="G1231" s="18">
        <v>6005020</v>
      </c>
      <c r="H1231">
        <v>1</v>
      </c>
    </row>
    <row r="1232" spans="1:8" x14ac:dyDescent="0.35">
      <c r="A1232" s="5">
        <v>9475290</v>
      </c>
      <c r="B1232" s="6">
        <v>42935</v>
      </c>
      <c r="C1232" s="7">
        <v>0.38512731481481483</v>
      </c>
      <c r="D1232" s="8">
        <v>0.3947222222222222</v>
      </c>
      <c r="E1232">
        <v>1</v>
      </c>
      <c r="G1232" s="18">
        <v>5013688</v>
      </c>
      <c r="H1232">
        <v>1</v>
      </c>
    </row>
    <row r="1233" spans="1:8" x14ac:dyDescent="0.35">
      <c r="A1233" s="9">
        <v>4458725</v>
      </c>
      <c r="B1233" s="10">
        <v>42935</v>
      </c>
      <c r="C1233" s="11">
        <v>0.38533564814814814</v>
      </c>
      <c r="D1233" s="12">
        <v>0.39521990740740742</v>
      </c>
      <c r="E1233">
        <v>1</v>
      </c>
      <c r="G1233" s="18">
        <v>6013508</v>
      </c>
      <c r="H1233">
        <v>1</v>
      </c>
    </row>
    <row r="1234" spans="1:8" x14ac:dyDescent="0.35">
      <c r="A1234" s="5">
        <v>4785864</v>
      </c>
      <c r="B1234" s="6">
        <v>42935</v>
      </c>
      <c r="C1234" s="7">
        <v>0.38833333333333331</v>
      </c>
      <c r="D1234" s="8">
        <v>0.39069444444444446</v>
      </c>
      <c r="E1234">
        <v>1</v>
      </c>
      <c r="G1234" s="18">
        <v>5014399</v>
      </c>
      <c r="H1234">
        <v>1</v>
      </c>
    </row>
    <row r="1235" spans="1:8" x14ac:dyDescent="0.35">
      <c r="A1235" s="9">
        <v>3109039</v>
      </c>
      <c r="B1235" s="10">
        <v>42935</v>
      </c>
      <c r="C1235" s="11">
        <v>0.38979166666666665</v>
      </c>
      <c r="D1235" s="12">
        <v>0.39171296296296299</v>
      </c>
      <c r="E1235">
        <v>1</v>
      </c>
      <c r="G1235" s="18">
        <v>6024447</v>
      </c>
      <c r="H1235">
        <v>1</v>
      </c>
    </row>
    <row r="1236" spans="1:8" x14ac:dyDescent="0.35">
      <c r="A1236" s="5">
        <v>7340326</v>
      </c>
      <c r="B1236" s="6">
        <v>42935</v>
      </c>
      <c r="C1236" s="7">
        <v>0.3898611111111111</v>
      </c>
      <c r="D1236" s="8">
        <v>0.39067129629629632</v>
      </c>
      <c r="E1236">
        <v>1</v>
      </c>
      <c r="G1236" s="18">
        <v>5015921</v>
      </c>
      <c r="H1236">
        <v>1</v>
      </c>
    </row>
    <row r="1237" spans="1:8" x14ac:dyDescent="0.35">
      <c r="A1237" s="9">
        <v>7865428</v>
      </c>
      <c r="B1237" s="10">
        <v>42935</v>
      </c>
      <c r="C1237" s="11">
        <v>0.3941898148148148</v>
      </c>
      <c r="D1237" s="12">
        <v>0.40530092592592593</v>
      </c>
      <c r="E1237">
        <v>1</v>
      </c>
      <c r="G1237" s="18">
        <v>6047761</v>
      </c>
      <c r="H1237">
        <v>1</v>
      </c>
    </row>
    <row r="1238" spans="1:8" x14ac:dyDescent="0.35">
      <c r="A1238" s="5">
        <v>1467591</v>
      </c>
      <c r="B1238" s="6">
        <v>42935</v>
      </c>
      <c r="C1238" s="7">
        <v>0.39607638888888891</v>
      </c>
      <c r="D1238" s="8">
        <v>0.40442129629629631</v>
      </c>
      <c r="E1238">
        <v>1</v>
      </c>
      <c r="G1238" s="18">
        <v>5016981</v>
      </c>
      <c r="H1238">
        <v>1</v>
      </c>
    </row>
    <row r="1239" spans="1:8" x14ac:dyDescent="0.35">
      <c r="A1239" s="9">
        <v>2475157</v>
      </c>
      <c r="B1239" s="10">
        <v>42935</v>
      </c>
      <c r="C1239" s="11">
        <v>0.39937499999999998</v>
      </c>
      <c r="D1239" s="12">
        <v>0.40332175925925928</v>
      </c>
      <c r="E1239">
        <v>1</v>
      </c>
      <c r="G1239" s="18">
        <v>6055986</v>
      </c>
      <c r="H1239">
        <v>1</v>
      </c>
    </row>
    <row r="1240" spans="1:8" x14ac:dyDescent="0.35">
      <c r="A1240" s="5">
        <v>6023049</v>
      </c>
      <c r="B1240" s="6">
        <v>42935</v>
      </c>
      <c r="C1240" s="7">
        <v>0.39959490740740738</v>
      </c>
      <c r="D1240" s="8">
        <v>0.41099537037037037</v>
      </c>
      <c r="E1240">
        <v>1</v>
      </c>
      <c r="G1240" s="18">
        <v>5019634</v>
      </c>
      <c r="H1240">
        <v>1</v>
      </c>
    </row>
    <row r="1241" spans="1:8" x14ac:dyDescent="0.35">
      <c r="A1241" s="9">
        <v>39210366</v>
      </c>
      <c r="B1241" s="10">
        <v>42935</v>
      </c>
      <c r="C1241" s="11">
        <v>0.40234953703703702</v>
      </c>
      <c r="D1241" s="12">
        <v>0.40469907407407407</v>
      </c>
      <c r="E1241">
        <v>1</v>
      </c>
      <c r="G1241" s="18">
        <v>4698731</v>
      </c>
      <c r="H1241">
        <v>1</v>
      </c>
    </row>
    <row r="1242" spans="1:8" x14ac:dyDescent="0.35">
      <c r="A1242" s="5">
        <v>90880011</v>
      </c>
      <c r="B1242" s="6">
        <v>42935</v>
      </c>
      <c r="C1242" s="7">
        <v>0.40743055555555557</v>
      </c>
      <c r="D1242" s="8">
        <v>0.41255787037037039</v>
      </c>
      <c r="E1242">
        <v>1</v>
      </c>
      <c r="G1242" s="18">
        <v>5022247</v>
      </c>
      <c r="H1242">
        <v>1</v>
      </c>
    </row>
    <row r="1243" spans="1:8" x14ac:dyDescent="0.35">
      <c r="A1243" s="9">
        <v>4469748</v>
      </c>
      <c r="B1243" s="10">
        <v>42935</v>
      </c>
      <c r="C1243" s="11">
        <v>0.41121527777777778</v>
      </c>
      <c r="D1243" s="12">
        <v>0.41483796296296294</v>
      </c>
      <c r="E1243">
        <v>1</v>
      </c>
      <c r="G1243" s="18">
        <v>6087997</v>
      </c>
      <c r="H1243">
        <v>1</v>
      </c>
    </row>
    <row r="1244" spans="1:8" x14ac:dyDescent="0.35">
      <c r="A1244" s="5">
        <v>3931739393</v>
      </c>
      <c r="B1244" s="6">
        <v>42935</v>
      </c>
      <c r="C1244" s="7">
        <v>0.4127662037037037</v>
      </c>
      <c r="D1244" s="8">
        <v>0.42182870370370368</v>
      </c>
      <c r="E1244">
        <v>1</v>
      </c>
      <c r="G1244" s="18">
        <v>5026277</v>
      </c>
      <c r="H1244">
        <v>1</v>
      </c>
    </row>
    <row r="1245" spans="1:8" x14ac:dyDescent="0.35">
      <c r="A1245" s="9">
        <v>4079013</v>
      </c>
      <c r="B1245" s="10">
        <v>42935</v>
      </c>
      <c r="C1245" s="11">
        <v>0.41616898148148146</v>
      </c>
      <c r="D1245" s="12">
        <v>0.41717592592592595</v>
      </c>
      <c r="E1245">
        <v>1</v>
      </c>
      <c r="G1245" s="18">
        <v>6146223</v>
      </c>
      <c r="H1245">
        <v>1</v>
      </c>
    </row>
    <row r="1246" spans="1:8" x14ac:dyDescent="0.35">
      <c r="A1246" s="5">
        <v>7751076</v>
      </c>
      <c r="B1246" s="6">
        <v>42935</v>
      </c>
      <c r="C1246" s="7">
        <v>0.41996527777777776</v>
      </c>
      <c r="D1246" s="8">
        <v>0.42766203703703703</v>
      </c>
      <c r="E1246">
        <v>1</v>
      </c>
      <c r="G1246" s="18">
        <v>5027404</v>
      </c>
      <c r="H1246">
        <v>1</v>
      </c>
    </row>
    <row r="1247" spans="1:8" x14ac:dyDescent="0.35">
      <c r="A1247" s="9">
        <v>27684909</v>
      </c>
      <c r="B1247" s="10">
        <v>42935</v>
      </c>
      <c r="C1247" s="11">
        <v>0.42166666666666669</v>
      </c>
      <c r="D1247" s="12">
        <v>0.43111111111111111</v>
      </c>
      <c r="E1247">
        <v>1</v>
      </c>
      <c r="G1247" s="18">
        <v>6161675</v>
      </c>
      <c r="H1247">
        <v>1</v>
      </c>
    </row>
    <row r="1248" spans="1:8" x14ac:dyDescent="0.35">
      <c r="A1248" s="5">
        <v>1588418</v>
      </c>
      <c r="B1248" s="6">
        <v>42935</v>
      </c>
      <c r="C1248" s="7">
        <v>0.42422453703703705</v>
      </c>
      <c r="D1248" s="8">
        <v>0.43512731481481481</v>
      </c>
      <c r="E1248">
        <v>1</v>
      </c>
      <c r="G1248" s="18">
        <v>5029329</v>
      </c>
      <c r="H1248">
        <v>1</v>
      </c>
    </row>
    <row r="1249" spans="1:8" x14ac:dyDescent="0.35">
      <c r="A1249" s="9">
        <v>5333653356</v>
      </c>
      <c r="B1249" s="10">
        <v>42935</v>
      </c>
      <c r="C1249" s="11">
        <v>0.42684027777777778</v>
      </c>
      <c r="D1249" s="12">
        <v>0.43207175925925928</v>
      </c>
      <c r="E1249">
        <v>1</v>
      </c>
      <c r="G1249" s="18">
        <v>6194112</v>
      </c>
      <c r="H1249">
        <v>1</v>
      </c>
    </row>
    <row r="1250" spans="1:8" x14ac:dyDescent="0.35">
      <c r="A1250" s="5">
        <v>6305758</v>
      </c>
      <c r="B1250" s="6">
        <v>42935</v>
      </c>
      <c r="C1250" s="7">
        <v>0.42912037037037037</v>
      </c>
      <c r="D1250" s="8">
        <v>0.43425925925925923</v>
      </c>
      <c r="E1250">
        <v>1</v>
      </c>
      <c r="G1250" s="18">
        <v>5036422</v>
      </c>
      <c r="H1250">
        <v>1</v>
      </c>
    </row>
    <row r="1251" spans="1:8" x14ac:dyDescent="0.35">
      <c r="A1251" s="9">
        <v>45373038</v>
      </c>
      <c r="B1251" s="10">
        <v>42935</v>
      </c>
      <c r="C1251" s="11">
        <v>0.43180555555555555</v>
      </c>
      <c r="D1251" s="12">
        <v>0.44175925925925924</v>
      </c>
      <c r="E1251">
        <v>1</v>
      </c>
      <c r="G1251" s="18">
        <v>6242177</v>
      </c>
      <c r="H1251">
        <v>1</v>
      </c>
    </row>
    <row r="1252" spans="1:8" x14ac:dyDescent="0.35">
      <c r="A1252" s="5">
        <v>7589993</v>
      </c>
      <c r="B1252" s="6">
        <v>42935</v>
      </c>
      <c r="C1252" s="7">
        <v>0.43185185185185188</v>
      </c>
      <c r="D1252" s="8">
        <v>0.4382638888888889</v>
      </c>
      <c r="E1252">
        <v>1</v>
      </c>
      <c r="G1252" s="18">
        <v>5039266</v>
      </c>
      <c r="H1252">
        <v>1</v>
      </c>
    </row>
    <row r="1253" spans="1:8" x14ac:dyDescent="0.35">
      <c r="A1253" s="9">
        <v>5588421</v>
      </c>
      <c r="B1253" s="10">
        <v>42935</v>
      </c>
      <c r="C1253" s="11">
        <v>0.43365740740740738</v>
      </c>
      <c r="D1253" s="12">
        <v>0.43964120370370369</v>
      </c>
      <c r="E1253">
        <v>1</v>
      </c>
      <c r="G1253" s="18">
        <v>6269166</v>
      </c>
      <c r="H1253">
        <v>1</v>
      </c>
    </row>
    <row r="1254" spans="1:8" x14ac:dyDescent="0.35">
      <c r="A1254" s="5">
        <v>9662407</v>
      </c>
      <c r="B1254" s="6">
        <v>42935</v>
      </c>
      <c r="C1254" s="7">
        <v>0.43509259259259259</v>
      </c>
      <c r="D1254" s="8">
        <v>0.44364583333333335</v>
      </c>
      <c r="E1254">
        <v>1</v>
      </c>
      <c r="G1254" s="18">
        <v>5060909</v>
      </c>
      <c r="H1254">
        <v>1</v>
      </c>
    </row>
    <row r="1255" spans="1:8" x14ac:dyDescent="0.35">
      <c r="A1255" s="9">
        <v>3422062</v>
      </c>
      <c r="B1255" s="10">
        <v>42935</v>
      </c>
      <c r="C1255" s="11">
        <v>0.43734953703703705</v>
      </c>
      <c r="D1255" s="12">
        <v>0.44071759259259258</v>
      </c>
      <c r="E1255">
        <v>1</v>
      </c>
      <c r="G1255" s="18">
        <v>6304174</v>
      </c>
      <c r="H1255">
        <v>1</v>
      </c>
    </row>
    <row r="1256" spans="1:8" x14ac:dyDescent="0.35">
      <c r="A1256" s="5">
        <v>9305031</v>
      </c>
      <c r="B1256" s="6">
        <v>42935</v>
      </c>
      <c r="C1256" s="7">
        <v>0.43827546296296294</v>
      </c>
      <c r="D1256" s="8">
        <v>0.44968750000000002</v>
      </c>
      <c r="E1256">
        <v>1</v>
      </c>
      <c r="G1256" s="18">
        <v>4501823</v>
      </c>
      <c r="H1256">
        <v>1</v>
      </c>
    </row>
    <row r="1257" spans="1:8" x14ac:dyDescent="0.35">
      <c r="A1257" s="9">
        <v>4911005</v>
      </c>
      <c r="B1257" s="10">
        <v>42935</v>
      </c>
      <c r="C1257" s="11">
        <v>0.44305555555555554</v>
      </c>
      <c r="D1257" s="12">
        <v>0.45006944444444447</v>
      </c>
      <c r="E1257">
        <v>1</v>
      </c>
      <c r="G1257" s="18">
        <v>4636713</v>
      </c>
      <c r="H1257">
        <v>1</v>
      </c>
    </row>
    <row r="1258" spans="1:8" x14ac:dyDescent="0.35">
      <c r="A1258" s="5">
        <v>1391272</v>
      </c>
      <c r="B1258" s="6">
        <v>42935</v>
      </c>
      <c r="C1258" s="7">
        <v>0.44664351851851852</v>
      </c>
      <c r="D1258" s="8">
        <v>0.45725694444444442</v>
      </c>
      <c r="E1258">
        <v>1</v>
      </c>
      <c r="G1258" s="18">
        <v>5082463</v>
      </c>
      <c r="H1258">
        <v>1</v>
      </c>
    </row>
    <row r="1259" spans="1:8" x14ac:dyDescent="0.35">
      <c r="A1259" s="9">
        <v>5027404</v>
      </c>
      <c r="B1259" s="10">
        <v>42935</v>
      </c>
      <c r="C1259" s="11">
        <v>0.45211805555555556</v>
      </c>
      <c r="D1259" s="12">
        <v>0.4598726851851852</v>
      </c>
      <c r="E1259">
        <v>1</v>
      </c>
      <c r="G1259" s="18">
        <v>4520226</v>
      </c>
      <c r="H1259">
        <v>1</v>
      </c>
    </row>
    <row r="1260" spans="1:8" x14ac:dyDescent="0.35">
      <c r="A1260" s="5">
        <v>38244568</v>
      </c>
      <c r="B1260" s="6">
        <v>42935</v>
      </c>
      <c r="C1260" s="7">
        <v>0.45768518518518519</v>
      </c>
      <c r="D1260" s="8">
        <v>0.45837962962962964</v>
      </c>
      <c r="E1260">
        <v>1</v>
      </c>
      <c r="G1260" s="18">
        <v>5086182</v>
      </c>
      <c r="H1260">
        <v>1</v>
      </c>
    </row>
    <row r="1261" spans="1:8" x14ac:dyDescent="0.35">
      <c r="A1261" s="9">
        <v>64900068</v>
      </c>
      <c r="B1261" s="10">
        <v>42935</v>
      </c>
      <c r="C1261" s="11">
        <v>0.46217592592592593</v>
      </c>
      <c r="D1261" s="12">
        <v>0.46263888888888888</v>
      </c>
      <c r="E1261">
        <v>1</v>
      </c>
      <c r="G1261" s="18">
        <v>5542324</v>
      </c>
      <c r="H1261">
        <v>1</v>
      </c>
    </row>
    <row r="1262" spans="1:8" x14ac:dyDescent="0.35">
      <c r="A1262" s="5">
        <v>45015009</v>
      </c>
      <c r="B1262" s="6">
        <v>42935</v>
      </c>
      <c r="C1262" s="7">
        <v>0.46546296296296297</v>
      </c>
      <c r="D1262" s="8">
        <v>0.4740509259259259</v>
      </c>
      <c r="E1262">
        <v>1</v>
      </c>
      <c r="G1262" s="18">
        <v>4501726</v>
      </c>
      <c r="H1262">
        <v>1</v>
      </c>
    </row>
    <row r="1263" spans="1:8" x14ac:dyDescent="0.35">
      <c r="A1263" s="9">
        <v>20424852</v>
      </c>
      <c r="B1263" s="10">
        <v>42935</v>
      </c>
      <c r="C1263" s="11">
        <v>0.46773148148148147</v>
      </c>
      <c r="D1263" s="12">
        <v>0.47054398148148147</v>
      </c>
      <c r="E1263">
        <v>1</v>
      </c>
      <c r="G1263" s="18">
        <v>5550678</v>
      </c>
      <c r="H1263">
        <v>1</v>
      </c>
    </row>
    <row r="1264" spans="1:8" x14ac:dyDescent="0.35">
      <c r="A1264" s="5">
        <v>4471203</v>
      </c>
      <c r="B1264" s="6">
        <v>42935</v>
      </c>
      <c r="C1264" s="7">
        <v>0.47298611111111111</v>
      </c>
      <c r="D1264" s="8">
        <v>0.48247685185185185</v>
      </c>
      <c r="E1264">
        <v>1</v>
      </c>
      <c r="G1264" s="18">
        <v>5087484</v>
      </c>
      <c r="H1264">
        <v>1</v>
      </c>
    </row>
    <row r="1265" spans="1:8" x14ac:dyDescent="0.35">
      <c r="A1265" s="9">
        <v>8250018</v>
      </c>
      <c r="B1265" s="10">
        <v>42935</v>
      </c>
      <c r="C1265" s="11">
        <v>0.47843750000000002</v>
      </c>
      <c r="D1265" s="12">
        <v>0.48951388888888892</v>
      </c>
      <c r="E1265">
        <v>1</v>
      </c>
      <c r="G1265" s="18">
        <v>5588421</v>
      </c>
      <c r="H1265">
        <v>1</v>
      </c>
    </row>
    <row r="1266" spans="1:8" x14ac:dyDescent="0.35">
      <c r="A1266" s="5">
        <v>1161028310</v>
      </c>
      <c r="B1266" s="6">
        <v>42935</v>
      </c>
      <c r="C1266" s="7">
        <v>0.47843750000000002</v>
      </c>
      <c r="D1266" s="8">
        <v>0.48879629629629628</v>
      </c>
      <c r="E1266">
        <v>1</v>
      </c>
      <c r="G1266" s="18">
        <v>5089019</v>
      </c>
      <c r="H1266">
        <v>1</v>
      </c>
    </row>
    <row r="1267" spans="1:8" x14ac:dyDescent="0.35">
      <c r="A1267" s="9">
        <v>66465215</v>
      </c>
      <c r="B1267" s="10">
        <v>42935</v>
      </c>
      <c r="C1267" s="11">
        <v>0.48381944444444447</v>
      </c>
      <c r="D1267" s="12">
        <v>0.49505787037037036</v>
      </c>
      <c r="E1267">
        <v>1</v>
      </c>
      <c r="G1267" s="18">
        <v>5610335</v>
      </c>
      <c r="H1267">
        <v>1</v>
      </c>
    </row>
    <row r="1268" spans="1:8" x14ac:dyDescent="0.35">
      <c r="A1268" s="5">
        <v>6386788</v>
      </c>
      <c r="B1268" s="6">
        <v>42935</v>
      </c>
      <c r="C1268" s="7">
        <v>0.48822916666666666</v>
      </c>
      <c r="D1268" s="8">
        <v>0.49540509259259258</v>
      </c>
      <c r="E1268">
        <v>1</v>
      </c>
      <c r="G1268" s="18">
        <v>5092577</v>
      </c>
      <c r="H1268">
        <v>1</v>
      </c>
    </row>
    <row r="1269" spans="1:8" x14ac:dyDescent="0.35">
      <c r="A1269" s="9">
        <v>3589291</v>
      </c>
      <c r="B1269" s="10">
        <v>42935</v>
      </c>
      <c r="C1269" s="11">
        <v>0.4896064814814815</v>
      </c>
      <c r="D1269" s="12">
        <v>0.49828703703703703</v>
      </c>
      <c r="E1269">
        <v>1</v>
      </c>
      <c r="G1269" s="18">
        <v>5616210</v>
      </c>
      <c r="H1269">
        <v>1</v>
      </c>
    </row>
    <row r="1270" spans="1:8" x14ac:dyDescent="0.35">
      <c r="A1270" s="5">
        <v>9254070</v>
      </c>
      <c r="B1270" s="6">
        <v>42935</v>
      </c>
      <c r="C1270" s="7">
        <v>0.49270833333333336</v>
      </c>
      <c r="D1270" s="8">
        <v>0.49774305555555554</v>
      </c>
      <c r="E1270">
        <v>1</v>
      </c>
      <c r="G1270" s="18">
        <v>4566750</v>
      </c>
      <c r="H1270">
        <v>1</v>
      </c>
    </row>
    <row r="1271" spans="1:8" x14ac:dyDescent="0.35">
      <c r="A1271" s="9">
        <v>6337931</v>
      </c>
      <c r="B1271" s="10">
        <v>42935</v>
      </c>
      <c r="C1271" s="11">
        <v>0.49625000000000002</v>
      </c>
      <c r="D1271" s="12">
        <v>0.5058449074074074</v>
      </c>
      <c r="E1271">
        <v>1</v>
      </c>
      <c r="G1271" s="18">
        <v>5636281</v>
      </c>
      <c r="H1271">
        <v>1</v>
      </c>
    </row>
    <row r="1272" spans="1:8" x14ac:dyDescent="0.35">
      <c r="A1272" s="5">
        <v>3563037</v>
      </c>
      <c r="B1272" s="6">
        <v>42935</v>
      </c>
      <c r="C1272" s="7">
        <v>0.50173611111111116</v>
      </c>
      <c r="D1272" s="8">
        <v>0.5130555555555556</v>
      </c>
      <c r="E1272">
        <v>1</v>
      </c>
      <c r="G1272" s="18">
        <v>5104536</v>
      </c>
      <c r="H1272">
        <v>1</v>
      </c>
    </row>
    <row r="1273" spans="1:8" x14ac:dyDescent="0.35">
      <c r="A1273" s="9">
        <v>2302227</v>
      </c>
      <c r="B1273" s="10">
        <v>42935</v>
      </c>
      <c r="C1273" s="11">
        <v>0.50219907407407405</v>
      </c>
      <c r="D1273" s="12">
        <v>0.50804398148148144</v>
      </c>
      <c r="E1273">
        <v>1</v>
      </c>
      <c r="G1273" s="18">
        <v>5672312</v>
      </c>
      <c r="H1273">
        <v>1</v>
      </c>
    </row>
    <row r="1274" spans="1:8" x14ac:dyDescent="0.35">
      <c r="A1274" s="5">
        <v>24454566</v>
      </c>
      <c r="B1274" s="6">
        <v>42935</v>
      </c>
      <c r="C1274" s="7">
        <v>0.50749999999999995</v>
      </c>
      <c r="D1274" s="8">
        <v>0.51290509259259254</v>
      </c>
      <c r="E1274">
        <v>1</v>
      </c>
      <c r="G1274" s="18">
        <v>4575865</v>
      </c>
      <c r="H1274">
        <v>1</v>
      </c>
    </row>
    <row r="1275" spans="1:8" x14ac:dyDescent="0.35">
      <c r="A1275" s="9">
        <v>6551880</v>
      </c>
      <c r="B1275" s="10">
        <v>42935</v>
      </c>
      <c r="C1275" s="11">
        <v>0.50756944444444441</v>
      </c>
      <c r="D1275" s="12">
        <v>0.51126157407407402</v>
      </c>
      <c r="E1275">
        <v>1</v>
      </c>
      <c r="G1275" s="18">
        <v>5687447</v>
      </c>
      <c r="H1275">
        <v>1</v>
      </c>
    </row>
    <row r="1276" spans="1:8" x14ac:dyDescent="0.35">
      <c r="A1276" s="5">
        <v>6616163</v>
      </c>
      <c r="B1276" s="6">
        <v>42935</v>
      </c>
      <c r="C1276" s="7">
        <v>0.51325231481481481</v>
      </c>
      <c r="D1276" s="8">
        <v>0.51627314814814818</v>
      </c>
      <c r="E1276">
        <v>1</v>
      </c>
      <c r="G1276" s="18">
        <v>5136126</v>
      </c>
      <c r="H1276">
        <v>1</v>
      </c>
    </row>
    <row r="1277" spans="1:8" x14ac:dyDescent="0.35">
      <c r="A1277" s="9">
        <v>96381896</v>
      </c>
      <c r="B1277" s="10">
        <v>42935</v>
      </c>
      <c r="C1277" s="11">
        <v>0.5173726851851852</v>
      </c>
      <c r="D1277" s="12">
        <v>0.52055555555555555</v>
      </c>
      <c r="E1277">
        <v>1</v>
      </c>
      <c r="G1277" s="18">
        <v>5713477</v>
      </c>
      <c r="H1277">
        <v>1</v>
      </c>
    </row>
    <row r="1278" spans="1:8" x14ac:dyDescent="0.35">
      <c r="A1278" s="5">
        <v>6892980</v>
      </c>
      <c r="B1278" s="6">
        <v>42935</v>
      </c>
      <c r="C1278" s="7">
        <v>0.52288194444444447</v>
      </c>
      <c r="D1278" s="8">
        <v>0.52722222222222226</v>
      </c>
      <c r="E1278">
        <v>1</v>
      </c>
      <c r="G1278" s="18">
        <v>5138547</v>
      </c>
      <c r="H1278">
        <v>1</v>
      </c>
    </row>
    <row r="1279" spans="1:8" x14ac:dyDescent="0.35">
      <c r="A1279" s="9">
        <v>5341697748</v>
      </c>
      <c r="B1279" s="10">
        <v>42935</v>
      </c>
      <c r="C1279" s="11">
        <v>0.52349537037037042</v>
      </c>
      <c r="D1279" s="12">
        <v>0.53362268518518519</v>
      </c>
      <c r="E1279">
        <v>1</v>
      </c>
      <c r="G1279" s="18">
        <v>5726531</v>
      </c>
      <c r="H1279">
        <v>1</v>
      </c>
    </row>
    <row r="1280" spans="1:8" x14ac:dyDescent="0.35">
      <c r="A1280" s="5">
        <v>52064221</v>
      </c>
      <c r="B1280" s="6">
        <v>42935</v>
      </c>
      <c r="C1280" s="7">
        <v>0.52766203703703707</v>
      </c>
      <c r="D1280" s="8">
        <v>0.53917824074074072</v>
      </c>
      <c r="E1280">
        <v>1</v>
      </c>
      <c r="G1280" s="18">
        <v>5146166</v>
      </c>
      <c r="H1280">
        <v>1</v>
      </c>
    </row>
    <row r="1281" spans="1:8" x14ac:dyDescent="0.35">
      <c r="A1281" s="9">
        <v>5111892302</v>
      </c>
      <c r="B1281" s="10">
        <v>42935</v>
      </c>
      <c r="C1281" s="11">
        <v>0.53209490740740739</v>
      </c>
      <c r="D1281" s="12">
        <v>0.53931712962962963</v>
      </c>
      <c r="E1281">
        <v>1</v>
      </c>
      <c r="G1281" s="18">
        <v>5741700</v>
      </c>
      <c r="H1281">
        <v>1</v>
      </c>
    </row>
    <row r="1282" spans="1:8" x14ac:dyDescent="0.35">
      <c r="A1282" s="5">
        <v>7571642</v>
      </c>
      <c r="B1282" s="6">
        <v>42935</v>
      </c>
      <c r="C1282" s="7">
        <v>0.53540509259259261</v>
      </c>
      <c r="D1282" s="8">
        <v>0.53540509259259261</v>
      </c>
      <c r="E1282">
        <v>1</v>
      </c>
      <c r="G1282" s="18">
        <v>5147242</v>
      </c>
      <c r="H1282">
        <v>1</v>
      </c>
    </row>
    <row r="1283" spans="1:8" x14ac:dyDescent="0.35">
      <c r="A1283" s="9">
        <v>9570286</v>
      </c>
      <c r="B1283" s="10">
        <v>42935</v>
      </c>
      <c r="C1283" s="11">
        <v>0.53594907407407411</v>
      </c>
      <c r="D1283" s="12">
        <v>0.54584490740740743</v>
      </c>
      <c r="E1283">
        <v>1</v>
      </c>
      <c r="G1283" s="18">
        <v>5744567</v>
      </c>
      <c r="H1283">
        <v>1</v>
      </c>
    </row>
    <row r="1284" spans="1:8" x14ac:dyDescent="0.35">
      <c r="A1284" s="5">
        <v>7632647</v>
      </c>
      <c r="B1284" s="6">
        <v>42935</v>
      </c>
      <c r="C1284" s="7">
        <v>0.54052083333333334</v>
      </c>
      <c r="D1284" s="8">
        <v>0.54195601851851849</v>
      </c>
      <c r="E1284">
        <v>1</v>
      </c>
      <c r="G1284" s="18">
        <v>4577789</v>
      </c>
      <c r="H1284">
        <v>1</v>
      </c>
    </row>
    <row r="1285" spans="1:8" x14ac:dyDescent="0.35">
      <c r="A1285" s="9">
        <v>3437033</v>
      </c>
      <c r="B1285" s="10">
        <v>42935</v>
      </c>
      <c r="C1285" s="11">
        <v>0.54439814814814813</v>
      </c>
      <c r="D1285" s="12">
        <v>0.54800925925925925</v>
      </c>
      <c r="E1285">
        <v>1</v>
      </c>
      <c r="G1285" s="18">
        <v>5750819</v>
      </c>
      <c r="H1285">
        <v>1</v>
      </c>
    </row>
    <row r="1286" spans="1:8" x14ac:dyDescent="0.35">
      <c r="A1286" s="5">
        <v>81575080</v>
      </c>
      <c r="B1286" s="6">
        <v>42935</v>
      </c>
      <c r="C1286" s="7">
        <v>0.54996527777777782</v>
      </c>
      <c r="D1286" s="8">
        <v>0.55228009259259259</v>
      </c>
      <c r="E1286">
        <v>1</v>
      </c>
      <c r="G1286" s="18">
        <v>5162775</v>
      </c>
      <c r="H1286">
        <v>1</v>
      </c>
    </row>
    <row r="1287" spans="1:8" x14ac:dyDescent="0.35">
      <c r="A1287" s="9">
        <v>7677384</v>
      </c>
      <c r="B1287" s="10">
        <v>42935</v>
      </c>
      <c r="C1287" s="11">
        <v>0.55121527777777779</v>
      </c>
      <c r="D1287" s="12">
        <v>0.55539351851851848</v>
      </c>
      <c r="E1287">
        <v>1</v>
      </c>
      <c r="G1287" s="18">
        <v>5759409</v>
      </c>
      <c r="H1287">
        <v>1</v>
      </c>
    </row>
    <row r="1288" spans="1:8" x14ac:dyDescent="0.35">
      <c r="A1288" s="5">
        <v>6194112</v>
      </c>
      <c r="B1288" s="6">
        <v>42935</v>
      </c>
      <c r="C1288" s="7">
        <v>0.55174768518518513</v>
      </c>
      <c r="D1288" s="8">
        <v>0.5575</v>
      </c>
      <c r="E1288">
        <v>1</v>
      </c>
      <c r="G1288" s="18">
        <v>5199929</v>
      </c>
      <c r="H1288">
        <v>1</v>
      </c>
    </row>
    <row r="1289" spans="1:8" x14ac:dyDescent="0.35">
      <c r="A1289" s="9">
        <v>67913744</v>
      </c>
      <c r="B1289" s="10">
        <v>42935</v>
      </c>
      <c r="C1289" s="11">
        <v>0.55387731481481484</v>
      </c>
      <c r="D1289" s="12">
        <v>0.5645486111111111</v>
      </c>
      <c r="E1289">
        <v>1</v>
      </c>
      <c r="G1289" s="18">
        <v>5788783</v>
      </c>
      <c r="H1289">
        <v>1</v>
      </c>
    </row>
    <row r="1290" spans="1:8" x14ac:dyDescent="0.35">
      <c r="A1290" s="5">
        <v>9418587</v>
      </c>
      <c r="B1290" s="6">
        <v>42935</v>
      </c>
      <c r="C1290" s="7">
        <v>0.5591666666666667</v>
      </c>
      <c r="D1290" s="8">
        <v>0.56074074074074076</v>
      </c>
      <c r="E1290">
        <v>1</v>
      </c>
      <c r="G1290" s="18">
        <v>5205087</v>
      </c>
      <c r="H1290">
        <v>1</v>
      </c>
    </row>
    <row r="1291" spans="1:8" x14ac:dyDescent="0.35">
      <c r="A1291" s="9">
        <v>3273221616</v>
      </c>
      <c r="B1291" s="10">
        <v>42935</v>
      </c>
      <c r="C1291" s="11">
        <v>0.56276620370370367</v>
      </c>
      <c r="D1291" s="12">
        <v>0.56792824074074078</v>
      </c>
      <c r="E1291">
        <v>1</v>
      </c>
      <c r="G1291" s="18">
        <v>5809293</v>
      </c>
      <c r="H1291">
        <v>1</v>
      </c>
    </row>
    <row r="1292" spans="1:8" x14ac:dyDescent="0.35">
      <c r="A1292" s="5">
        <v>7364500</v>
      </c>
      <c r="B1292" s="6">
        <v>42935</v>
      </c>
      <c r="C1292" s="7">
        <v>0.5682638888888889</v>
      </c>
      <c r="D1292" s="8">
        <v>0.57974537037037033</v>
      </c>
      <c r="E1292">
        <v>1</v>
      </c>
      <c r="G1292" s="18">
        <v>5215912</v>
      </c>
      <c r="H1292">
        <v>1</v>
      </c>
    </row>
    <row r="1293" spans="1:8" x14ac:dyDescent="0.35">
      <c r="A1293" s="9">
        <v>69273048</v>
      </c>
      <c r="B1293" s="10">
        <v>42935</v>
      </c>
      <c r="C1293" s="11">
        <v>0.56847222222222227</v>
      </c>
      <c r="D1293" s="12">
        <v>0.57787037037037037</v>
      </c>
      <c r="E1293">
        <v>1</v>
      </c>
      <c r="G1293" s="18">
        <v>4661635</v>
      </c>
      <c r="H1293">
        <v>1</v>
      </c>
    </row>
    <row r="1294" spans="1:8" x14ac:dyDescent="0.35">
      <c r="A1294" s="5">
        <v>1345591</v>
      </c>
      <c r="B1294" s="6">
        <v>42935</v>
      </c>
      <c r="C1294" s="7">
        <v>0.5703125</v>
      </c>
      <c r="D1294" s="8">
        <v>0.57703703703703701</v>
      </c>
      <c r="E1294">
        <v>1</v>
      </c>
      <c r="G1294" s="18">
        <v>5220235</v>
      </c>
      <c r="H1294">
        <v>1</v>
      </c>
    </row>
    <row r="1295" spans="1:8" x14ac:dyDescent="0.35">
      <c r="A1295" s="9">
        <v>13674393</v>
      </c>
      <c r="B1295" s="10">
        <v>42935</v>
      </c>
      <c r="C1295" s="11">
        <v>0.57313657407407403</v>
      </c>
      <c r="D1295" s="12">
        <v>0.57559027777777783</v>
      </c>
      <c r="E1295">
        <v>1</v>
      </c>
      <c r="G1295" s="18">
        <v>5829504</v>
      </c>
      <c r="H1295">
        <v>1</v>
      </c>
    </row>
    <row r="1296" spans="1:8" x14ac:dyDescent="0.35">
      <c r="A1296" s="5">
        <v>5273579381</v>
      </c>
      <c r="B1296" s="6">
        <v>42935</v>
      </c>
      <c r="C1296" s="7">
        <v>0.57525462962962959</v>
      </c>
      <c r="D1296" s="8">
        <v>0.58087962962962958</v>
      </c>
      <c r="E1296">
        <v>1</v>
      </c>
      <c r="G1296" s="18">
        <v>5221005</v>
      </c>
      <c r="H1296">
        <v>1</v>
      </c>
    </row>
    <row r="1297" spans="1:8" x14ac:dyDescent="0.35">
      <c r="A1297" s="9">
        <v>5790304</v>
      </c>
      <c r="B1297" s="10">
        <v>42935</v>
      </c>
      <c r="C1297" s="11">
        <v>0.57974537037037033</v>
      </c>
      <c r="D1297" s="12">
        <v>0.58975694444444449</v>
      </c>
      <c r="E1297">
        <v>1</v>
      </c>
      <c r="G1297" s="18">
        <v>5835972</v>
      </c>
      <c r="H1297">
        <v>1</v>
      </c>
    </row>
    <row r="1298" spans="1:8" x14ac:dyDescent="0.35">
      <c r="A1298" s="5">
        <v>6551880</v>
      </c>
      <c r="B1298" s="6">
        <v>42935</v>
      </c>
      <c r="C1298" s="7">
        <v>0.58071759259259259</v>
      </c>
      <c r="D1298" s="8">
        <v>0.59002314814814816</v>
      </c>
      <c r="E1298">
        <v>1</v>
      </c>
      <c r="G1298" s="18">
        <v>4581715</v>
      </c>
      <c r="H1298">
        <v>1</v>
      </c>
    </row>
    <row r="1299" spans="1:8" x14ac:dyDescent="0.35">
      <c r="A1299" s="9">
        <v>2873323</v>
      </c>
      <c r="B1299" s="10">
        <v>42935</v>
      </c>
      <c r="C1299" s="11">
        <v>0.58622685185185186</v>
      </c>
      <c r="D1299" s="12">
        <v>0.5921643518518519</v>
      </c>
      <c r="E1299">
        <v>1</v>
      </c>
      <c r="G1299" s="18">
        <v>5854377</v>
      </c>
      <c r="H1299">
        <v>1</v>
      </c>
    </row>
    <row r="1300" spans="1:8" x14ac:dyDescent="0.35">
      <c r="A1300" s="5">
        <v>2733008</v>
      </c>
      <c r="B1300" s="6">
        <v>42935</v>
      </c>
      <c r="C1300" s="7">
        <v>0.5879861111111111</v>
      </c>
      <c r="D1300" s="8">
        <v>0.59103009259259254</v>
      </c>
      <c r="E1300">
        <v>1</v>
      </c>
      <c r="G1300" s="18">
        <v>5228419</v>
      </c>
      <c r="H1300">
        <v>1</v>
      </c>
    </row>
    <row r="1301" spans="1:8" x14ac:dyDescent="0.35">
      <c r="A1301" s="9">
        <v>7292887</v>
      </c>
      <c r="B1301" s="10">
        <v>42935</v>
      </c>
      <c r="C1301" s="11">
        <v>0.58810185185185182</v>
      </c>
      <c r="D1301" s="12">
        <v>0.59202546296296299</v>
      </c>
      <c r="E1301">
        <v>1</v>
      </c>
      <c r="G1301" s="18">
        <v>5859235</v>
      </c>
      <c r="H1301">
        <v>1</v>
      </c>
    </row>
    <row r="1302" spans="1:8" x14ac:dyDescent="0.35">
      <c r="A1302" s="5">
        <v>6855900</v>
      </c>
      <c r="B1302" s="6">
        <v>42935</v>
      </c>
      <c r="C1302" s="7">
        <v>0.59090277777777778</v>
      </c>
      <c r="D1302" s="8">
        <v>0.5923842592592593</v>
      </c>
      <c r="E1302">
        <v>1</v>
      </c>
      <c r="G1302" s="18">
        <v>4599598</v>
      </c>
      <c r="H1302">
        <v>1</v>
      </c>
    </row>
    <row r="1303" spans="1:8" x14ac:dyDescent="0.35">
      <c r="A1303" s="9">
        <v>2402827</v>
      </c>
      <c r="B1303" s="10">
        <v>42935</v>
      </c>
      <c r="C1303" s="11">
        <v>0.59659722222222222</v>
      </c>
      <c r="D1303" s="12">
        <v>0.60329861111111116</v>
      </c>
      <c r="E1303">
        <v>1</v>
      </c>
      <c r="G1303" s="18">
        <v>5883714</v>
      </c>
      <c r="H1303">
        <v>1</v>
      </c>
    </row>
    <row r="1304" spans="1:8" x14ac:dyDescent="0.35">
      <c r="A1304" s="5">
        <v>6510330</v>
      </c>
      <c r="B1304" s="6">
        <v>42935</v>
      </c>
      <c r="C1304" s="7">
        <v>0.5971643518518519</v>
      </c>
      <c r="D1304" s="8">
        <v>0.60538194444444449</v>
      </c>
      <c r="E1304">
        <v>1</v>
      </c>
      <c r="G1304" s="18">
        <v>5233531</v>
      </c>
      <c r="H1304">
        <v>1</v>
      </c>
    </row>
    <row r="1305" spans="1:8" x14ac:dyDescent="0.35">
      <c r="A1305" s="9">
        <v>9773176</v>
      </c>
      <c r="B1305" s="10">
        <v>42935</v>
      </c>
      <c r="C1305" s="11">
        <v>0.59719907407407402</v>
      </c>
      <c r="D1305" s="12">
        <v>0.60488425925925926</v>
      </c>
      <c r="E1305">
        <v>1</v>
      </c>
      <c r="G1305" s="18">
        <v>5894865</v>
      </c>
      <c r="H1305">
        <v>1</v>
      </c>
    </row>
    <row r="1306" spans="1:8" x14ac:dyDescent="0.35">
      <c r="A1306" s="5">
        <v>4065787</v>
      </c>
      <c r="B1306" s="6">
        <v>42935</v>
      </c>
      <c r="C1306" s="7">
        <v>0.6021643518518518</v>
      </c>
      <c r="D1306" s="8">
        <v>0.61331018518518521</v>
      </c>
      <c r="E1306">
        <v>1</v>
      </c>
      <c r="G1306" s="18">
        <v>5244597</v>
      </c>
      <c r="H1306">
        <v>1</v>
      </c>
    </row>
    <row r="1307" spans="1:8" x14ac:dyDescent="0.35">
      <c r="A1307" s="9">
        <v>4303543625</v>
      </c>
      <c r="B1307" s="10">
        <v>42935</v>
      </c>
      <c r="C1307" s="11">
        <v>0.60291666666666666</v>
      </c>
      <c r="D1307" s="12">
        <v>0.61086805555555557</v>
      </c>
      <c r="E1307">
        <v>1</v>
      </c>
      <c r="G1307" s="18">
        <v>5900664</v>
      </c>
      <c r="H1307">
        <v>1</v>
      </c>
    </row>
    <row r="1308" spans="1:8" x14ac:dyDescent="0.35">
      <c r="A1308" s="5">
        <v>3858766</v>
      </c>
      <c r="B1308" s="6">
        <v>42935</v>
      </c>
      <c r="C1308" s="7">
        <v>0.60624999999999996</v>
      </c>
      <c r="D1308" s="8">
        <v>0.6083912037037037</v>
      </c>
      <c r="E1308">
        <v>1</v>
      </c>
      <c r="G1308" s="18">
        <v>5251861</v>
      </c>
      <c r="H1308">
        <v>1</v>
      </c>
    </row>
    <row r="1309" spans="1:8" x14ac:dyDescent="0.35">
      <c r="A1309" s="9">
        <v>41852472</v>
      </c>
      <c r="B1309" s="10">
        <v>42935</v>
      </c>
      <c r="C1309" s="11">
        <v>0.60868055555555556</v>
      </c>
      <c r="D1309" s="12">
        <v>0.61019675925925931</v>
      </c>
      <c r="E1309">
        <v>1</v>
      </c>
      <c r="G1309" s="18">
        <v>5913547</v>
      </c>
      <c r="H1309">
        <v>1</v>
      </c>
    </row>
    <row r="1310" spans="1:8" x14ac:dyDescent="0.35">
      <c r="A1310" s="5">
        <v>25574074</v>
      </c>
      <c r="B1310" s="6">
        <v>42935</v>
      </c>
      <c r="C1310" s="7">
        <v>0.61081018518518515</v>
      </c>
      <c r="D1310" s="8">
        <v>0.62118055555555551</v>
      </c>
      <c r="E1310">
        <v>1</v>
      </c>
      <c r="G1310" s="18">
        <v>5252835</v>
      </c>
      <c r="H1310">
        <v>1</v>
      </c>
    </row>
    <row r="1311" spans="1:8" x14ac:dyDescent="0.35">
      <c r="A1311" s="9">
        <v>8690793</v>
      </c>
      <c r="B1311" s="10">
        <v>42935</v>
      </c>
      <c r="C1311" s="11">
        <v>0.61207175925925927</v>
      </c>
      <c r="D1311" s="12">
        <v>0.61613425925925924</v>
      </c>
      <c r="E1311">
        <v>1</v>
      </c>
      <c r="G1311" s="18">
        <v>5926011</v>
      </c>
      <c r="H1311">
        <v>1</v>
      </c>
    </row>
    <row r="1312" spans="1:8" x14ac:dyDescent="0.35">
      <c r="A1312" s="5">
        <v>8487003</v>
      </c>
      <c r="B1312" s="6">
        <v>42935</v>
      </c>
      <c r="C1312" s="7">
        <v>0.61648148148148152</v>
      </c>
      <c r="D1312" s="8">
        <v>0.62589120370370366</v>
      </c>
      <c r="E1312">
        <v>1</v>
      </c>
      <c r="G1312" s="18">
        <v>5253133</v>
      </c>
      <c r="H1312">
        <v>1</v>
      </c>
    </row>
    <row r="1313" spans="1:8" x14ac:dyDescent="0.35">
      <c r="A1313" s="9">
        <v>50583407</v>
      </c>
      <c r="B1313" s="10">
        <v>42935</v>
      </c>
      <c r="C1313" s="11">
        <v>0.62137731481481484</v>
      </c>
      <c r="D1313" s="12">
        <v>0.63218750000000001</v>
      </c>
      <c r="E1313">
        <v>1</v>
      </c>
      <c r="G1313" s="18">
        <v>5960122</v>
      </c>
      <c r="H1313">
        <v>1</v>
      </c>
    </row>
    <row r="1314" spans="1:8" x14ac:dyDescent="0.35">
      <c r="A1314" s="5">
        <v>4983193</v>
      </c>
      <c r="B1314" s="6">
        <v>42935</v>
      </c>
      <c r="C1314" s="7">
        <v>0.62288194444444445</v>
      </c>
      <c r="D1314" s="8">
        <v>0.63325231481481481</v>
      </c>
      <c r="E1314">
        <v>1</v>
      </c>
      <c r="G1314" s="18">
        <v>5254694</v>
      </c>
      <c r="H1314">
        <v>1</v>
      </c>
    </row>
    <row r="1315" spans="1:8" x14ac:dyDescent="0.35">
      <c r="A1315" s="9">
        <v>1316116</v>
      </c>
      <c r="B1315" s="10">
        <v>42935</v>
      </c>
      <c r="C1315" s="11">
        <v>0.62394675925925924</v>
      </c>
      <c r="D1315" s="12">
        <v>0.62461805555555561</v>
      </c>
      <c r="E1315">
        <v>1</v>
      </c>
      <c r="G1315" s="18">
        <v>5980925</v>
      </c>
      <c r="H1315">
        <v>1</v>
      </c>
    </row>
    <row r="1316" spans="1:8" x14ac:dyDescent="0.35">
      <c r="A1316" s="5">
        <v>5696056</v>
      </c>
      <c r="B1316" s="6">
        <v>42935</v>
      </c>
      <c r="C1316" s="7">
        <v>0.62967592592592592</v>
      </c>
      <c r="D1316" s="8">
        <v>0.63277777777777777</v>
      </c>
      <c r="E1316">
        <v>1</v>
      </c>
      <c r="G1316" s="18">
        <v>5272270</v>
      </c>
      <c r="H1316">
        <v>1</v>
      </c>
    </row>
    <row r="1317" spans="1:8" x14ac:dyDescent="0.35">
      <c r="A1317" s="9">
        <v>3574623</v>
      </c>
      <c r="B1317" s="10">
        <v>42936</v>
      </c>
      <c r="C1317" s="11">
        <v>0.33447916666666666</v>
      </c>
      <c r="D1317" s="12">
        <v>0.33721064814814816</v>
      </c>
      <c r="E1317">
        <v>1</v>
      </c>
      <c r="G1317" s="18">
        <v>5984039</v>
      </c>
      <c r="H1317">
        <v>1</v>
      </c>
    </row>
    <row r="1318" spans="1:8" x14ac:dyDescent="0.35">
      <c r="A1318" s="5">
        <v>71218936</v>
      </c>
      <c r="B1318" s="6">
        <v>42936</v>
      </c>
      <c r="C1318" s="7">
        <v>0.34012731481481484</v>
      </c>
      <c r="D1318" s="8">
        <v>0.34192129629629631</v>
      </c>
      <c r="E1318">
        <v>1</v>
      </c>
      <c r="G1318" s="18">
        <v>4606501</v>
      </c>
      <c r="H1318">
        <v>1</v>
      </c>
    </row>
    <row r="1319" spans="1:8" x14ac:dyDescent="0.35">
      <c r="A1319" s="9">
        <v>55621633</v>
      </c>
      <c r="B1319" s="10">
        <v>42936</v>
      </c>
      <c r="C1319" s="11">
        <v>0.34114583333333331</v>
      </c>
      <c r="D1319" s="12">
        <v>0.3525578703703704</v>
      </c>
      <c r="E1319">
        <v>1</v>
      </c>
      <c r="G1319" s="18">
        <v>5997385</v>
      </c>
      <c r="H1319">
        <v>1</v>
      </c>
    </row>
    <row r="1320" spans="1:8" x14ac:dyDescent="0.35">
      <c r="A1320" s="5">
        <v>1898174</v>
      </c>
      <c r="B1320" s="6">
        <v>42936</v>
      </c>
      <c r="C1320" s="7">
        <v>0.34371527777777777</v>
      </c>
      <c r="D1320" s="8">
        <v>0.34609953703703705</v>
      </c>
      <c r="E1320">
        <v>1</v>
      </c>
      <c r="G1320" s="18">
        <v>5290460</v>
      </c>
      <c r="H1320">
        <v>1</v>
      </c>
    </row>
    <row r="1321" spans="1:8" x14ac:dyDescent="0.35">
      <c r="A1321" s="9">
        <v>4844054</v>
      </c>
      <c r="B1321" s="10">
        <v>42936</v>
      </c>
      <c r="C1321" s="11">
        <v>0.34857638888888887</v>
      </c>
      <c r="D1321" s="12">
        <v>0.34998842592592594</v>
      </c>
      <c r="E1321">
        <v>1</v>
      </c>
      <c r="G1321" s="18">
        <v>6005355</v>
      </c>
      <c r="H1321">
        <v>1</v>
      </c>
    </row>
    <row r="1322" spans="1:8" x14ac:dyDescent="0.35">
      <c r="A1322" s="5">
        <v>7701901</v>
      </c>
      <c r="B1322" s="6">
        <v>42936</v>
      </c>
      <c r="C1322" s="7">
        <v>0.3533101851851852</v>
      </c>
      <c r="D1322" s="8">
        <v>0.3555787037037037</v>
      </c>
      <c r="E1322">
        <v>1</v>
      </c>
      <c r="G1322" s="18">
        <v>5303411</v>
      </c>
      <c r="H1322">
        <v>1</v>
      </c>
    </row>
    <row r="1323" spans="1:8" x14ac:dyDescent="0.35">
      <c r="A1323" s="9">
        <v>5900664</v>
      </c>
      <c r="B1323" s="10">
        <v>42936</v>
      </c>
      <c r="C1323" s="11">
        <v>0.3558912037037037</v>
      </c>
      <c r="D1323" s="12">
        <v>0.36550925925925926</v>
      </c>
      <c r="E1323">
        <v>1</v>
      </c>
      <c r="G1323" s="18">
        <v>6009110</v>
      </c>
      <c r="H1323">
        <v>1</v>
      </c>
    </row>
    <row r="1324" spans="1:8" x14ac:dyDescent="0.35">
      <c r="A1324" s="5">
        <v>4698731</v>
      </c>
      <c r="B1324" s="6">
        <v>42936</v>
      </c>
      <c r="C1324" s="7">
        <v>0.35894675925925928</v>
      </c>
      <c r="D1324" s="8">
        <v>0.3689351851851852</v>
      </c>
      <c r="E1324">
        <v>1</v>
      </c>
      <c r="G1324" s="18">
        <v>5305478</v>
      </c>
      <c r="H1324">
        <v>1</v>
      </c>
    </row>
    <row r="1325" spans="1:8" x14ac:dyDescent="0.35">
      <c r="A1325" s="9">
        <v>4606501</v>
      </c>
      <c r="B1325" s="10">
        <v>42936</v>
      </c>
      <c r="C1325" s="11">
        <v>0.36222222222222222</v>
      </c>
      <c r="D1325" s="12">
        <v>0.36548611111111112</v>
      </c>
      <c r="E1325">
        <v>1</v>
      </c>
      <c r="G1325" s="18">
        <v>6018613</v>
      </c>
      <c r="H1325">
        <v>1</v>
      </c>
    </row>
    <row r="1326" spans="1:8" x14ac:dyDescent="0.35">
      <c r="A1326" s="5">
        <v>3851940</v>
      </c>
      <c r="B1326" s="6">
        <v>42936</v>
      </c>
      <c r="C1326" s="7">
        <v>0.36473379629629632</v>
      </c>
      <c r="D1326" s="8">
        <v>0.36630787037037038</v>
      </c>
      <c r="E1326">
        <v>1</v>
      </c>
      <c r="G1326" s="18">
        <v>5312081</v>
      </c>
      <c r="H1326">
        <v>1</v>
      </c>
    </row>
    <row r="1327" spans="1:8" x14ac:dyDescent="0.35">
      <c r="A1327" s="9">
        <v>7972076</v>
      </c>
      <c r="B1327" s="10">
        <v>42936</v>
      </c>
      <c r="C1327" s="11">
        <v>0.37011574074074072</v>
      </c>
      <c r="D1327" s="12">
        <v>0.37928240740740743</v>
      </c>
      <c r="E1327">
        <v>1</v>
      </c>
      <c r="G1327" s="18">
        <v>6023049</v>
      </c>
      <c r="H1327">
        <v>1</v>
      </c>
    </row>
    <row r="1328" spans="1:8" x14ac:dyDescent="0.35">
      <c r="A1328" s="5">
        <v>1911796</v>
      </c>
      <c r="B1328" s="6">
        <v>42936</v>
      </c>
      <c r="C1328" s="7">
        <v>0.37506944444444446</v>
      </c>
      <c r="D1328" s="8">
        <v>0.38142361111111112</v>
      </c>
      <c r="E1328">
        <v>1</v>
      </c>
      <c r="G1328" s="18">
        <v>5318850</v>
      </c>
      <c r="H1328">
        <v>1</v>
      </c>
    </row>
    <row r="1329" spans="1:8" x14ac:dyDescent="0.35">
      <c r="A1329" s="9">
        <v>7362963</v>
      </c>
      <c r="B1329" s="10">
        <v>42936</v>
      </c>
      <c r="C1329" s="11">
        <v>0.37658564814814816</v>
      </c>
      <c r="D1329" s="12">
        <v>0.37936342592592592</v>
      </c>
      <c r="E1329">
        <v>1</v>
      </c>
      <c r="G1329" s="18">
        <v>6026397</v>
      </c>
      <c r="H1329">
        <v>1</v>
      </c>
    </row>
    <row r="1330" spans="1:8" x14ac:dyDescent="0.35">
      <c r="A1330" s="5">
        <v>24290062</v>
      </c>
      <c r="B1330" s="6">
        <v>42936</v>
      </c>
      <c r="C1330" s="7">
        <v>0.38047453703703704</v>
      </c>
      <c r="D1330" s="8">
        <v>0.39142361111111112</v>
      </c>
      <c r="E1330">
        <v>1</v>
      </c>
      <c r="G1330" s="18">
        <v>5340881</v>
      </c>
      <c r="H1330">
        <v>1</v>
      </c>
    </row>
    <row r="1331" spans="1:8" x14ac:dyDescent="0.35">
      <c r="A1331" s="9">
        <v>3086185</v>
      </c>
      <c r="B1331" s="10">
        <v>42936</v>
      </c>
      <c r="C1331" s="11">
        <v>0.38394675925925925</v>
      </c>
      <c r="D1331" s="12">
        <v>0.39547453703703705</v>
      </c>
      <c r="E1331">
        <v>1</v>
      </c>
      <c r="G1331" s="18">
        <v>6045882</v>
      </c>
      <c r="H1331">
        <v>1</v>
      </c>
    </row>
    <row r="1332" spans="1:8" x14ac:dyDescent="0.35">
      <c r="A1332" s="5">
        <v>7622819</v>
      </c>
      <c r="B1332" s="6">
        <v>42936</v>
      </c>
      <c r="C1332" s="7">
        <v>0.38599537037037035</v>
      </c>
      <c r="D1332" s="8">
        <v>0.39438657407407407</v>
      </c>
      <c r="E1332">
        <v>1</v>
      </c>
      <c r="G1332" s="18">
        <v>5349562</v>
      </c>
      <c r="H1332">
        <v>1</v>
      </c>
    </row>
    <row r="1333" spans="1:8" x14ac:dyDescent="0.35">
      <c r="A1333" s="9">
        <v>5610335</v>
      </c>
      <c r="B1333" s="10">
        <v>42936</v>
      </c>
      <c r="C1333" s="11">
        <v>0.39055555555555554</v>
      </c>
      <c r="D1333" s="12">
        <v>0.39101851851851854</v>
      </c>
      <c r="E1333">
        <v>1</v>
      </c>
      <c r="G1333" s="18">
        <v>6050344</v>
      </c>
      <c r="H1333">
        <v>1</v>
      </c>
    </row>
    <row r="1334" spans="1:8" x14ac:dyDescent="0.35">
      <c r="A1334" s="5">
        <v>97953696</v>
      </c>
      <c r="B1334" s="6">
        <v>42936</v>
      </c>
      <c r="C1334" s="7">
        <v>0.39373842592592595</v>
      </c>
      <c r="D1334" s="8">
        <v>0.40292824074074074</v>
      </c>
      <c r="E1334">
        <v>1</v>
      </c>
      <c r="G1334" s="18">
        <v>5354141</v>
      </c>
      <c r="H1334">
        <v>1</v>
      </c>
    </row>
    <row r="1335" spans="1:8" x14ac:dyDescent="0.35">
      <c r="A1335" s="9">
        <v>7432767</v>
      </c>
      <c r="B1335" s="10">
        <v>42936</v>
      </c>
      <c r="C1335" s="11">
        <v>0.39446759259259262</v>
      </c>
      <c r="D1335" s="12">
        <v>0.39841435185185187</v>
      </c>
      <c r="E1335">
        <v>1</v>
      </c>
      <c r="G1335" s="18">
        <v>6051341</v>
      </c>
      <c r="H1335">
        <v>1</v>
      </c>
    </row>
    <row r="1336" spans="1:8" x14ac:dyDescent="0.35">
      <c r="A1336" s="5">
        <v>2089993</v>
      </c>
      <c r="B1336" s="6">
        <v>42936</v>
      </c>
      <c r="C1336" s="7">
        <v>0.39810185185185187</v>
      </c>
      <c r="D1336" s="8">
        <v>0.39876157407407409</v>
      </c>
      <c r="E1336">
        <v>1</v>
      </c>
      <c r="G1336" s="18">
        <v>5356378</v>
      </c>
      <c r="H1336">
        <v>1</v>
      </c>
    </row>
    <row r="1337" spans="1:8" x14ac:dyDescent="0.35">
      <c r="A1337" s="9">
        <v>2635121</v>
      </c>
      <c r="B1337" s="10">
        <v>42936</v>
      </c>
      <c r="C1337" s="11">
        <v>0.39906249999999999</v>
      </c>
      <c r="D1337" s="12">
        <v>0.40487268518518521</v>
      </c>
      <c r="E1337">
        <v>1</v>
      </c>
      <c r="G1337" s="18">
        <v>6056372</v>
      </c>
      <c r="H1337">
        <v>1</v>
      </c>
    </row>
    <row r="1338" spans="1:8" x14ac:dyDescent="0.35">
      <c r="A1338" s="5">
        <v>6725216</v>
      </c>
      <c r="B1338" s="6">
        <v>42936</v>
      </c>
      <c r="C1338" s="7">
        <v>0.40190972222222221</v>
      </c>
      <c r="D1338" s="8">
        <v>0.40715277777777775</v>
      </c>
      <c r="E1338">
        <v>1</v>
      </c>
      <c r="G1338" s="18">
        <v>5356824</v>
      </c>
      <c r="H1338">
        <v>1</v>
      </c>
    </row>
    <row r="1339" spans="1:8" x14ac:dyDescent="0.35">
      <c r="A1339" s="9">
        <v>6530661</v>
      </c>
      <c r="B1339" s="10">
        <v>42936</v>
      </c>
      <c r="C1339" s="11">
        <v>0.40709490740740739</v>
      </c>
      <c r="D1339" s="12">
        <v>0.40795138888888888</v>
      </c>
      <c r="E1339">
        <v>1</v>
      </c>
      <c r="G1339" s="18">
        <v>6062869</v>
      </c>
      <c r="H1339">
        <v>1</v>
      </c>
    </row>
    <row r="1340" spans="1:8" x14ac:dyDescent="0.35">
      <c r="A1340" s="5">
        <v>8691743</v>
      </c>
      <c r="B1340" s="6">
        <v>42936</v>
      </c>
      <c r="C1340" s="7">
        <v>0.41228009259259257</v>
      </c>
      <c r="D1340" s="8">
        <v>0.42214120370370373</v>
      </c>
      <c r="E1340">
        <v>1</v>
      </c>
      <c r="G1340" s="18">
        <v>5372125</v>
      </c>
      <c r="H1340">
        <v>1</v>
      </c>
    </row>
    <row r="1341" spans="1:8" x14ac:dyDescent="0.35">
      <c r="A1341" s="9">
        <v>2771511</v>
      </c>
      <c r="B1341" s="10">
        <v>42936</v>
      </c>
      <c r="C1341" s="11">
        <v>0.41271990740740738</v>
      </c>
      <c r="D1341" s="12">
        <v>0.41487268518518516</v>
      </c>
      <c r="E1341">
        <v>1</v>
      </c>
      <c r="G1341" s="18">
        <v>6070136</v>
      </c>
      <c r="H1341">
        <v>1</v>
      </c>
    </row>
    <row r="1342" spans="1:8" x14ac:dyDescent="0.35">
      <c r="A1342" s="5">
        <v>7471152</v>
      </c>
      <c r="B1342" s="6">
        <v>42936</v>
      </c>
      <c r="C1342" s="7">
        <v>0.41456018518518517</v>
      </c>
      <c r="D1342" s="8">
        <v>0.41495370370370371</v>
      </c>
      <c r="E1342">
        <v>1</v>
      </c>
      <c r="G1342" s="18">
        <v>6312012</v>
      </c>
      <c r="H1342">
        <v>1</v>
      </c>
    </row>
    <row r="1343" spans="1:8" x14ac:dyDescent="0.35">
      <c r="A1343" s="9">
        <v>89691426</v>
      </c>
      <c r="B1343" s="10">
        <v>42936</v>
      </c>
      <c r="C1343" s="11">
        <v>0.41677083333333331</v>
      </c>
      <c r="D1343" s="12">
        <v>0.42192129629629632</v>
      </c>
      <c r="E1343">
        <v>1</v>
      </c>
      <c r="G1343" s="18">
        <v>6087301</v>
      </c>
      <c r="H1343">
        <v>1</v>
      </c>
    </row>
    <row r="1344" spans="1:8" x14ac:dyDescent="0.35">
      <c r="A1344" s="5">
        <v>5305478</v>
      </c>
      <c r="B1344" s="6">
        <v>42936</v>
      </c>
      <c r="C1344" s="7">
        <v>0.41980324074074077</v>
      </c>
      <c r="D1344" s="8">
        <v>0.42957175925925928</v>
      </c>
      <c r="E1344">
        <v>1</v>
      </c>
      <c r="G1344" s="18">
        <v>6320579</v>
      </c>
      <c r="H1344">
        <v>1</v>
      </c>
    </row>
    <row r="1345" spans="1:8" x14ac:dyDescent="0.35">
      <c r="A1345" s="9">
        <v>4305632</v>
      </c>
      <c r="B1345" s="10">
        <v>42936</v>
      </c>
      <c r="C1345" s="11">
        <v>0.42534722222222221</v>
      </c>
      <c r="D1345" s="12">
        <v>0.43634259259259262</v>
      </c>
      <c r="E1345">
        <v>1</v>
      </c>
      <c r="G1345" s="18">
        <v>6118241</v>
      </c>
      <c r="H1345">
        <v>1</v>
      </c>
    </row>
    <row r="1346" spans="1:8" x14ac:dyDescent="0.35">
      <c r="A1346" s="5">
        <v>9526179</v>
      </c>
      <c r="B1346" s="6">
        <v>42936</v>
      </c>
      <c r="C1346" s="7">
        <v>0.42761574074074077</v>
      </c>
      <c r="D1346" s="8">
        <v>0.4314236111111111</v>
      </c>
      <c r="E1346">
        <v>1</v>
      </c>
      <c r="G1346" s="18">
        <v>5379981</v>
      </c>
      <c r="H1346">
        <v>1</v>
      </c>
    </row>
    <row r="1347" spans="1:8" x14ac:dyDescent="0.35">
      <c r="A1347" s="9">
        <v>1268336</v>
      </c>
      <c r="B1347" s="10">
        <v>42936</v>
      </c>
      <c r="C1347" s="11">
        <v>0.43172453703703706</v>
      </c>
      <c r="D1347" s="12">
        <v>0.44153935185185184</v>
      </c>
      <c r="E1347">
        <v>1</v>
      </c>
      <c r="G1347" s="18">
        <v>6131743</v>
      </c>
      <c r="H1347">
        <v>1</v>
      </c>
    </row>
    <row r="1348" spans="1:8" x14ac:dyDescent="0.35">
      <c r="A1348" s="5">
        <v>7288626</v>
      </c>
      <c r="B1348" s="6">
        <v>42936</v>
      </c>
      <c r="C1348" s="7">
        <v>0.43606481481481479</v>
      </c>
      <c r="D1348" s="8">
        <v>0.44609953703703703</v>
      </c>
      <c r="E1348">
        <v>1</v>
      </c>
      <c r="G1348" s="18">
        <v>5392799</v>
      </c>
      <c r="H1348">
        <v>1</v>
      </c>
    </row>
    <row r="1349" spans="1:8" x14ac:dyDescent="0.35">
      <c r="A1349" s="9">
        <v>53117702</v>
      </c>
      <c r="B1349" s="10">
        <v>42936</v>
      </c>
      <c r="C1349" s="11">
        <v>0.44170138888888888</v>
      </c>
      <c r="D1349" s="12">
        <v>0.44903935185185184</v>
      </c>
      <c r="E1349">
        <v>1</v>
      </c>
      <c r="G1349" s="18">
        <v>6151478</v>
      </c>
      <c r="H1349">
        <v>1</v>
      </c>
    </row>
    <row r="1350" spans="1:8" x14ac:dyDescent="0.35">
      <c r="A1350" s="5">
        <v>10201038</v>
      </c>
      <c r="B1350" s="6">
        <v>42936</v>
      </c>
      <c r="C1350" s="7">
        <v>0.44615740740740739</v>
      </c>
      <c r="D1350" s="8">
        <v>0.45019675925925928</v>
      </c>
      <c r="E1350">
        <v>1</v>
      </c>
      <c r="G1350" s="18">
        <v>5415372</v>
      </c>
      <c r="H1350">
        <v>1</v>
      </c>
    </row>
    <row r="1351" spans="1:8" x14ac:dyDescent="0.35">
      <c r="A1351" s="9">
        <v>4738129</v>
      </c>
      <c r="B1351" s="10">
        <v>42936</v>
      </c>
      <c r="C1351" s="11">
        <v>0.4503935185185185</v>
      </c>
      <c r="D1351" s="12">
        <v>0.46037037037037037</v>
      </c>
      <c r="E1351">
        <v>1</v>
      </c>
      <c r="G1351" s="18">
        <v>6158527</v>
      </c>
      <c r="H1351">
        <v>1</v>
      </c>
    </row>
    <row r="1352" spans="1:8" x14ac:dyDescent="0.35">
      <c r="A1352" s="5">
        <v>3153023</v>
      </c>
      <c r="B1352" s="6">
        <v>42936</v>
      </c>
      <c r="C1352" s="7">
        <v>0.45503472222222224</v>
      </c>
      <c r="D1352" s="8">
        <v>0.45876157407407409</v>
      </c>
      <c r="E1352">
        <v>1</v>
      </c>
      <c r="G1352" s="18">
        <v>5418543</v>
      </c>
      <c r="H1352">
        <v>1</v>
      </c>
    </row>
    <row r="1353" spans="1:8" x14ac:dyDescent="0.35">
      <c r="A1353" s="9">
        <v>1747389</v>
      </c>
      <c r="B1353" s="10">
        <v>42936</v>
      </c>
      <c r="C1353" s="11">
        <v>0.45795138888888887</v>
      </c>
      <c r="D1353" s="12">
        <v>0.46004629629629629</v>
      </c>
      <c r="E1353">
        <v>1</v>
      </c>
      <c r="G1353" s="18">
        <v>4702334</v>
      </c>
      <c r="H1353">
        <v>1</v>
      </c>
    </row>
    <row r="1354" spans="1:8" x14ac:dyDescent="0.35">
      <c r="A1354" s="5">
        <v>5526425146</v>
      </c>
      <c r="B1354" s="6">
        <v>42936</v>
      </c>
      <c r="C1354" s="7">
        <v>0.46164351851851854</v>
      </c>
      <c r="D1354" s="8">
        <v>0.46197916666666666</v>
      </c>
      <c r="E1354">
        <v>1</v>
      </c>
      <c r="G1354" s="18">
        <v>5440420</v>
      </c>
      <c r="H1354">
        <v>1</v>
      </c>
    </row>
    <row r="1355" spans="1:8" x14ac:dyDescent="0.35">
      <c r="A1355" s="9">
        <v>93050839</v>
      </c>
      <c r="B1355" s="10">
        <v>42936</v>
      </c>
      <c r="C1355" s="11">
        <v>0.46225694444444443</v>
      </c>
      <c r="D1355" s="12">
        <v>0.46591435185185187</v>
      </c>
      <c r="E1355">
        <v>1</v>
      </c>
      <c r="G1355" s="18">
        <v>6191682</v>
      </c>
      <c r="H1355">
        <v>1</v>
      </c>
    </row>
    <row r="1356" spans="1:8" x14ac:dyDescent="0.35">
      <c r="A1356" s="5">
        <v>1288318920</v>
      </c>
      <c r="B1356" s="6">
        <v>42936</v>
      </c>
      <c r="C1356" s="7">
        <v>0.46606481481481482</v>
      </c>
      <c r="D1356" s="8">
        <v>0.47375</v>
      </c>
      <c r="E1356">
        <v>1</v>
      </c>
      <c r="G1356" s="18">
        <v>5446203</v>
      </c>
      <c r="H1356">
        <v>1</v>
      </c>
    </row>
    <row r="1357" spans="1:8" x14ac:dyDescent="0.35">
      <c r="A1357" s="9">
        <v>5613566</v>
      </c>
      <c r="B1357" s="10">
        <v>42936</v>
      </c>
      <c r="C1357" s="11">
        <v>0.47105324074074073</v>
      </c>
      <c r="D1357" s="12">
        <v>0.47146990740740741</v>
      </c>
      <c r="E1357">
        <v>1</v>
      </c>
      <c r="G1357" s="18">
        <v>6218089</v>
      </c>
      <c r="H1357">
        <v>1</v>
      </c>
    </row>
    <row r="1358" spans="1:8" x14ac:dyDescent="0.35">
      <c r="A1358" s="5">
        <v>2406196</v>
      </c>
      <c r="B1358" s="6">
        <v>42936</v>
      </c>
      <c r="C1358" s="7">
        <v>0.47244212962962961</v>
      </c>
      <c r="D1358" s="8">
        <v>0.48127314814814814</v>
      </c>
      <c r="E1358">
        <v>1</v>
      </c>
      <c r="G1358" s="18">
        <v>5448890</v>
      </c>
      <c r="H1358">
        <v>1</v>
      </c>
    </row>
    <row r="1359" spans="1:8" x14ac:dyDescent="0.35">
      <c r="A1359" s="9">
        <v>9046365</v>
      </c>
      <c r="B1359" s="10">
        <v>42936</v>
      </c>
      <c r="C1359" s="11">
        <v>0.47531250000000003</v>
      </c>
      <c r="D1359" s="12">
        <v>0.47684027777777777</v>
      </c>
      <c r="E1359">
        <v>1</v>
      </c>
      <c r="G1359" s="18">
        <v>4703748</v>
      </c>
      <c r="H1359">
        <v>1</v>
      </c>
    </row>
    <row r="1360" spans="1:8" x14ac:dyDescent="0.35">
      <c r="A1360" s="5">
        <v>5019634</v>
      </c>
      <c r="B1360" s="6">
        <v>42936</v>
      </c>
      <c r="C1360" s="7">
        <v>0.48032407407407407</v>
      </c>
      <c r="D1360" s="8">
        <v>0.4916550925925926</v>
      </c>
      <c r="E1360">
        <v>1</v>
      </c>
      <c r="G1360" s="18">
        <v>5464497</v>
      </c>
      <c r="H1360">
        <v>1</v>
      </c>
    </row>
    <row r="1361" spans="1:8" x14ac:dyDescent="0.35">
      <c r="A1361" s="9">
        <v>90993861</v>
      </c>
      <c r="B1361" s="10">
        <v>42936</v>
      </c>
      <c r="C1361" s="11">
        <v>0.48280092592592594</v>
      </c>
      <c r="D1361" s="12">
        <v>0.48798611111111112</v>
      </c>
      <c r="E1361">
        <v>1</v>
      </c>
      <c r="G1361" s="18">
        <v>6251788</v>
      </c>
      <c r="H1361">
        <v>1</v>
      </c>
    </row>
    <row r="1362" spans="1:8" x14ac:dyDescent="0.35">
      <c r="A1362" s="5">
        <v>4034491</v>
      </c>
      <c r="B1362" s="6">
        <v>42936</v>
      </c>
      <c r="C1362" s="7">
        <v>0.48813657407407407</v>
      </c>
      <c r="D1362" s="8">
        <v>0.49116898148148147</v>
      </c>
      <c r="E1362">
        <v>1</v>
      </c>
      <c r="G1362" s="18">
        <v>5465004</v>
      </c>
      <c r="H1362">
        <v>1</v>
      </c>
    </row>
    <row r="1363" spans="1:8" x14ac:dyDescent="0.35">
      <c r="A1363" s="9">
        <v>57395204</v>
      </c>
      <c r="B1363" s="10">
        <v>42936</v>
      </c>
      <c r="C1363" s="11">
        <v>0.49015046296296294</v>
      </c>
      <c r="D1363" s="12">
        <v>0.49456018518518519</v>
      </c>
      <c r="E1363">
        <v>1</v>
      </c>
      <c r="G1363" s="18">
        <v>4714815</v>
      </c>
      <c r="H1363">
        <v>1</v>
      </c>
    </row>
    <row r="1364" spans="1:8" x14ac:dyDescent="0.35">
      <c r="A1364" s="5">
        <v>9156106</v>
      </c>
      <c r="B1364" s="6">
        <v>42936</v>
      </c>
      <c r="C1364" s="7">
        <v>0.49103009259259262</v>
      </c>
      <c r="D1364" s="8">
        <v>0.4937037037037037</v>
      </c>
      <c r="E1364">
        <v>1</v>
      </c>
      <c r="G1364" s="18">
        <v>5487496</v>
      </c>
      <c r="H1364">
        <v>1</v>
      </c>
    </row>
    <row r="1365" spans="1:8" x14ac:dyDescent="0.35">
      <c r="A1365" s="9">
        <v>7076463</v>
      </c>
      <c r="B1365" s="10">
        <v>42936</v>
      </c>
      <c r="C1365" s="11">
        <v>0.49519675925925927</v>
      </c>
      <c r="D1365" s="12">
        <v>0.49532407407407408</v>
      </c>
      <c r="E1365">
        <v>1</v>
      </c>
      <c r="G1365" s="18">
        <v>6270159</v>
      </c>
      <c r="H1365">
        <v>1</v>
      </c>
    </row>
    <row r="1366" spans="1:8" x14ac:dyDescent="0.35">
      <c r="A1366" s="5">
        <v>3136675</v>
      </c>
      <c r="B1366" s="6">
        <v>42936</v>
      </c>
      <c r="C1366" s="7">
        <v>0.49833333333333335</v>
      </c>
      <c r="D1366" s="8">
        <v>0.50942129629629629</v>
      </c>
      <c r="E1366">
        <v>1</v>
      </c>
      <c r="G1366" s="18">
        <v>5489867</v>
      </c>
      <c r="H1366">
        <v>1</v>
      </c>
    </row>
    <row r="1367" spans="1:8" x14ac:dyDescent="0.35">
      <c r="A1367" s="9">
        <v>7826456</v>
      </c>
      <c r="B1367" s="10">
        <v>42936</v>
      </c>
      <c r="C1367" s="11">
        <v>0.50298611111111113</v>
      </c>
      <c r="D1367" s="12">
        <v>0.50312500000000004</v>
      </c>
      <c r="E1367">
        <v>1</v>
      </c>
      <c r="G1367" s="18">
        <v>6299545</v>
      </c>
      <c r="H1367">
        <v>1</v>
      </c>
    </row>
    <row r="1368" spans="1:8" x14ac:dyDescent="0.35">
      <c r="A1368" s="5">
        <v>4094662</v>
      </c>
      <c r="B1368" s="6">
        <v>42936</v>
      </c>
      <c r="C1368" s="7">
        <v>0.50581018518518517</v>
      </c>
      <c r="D1368" s="8">
        <v>0.51442129629629629</v>
      </c>
      <c r="E1368">
        <v>1</v>
      </c>
      <c r="G1368" s="18">
        <v>4614100</v>
      </c>
      <c r="H1368">
        <v>1</v>
      </c>
    </row>
    <row r="1369" spans="1:8" x14ac:dyDescent="0.35">
      <c r="A1369" s="9">
        <v>3134379</v>
      </c>
      <c r="B1369" s="10">
        <v>42936</v>
      </c>
      <c r="C1369" s="11">
        <v>0.508275462962963</v>
      </c>
      <c r="D1369" s="12">
        <v>0.51652777777777781</v>
      </c>
      <c r="E1369">
        <v>1</v>
      </c>
      <c r="G1369" s="18">
        <v>6305758</v>
      </c>
      <c r="H1369">
        <v>1</v>
      </c>
    </row>
    <row r="1370" spans="1:8" x14ac:dyDescent="0.35">
      <c r="A1370" s="5">
        <v>1119016</v>
      </c>
      <c r="B1370" s="6">
        <v>42936</v>
      </c>
      <c r="C1370" s="7">
        <v>0.50880787037037034</v>
      </c>
      <c r="D1370" s="8">
        <v>0.51409722222222221</v>
      </c>
      <c r="E1370">
        <v>1</v>
      </c>
      <c r="G1370" s="18">
        <v>4509550</v>
      </c>
      <c r="H1370">
        <v>1</v>
      </c>
    </row>
    <row r="1371" spans="1:8" x14ac:dyDescent="0.35">
      <c r="A1371" s="9">
        <v>3539762</v>
      </c>
      <c r="B1371" s="10">
        <v>42936</v>
      </c>
      <c r="C1371" s="11">
        <v>0.51028935185185187</v>
      </c>
      <c r="D1371" s="12">
        <v>0.52089120370370368</v>
      </c>
      <c r="E1371">
        <v>1</v>
      </c>
      <c r="G1371" s="18">
        <v>4720934</v>
      </c>
      <c r="H1371">
        <v>1</v>
      </c>
    </row>
    <row r="1372" spans="1:8" x14ac:dyDescent="0.35">
      <c r="A1372" s="5">
        <v>28601187</v>
      </c>
      <c r="B1372" s="6">
        <v>42936</v>
      </c>
      <c r="C1372" s="7">
        <v>0.51511574074074074</v>
      </c>
      <c r="D1372" s="8">
        <v>0.51787037037037043</v>
      </c>
      <c r="E1372">
        <v>1</v>
      </c>
      <c r="G1372" s="18">
        <v>5508903</v>
      </c>
      <c r="H1372">
        <v>1</v>
      </c>
    </row>
    <row r="1373" spans="1:8" x14ac:dyDescent="0.35">
      <c r="A1373" s="9">
        <v>2841969</v>
      </c>
      <c r="B1373" s="10">
        <v>42936</v>
      </c>
      <c r="C1373" s="11">
        <v>0.51512731481481477</v>
      </c>
      <c r="D1373" s="12">
        <v>0.51556712962962958</v>
      </c>
      <c r="E1373">
        <v>1</v>
      </c>
      <c r="G1373" s="18">
        <v>5372891</v>
      </c>
      <c r="H1373">
        <v>1</v>
      </c>
    </row>
    <row r="1374" spans="1:8" x14ac:dyDescent="0.35">
      <c r="A1374" s="5">
        <v>57957786</v>
      </c>
      <c r="B1374" s="6">
        <v>42936</v>
      </c>
      <c r="C1374" s="7">
        <v>0.51928240740740739</v>
      </c>
      <c r="D1374" s="8">
        <v>0.53030092592592593</v>
      </c>
      <c r="E1374">
        <v>1</v>
      </c>
      <c r="G1374" s="18">
        <v>4497624</v>
      </c>
      <c r="H1374">
        <v>1</v>
      </c>
    </row>
    <row r="1375" spans="1:8" x14ac:dyDescent="0.35">
      <c r="A1375" s="9">
        <v>6068132</v>
      </c>
      <c r="B1375" s="10">
        <v>42936</v>
      </c>
      <c r="C1375" s="11">
        <v>0.52225694444444448</v>
      </c>
      <c r="D1375" s="12">
        <v>0.5236574074074074</v>
      </c>
      <c r="E1375">
        <v>1</v>
      </c>
      <c r="G1375" s="18">
        <v>5376362</v>
      </c>
      <c r="H1375">
        <v>1</v>
      </c>
    </row>
    <row r="1376" spans="1:8" x14ac:dyDescent="0.35">
      <c r="A1376" s="5">
        <v>8195842</v>
      </c>
      <c r="B1376" s="6">
        <v>42936</v>
      </c>
      <c r="C1376" s="7">
        <v>0.52240740740740743</v>
      </c>
      <c r="D1376" s="8">
        <v>0.53074074074074074</v>
      </c>
      <c r="E1376">
        <v>1</v>
      </c>
      <c r="G1376" s="18">
        <v>3912924</v>
      </c>
      <c r="H1376">
        <v>1</v>
      </c>
    </row>
    <row r="1377" spans="1:8" x14ac:dyDescent="0.35">
      <c r="A1377" s="9">
        <v>98737794</v>
      </c>
      <c r="B1377" s="10">
        <v>42936</v>
      </c>
      <c r="C1377" s="11">
        <v>0.52379629629629632</v>
      </c>
      <c r="D1377" s="12">
        <v>0.52883101851851855</v>
      </c>
      <c r="E1377">
        <v>1</v>
      </c>
      <c r="G1377" s="18">
        <v>4273704</v>
      </c>
      <c r="H1377">
        <v>1</v>
      </c>
    </row>
    <row r="1378" spans="1:8" x14ac:dyDescent="0.35">
      <c r="A1378" s="5">
        <v>6523054</v>
      </c>
      <c r="B1378" s="6">
        <v>42936</v>
      </c>
      <c r="C1378" s="7">
        <v>0.52813657407407411</v>
      </c>
      <c r="D1378" s="8">
        <v>0.53877314814814814</v>
      </c>
      <c r="E1378">
        <v>1</v>
      </c>
      <c r="G1378" s="18">
        <v>4068728</v>
      </c>
      <c r="H1378">
        <v>1</v>
      </c>
    </row>
    <row r="1379" spans="1:8" x14ac:dyDescent="0.35">
      <c r="A1379" s="9">
        <v>26895957</v>
      </c>
      <c r="B1379" s="10">
        <v>42936</v>
      </c>
      <c r="C1379" s="11">
        <v>0.53083333333333338</v>
      </c>
      <c r="D1379" s="12">
        <v>0.53511574074074075</v>
      </c>
      <c r="E1379">
        <v>1</v>
      </c>
      <c r="G1379" s="18">
        <v>3028093</v>
      </c>
      <c r="H1379">
        <v>1</v>
      </c>
    </row>
    <row r="1380" spans="1:8" x14ac:dyDescent="0.35">
      <c r="A1380" s="5">
        <v>5254694</v>
      </c>
      <c r="B1380" s="6">
        <v>42936</v>
      </c>
      <c r="C1380" s="7">
        <v>0.5330555555555555</v>
      </c>
      <c r="D1380" s="8">
        <v>0.54049768518518515</v>
      </c>
      <c r="E1380">
        <v>1</v>
      </c>
      <c r="G1380" s="18">
        <v>3025855</v>
      </c>
      <c r="H1380">
        <v>1</v>
      </c>
    </row>
    <row r="1381" spans="1:8" x14ac:dyDescent="0.35">
      <c r="A1381" s="9">
        <v>3979680</v>
      </c>
      <c r="B1381" s="10">
        <v>42936</v>
      </c>
      <c r="C1381" s="11">
        <v>0.53820601851851857</v>
      </c>
      <c r="D1381" s="12">
        <v>0.54369212962962965</v>
      </c>
      <c r="E1381">
        <v>1</v>
      </c>
      <c r="G1381" s="18">
        <v>3029994</v>
      </c>
      <c r="H1381">
        <v>1</v>
      </c>
    </row>
    <row r="1382" spans="1:8" x14ac:dyDescent="0.35">
      <c r="A1382" s="5">
        <v>96424596</v>
      </c>
      <c r="B1382" s="6">
        <v>42936</v>
      </c>
      <c r="C1382" s="7">
        <v>0.53964120370370372</v>
      </c>
      <c r="D1382" s="8">
        <v>0.54423611111111114</v>
      </c>
      <c r="E1382">
        <v>1</v>
      </c>
      <c r="G1382" s="18">
        <v>2947035</v>
      </c>
      <c r="H1382">
        <v>1</v>
      </c>
    </row>
    <row r="1383" spans="1:8" x14ac:dyDescent="0.35">
      <c r="A1383" s="9">
        <v>4923459</v>
      </c>
      <c r="B1383" s="10">
        <v>42936</v>
      </c>
      <c r="C1383" s="11">
        <v>0.54450231481481481</v>
      </c>
      <c r="D1383" s="12">
        <v>0.55406250000000001</v>
      </c>
      <c r="E1383">
        <v>1</v>
      </c>
      <c r="G1383" s="18">
        <v>3040267</v>
      </c>
      <c r="H1383">
        <v>1</v>
      </c>
    </row>
    <row r="1384" spans="1:8" x14ac:dyDescent="0.35">
      <c r="A1384" s="5">
        <v>6719542</v>
      </c>
      <c r="B1384" s="6">
        <v>42936</v>
      </c>
      <c r="C1384" s="7">
        <v>0.54556712962962961</v>
      </c>
      <c r="D1384" s="8">
        <v>0.54894675925925929</v>
      </c>
      <c r="E1384">
        <v>1</v>
      </c>
      <c r="G1384" s="18">
        <v>2969264</v>
      </c>
      <c r="H1384">
        <v>1</v>
      </c>
    </row>
    <row r="1385" spans="1:8" x14ac:dyDescent="0.35">
      <c r="A1385" s="9">
        <v>81218024</v>
      </c>
      <c r="B1385" s="10">
        <v>42936</v>
      </c>
      <c r="C1385" s="11">
        <v>0.54946759259259259</v>
      </c>
      <c r="D1385" s="12">
        <v>0.55583333333333329</v>
      </c>
      <c r="E1385">
        <v>1</v>
      </c>
      <c r="G1385" s="18">
        <v>3072421</v>
      </c>
      <c r="H1385">
        <v>1</v>
      </c>
    </row>
    <row r="1386" spans="1:8" x14ac:dyDescent="0.35">
      <c r="A1386" s="5">
        <v>6552755</v>
      </c>
      <c r="B1386" s="6">
        <v>42936</v>
      </c>
      <c r="C1386" s="7">
        <v>0.55306712962962967</v>
      </c>
      <c r="D1386" s="8">
        <v>0.56304398148148149</v>
      </c>
      <c r="E1386">
        <v>1</v>
      </c>
      <c r="G1386" s="18">
        <v>4379415</v>
      </c>
      <c r="H1386">
        <v>1</v>
      </c>
    </row>
    <row r="1387" spans="1:8" x14ac:dyDescent="0.35">
      <c r="A1387" s="9">
        <v>44017210</v>
      </c>
      <c r="B1387" s="10">
        <v>42936</v>
      </c>
      <c r="C1387" s="11">
        <v>0.55476851851851849</v>
      </c>
      <c r="D1387" s="12">
        <v>0.56596064814814817</v>
      </c>
      <c r="E1387">
        <v>1</v>
      </c>
      <c r="G1387" s="18">
        <v>3073815</v>
      </c>
      <c r="H1387">
        <v>1</v>
      </c>
    </row>
    <row r="1388" spans="1:8" x14ac:dyDescent="0.35">
      <c r="A1388" s="5">
        <v>8679036</v>
      </c>
      <c r="B1388" s="6">
        <v>42936</v>
      </c>
      <c r="C1388" s="7">
        <v>0.55827546296296293</v>
      </c>
      <c r="D1388" s="8">
        <v>0.55864583333333329</v>
      </c>
      <c r="E1388">
        <v>1</v>
      </c>
      <c r="G1388" s="18">
        <v>3851940</v>
      </c>
      <c r="H1388">
        <v>1</v>
      </c>
    </row>
    <row r="1389" spans="1:8" x14ac:dyDescent="0.35">
      <c r="A1389" s="9">
        <v>64733982</v>
      </c>
      <c r="B1389" s="10">
        <v>42936</v>
      </c>
      <c r="C1389" s="11">
        <v>0.56180555555555556</v>
      </c>
      <c r="D1389" s="12">
        <v>0.56400462962962961</v>
      </c>
      <c r="E1389">
        <v>1</v>
      </c>
      <c r="G1389" s="18">
        <v>2771511</v>
      </c>
      <c r="H1389">
        <v>1</v>
      </c>
    </row>
    <row r="1390" spans="1:8" x14ac:dyDescent="0.35">
      <c r="A1390" s="5">
        <v>2289072</v>
      </c>
      <c r="B1390" s="6">
        <v>42936</v>
      </c>
      <c r="C1390" s="7">
        <v>0.56320601851851848</v>
      </c>
      <c r="D1390" s="8">
        <v>0.57020833333333332</v>
      </c>
      <c r="E1390">
        <v>1</v>
      </c>
      <c r="G1390" s="18">
        <v>3944120</v>
      </c>
      <c r="H1390">
        <v>1</v>
      </c>
    </row>
    <row r="1391" spans="1:8" x14ac:dyDescent="0.35">
      <c r="A1391" s="9">
        <v>71730854</v>
      </c>
      <c r="B1391" s="10">
        <v>42936</v>
      </c>
      <c r="C1391" s="11">
        <v>0.56537037037037041</v>
      </c>
      <c r="D1391" s="12">
        <v>0.57611111111111113</v>
      </c>
      <c r="E1391">
        <v>1</v>
      </c>
      <c r="G1391" s="18">
        <v>3087246</v>
      </c>
      <c r="H1391">
        <v>1</v>
      </c>
    </row>
    <row r="1392" spans="1:8" x14ac:dyDescent="0.35">
      <c r="A1392" s="5">
        <v>3757504</v>
      </c>
      <c r="B1392" s="6">
        <v>42936</v>
      </c>
      <c r="C1392" s="7">
        <v>0.57105324074074071</v>
      </c>
      <c r="D1392" s="8">
        <v>0.57465277777777779</v>
      </c>
      <c r="E1392">
        <v>1</v>
      </c>
      <c r="G1392" s="18">
        <v>4034491</v>
      </c>
      <c r="H1392">
        <v>1</v>
      </c>
    </row>
    <row r="1393" spans="1:8" x14ac:dyDescent="0.35">
      <c r="A1393" s="9">
        <v>8501225</v>
      </c>
      <c r="B1393" s="10">
        <v>42936</v>
      </c>
      <c r="C1393" s="11">
        <v>0.57517361111111109</v>
      </c>
      <c r="D1393" s="12">
        <v>0.57784722222222218</v>
      </c>
      <c r="E1393">
        <v>1</v>
      </c>
      <c r="G1393" s="18">
        <v>3093964</v>
      </c>
      <c r="H1393">
        <v>1</v>
      </c>
    </row>
    <row r="1394" spans="1:8" x14ac:dyDescent="0.35">
      <c r="A1394" s="5">
        <v>3704193</v>
      </c>
      <c r="B1394" s="6">
        <v>42936</v>
      </c>
      <c r="C1394" s="7">
        <v>0.57671296296296293</v>
      </c>
      <c r="D1394" s="8">
        <v>0.58539351851851851</v>
      </c>
      <c r="E1394">
        <v>1</v>
      </c>
      <c r="G1394" s="18">
        <v>4113351</v>
      </c>
      <c r="H1394">
        <v>1</v>
      </c>
    </row>
    <row r="1395" spans="1:8" x14ac:dyDescent="0.35">
      <c r="A1395" s="9">
        <v>4577789</v>
      </c>
      <c r="B1395" s="10">
        <v>42936</v>
      </c>
      <c r="C1395" s="11">
        <v>0.57781249999999995</v>
      </c>
      <c r="D1395" s="12">
        <v>0.57953703703703707</v>
      </c>
      <c r="E1395">
        <v>1</v>
      </c>
      <c r="G1395" s="18">
        <v>2828759</v>
      </c>
      <c r="H1395">
        <v>1</v>
      </c>
    </row>
    <row r="1396" spans="1:8" x14ac:dyDescent="0.35">
      <c r="A1396" s="5">
        <v>5730350</v>
      </c>
      <c r="B1396" s="6">
        <v>42936</v>
      </c>
      <c r="C1396" s="7">
        <v>0.58206018518518521</v>
      </c>
      <c r="D1396" s="8">
        <v>0.59037037037037032</v>
      </c>
      <c r="E1396">
        <v>1</v>
      </c>
      <c r="G1396" s="18">
        <v>2985743</v>
      </c>
      <c r="H1396">
        <v>1</v>
      </c>
    </row>
    <row r="1397" spans="1:8" x14ac:dyDescent="0.35">
      <c r="A1397" s="9">
        <v>8953850</v>
      </c>
      <c r="B1397" s="10">
        <v>42936</v>
      </c>
      <c r="C1397" s="11">
        <v>0.58328703703703699</v>
      </c>
      <c r="D1397" s="12">
        <v>0.5920023148148148</v>
      </c>
      <c r="E1397">
        <v>1</v>
      </c>
      <c r="G1397" s="18">
        <v>3102910</v>
      </c>
      <c r="H1397">
        <v>1</v>
      </c>
    </row>
    <row r="1398" spans="1:8" x14ac:dyDescent="0.35">
      <c r="A1398" s="5">
        <v>3109133</v>
      </c>
      <c r="B1398" s="6">
        <v>42936</v>
      </c>
      <c r="C1398" s="7">
        <v>0.58564814814814814</v>
      </c>
      <c r="D1398" s="8">
        <v>0.58964120370370365</v>
      </c>
      <c r="E1398">
        <v>1</v>
      </c>
      <c r="G1398" s="18">
        <v>4305960</v>
      </c>
      <c r="H1398">
        <v>1</v>
      </c>
    </row>
    <row r="1399" spans="1:8" x14ac:dyDescent="0.35">
      <c r="A1399" s="9">
        <v>3382699</v>
      </c>
      <c r="B1399" s="10">
        <v>42936</v>
      </c>
      <c r="C1399" s="11">
        <v>0.59053240740740742</v>
      </c>
      <c r="D1399" s="12">
        <v>0.59318287037037032</v>
      </c>
      <c r="E1399">
        <v>1</v>
      </c>
      <c r="G1399" s="18">
        <v>3109039</v>
      </c>
      <c r="H1399">
        <v>1</v>
      </c>
    </row>
    <row r="1400" spans="1:8" x14ac:dyDescent="0.35">
      <c r="A1400" s="5">
        <v>9132555</v>
      </c>
      <c r="B1400" s="6">
        <v>42936</v>
      </c>
      <c r="C1400" s="7">
        <v>0.59621527777777783</v>
      </c>
      <c r="D1400" s="8">
        <v>0.59906250000000005</v>
      </c>
      <c r="E1400">
        <v>1</v>
      </c>
      <c r="G1400" s="18">
        <v>4429479</v>
      </c>
      <c r="H1400">
        <v>1</v>
      </c>
    </row>
    <row r="1401" spans="1:8" x14ac:dyDescent="0.35">
      <c r="A1401" s="9">
        <v>5016981</v>
      </c>
      <c r="B1401" s="10">
        <v>42936</v>
      </c>
      <c r="C1401" s="11">
        <v>0.59693287037037035</v>
      </c>
      <c r="D1401" s="12">
        <v>0.59743055555555558</v>
      </c>
      <c r="E1401">
        <v>1</v>
      </c>
      <c r="G1401" s="18">
        <v>3109133</v>
      </c>
      <c r="H1401">
        <v>1</v>
      </c>
    </row>
    <row r="1402" spans="1:8" x14ac:dyDescent="0.35">
      <c r="A1402" s="5">
        <v>1294973</v>
      </c>
      <c r="B1402" s="6">
        <v>42936</v>
      </c>
      <c r="C1402" s="7">
        <v>0.59783564814814816</v>
      </c>
      <c r="D1402" s="8">
        <v>0.60715277777777776</v>
      </c>
      <c r="E1402">
        <v>1</v>
      </c>
      <c r="G1402" s="18">
        <v>3804078</v>
      </c>
      <c r="H1402">
        <v>1</v>
      </c>
    </row>
    <row r="1403" spans="1:8" x14ac:dyDescent="0.35">
      <c r="A1403" s="9">
        <v>7769531</v>
      </c>
      <c r="B1403" s="10">
        <v>42936</v>
      </c>
      <c r="C1403" s="11">
        <v>0.60048611111111116</v>
      </c>
      <c r="D1403" s="12">
        <v>0.60371527777777778</v>
      </c>
      <c r="E1403">
        <v>1</v>
      </c>
      <c r="G1403" s="18">
        <v>3120387</v>
      </c>
      <c r="H1403">
        <v>1</v>
      </c>
    </row>
    <row r="1404" spans="1:8" x14ac:dyDescent="0.35">
      <c r="A1404" s="5">
        <v>1068000</v>
      </c>
      <c r="B1404" s="6">
        <v>42936</v>
      </c>
      <c r="C1404" s="7">
        <v>0.60251157407407407</v>
      </c>
      <c r="D1404" s="8">
        <v>0.60608796296296297</v>
      </c>
      <c r="E1404">
        <v>1</v>
      </c>
      <c r="G1404" s="18">
        <v>3864488</v>
      </c>
      <c r="H1404">
        <v>1</v>
      </c>
    </row>
    <row r="1405" spans="1:8" x14ac:dyDescent="0.35">
      <c r="A1405" s="9">
        <v>1467591</v>
      </c>
      <c r="B1405" s="10">
        <v>42936</v>
      </c>
      <c r="C1405" s="11">
        <v>0.60277777777777775</v>
      </c>
      <c r="D1405" s="12">
        <v>0.61222222222222222</v>
      </c>
      <c r="E1405">
        <v>1</v>
      </c>
      <c r="G1405" s="18">
        <v>3121640</v>
      </c>
      <c r="H1405">
        <v>1</v>
      </c>
    </row>
    <row r="1406" spans="1:8" x14ac:dyDescent="0.35">
      <c r="A1406" s="5">
        <v>5980925</v>
      </c>
      <c r="B1406" s="6">
        <v>42936</v>
      </c>
      <c r="C1406" s="7">
        <v>0.60282407407407412</v>
      </c>
      <c r="D1406" s="8">
        <v>0.61041666666666672</v>
      </c>
      <c r="E1406">
        <v>1</v>
      </c>
      <c r="G1406" s="18">
        <v>3931464</v>
      </c>
      <c r="H1406">
        <v>1</v>
      </c>
    </row>
    <row r="1407" spans="1:8" x14ac:dyDescent="0.35">
      <c r="A1407" s="9">
        <v>9905075</v>
      </c>
      <c r="B1407" s="10">
        <v>42936</v>
      </c>
      <c r="C1407" s="11">
        <v>0.60693287037037036</v>
      </c>
      <c r="D1407" s="12">
        <v>0.61001157407407403</v>
      </c>
      <c r="E1407">
        <v>1</v>
      </c>
      <c r="G1407" s="18">
        <v>3121850</v>
      </c>
      <c r="H1407">
        <v>1</v>
      </c>
    </row>
    <row r="1408" spans="1:8" x14ac:dyDescent="0.35">
      <c r="A1408" s="5">
        <v>1043289</v>
      </c>
      <c r="B1408" s="6">
        <v>42936</v>
      </c>
      <c r="C1408" s="7">
        <v>0.60990740740740745</v>
      </c>
      <c r="D1408" s="8">
        <v>0.61383101851851851</v>
      </c>
      <c r="E1408">
        <v>1</v>
      </c>
      <c r="G1408" s="18">
        <v>3979295</v>
      </c>
      <c r="H1408">
        <v>1</v>
      </c>
    </row>
    <row r="1409" spans="1:8" x14ac:dyDescent="0.35">
      <c r="A1409" s="9">
        <v>8252939</v>
      </c>
      <c r="B1409" s="10">
        <v>42936</v>
      </c>
      <c r="C1409" s="11">
        <v>0.61320601851851853</v>
      </c>
      <c r="D1409" s="12">
        <v>0.62115740740740744</v>
      </c>
      <c r="E1409">
        <v>1</v>
      </c>
      <c r="G1409" s="18">
        <v>3127402</v>
      </c>
      <c r="H1409">
        <v>1</v>
      </c>
    </row>
    <row r="1410" spans="1:8" x14ac:dyDescent="0.35">
      <c r="A1410" s="5">
        <v>67748426</v>
      </c>
      <c r="B1410" s="6">
        <v>42936</v>
      </c>
      <c r="C1410" s="7">
        <v>0.61535879629629631</v>
      </c>
      <c r="D1410" s="8">
        <v>0.62503472222222223</v>
      </c>
      <c r="E1410">
        <v>1</v>
      </c>
      <c r="G1410" s="18">
        <v>4007464</v>
      </c>
      <c r="H1410">
        <v>1</v>
      </c>
    </row>
    <row r="1411" spans="1:8" x14ac:dyDescent="0.35">
      <c r="A1411" s="9">
        <v>4376637</v>
      </c>
      <c r="B1411" s="10">
        <v>42936</v>
      </c>
      <c r="C1411" s="11">
        <v>0.61559027777777775</v>
      </c>
      <c r="D1411" s="12">
        <v>0.62532407407407409</v>
      </c>
      <c r="E1411">
        <v>1</v>
      </c>
      <c r="G1411" s="18">
        <v>2835355</v>
      </c>
      <c r="H1411">
        <v>1</v>
      </c>
    </row>
    <row r="1412" spans="1:8" x14ac:dyDescent="0.35">
      <c r="A1412" s="5">
        <v>6426011</v>
      </c>
      <c r="B1412" s="6">
        <v>42936</v>
      </c>
      <c r="C1412" s="7">
        <v>0.62078703703703708</v>
      </c>
      <c r="D1412" s="8">
        <v>0.62863425925925931</v>
      </c>
      <c r="E1412">
        <v>1</v>
      </c>
      <c r="G1412" s="18">
        <v>4056361</v>
      </c>
      <c r="H1412">
        <v>1</v>
      </c>
    </row>
    <row r="1413" spans="1:8" x14ac:dyDescent="0.35">
      <c r="A1413" s="9">
        <v>9137235</v>
      </c>
      <c r="B1413" s="10">
        <v>42936</v>
      </c>
      <c r="C1413" s="11">
        <v>0.62524305555555559</v>
      </c>
      <c r="D1413" s="12">
        <v>0.62846064814814817</v>
      </c>
      <c r="E1413">
        <v>1</v>
      </c>
      <c r="G1413" s="18">
        <v>3134379</v>
      </c>
      <c r="H1413">
        <v>1</v>
      </c>
    </row>
    <row r="1414" spans="1:8" x14ac:dyDescent="0.35">
      <c r="A1414" s="5">
        <v>6735390</v>
      </c>
      <c r="B1414" s="6">
        <v>42937</v>
      </c>
      <c r="C1414" s="7">
        <v>0.33421296296296299</v>
      </c>
      <c r="D1414" s="8">
        <v>0.33674768518518516</v>
      </c>
      <c r="E1414">
        <v>1</v>
      </c>
      <c r="G1414" s="18">
        <v>4094662</v>
      </c>
      <c r="H1414">
        <v>1</v>
      </c>
    </row>
    <row r="1415" spans="1:8" x14ac:dyDescent="0.35">
      <c r="A1415" s="9">
        <v>7151490</v>
      </c>
      <c r="B1415" s="10">
        <v>42937</v>
      </c>
      <c r="C1415" s="11">
        <v>0.33513888888888888</v>
      </c>
      <c r="D1415" s="12">
        <v>0.33787037037037038</v>
      </c>
      <c r="E1415">
        <v>1</v>
      </c>
      <c r="G1415" s="18">
        <v>3135285</v>
      </c>
      <c r="H1415">
        <v>1</v>
      </c>
    </row>
    <row r="1416" spans="1:8" x14ac:dyDescent="0.35">
      <c r="A1416" s="5">
        <v>5138547</v>
      </c>
      <c r="B1416" s="6">
        <v>42937</v>
      </c>
      <c r="C1416" s="7">
        <v>0.33642361111111113</v>
      </c>
      <c r="D1416" s="8">
        <v>0.33778935185185183</v>
      </c>
      <c r="E1416">
        <v>1</v>
      </c>
      <c r="G1416" s="18">
        <v>4144248</v>
      </c>
      <c r="H1416">
        <v>1</v>
      </c>
    </row>
    <row r="1417" spans="1:8" x14ac:dyDescent="0.35">
      <c r="A1417" s="9">
        <v>79212542</v>
      </c>
      <c r="B1417" s="10">
        <v>42937</v>
      </c>
      <c r="C1417" s="11">
        <v>0.34157407407407409</v>
      </c>
      <c r="D1417" s="12">
        <v>0.34684027777777776</v>
      </c>
      <c r="E1417">
        <v>1</v>
      </c>
      <c r="G1417" s="18">
        <v>3136675</v>
      </c>
      <c r="H1417">
        <v>1</v>
      </c>
    </row>
    <row r="1418" spans="1:8" x14ac:dyDescent="0.35">
      <c r="A1418" s="5">
        <v>1507196</v>
      </c>
      <c r="B1418" s="6">
        <v>42937</v>
      </c>
      <c r="C1418" s="7">
        <v>0.34197916666666667</v>
      </c>
      <c r="D1418" s="8">
        <v>0.3460300925925926</v>
      </c>
      <c r="E1418">
        <v>1</v>
      </c>
      <c r="G1418" s="18">
        <v>4187727</v>
      </c>
      <c r="H1418">
        <v>1</v>
      </c>
    </row>
    <row r="1419" spans="1:8" x14ac:dyDescent="0.35">
      <c r="A1419" s="9">
        <v>8362094</v>
      </c>
      <c r="B1419" s="10">
        <v>42937</v>
      </c>
      <c r="C1419" s="11">
        <v>0.34567129629629628</v>
      </c>
      <c r="D1419" s="12">
        <v>0.34745370370370371</v>
      </c>
      <c r="E1419">
        <v>1</v>
      </c>
      <c r="G1419" s="18">
        <v>2838216</v>
      </c>
      <c r="H1419">
        <v>1</v>
      </c>
    </row>
    <row r="1420" spans="1:8" x14ac:dyDescent="0.35">
      <c r="A1420" s="5">
        <v>5379981</v>
      </c>
      <c r="B1420" s="6">
        <v>42937</v>
      </c>
      <c r="C1420" s="7">
        <v>0.34690972222222222</v>
      </c>
      <c r="D1420" s="8">
        <v>0.35206018518518517</v>
      </c>
      <c r="E1420">
        <v>1</v>
      </c>
      <c r="G1420" s="18">
        <v>4238684</v>
      </c>
      <c r="H1420">
        <v>1</v>
      </c>
    </row>
    <row r="1421" spans="1:8" x14ac:dyDescent="0.35">
      <c r="A1421" s="9">
        <v>4960672</v>
      </c>
      <c r="B1421" s="10">
        <v>42937</v>
      </c>
      <c r="C1421" s="11">
        <v>0.34745370370370371</v>
      </c>
      <c r="D1421" s="12">
        <v>0.3526273148148148</v>
      </c>
      <c r="E1421">
        <v>1</v>
      </c>
      <c r="G1421" s="18">
        <v>3153023</v>
      </c>
      <c r="H1421">
        <v>1</v>
      </c>
    </row>
    <row r="1422" spans="1:8" x14ac:dyDescent="0.35">
      <c r="A1422" s="5">
        <v>9052582</v>
      </c>
      <c r="B1422" s="6">
        <v>42937</v>
      </c>
      <c r="C1422" s="7">
        <v>0.34961805555555553</v>
      </c>
      <c r="D1422" s="8">
        <v>0.3535300925925926</v>
      </c>
      <c r="E1422">
        <v>1</v>
      </c>
      <c r="G1422" s="18">
        <v>4285095</v>
      </c>
      <c r="H1422">
        <v>1</v>
      </c>
    </row>
    <row r="1423" spans="1:8" x14ac:dyDescent="0.35">
      <c r="A1423" s="9">
        <v>2054346</v>
      </c>
      <c r="B1423" s="10">
        <v>42937</v>
      </c>
      <c r="C1423" s="11">
        <v>0.35003472222222221</v>
      </c>
      <c r="D1423" s="12">
        <v>0.35540509259259262</v>
      </c>
      <c r="E1423">
        <v>1</v>
      </c>
      <c r="G1423" s="18">
        <v>3153283</v>
      </c>
      <c r="H1423">
        <v>1</v>
      </c>
    </row>
    <row r="1424" spans="1:8" x14ac:dyDescent="0.35">
      <c r="A1424" s="5">
        <v>6070136</v>
      </c>
      <c r="B1424" s="6">
        <v>42937</v>
      </c>
      <c r="C1424" s="7">
        <v>0.3515625</v>
      </c>
      <c r="D1424" s="8">
        <v>0.35299768518518521</v>
      </c>
      <c r="E1424">
        <v>1</v>
      </c>
      <c r="G1424" s="18">
        <v>4363716</v>
      </c>
      <c r="H1424">
        <v>1</v>
      </c>
    </row>
    <row r="1425" spans="1:8" x14ac:dyDescent="0.35">
      <c r="A1425" s="9">
        <v>3086185</v>
      </c>
      <c r="B1425" s="10">
        <v>42937</v>
      </c>
      <c r="C1425" s="11">
        <v>0.35401620370370368</v>
      </c>
      <c r="D1425" s="12">
        <v>0.35944444444444446</v>
      </c>
      <c r="E1425">
        <v>1</v>
      </c>
      <c r="G1425" s="18">
        <v>3177370</v>
      </c>
      <c r="H1425">
        <v>1</v>
      </c>
    </row>
    <row r="1426" spans="1:8" x14ac:dyDescent="0.35">
      <c r="A1426" s="5">
        <v>6949463</v>
      </c>
      <c r="B1426" s="6">
        <v>42937</v>
      </c>
      <c r="C1426" s="7">
        <v>0.35912037037037037</v>
      </c>
      <c r="D1426" s="8">
        <v>0.36318287037037039</v>
      </c>
      <c r="E1426">
        <v>1</v>
      </c>
      <c r="G1426" s="18">
        <v>4405604</v>
      </c>
      <c r="H1426">
        <v>1</v>
      </c>
    </row>
    <row r="1427" spans="1:8" x14ac:dyDescent="0.35">
      <c r="A1427" s="9">
        <v>1626862</v>
      </c>
      <c r="B1427" s="10">
        <v>42937</v>
      </c>
      <c r="C1427" s="11">
        <v>0.36155092592592591</v>
      </c>
      <c r="D1427" s="12">
        <v>0.36355324074074075</v>
      </c>
      <c r="E1427">
        <v>1</v>
      </c>
      <c r="G1427" s="18">
        <v>2841969</v>
      </c>
      <c r="H1427">
        <v>1</v>
      </c>
    </row>
    <row r="1428" spans="1:8" x14ac:dyDescent="0.35">
      <c r="A1428" s="5">
        <v>99905503</v>
      </c>
      <c r="B1428" s="6">
        <v>42937</v>
      </c>
      <c r="C1428" s="7">
        <v>0.36631944444444442</v>
      </c>
      <c r="D1428" s="8">
        <v>0.37376157407407407</v>
      </c>
      <c r="E1428">
        <v>1</v>
      </c>
      <c r="G1428" s="18">
        <v>4458725</v>
      </c>
      <c r="H1428">
        <v>1</v>
      </c>
    </row>
    <row r="1429" spans="1:8" x14ac:dyDescent="0.35">
      <c r="A1429" s="9">
        <v>2753778</v>
      </c>
      <c r="B1429" s="10">
        <v>42937</v>
      </c>
      <c r="C1429" s="11">
        <v>0.37133101851851852</v>
      </c>
      <c r="D1429" s="12">
        <v>0.38075231481481481</v>
      </c>
      <c r="E1429">
        <v>1</v>
      </c>
      <c r="G1429" s="18">
        <v>3184339</v>
      </c>
      <c r="H1429">
        <v>1</v>
      </c>
    </row>
    <row r="1430" spans="1:8" x14ac:dyDescent="0.35">
      <c r="A1430" s="5">
        <v>3508755</v>
      </c>
      <c r="B1430" s="6">
        <v>42937</v>
      </c>
      <c r="C1430" s="7">
        <v>0.37569444444444444</v>
      </c>
      <c r="D1430" s="8">
        <v>0.38611111111111113</v>
      </c>
      <c r="E1430">
        <v>1</v>
      </c>
      <c r="G1430" s="18">
        <v>2920581</v>
      </c>
      <c r="H1430">
        <v>1</v>
      </c>
    </row>
    <row r="1431" spans="1:8" x14ac:dyDescent="0.35">
      <c r="A1431" s="9">
        <v>14783929</v>
      </c>
      <c r="B1431" s="10">
        <v>42937</v>
      </c>
      <c r="C1431" s="11">
        <v>0.37891203703703702</v>
      </c>
      <c r="D1431" s="12">
        <v>0.38443287037037038</v>
      </c>
      <c r="E1431">
        <v>1</v>
      </c>
      <c r="G1431" s="18">
        <v>3189059</v>
      </c>
      <c r="H1431">
        <v>1</v>
      </c>
    </row>
    <row r="1432" spans="1:8" x14ac:dyDescent="0.35">
      <c r="A1432" s="5">
        <v>1409543</v>
      </c>
      <c r="B1432" s="6">
        <v>42937</v>
      </c>
      <c r="C1432" s="7">
        <v>0.38086805555555553</v>
      </c>
      <c r="D1432" s="8">
        <v>0.38918981481481479</v>
      </c>
      <c r="E1432">
        <v>1</v>
      </c>
      <c r="G1432" s="18">
        <v>2922327</v>
      </c>
      <c r="H1432">
        <v>1</v>
      </c>
    </row>
    <row r="1433" spans="1:8" x14ac:dyDescent="0.35">
      <c r="A1433" s="9">
        <v>6891636</v>
      </c>
      <c r="B1433" s="10">
        <v>42937</v>
      </c>
      <c r="C1433" s="11">
        <v>0.38633101851851853</v>
      </c>
      <c r="D1433" s="12">
        <v>0.38923611111111112</v>
      </c>
      <c r="E1433">
        <v>1</v>
      </c>
      <c r="G1433" s="18">
        <v>3192053</v>
      </c>
      <c r="H1433">
        <v>1</v>
      </c>
    </row>
    <row r="1434" spans="1:8" x14ac:dyDescent="0.35">
      <c r="A1434" s="5">
        <v>8541151</v>
      </c>
      <c r="B1434" s="6">
        <v>42937</v>
      </c>
      <c r="C1434" s="7">
        <v>0.38848379629629631</v>
      </c>
      <c r="D1434" s="8">
        <v>0.39874999999999999</v>
      </c>
      <c r="E1434">
        <v>1</v>
      </c>
      <c r="G1434" s="18">
        <v>3861280</v>
      </c>
      <c r="H1434">
        <v>1</v>
      </c>
    </row>
    <row r="1435" spans="1:8" x14ac:dyDescent="0.35">
      <c r="A1435" s="9">
        <v>8322802</v>
      </c>
      <c r="B1435" s="10">
        <v>42937</v>
      </c>
      <c r="C1435" s="11">
        <v>0.39089120370370373</v>
      </c>
      <c r="D1435" s="12">
        <v>0.39620370370370372</v>
      </c>
      <c r="E1435">
        <v>1</v>
      </c>
      <c r="G1435" s="18">
        <v>3192836</v>
      </c>
      <c r="H1435">
        <v>1</v>
      </c>
    </row>
    <row r="1436" spans="1:8" x14ac:dyDescent="0.35">
      <c r="A1436" s="5">
        <v>30678431</v>
      </c>
      <c r="B1436" s="6">
        <v>42937</v>
      </c>
      <c r="C1436" s="7">
        <v>0.39469907407407406</v>
      </c>
      <c r="D1436" s="8">
        <v>0.40141203703703704</v>
      </c>
      <c r="E1436">
        <v>1</v>
      </c>
      <c r="G1436" s="18">
        <v>3900921</v>
      </c>
      <c r="H1436">
        <v>1</v>
      </c>
    </row>
    <row r="1437" spans="1:8" x14ac:dyDescent="0.35">
      <c r="A1437" s="9">
        <v>41837828</v>
      </c>
      <c r="B1437" s="10">
        <v>42937</v>
      </c>
      <c r="C1437" s="11">
        <v>0.39953703703703702</v>
      </c>
      <c r="D1437" s="12">
        <v>0.40038194444444447</v>
      </c>
      <c r="E1437">
        <v>1</v>
      </c>
      <c r="G1437" s="18">
        <v>3198725</v>
      </c>
      <c r="H1437">
        <v>1</v>
      </c>
    </row>
    <row r="1438" spans="1:8" x14ac:dyDescent="0.35">
      <c r="A1438" s="5">
        <v>13639748</v>
      </c>
      <c r="B1438" s="6">
        <v>42937</v>
      </c>
      <c r="C1438" s="7">
        <v>0.40379629629629632</v>
      </c>
      <c r="D1438" s="8">
        <v>0.40822916666666664</v>
      </c>
      <c r="E1438">
        <v>1</v>
      </c>
      <c r="G1438" s="18">
        <v>3919087</v>
      </c>
      <c r="H1438">
        <v>1</v>
      </c>
    </row>
    <row r="1439" spans="1:8" x14ac:dyDescent="0.35">
      <c r="A1439" s="9">
        <v>8972366</v>
      </c>
      <c r="B1439" s="10">
        <v>42937</v>
      </c>
      <c r="C1439" s="11">
        <v>0.40462962962962962</v>
      </c>
      <c r="D1439" s="12">
        <v>0.40875</v>
      </c>
      <c r="E1439">
        <v>1</v>
      </c>
      <c r="G1439" s="18">
        <v>3200206</v>
      </c>
      <c r="H1439">
        <v>1</v>
      </c>
    </row>
    <row r="1440" spans="1:8" x14ac:dyDescent="0.35">
      <c r="A1440" s="5">
        <v>5233531</v>
      </c>
      <c r="B1440" s="6">
        <v>42937</v>
      </c>
      <c r="C1440" s="7">
        <v>0.40465277777777775</v>
      </c>
      <c r="D1440" s="8">
        <v>0.40887731481481482</v>
      </c>
      <c r="E1440">
        <v>1</v>
      </c>
      <c r="G1440" s="18">
        <v>3934931</v>
      </c>
      <c r="H1440">
        <v>1</v>
      </c>
    </row>
    <row r="1441" spans="1:8" x14ac:dyDescent="0.35">
      <c r="A1441" s="9">
        <v>3691176</v>
      </c>
      <c r="B1441" s="10">
        <v>42937</v>
      </c>
      <c r="C1441" s="11">
        <v>0.40505787037037039</v>
      </c>
      <c r="D1441" s="12">
        <v>0.40561342592592592</v>
      </c>
      <c r="E1441">
        <v>1</v>
      </c>
      <c r="G1441" s="18">
        <v>3202610</v>
      </c>
      <c r="H1441">
        <v>1</v>
      </c>
    </row>
    <row r="1442" spans="1:8" x14ac:dyDescent="0.35">
      <c r="A1442" s="5">
        <v>66377806</v>
      </c>
      <c r="B1442" s="6">
        <v>42937</v>
      </c>
      <c r="C1442" s="7">
        <v>0.40694444444444444</v>
      </c>
      <c r="D1442" s="8">
        <v>0.40991898148148148</v>
      </c>
      <c r="E1442">
        <v>1</v>
      </c>
      <c r="G1442" s="18">
        <v>3972159</v>
      </c>
      <c r="H1442">
        <v>1</v>
      </c>
    </row>
    <row r="1443" spans="1:8" x14ac:dyDescent="0.35">
      <c r="A1443" s="9">
        <v>6357818</v>
      </c>
      <c r="B1443" s="10">
        <v>42937</v>
      </c>
      <c r="C1443" s="11">
        <v>0.41228009259259257</v>
      </c>
      <c r="D1443" s="12">
        <v>0.41648148148148151</v>
      </c>
      <c r="E1443">
        <v>1</v>
      </c>
      <c r="G1443" s="18">
        <v>3206241</v>
      </c>
      <c r="H1443">
        <v>1</v>
      </c>
    </row>
    <row r="1444" spans="1:8" x14ac:dyDescent="0.35">
      <c r="A1444" s="5">
        <v>7123731</v>
      </c>
      <c r="B1444" s="6">
        <v>42937</v>
      </c>
      <c r="C1444" s="7">
        <v>0.41494212962962962</v>
      </c>
      <c r="D1444" s="8">
        <v>0.41641203703703705</v>
      </c>
      <c r="E1444">
        <v>1</v>
      </c>
      <c r="G1444" s="18">
        <v>3982833</v>
      </c>
      <c r="H1444">
        <v>1</v>
      </c>
    </row>
    <row r="1445" spans="1:8" x14ac:dyDescent="0.35">
      <c r="A1445" s="9">
        <v>91907883</v>
      </c>
      <c r="B1445" s="10">
        <v>42937</v>
      </c>
      <c r="C1445" s="11">
        <v>0.42054398148148148</v>
      </c>
      <c r="D1445" s="12">
        <v>0.42721064814814813</v>
      </c>
      <c r="E1445">
        <v>1</v>
      </c>
      <c r="G1445" s="18">
        <v>3211876</v>
      </c>
      <c r="H1445">
        <v>1</v>
      </c>
    </row>
    <row r="1446" spans="1:8" x14ac:dyDescent="0.35">
      <c r="A1446" s="5">
        <v>69734527</v>
      </c>
      <c r="B1446" s="6">
        <v>42937</v>
      </c>
      <c r="C1446" s="7">
        <v>0.42084490740740743</v>
      </c>
      <c r="D1446" s="8">
        <v>0.43167824074074074</v>
      </c>
      <c r="E1446">
        <v>1</v>
      </c>
      <c r="G1446" s="18">
        <v>3999937</v>
      </c>
      <c r="H1446">
        <v>1</v>
      </c>
    </row>
    <row r="1447" spans="1:8" x14ac:dyDescent="0.35">
      <c r="A1447" s="9">
        <v>7536096</v>
      </c>
      <c r="B1447" s="10">
        <v>42937</v>
      </c>
      <c r="C1447" s="11">
        <v>0.42357638888888888</v>
      </c>
      <c r="D1447" s="12">
        <v>0.4322685185185185</v>
      </c>
      <c r="E1447">
        <v>1</v>
      </c>
      <c r="G1447" s="18">
        <v>3224960</v>
      </c>
      <c r="H1447">
        <v>1</v>
      </c>
    </row>
    <row r="1448" spans="1:8" x14ac:dyDescent="0.35">
      <c r="A1448" s="5">
        <v>60158843</v>
      </c>
      <c r="B1448" s="6">
        <v>42937</v>
      </c>
      <c r="C1448" s="7">
        <v>0.42814814814814817</v>
      </c>
      <c r="D1448" s="8">
        <v>0.43784722222222222</v>
      </c>
      <c r="E1448">
        <v>1</v>
      </c>
      <c r="G1448" s="18">
        <v>4025325</v>
      </c>
      <c r="H1448">
        <v>1</v>
      </c>
    </row>
    <row r="1449" spans="1:8" x14ac:dyDescent="0.35">
      <c r="A1449" s="9">
        <v>6942059</v>
      </c>
      <c r="B1449" s="10">
        <v>42937</v>
      </c>
      <c r="C1449" s="11">
        <v>0.43002314814814813</v>
      </c>
      <c r="D1449" s="12">
        <v>0.43030092592592595</v>
      </c>
      <c r="E1449">
        <v>1</v>
      </c>
      <c r="G1449" s="18">
        <v>3232376</v>
      </c>
      <c r="H1449">
        <v>1</v>
      </c>
    </row>
    <row r="1450" spans="1:8" x14ac:dyDescent="0.35">
      <c r="A1450" s="5">
        <v>28282891</v>
      </c>
      <c r="B1450" s="6">
        <v>42937</v>
      </c>
      <c r="C1450" s="7">
        <v>0.4307523148148148</v>
      </c>
      <c r="D1450" s="8">
        <v>0.4412847222222222</v>
      </c>
      <c r="E1450">
        <v>1</v>
      </c>
      <c r="G1450" s="18">
        <v>4055319</v>
      </c>
      <c r="H1450">
        <v>1</v>
      </c>
    </row>
    <row r="1451" spans="1:8" x14ac:dyDescent="0.35">
      <c r="A1451" s="9">
        <v>1617146</v>
      </c>
      <c r="B1451" s="10">
        <v>42937</v>
      </c>
      <c r="C1451" s="11">
        <v>0.43400462962962966</v>
      </c>
      <c r="D1451" s="12">
        <v>0.44041666666666668</v>
      </c>
      <c r="E1451">
        <v>1</v>
      </c>
      <c r="G1451" s="18">
        <v>3236046</v>
      </c>
      <c r="H1451">
        <v>1</v>
      </c>
    </row>
    <row r="1452" spans="1:8" x14ac:dyDescent="0.35">
      <c r="A1452" s="5">
        <v>2186880</v>
      </c>
      <c r="B1452" s="6">
        <v>42937</v>
      </c>
      <c r="C1452" s="7">
        <v>0.43582175925925926</v>
      </c>
      <c r="D1452" s="8">
        <v>0.44550925925925927</v>
      </c>
      <c r="E1452">
        <v>1</v>
      </c>
      <c r="G1452" s="18">
        <v>4062215</v>
      </c>
      <c r="H1452">
        <v>1</v>
      </c>
    </row>
    <row r="1453" spans="1:8" x14ac:dyDescent="0.35">
      <c r="A1453" s="9">
        <v>92461001</v>
      </c>
      <c r="B1453" s="10">
        <v>42937</v>
      </c>
      <c r="C1453" s="11">
        <v>0.43730324074074073</v>
      </c>
      <c r="D1453" s="12">
        <v>0.44869212962962962</v>
      </c>
      <c r="E1453">
        <v>1</v>
      </c>
      <c r="G1453" s="18">
        <v>3245936</v>
      </c>
      <c r="H1453">
        <v>1</v>
      </c>
    </row>
    <row r="1454" spans="1:8" x14ac:dyDescent="0.35">
      <c r="A1454" s="5">
        <v>4657345</v>
      </c>
      <c r="B1454" s="6">
        <v>42937</v>
      </c>
      <c r="C1454" s="7">
        <v>0.44291666666666668</v>
      </c>
      <c r="D1454" s="8">
        <v>0.45256944444444447</v>
      </c>
      <c r="E1454">
        <v>1</v>
      </c>
      <c r="G1454" s="18">
        <v>4082744</v>
      </c>
      <c r="H1454">
        <v>1</v>
      </c>
    </row>
    <row r="1455" spans="1:8" x14ac:dyDescent="0.35">
      <c r="A1455" s="9">
        <v>16775888</v>
      </c>
      <c r="B1455" s="10">
        <v>42937</v>
      </c>
      <c r="C1455" s="11">
        <v>0.4478240740740741</v>
      </c>
      <c r="D1455" s="12">
        <v>0.45548611111111109</v>
      </c>
      <c r="E1455">
        <v>1</v>
      </c>
      <c r="G1455" s="18">
        <v>3253368</v>
      </c>
      <c r="H1455">
        <v>1</v>
      </c>
    </row>
    <row r="1456" spans="1:8" x14ac:dyDescent="0.35">
      <c r="A1456" s="5">
        <v>97953696</v>
      </c>
      <c r="B1456" s="6">
        <v>42937</v>
      </c>
      <c r="C1456" s="7">
        <v>0.45187500000000003</v>
      </c>
      <c r="D1456" s="8">
        <v>0.45925925925925926</v>
      </c>
      <c r="E1456">
        <v>1</v>
      </c>
      <c r="G1456" s="18">
        <v>4102482</v>
      </c>
      <c r="H1456">
        <v>1</v>
      </c>
    </row>
    <row r="1457" spans="1:8" x14ac:dyDescent="0.35">
      <c r="A1457" s="9">
        <v>1166111</v>
      </c>
      <c r="B1457" s="10">
        <v>42937</v>
      </c>
      <c r="C1457" s="11">
        <v>0.45458333333333334</v>
      </c>
      <c r="D1457" s="12">
        <v>0.46295138888888887</v>
      </c>
      <c r="E1457">
        <v>1</v>
      </c>
      <c r="G1457" s="18">
        <v>3263806</v>
      </c>
      <c r="H1457">
        <v>1</v>
      </c>
    </row>
    <row r="1458" spans="1:8" x14ac:dyDescent="0.35">
      <c r="A1458" s="5">
        <v>91907883</v>
      </c>
      <c r="B1458" s="6">
        <v>42937</v>
      </c>
      <c r="C1458" s="7">
        <v>0.45689814814814816</v>
      </c>
      <c r="D1458" s="8">
        <v>0.4574537037037037</v>
      </c>
      <c r="E1458">
        <v>1</v>
      </c>
      <c r="G1458" s="18">
        <v>4132754</v>
      </c>
      <c r="H1458">
        <v>1</v>
      </c>
    </row>
    <row r="1459" spans="1:8" x14ac:dyDescent="0.35">
      <c r="A1459" s="9">
        <v>9225043</v>
      </c>
      <c r="B1459" s="10">
        <v>42937</v>
      </c>
      <c r="C1459" s="11">
        <v>0.4612384259259259</v>
      </c>
      <c r="D1459" s="12">
        <v>0.46285879629629628</v>
      </c>
      <c r="E1459">
        <v>1</v>
      </c>
      <c r="G1459" s="18">
        <v>3263854</v>
      </c>
      <c r="H1459">
        <v>1</v>
      </c>
    </row>
    <row r="1460" spans="1:8" x14ac:dyDescent="0.35">
      <c r="A1460" s="5">
        <v>6408952</v>
      </c>
      <c r="B1460" s="6">
        <v>42937</v>
      </c>
      <c r="C1460" s="7">
        <v>0.46553240740740742</v>
      </c>
      <c r="D1460" s="8">
        <v>0.47234953703703703</v>
      </c>
      <c r="E1460">
        <v>1</v>
      </c>
      <c r="G1460" s="18">
        <v>4148520</v>
      </c>
      <c r="H1460">
        <v>1</v>
      </c>
    </row>
    <row r="1461" spans="1:8" x14ac:dyDescent="0.35">
      <c r="A1461" s="9">
        <v>81010250</v>
      </c>
      <c r="B1461" s="10">
        <v>42937</v>
      </c>
      <c r="C1461" s="11">
        <v>0.47075231481481483</v>
      </c>
      <c r="D1461" s="12">
        <v>0.47239583333333335</v>
      </c>
      <c r="E1461">
        <v>1</v>
      </c>
      <c r="G1461" s="18">
        <v>3284714</v>
      </c>
      <c r="H1461">
        <v>1</v>
      </c>
    </row>
    <row r="1462" spans="1:8" x14ac:dyDescent="0.35">
      <c r="A1462" s="5">
        <v>8596442</v>
      </c>
      <c r="B1462" s="6">
        <v>42937</v>
      </c>
      <c r="C1462" s="7">
        <v>0.47105324074074073</v>
      </c>
      <c r="D1462" s="8">
        <v>0.48011574074074076</v>
      </c>
      <c r="E1462">
        <v>1</v>
      </c>
      <c r="G1462" s="18">
        <v>4176704</v>
      </c>
      <c r="H1462">
        <v>1</v>
      </c>
    </row>
    <row r="1463" spans="1:8" x14ac:dyDescent="0.35">
      <c r="A1463" s="9">
        <v>79890857</v>
      </c>
      <c r="B1463" s="10">
        <v>42937</v>
      </c>
      <c r="C1463" s="11">
        <v>0.47285879629629629</v>
      </c>
      <c r="D1463" s="12">
        <v>0.47846064814814815</v>
      </c>
      <c r="E1463">
        <v>1</v>
      </c>
      <c r="G1463" s="18">
        <v>3287315</v>
      </c>
      <c r="H1463">
        <v>1</v>
      </c>
    </row>
    <row r="1464" spans="1:8" x14ac:dyDescent="0.35">
      <c r="A1464" s="5">
        <v>3804078</v>
      </c>
      <c r="B1464" s="6">
        <v>42937</v>
      </c>
      <c r="C1464" s="7">
        <v>0.4729976851851852</v>
      </c>
      <c r="D1464" s="8">
        <v>0.48243055555555553</v>
      </c>
      <c r="E1464">
        <v>1</v>
      </c>
      <c r="G1464" s="18">
        <v>4195677</v>
      </c>
      <c r="H1464">
        <v>1</v>
      </c>
    </row>
    <row r="1465" spans="1:8" x14ac:dyDescent="0.35">
      <c r="A1465" s="9">
        <v>6312012</v>
      </c>
      <c r="B1465" s="10">
        <v>42937</v>
      </c>
      <c r="C1465" s="11">
        <v>0.47697916666666668</v>
      </c>
      <c r="D1465" s="12">
        <v>0.48678240740740741</v>
      </c>
      <c r="E1465">
        <v>1</v>
      </c>
      <c r="G1465" s="18">
        <v>3300626</v>
      </c>
      <c r="H1465">
        <v>1</v>
      </c>
    </row>
    <row r="1466" spans="1:8" x14ac:dyDescent="0.35">
      <c r="A1466" s="5">
        <v>7322741</v>
      </c>
      <c r="B1466" s="6">
        <v>42937</v>
      </c>
      <c r="C1466" s="7">
        <v>0.47833333333333333</v>
      </c>
      <c r="D1466" s="8">
        <v>0.48989583333333331</v>
      </c>
      <c r="E1466">
        <v>1</v>
      </c>
      <c r="G1466" s="18">
        <v>4222605</v>
      </c>
      <c r="H1466">
        <v>1</v>
      </c>
    </row>
    <row r="1467" spans="1:8" x14ac:dyDescent="0.35">
      <c r="A1467" s="9">
        <v>2354992</v>
      </c>
      <c r="B1467" s="10">
        <v>42937</v>
      </c>
      <c r="C1467" s="11">
        <v>0.4828587962962963</v>
      </c>
      <c r="D1467" s="12">
        <v>0.48295138888888889</v>
      </c>
      <c r="E1467">
        <v>1</v>
      </c>
      <c r="G1467" s="18">
        <v>3305212</v>
      </c>
      <c r="H1467">
        <v>1</v>
      </c>
    </row>
    <row r="1468" spans="1:8" x14ac:dyDescent="0.35">
      <c r="A1468" s="5">
        <v>1766133</v>
      </c>
      <c r="B1468" s="6">
        <v>42937</v>
      </c>
      <c r="C1468" s="7">
        <v>0.48439814814814813</v>
      </c>
      <c r="D1468" s="8">
        <v>0.4878587962962963</v>
      </c>
      <c r="E1468">
        <v>1</v>
      </c>
      <c r="G1468" s="18">
        <v>3004571</v>
      </c>
      <c r="H1468">
        <v>1</v>
      </c>
    </row>
    <row r="1469" spans="1:8" x14ac:dyDescent="0.35">
      <c r="A1469" s="9">
        <v>2922327</v>
      </c>
      <c r="B1469" s="10">
        <v>42937</v>
      </c>
      <c r="C1469" s="11">
        <v>0.48690972222222223</v>
      </c>
      <c r="D1469" s="12">
        <v>0.49665509259259261</v>
      </c>
      <c r="E1469">
        <v>1</v>
      </c>
      <c r="G1469" s="18">
        <v>3326329</v>
      </c>
      <c r="H1469">
        <v>1</v>
      </c>
    </row>
    <row r="1470" spans="1:8" x14ac:dyDescent="0.35">
      <c r="A1470" s="5">
        <v>8679036</v>
      </c>
      <c r="B1470" s="6">
        <v>42937</v>
      </c>
      <c r="C1470" s="7">
        <v>0.4924189814814815</v>
      </c>
      <c r="D1470" s="8">
        <v>0.49381944444444442</v>
      </c>
      <c r="E1470">
        <v>1</v>
      </c>
      <c r="G1470" s="18">
        <v>4274311</v>
      </c>
      <c r="H1470">
        <v>1</v>
      </c>
    </row>
    <row r="1471" spans="1:8" x14ac:dyDescent="0.35">
      <c r="A1471" s="9">
        <v>1469705</v>
      </c>
      <c r="B1471" s="10">
        <v>42937</v>
      </c>
      <c r="C1471" s="11">
        <v>0.49327546296296299</v>
      </c>
      <c r="D1471" s="12">
        <v>0.50351851851851848</v>
      </c>
      <c r="E1471">
        <v>1</v>
      </c>
      <c r="G1471" s="18">
        <v>3326913</v>
      </c>
      <c r="H1471">
        <v>1</v>
      </c>
    </row>
    <row r="1472" spans="1:8" x14ac:dyDescent="0.35">
      <c r="A1472" s="5">
        <v>8079505</v>
      </c>
      <c r="B1472" s="6">
        <v>42937</v>
      </c>
      <c r="C1472" s="7">
        <v>0.49811342592592595</v>
      </c>
      <c r="D1472" s="8">
        <v>0.5065277777777778</v>
      </c>
      <c r="E1472">
        <v>1</v>
      </c>
      <c r="G1472" s="18">
        <v>4303945</v>
      </c>
      <c r="H1472">
        <v>1</v>
      </c>
    </row>
    <row r="1473" spans="1:8" x14ac:dyDescent="0.35">
      <c r="A1473" s="9">
        <v>4661635</v>
      </c>
      <c r="B1473" s="10">
        <v>42937</v>
      </c>
      <c r="C1473" s="11">
        <v>0.50016203703703699</v>
      </c>
      <c r="D1473" s="12">
        <v>0.50506944444444446</v>
      </c>
      <c r="E1473">
        <v>1</v>
      </c>
      <c r="G1473" s="18">
        <v>3328479</v>
      </c>
      <c r="H1473">
        <v>1</v>
      </c>
    </row>
    <row r="1474" spans="1:8" x14ac:dyDescent="0.35">
      <c r="A1474" s="5">
        <v>4497624</v>
      </c>
      <c r="B1474" s="6">
        <v>42937</v>
      </c>
      <c r="C1474" s="7">
        <v>0.50284722222222222</v>
      </c>
      <c r="D1474" s="8">
        <v>0.51432870370370365</v>
      </c>
      <c r="E1474">
        <v>1</v>
      </c>
      <c r="G1474" s="18">
        <v>4328583</v>
      </c>
      <c r="H1474">
        <v>1</v>
      </c>
    </row>
    <row r="1475" spans="1:8" x14ac:dyDescent="0.35">
      <c r="A1475" s="9">
        <v>52468382</v>
      </c>
      <c r="B1475" s="10">
        <v>42937</v>
      </c>
      <c r="C1475" s="11">
        <v>0.50840277777777776</v>
      </c>
      <c r="D1475" s="12">
        <v>0.50968749999999996</v>
      </c>
      <c r="E1475">
        <v>1</v>
      </c>
      <c r="G1475" s="18">
        <v>3348581</v>
      </c>
      <c r="H1475">
        <v>1</v>
      </c>
    </row>
    <row r="1476" spans="1:8" x14ac:dyDescent="0.35">
      <c r="A1476" s="5">
        <v>5687077</v>
      </c>
      <c r="B1476" s="6">
        <v>42937</v>
      </c>
      <c r="C1476" s="7">
        <v>0.51200231481481484</v>
      </c>
      <c r="D1476" s="8">
        <v>0.52253472222222219</v>
      </c>
      <c r="E1476">
        <v>1</v>
      </c>
      <c r="G1476" s="18">
        <v>4371394</v>
      </c>
      <c r="H1476">
        <v>1</v>
      </c>
    </row>
    <row r="1477" spans="1:8" x14ac:dyDescent="0.35">
      <c r="A1477" s="9">
        <v>3914070</v>
      </c>
      <c r="B1477" s="10">
        <v>42937</v>
      </c>
      <c r="C1477" s="11">
        <v>0.51249999999999996</v>
      </c>
      <c r="D1477" s="12">
        <v>0.51405092592592594</v>
      </c>
      <c r="E1477">
        <v>1</v>
      </c>
      <c r="G1477" s="18">
        <v>3352943</v>
      </c>
      <c r="H1477">
        <v>1</v>
      </c>
    </row>
    <row r="1478" spans="1:8" x14ac:dyDescent="0.35">
      <c r="A1478" s="5">
        <v>84684423</v>
      </c>
      <c r="B1478" s="6">
        <v>42937</v>
      </c>
      <c r="C1478" s="7">
        <v>0.51520833333333338</v>
      </c>
      <c r="D1478" s="8">
        <v>0.51918981481481485</v>
      </c>
      <c r="E1478">
        <v>1</v>
      </c>
      <c r="G1478" s="18">
        <v>4389240</v>
      </c>
      <c r="H1478">
        <v>1</v>
      </c>
    </row>
    <row r="1479" spans="1:8" x14ac:dyDescent="0.35">
      <c r="A1479" s="9">
        <v>6493406</v>
      </c>
      <c r="B1479" s="10">
        <v>42937</v>
      </c>
      <c r="C1479" s="11">
        <v>0.51936342592592588</v>
      </c>
      <c r="D1479" s="12">
        <v>0.52559027777777778</v>
      </c>
      <c r="E1479">
        <v>1</v>
      </c>
      <c r="G1479" s="18">
        <v>3360951</v>
      </c>
      <c r="H1479">
        <v>1</v>
      </c>
    </row>
    <row r="1480" spans="1:8" x14ac:dyDescent="0.35">
      <c r="A1480" s="5">
        <v>1563816</v>
      </c>
      <c r="B1480" s="6">
        <v>42937</v>
      </c>
      <c r="C1480" s="7">
        <v>0.52243055555555551</v>
      </c>
      <c r="D1480" s="8">
        <v>0.52681712962962968</v>
      </c>
      <c r="E1480">
        <v>1</v>
      </c>
      <c r="G1480" s="18">
        <v>4419123</v>
      </c>
      <c r="H1480">
        <v>1</v>
      </c>
    </row>
    <row r="1481" spans="1:8" x14ac:dyDescent="0.35">
      <c r="A1481" s="9">
        <v>7779935</v>
      </c>
      <c r="B1481" s="10">
        <v>42937</v>
      </c>
      <c r="C1481" s="11">
        <v>0.52469907407407412</v>
      </c>
      <c r="D1481" s="12">
        <v>0.53218750000000004</v>
      </c>
      <c r="E1481">
        <v>1</v>
      </c>
      <c r="G1481" s="18">
        <v>3363840</v>
      </c>
      <c r="H1481">
        <v>1</v>
      </c>
    </row>
    <row r="1482" spans="1:8" x14ac:dyDescent="0.35">
      <c r="A1482" s="5">
        <v>4429479</v>
      </c>
      <c r="B1482" s="6">
        <v>42937</v>
      </c>
      <c r="C1482" s="7">
        <v>0.52749999999999997</v>
      </c>
      <c r="D1482" s="8">
        <v>0.53034722222222219</v>
      </c>
      <c r="E1482">
        <v>1</v>
      </c>
      <c r="G1482" s="18">
        <v>4452201</v>
      </c>
      <c r="H1482">
        <v>1</v>
      </c>
    </row>
    <row r="1483" spans="1:8" x14ac:dyDescent="0.35">
      <c r="A1483" s="9">
        <v>2963652</v>
      </c>
      <c r="B1483" s="10">
        <v>42937</v>
      </c>
      <c r="C1483" s="11">
        <v>0.53240740740740744</v>
      </c>
      <c r="D1483" s="12">
        <v>0.53785879629629629</v>
      </c>
      <c r="E1483">
        <v>1</v>
      </c>
      <c r="G1483" s="18">
        <v>3370151</v>
      </c>
      <c r="H1483">
        <v>1</v>
      </c>
    </row>
    <row r="1484" spans="1:8" x14ac:dyDescent="0.35">
      <c r="A1484" s="5">
        <v>91032395</v>
      </c>
      <c r="B1484" s="6">
        <v>42937</v>
      </c>
      <c r="C1484" s="7">
        <v>0.53811342592592593</v>
      </c>
      <c r="D1484" s="8">
        <v>0.54365740740740742</v>
      </c>
      <c r="E1484">
        <v>1</v>
      </c>
      <c r="G1484" s="18">
        <v>3018218</v>
      </c>
      <c r="H1484">
        <v>1</v>
      </c>
    </row>
    <row r="1485" spans="1:8" x14ac:dyDescent="0.35">
      <c r="A1485" s="9">
        <v>6999348</v>
      </c>
      <c r="B1485" s="10">
        <v>42937</v>
      </c>
      <c r="C1485" s="11">
        <v>0.53831018518518514</v>
      </c>
      <c r="D1485" s="12">
        <v>0.53998842592592589</v>
      </c>
      <c r="E1485">
        <v>1</v>
      </c>
      <c r="G1485" s="18">
        <v>2844911</v>
      </c>
      <c r="H1485">
        <v>1</v>
      </c>
    </row>
    <row r="1486" spans="1:8" x14ac:dyDescent="0.35">
      <c r="A1486" s="5">
        <v>4424322</v>
      </c>
      <c r="B1486" s="6">
        <v>42937</v>
      </c>
      <c r="C1486" s="7">
        <v>0.54233796296296299</v>
      </c>
      <c r="D1486" s="8">
        <v>0.55148148148148146</v>
      </c>
      <c r="E1486">
        <v>1</v>
      </c>
      <c r="G1486" s="18">
        <v>3776937</v>
      </c>
      <c r="H1486">
        <v>1</v>
      </c>
    </row>
    <row r="1487" spans="1:8" x14ac:dyDescent="0.35">
      <c r="A1487" s="9">
        <v>9500083</v>
      </c>
      <c r="B1487" s="10">
        <v>42937</v>
      </c>
      <c r="C1487" s="11">
        <v>0.54631944444444447</v>
      </c>
      <c r="D1487" s="12">
        <v>0.55652777777777773</v>
      </c>
      <c r="E1487">
        <v>1</v>
      </c>
      <c r="G1487" s="18">
        <v>3382699</v>
      </c>
      <c r="H1487">
        <v>1</v>
      </c>
    </row>
    <row r="1488" spans="1:8" x14ac:dyDescent="0.35">
      <c r="A1488" s="5">
        <v>2912297</v>
      </c>
      <c r="B1488" s="6">
        <v>42937</v>
      </c>
      <c r="C1488" s="7">
        <v>0.54761574074074071</v>
      </c>
      <c r="D1488" s="8">
        <v>0.55443287037037037</v>
      </c>
      <c r="E1488">
        <v>1</v>
      </c>
      <c r="G1488" s="18">
        <v>3796958</v>
      </c>
      <c r="H1488">
        <v>1</v>
      </c>
    </row>
    <row r="1489" spans="1:8" x14ac:dyDescent="0.35">
      <c r="A1489" s="9">
        <v>4303945</v>
      </c>
      <c r="B1489" s="10">
        <v>42937</v>
      </c>
      <c r="C1489" s="11">
        <v>0.54953703703703705</v>
      </c>
      <c r="D1489" s="12">
        <v>0.55783564814814812</v>
      </c>
      <c r="E1489">
        <v>1</v>
      </c>
      <c r="G1489" s="18">
        <v>3382728</v>
      </c>
      <c r="H1489">
        <v>1</v>
      </c>
    </row>
    <row r="1490" spans="1:8" x14ac:dyDescent="0.35">
      <c r="A1490" s="5">
        <v>3264546470</v>
      </c>
      <c r="B1490" s="6">
        <v>42937</v>
      </c>
      <c r="C1490" s="7">
        <v>0.55311342592592594</v>
      </c>
      <c r="D1490" s="8">
        <v>0.55469907407407404</v>
      </c>
      <c r="E1490">
        <v>1</v>
      </c>
      <c r="G1490" s="18">
        <v>3811342</v>
      </c>
      <c r="H1490">
        <v>1</v>
      </c>
    </row>
    <row r="1491" spans="1:8" x14ac:dyDescent="0.35">
      <c r="A1491" s="9">
        <v>7275091</v>
      </c>
      <c r="B1491" s="10">
        <v>42937</v>
      </c>
      <c r="C1491" s="11">
        <v>0.55652777777777773</v>
      </c>
      <c r="D1491" s="12">
        <v>0.56657407407407412</v>
      </c>
      <c r="E1491">
        <v>1</v>
      </c>
      <c r="G1491" s="18">
        <v>3390459</v>
      </c>
      <c r="H1491">
        <v>1</v>
      </c>
    </row>
    <row r="1492" spans="1:8" x14ac:dyDescent="0.35">
      <c r="A1492" s="5">
        <v>9021766</v>
      </c>
      <c r="B1492" s="6">
        <v>42937</v>
      </c>
      <c r="C1492" s="7">
        <v>0.5575</v>
      </c>
      <c r="D1492" s="8">
        <v>0.56418981481481478</v>
      </c>
      <c r="E1492">
        <v>1</v>
      </c>
      <c r="G1492" s="18">
        <v>3824660</v>
      </c>
      <c r="H1492">
        <v>1</v>
      </c>
    </row>
    <row r="1493" spans="1:8" x14ac:dyDescent="0.35">
      <c r="A1493" s="9">
        <v>1500342</v>
      </c>
      <c r="B1493" s="10">
        <v>42937</v>
      </c>
      <c r="C1493" s="11">
        <v>0.56297453703703704</v>
      </c>
      <c r="D1493" s="12">
        <v>0.56752314814814819</v>
      </c>
      <c r="E1493">
        <v>1</v>
      </c>
      <c r="G1493" s="18">
        <v>2849439</v>
      </c>
      <c r="H1493">
        <v>1</v>
      </c>
    </row>
    <row r="1494" spans="1:8" x14ac:dyDescent="0.35">
      <c r="A1494" s="5">
        <v>7295667</v>
      </c>
      <c r="B1494" s="6">
        <v>42937</v>
      </c>
      <c r="C1494" s="7">
        <v>0.56578703703703703</v>
      </c>
      <c r="D1494" s="8">
        <v>0.57518518518518513</v>
      </c>
      <c r="E1494">
        <v>1</v>
      </c>
      <c r="G1494" s="18">
        <v>2928766</v>
      </c>
      <c r="H1494">
        <v>1</v>
      </c>
    </row>
    <row r="1495" spans="1:8" x14ac:dyDescent="0.35">
      <c r="A1495" s="9">
        <v>5512237</v>
      </c>
      <c r="B1495" s="10">
        <v>42937</v>
      </c>
      <c r="C1495" s="11">
        <v>0.5713773148148148</v>
      </c>
      <c r="D1495" s="12">
        <v>0.58107638888888891</v>
      </c>
      <c r="E1495">
        <v>1</v>
      </c>
      <c r="G1495" s="18">
        <v>3422062</v>
      </c>
      <c r="H1495">
        <v>1</v>
      </c>
    </row>
    <row r="1496" spans="1:8" x14ac:dyDescent="0.35">
      <c r="A1496" s="5">
        <v>22266436</v>
      </c>
      <c r="B1496" s="6">
        <v>42937</v>
      </c>
      <c r="C1496" s="7">
        <v>0.57549768518518518</v>
      </c>
      <c r="D1496" s="8">
        <v>0.57925925925925925</v>
      </c>
      <c r="E1496">
        <v>1</v>
      </c>
      <c r="G1496" s="18">
        <v>3862016</v>
      </c>
      <c r="H1496">
        <v>1</v>
      </c>
    </row>
    <row r="1497" spans="1:8" x14ac:dyDescent="0.35">
      <c r="A1497" s="9">
        <v>60885211</v>
      </c>
      <c r="B1497" s="10">
        <v>42937</v>
      </c>
      <c r="C1497" s="11">
        <v>0.57828703703703699</v>
      </c>
      <c r="D1497" s="12">
        <v>0.58940972222222221</v>
      </c>
      <c r="E1497">
        <v>1</v>
      </c>
      <c r="G1497" s="18">
        <v>3429335</v>
      </c>
      <c r="H1497">
        <v>1</v>
      </c>
    </row>
    <row r="1498" spans="1:8" x14ac:dyDescent="0.35">
      <c r="A1498" s="5">
        <v>4379415</v>
      </c>
      <c r="B1498" s="6">
        <v>42937</v>
      </c>
      <c r="C1498" s="7">
        <v>0.57983796296296297</v>
      </c>
      <c r="D1498" s="8">
        <v>0.58756944444444448</v>
      </c>
      <c r="E1498">
        <v>1</v>
      </c>
      <c r="G1498" s="18">
        <v>3897347</v>
      </c>
      <c r="H1498">
        <v>1</v>
      </c>
    </row>
    <row r="1499" spans="1:8" x14ac:dyDescent="0.35">
      <c r="A1499" s="9">
        <v>22747425</v>
      </c>
      <c r="B1499" s="10">
        <v>42937</v>
      </c>
      <c r="C1499" s="11">
        <v>0.58520833333333333</v>
      </c>
      <c r="D1499" s="12">
        <v>0.59646990740740746</v>
      </c>
      <c r="E1499">
        <v>1</v>
      </c>
      <c r="G1499" s="18">
        <v>2853860</v>
      </c>
      <c r="H1499">
        <v>1</v>
      </c>
    </row>
    <row r="1500" spans="1:8" x14ac:dyDescent="0.35">
      <c r="A1500" s="5">
        <v>3858766</v>
      </c>
      <c r="B1500" s="6">
        <v>42937</v>
      </c>
      <c r="C1500" s="7">
        <v>0.59026620370370375</v>
      </c>
      <c r="D1500" s="8">
        <v>0.59652777777777777</v>
      </c>
      <c r="E1500">
        <v>1</v>
      </c>
      <c r="G1500" s="18">
        <v>3908162</v>
      </c>
      <c r="H1500">
        <v>1</v>
      </c>
    </row>
    <row r="1501" spans="1:8" x14ac:dyDescent="0.35">
      <c r="A1501" s="9">
        <v>6231537</v>
      </c>
      <c r="B1501" s="10">
        <v>42937</v>
      </c>
      <c r="C1501" s="11">
        <v>0.59401620370370367</v>
      </c>
      <c r="D1501" s="12">
        <v>0.60012731481481485</v>
      </c>
      <c r="E1501">
        <v>1</v>
      </c>
      <c r="G1501" s="18">
        <v>2780765</v>
      </c>
      <c r="H1501">
        <v>1</v>
      </c>
    </row>
    <row r="1502" spans="1:8" x14ac:dyDescent="0.35">
      <c r="A1502" s="5">
        <v>1296262</v>
      </c>
      <c r="B1502" s="6">
        <v>42937</v>
      </c>
      <c r="C1502" s="7">
        <v>0.59712962962962968</v>
      </c>
      <c r="D1502" s="8">
        <v>0.6026273148148148</v>
      </c>
      <c r="E1502">
        <v>1</v>
      </c>
      <c r="G1502" s="18">
        <v>3914070</v>
      </c>
      <c r="H1502">
        <v>1</v>
      </c>
    </row>
    <row r="1503" spans="1:8" x14ac:dyDescent="0.35">
      <c r="A1503" s="9">
        <v>6175467</v>
      </c>
      <c r="B1503" s="10">
        <v>42937</v>
      </c>
      <c r="C1503" s="11">
        <v>0.60185185185185186</v>
      </c>
      <c r="D1503" s="12">
        <v>0.61021990740740739</v>
      </c>
      <c r="E1503">
        <v>1</v>
      </c>
      <c r="G1503" s="18">
        <v>3443287</v>
      </c>
      <c r="H1503">
        <v>1</v>
      </c>
    </row>
    <row r="1504" spans="1:8" x14ac:dyDescent="0.35">
      <c r="A1504" s="5">
        <v>6434255</v>
      </c>
      <c r="B1504" s="6">
        <v>42937</v>
      </c>
      <c r="C1504" s="7">
        <v>0.60196759259259258</v>
      </c>
      <c r="D1504" s="8">
        <v>0.60356481481481483</v>
      </c>
      <c r="E1504">
        <v>1</v>
      </c>
      <c r="G1504" s="18">
        <v>3925701</v>
      </c>
      <c r="H1504">
        <v>1</v>
      </c>
    </row>
    <row r="1505" spans="1:8" x14ac:dyDescent="0.35">
      <c r="A1505" s="9">
        <v>2723614</v>
      </c>
      <c r="B1505" s="10">
        <v>42937</v>
      </c>
      <c r="C1505" s="11">
        <v>0.60465277777777782</v>
      </c>
      <c r="D1505" s="12">
        <v>0.60886574074074074</v>
      </c>
      <c r="E1505">
        <v>1</v>
      </c>
      <c r="G1505" s="18">
        <v>3444629</v>
      </c>
      <c r="H1505">
        <v>1</v>
      </c>
    </row>
    <row r="1506" spans="1:8" x14ac:dyDescent="0.35">
      <c r="A1506" s="5">
        <v>92326393</v>
      </c>
      <c r="B1506" s="6">
        <v>42937</v>
      </c>
      <c r="C1506" s="7">
        <v>0.60782407407407413</v>
      </c>
      <c r="D1506" s="8">
        <v>0.61331018518518521</v>
      </c>
      <c r="E1506">
        <v>1</v>
      </c>
      <c r="G1506" s="18">
        <v>3931914</v>
      </c>
      <c r="H1506">
        <v>1</v>
      </c>
    </row>
    <row r="1507" spans="1:8" x14ac:dyDescent="0.35">
      <c r="A1507" s="9">
        <v>5039266</v>
      </c>
      <c r="B1507" s="10">
        <v>42937</v>
      </c>
      <c r="C1507" s="11">
        <v>0.6121875</v>
      </c>
      <c r="D1507" s="12">
        <v>0.6181712962962963</v>
      </c>
      <c r="E1507">
        <v>1</v>
      </c>
      <c r="G1507" s="18">
        <v>3456554</v>
      </c>
      <c r="H1507">
        <v>1</v>
      </c>
    </row>
    <row r="1508" spans="1:8" x14ac:dyDescent="0.35">
      <c r="A1508" s="5">
        <v>3861280</v>
      </c>
      <c r="B1508" s="6">
        <v>42937</v>
      </c>
      <c r="C1508" s="7">
        <v>0.6147569444444444</v>
      </c>
      <c r="D1508" s="8">
        <v>0.62420138888888888</v>
      </c>
      <c r="E1508">
        <v>1</v>
      </c>
      <c r="G1508" s="18">
        <v>3943994</v>
      </c>
      <c r="H1508">
        <v>1</v>
      </c>
    </row>
    <row r="1509" spans="1:8" x14ac:dyDescent="0.35">
      <c r="A1509" s="9">
        <v>3982833</v>
      </c>
      <c r="B1509" s="10">
        <v>42937</v>
      </c>
      <c r="C1509" s="11">
        <v>0.61690972222222218</v>
      </c>
      <c r="D1509" s="12">
        <v>0.62290509259259264</v>
      </c>
      <c r="E1509">
        <v>1</v>
      </c>
      <c r="G1509" s="18">
        <v>3460208</v>
      </c>
      <c r="H1509">
        <v>1</v>
      </c>
    </row>
    <row r="1510" spans="1:8" x14ac:dyDescent="0.35">
      <c r="A1510" s="5">
        <v>5835972</v>
      </c>
      <c r="B1510" s="6">
        <v>42937</v>
      </c>
      <c r="C1510" s="7">
        <v>0.6206828703703704</v>
      </c>
      <c r="D1510" s="8">
        <v>0.62291666666666667</v>
      </c>
      <c r="E1510">
        <v>1</v>
      </c>
      <c r="G1510" s="18">
        <v>3954712</v>
      </c>
      <c r="H1510">
        <v>1</v>
      </c>
    </row>
    <row r="1511" spans="1:8" x14ac:dyDescent="0.35">
      <c r="A1511" s="9">
        <v>98382147</v>
      </c>
      <c r="B1511" s="10">
        <v>42937</v>
      </c>
      <c r="C1511" s="11">
        <v>0.62484953703703705</v>
      </c>
      <c r="D1511" s="12">
        <v>0.62848379629629625</v>
      </c>
      <c r="E1511">
        <v>1</v>
      </c>
      <c r="G1511" s="18">
        <v>3465997</v>
      </c>
      <c r="H1511">
        <v>1</v>
      </c>
    </row>
    <row r="1512" spans="1:8" x14ac:dyDescent="0.35">
      <c r="A1512" s="5">
        <v>9427353</v>
      </c>
      <c r="B1512" s="6">
        <v>42937</v>
      </c>
      <c r="C1512" s="7">
        <v>0.62612268518518521</v>
      </c>
      <c r="D1512" s="8">
        <v>0.62835648148148149</v>
      </c>
      <c r="E1512">
        <v>1</v>
      </c>
      <c r="G1512" s="18">
        <v>3976931</v>
      </c>
      <c r="H1512">
        <v>1</v>
      </c>
    </row>
    <row r="1513" spans="1:8" x14ac:dyDescent="0.35">
      <c r="A1513" s="9">
        <v>11274735</v>
      </c>
      <c r="B1513" s="10">
        <v>42940</v>
      </c>
      <c r="C1513" s="11">
        <v>0.33624999999999999</v>
      </c>
      <c r="D1513" s="12">
        <v>0.34670138888888891</v>
      </c>
      <c r="E1513">
        <v>1</v>
      </c>
      <c r="G1513" s="18">
        <v>3473734</v>
      </c>
      <c r="H1513">
        <v>1</v>
      </c>
    </row>
    <row r="1514" spans="1:8" x14ac:dyDescent="0.35">
      <c r="A1514" s="5">
        <v>9727873</v>
      </c>
      <c r="B1514" s="6">
        <v>42940</v>
      </c>
      <c r="C1514" s="7">
        <v>0.33728009259259262</v>
      </c>
      <c r="D1514" s="8">
        <v>0.34291666666666665</v>
      </c>
      <c r="E1514">
        <v>1</v>
      </c>
      <c r="G1514" s="18">
        <v>3979680</v>
      </c>
      <c r="H1514">
        <v>1</v>
      </c>
    </row>
    <row r="1515" spans="1:8" x14ac:dyDescent="0.35">
      <c r="A1515" s="9">
        <v>4804872</v>
      </c>
      <c r="B1515" s="10">
        <v>42940</v>
      </c>
      <c r="C1515" s="11">
        <v>0.3402662037037037</v>
      </c>
      <c r="D1515" s="12">
        <v>0.34250000000000003</v>
      </c>
      <c r="E1515">
        <v>1</v>
      </c>
      <c r="G1515" s="18">
        <v>3478111</v>
      </c>
      <c r="H1515">
        <v>1</v>
      </c>
    </row>
    <row r="1516" spans="1:8" x14ac:dyDescent="0.35">
      <c r="A1516" s="5">
        <v>22583033</v>
      </c>
      <c r="B1516" s="6">
        <v>42940</v>
      </c>
      <c r="C1516" s="7">
        <v>0.34495370370370371</v>
      </c>
      <c r="D1516" s="8">
        <v>0.3467824074074074</v>
      </c>
      <c r="E1516">
        <v>1</v>
      </c>
      <c r="G1516" s="18">
        <v>3983714</v>
      </c>
      <c r="H1516">
        <v>1</v>
      </c>
    </row>
    <row r="1517" spans="1:8" x14ac:dyDescent="0.35">
      <c r="A1517" s="9">
        <v>4056070</v>
      </c>
      <c r="B1517" s="10">
        <v>42940</v>
      </c>
      <c r="C1517" s="11">
        <v>0.3480787037037037</v>
      </c>
      <c r="D1517" s="12">
        <v>0.35413194444444446</v>
      </c>
      <c r="E1517">
        <v>1</v>
      </c>
      <c r="G1517" s="18">
        <v>2866546</v>
      </c>
      <c r="H1517">
        <v>1</v>
      </c>
    </row>
    <row r="1518" spans="1:8" x14ac:dyDescent="0.35">
      <c r="A1518" s="5">
        <v>2701816</v>
      </c>
      <c r="B1518" s="6">
        <v>42940</v>
      </c>
      <c r="C1518" s="7">
        <v>0.34879629629629627</v>
      </c>
      <c r="D1518" s="8">
        <v>0.35699074074074072</v>
      </c>
      <c r="E1518">
        <v>1</v>
      </c>
      <c r="G1518" s="18">
        <v>3990337</v>
      </c>
      <c r="H1518">
        <v>1</v>
      </c>
    </row>
    <row r="1519" spans="1:8" x14ac:dyDescent="0.35">
      <c r="A1519" s="9">
        <v>20735440</v>
      </c>
      <c r="B1519" s="10">
        <v>42940</v>
      </c>
      <c r="C1519" s="11">
        <v>0.35041666666666665</v>
      </c>
      <c r="D1519" s="12">
        <v>0.35834490740740743</v>
      </c>
      <c r="E1519">
        <v>1</v>
      </c>
      <c r="G1519" s="18">
        <v>3493348</v>
      </c>
      <c r="H1519">
        <v>1</v>
      </c>
    </row>
    <row r="1520" spans="1:8" x14ac:dyDescent="0.35">
      <c r="A1520" s="5">
        <v>9076015</v>
      </c>
      <c r="B1520" s="6">
        <v>42940</v>
      </c>
      <c r="C1520" s="7">
        <v>0.35129629629629627</v>
      </c>
      <c r="D1520" s="8">
        <v>0.35626157407407405</v>
      </c>
      <c r="E1520">
        <v>1</v>
      </c>
      <c r="G1520" s="18">
        <v>4002406</v>
      </c>
      <c r="H1520">
        <v>1</v>
      </c>
    </row>
    <row r="1521" spans="1:8" x14ac:dyDescent="0.35">
      <c r="A1521" s="9">
        <v>11070759</v>
      </c>
      <c r="B1521" s="10">
        <v>42940</v>
      </c>
      <c r="C1521" s="11">
        <v>0.35653935185185187</v>
      </c>
      <c r="D1521" s="12">
        <v>0.35864583333333333</v>
      </c>
      <c r="E1521">
        <v>1</v>
      </c>
      <c r="G1521" s="18">
        <v>3494192</v>
      </c>
      <c r="H1521">
        <v>1</v>
      </c>
    </row>
    <row r="1522" spans="1:8" x14ac:dyDescent="0.35">
      <c r="A1522" s="5">
        <v>22176115</v>
      </c>
      <c r="B1522" s="6">
        <v>42940</v>
      </c>
      <c r="C1522" s="7">
        <v>0.35991898148148149</v>
      </c>
      <c r="D1522" s="8">
        <v>0.36880787037037038</v>
      </c>
      <c r="E1522">
        <v>1</v>
      </c>
      <c r="G1522" s="18">
        <v>4017213</v>
      </c>
      <c r="H1522">
        <v>1</v>
      </c>
    </row>
    <row r="1523" spans="1:8" x14ac:dyDescent="0.35">
      <c r="A1523" s="9">
        <v>7456918</v>
      </c>
      <c r="B1523" s="10">
        <v>42940</v>
      </c>
      <c r="C1523" s="11">
        <v>0.36061342592592593</v>
      </c>
      <c r="D1523" s="12">
        <v>0.36667824074074074</v>
      </c>
      <c r="E1523">
        <v>1</v>
      </c>
      <c r="G1523" s="18">
        <v>2873323</v>
      </c>
      <c r="H1523">
        <v>1</v>
      </c>
    </row>
    <row r="1524" spans="1:8" x14ac:dyDescent="0.35">
      <c r="A1524" s="5">
        <v>6896787</v>
      </c>
      <c r="B1524" s="6">
        <v>42940</v>
      </c>
      <c r="C1524" s="7">
        <v>0.36243055555555553</v>
      </c>
      <c r="D1524" s="8">
        <v>0.36993055555555554</v>
      </c>
      <c r="E1524">
        <v>1</v>
      </c>
      <c r="G1524" s="18">
        <v>4030817</v>
      </c>
      <c r="H1524">
        <v>1</v>
      </c>
    </row>
    <row r="1525" spans="1:8" x14ac:dyDescent="0.35">
      <c r="A1525" s="9">
        <v>6561564994</v>
      </c>
      <c r="B1525" s="10">
        <v>42940</v>
      </c>
      <c r="C1525" s="11">
        <v>0.36334490740740738</v>
      </c>
      <c r="D1525" s="12">
        <v>0.3696875</v>
      </c>
      <c r="E1525">
        <v>1</v>
      </c>
      <c r="G1525" s="18">
        <v>3508755</v>
      </c>
      <c r="H1525">
        <v>1</v>
      </c>
    </row>
    <row r="1526" spans="1:8" x14ac:dyDescent="0.35">
      <c r="A1526" s="5">
        <v>8414788</v>
      </c>
      <c r="B1526" s="6">
        <v>42940</v>
      </c>
      <c r="C1526" s="7">
        <v>0.36887731481481484</v>
      </c>
      <c r="D1526" s="8">
        <v>0.37443287037037037</v>
      </c>
      <c r="E1526">
        <v>1</v>
      </c>
      <c r="G1526" s="18">
        <v>2947660</v>
      </c>
      <c r="H1526">
        <v>1</v>
      </c>
    </row>
    <row r="1527" spans="1:8" x14ac:dyDescent="0.35">
      <c r="A1527" s="9">
        <v>7896629</v>
      </c>
      <c r="B1527" s="10">
        <v>42940</v>
      </c>
      <c r="C1527" s="11">
        <v>0.37025462962962963</v>
      </c>
      <c r="D1527" s="12">
        <v>0.3785648148148148</v>
      </c>
      <c r="E1527">
        <v>1</v>
      </c>
      <c r="G1527" s="18">
        <v>3520189</v>
      </c>
      <c r="H1527">
        <v>1</v>
      </c>
    </row>
    <row r="1528" spans="1:8" x14ac:dyDescent="0.35">
      <c r="A1528" s="5">
        <v>5970183</v>
      </c>
      <c r="B1528" s="6">
        <v>42940</v>
      </c>
      <c r="C1528" s="7">
        <v>0.37150462962962966</v>
      </c>
      <c r="D1528" s="8">
        <v>0.37246527777777777</v>
      </c>
      <c r="E1528">
        <v>1</v>
      </c>
      <c r="G1528" s="18">
        <v>4056070</v>
      </c>
      <c r="H1528">
        <v>1</v>
      </c>
    </row>
    <row r="1529" spans="1:8" x14ac:dyDescent="0.35">
      <c r="A1529" s="9">
        <v>57891628</v>
      </c>
      <c r="B1529" s="10">
        <v>42940</v>
      </c>
      <c r="C1529" s="11">
        <v>0.37296296296296294</v>
      </c>
      <c r="D1529" s="12">
        <v>0.38413194444444443</v>
      </c>
      <c r="E1529">
        <v>1</v>
      </c>
      <c r="G1529" s="18">
        <v>3524259</v>
      </c>
      <c r="H1529">
        <v>1</v>
      </c>
    </row>
    <row r="1530" spans="1:8" x14ac:dyDescent="0.35">
      <c r="A1530" s="5">
        <v>53378457</v>
      </c>
      <c r="B1530" s="6">
        <v>42940</v>
      </c>
      <c r="C1530" s="7">
        <v>0.3777314814814815</v>
      </c>
      <c r="D1530" s="8">
        <v>0.38680555555555557</v>
      </c>
      <c r="E1530">
        <v>1</v>
      </c>
      <c r="G1530" s="18">
        <v>4060894</v>
      </c>
      <c r="H1530">
        <v>1</v>
      </c>
    </row>
    <row r="1531" spans="1:8" x14ac:dyDescent="0.35">
      <c r="A1531" s="9">
        <v>88666908</v>
      </c>
      <c r="B1531" s="10">
        <v>42940</v>
      </c>
      <c r="C1531" s="11">
        <v>0.37983796296296296</v>
      </c>
      <c r="D1531" s="12">
        <v>0.38929398148148148</v>
      </c>
      <c r="E1531">
        <v>1</v>
      </c>
      <c r="G1531" s="18">
        <v>3525921</v>
      </c>
      <c r="H1531">
        <v>1</v>
      </c>
    </row>
    <row r="1532" spans="1:8" x14ac:dyDescent="0.35">
      <c r="A1532" s="5">
        <v>9279730</v>
      </c>
      <c r="B1532" s="6">
        <v>42940</v>
      </c>
      <c r="C1532" s="7">
        <v>0.38046296296296295</v>
      </c>
      <c r="D1532" s="8">
        <v>0.38836805555555554</v>
      </c>
      <c r="E1532">
        <v>1</v>
      </c>
      <c r="G1532" s="18">
        <v>4065787</v>
      </c>
      <c r="H1532">
        <v>1</v>
      </c>
    </row>
    <row r="1533" spans="1:8" x14ac:dyDescent="0.35">
      <c r="A1533" s="9">
        <v>2928766</v>
      </c>
      <c r="B1533" s="10">
        <v>42940</v>
      </c>
      <c r="C1533" s="11">
        <v>0.38156250000000003</v>
      </c>
      <c r="D1533" s="12">
        <v>0.3893402777777778</v>
      </c>
      <c r="E1533">
        <v>1</v>
      </c>
      <c r="G1533" s="18">
        <v>3533271</v>
      </c>
      <c r="H1533">
        <v>1</v>
      </c>
    </row>
    <row r="1534" spans="1:8" x14ac:dyDescent="0.35">
      <c r="A1534" s="5">
        <v>4334364</v>
      </c>
      <c r="B1534" s="6">
        <v>42940</v>
      </c>
      <c r="C1534" s="7">
        <v>0.3837962962962963</v>
      </c>
      <c r="D1534" s="8">
        <v>0.39385416666666667</v>
      </c>
      <c r="E1534">
        <v>1</v>
      </c>
      <c r="G1534" s="18">
        <v>4079013</v>
      </c>
      <c r="H1534">
        <v>1</v>
      </c>
    </row>
    <row r="1535" spans="1:8" x14ac:dyDescent="0.35">
      <c r="A1535" s="9">
        <v>8405292</v>
      </c>
      <c r="B1535" s="10">
        <v>42940</v>
      </c>
      <c r="C1535" s="11">
        <v>0.38635416666666667</v>
      </c>
      <c r="D1535" s="12">
        <v>0.39378472222222222</v>
      </c>
      <c r="E1535">
        <v>1</v>
      </c>
      <c r="G1535" s="18">
        <v>3533421</v>
      </c>
      <c r="H1535">
        <v>1</v>
      </c>
    </row>
    <row r="1536" spans="1:8" x14ac:dyDescent="0.35">
      <c r="A1536" s="5">
        <v>9870841</v>
      </c>
      <c r="B1536" s="6">
        <v>42940</v>
      </c>
      <c r="C1536" s="7">
        <v>0.39209490740740743</v>
      </c>
      <c r="D1536" s="8">
        <v>0.39672453703703703</v>
      </c>
      <c r="E1536">
        <v>1</v>
      </c>
      <c r="G1536" s="18">
        <v>4093292</v>
      </c>
      <c r="H1536">
        <v>1</v>
      </c>
    </row>
    <row r="1537" spans="1:8" x14ac:dyDescent="0.35">
      <c r="A1537" s="9">
        <v>9722484</v>
      </c>
      <c r="B1537" s="10">
        <v>42940</v>
      </c>
      <c r="C1537" s="11">
        <v>0.39383101851851854</v>
      </c>
      <c r="D1537" s="12">
        <v>0.39630787037037035</v>
      </c>
      <c r="E1537">
        <v>1</v>
      </c>
      <c r="G1537" s="18">
        <v>3537655</v>
      </c>
      <c r="H1537">
        <v>1</v>
      </c>
    </row>
    <row r="1538" spans="1:8" x14ac:dyDescent="0.35">
      <c r="A1538" s="5">
        <v>1159432</v>
      </c>
      <c r="B1538" s="6">
        <v>42940</v>
      </c>
      <c r="C1538" s="7">
        <v>0.39391203703703703</v>
      </c>
      <c r="D1538" s="8">
        <v>0.39478009259259261</v>
      </c>
      <c r="E1538">
        <v>1</v>
      </c>
      <c r="G1538" s="18">
        <v>4100331</v>
      </c>
      <c r="H1538">
        <v>1</v>
      </c>
    </row>
    <row r="1539" spans="1:8" x14ac:dyDescent="0.35">
      <c r="A1539" s="9">
        <v>25194612</v>
      </c>
      <c r="B1539" s="10">
        <v>42940</v>
      </c>
      <c r="C1539" s="11">
        <v>0.39516203703703706</v>
      </c>
      <c r="D1539" s="12">
        <v>0.4057986111111111</v>
      </c>
      <c r="E1539">
        <v>1</v>
      </c>
      <c r="G1539" s="18">
        <v>2890720</v>
      </c>
      <c r="H1539">
        <v>1</v>
      </c>
    </row>
    <row r="1540" spans="1:8" x14ac:dyDescent="0.35">
      <c r="A1540" s="5">
        <v>1117628</v>
      </c>
      <c r="B1540" s="6">
        <v>42940</v>
      </c>
      <c r="C1540" s="7">
        <v>0.39614583333333331</v>
      </c>
      <c r="D1540" s="8">
        <v>0.39976851851851852</v>
      </c>
      <c r="E1540">
        <v>1</v>
      </c>
      <c r="G1540" s="18">
        <v>2814524</v>
      </c>
      <c r="H1540">
        <v>1</v>
      </c>
    </row>
    <row r="1541" spans="1:8" x14ac:dyDescent="0.35">
      <c r="A1541" s="9">
        <v>3624713</v>
      </c>
      <c r="B1541" s="10">
        <v>42940</v>
      </c>
      <c r="C1541" s="11">
        <v>0.39864583333333331</v>
      </c>
      <c r="D1541" s="12">
        <v>0.40440972222222221</v>
      </c>
      <c r="E1541">
        <v>1</v>
      </c>
      <c r="G1541" s="18">
        <v>3558582</v>
      </c>
      <c r="H1541">
        <v>1</v>
      </c>
    </row>
    <row r="1542" spans="1:8" x14ac:dyDescent="0.35">
      <c r="A1542" s="5">
        <v>5616210</v>
      </c>
      <c r="B1542" s="6">
        <v>42940</v>
      </c>
      <c r="C1542" s="7">
        <v>0.39956018518518521</v>
      </c>
      <c r="D1542" s="8">
        <v>0.40803240740740743</v>
      </c>
      <c r="E1542">
        <v>1</v>
      </c>
      <c r="G1542" s="18">
        <v>2963652</v>
      </c>
      <c r="H1542">
        <v>1</v>
      </c>
    </row>
    <row r="1543" spans="1:8" x14ac:dyDescent="0.35">
      <c r="A1543" s="9">
        <v>6772052</v>
      </c>
      <c r="B1543" s="10">
        <v>42940</v>
      </c>
      <c r="C1543" s="11">
        <v>0.40263888888888888</v>
      </c>
      <c r="D1543" s="12">
        <v>0.40825231481481483</v>
      </c>
      <c r="E1543">
        <v>1</v>
      </c>
      <c r="G1543" s="18">
        <v>3563037</v>
      </c>
      <c r="H1543">
        <v>1</v>
      </c>
    </row>
    <row r="1544" spans="1:8" x14ac:dyDescent="0.35">
      <c r="A1544" s="5">
        <v>3305212</v>
      </c>
      <c r="B1544" s="6">
        <v>42940</v>
      </c>
      <c r="C1544" s="7">
        <v>0.40641203703703704</v>
      </c>
      <c r="D1544" s="8">
        <v>0.41187499999999999</v>
      </c>
      <c r="E1544">
        <v>1</v>
      </c>
      <c r="G1544" s="18">
        <v>4133182</v>
      </c>
      <c r="H1544">
        <v>1</v>
      </c>
    </row>
    <row r="1545" spans="1:8" x14ac:dyDescent="0.35">
      <c r="A1545" s="9">
        <v>72701808</v>
      </c>
      <c r="B1545" s="10">
        <v>42940</v>
      </c>
      <c r="C1545" s="11">
        <v>0.40930555555555553</v>
      </c>
      <c r="D1545" s="12">
        <v>0.41968749999999999</v>
      </c>
      <c r="E1545">
        <v>1</v>
      </c>
      <c r="G1545" s="18">
        <v>3574623</v>
      </c>
      <c r="H1545">
        <v>1</v>
      </c>
    </row>
    <row r="1546" spans="1:8" x14ac:dyDescent="0.35">
      <c r="A1546" s="5">
        <v>4285095</v>
      </c>
      <c r="B1546" s="6">
        <v>42940</v>
      </c>
      <c r="C1546" s="7">
        <v>0.41351851851851851</v>
      </c>
      <c r="D1546" s="8">
        <v>0.41790509259259262</v>
      </c>
      <c r="E1546">
        <v>1</v>
      </c>
      <c r="G1546" s="18">
        <v>4146159</v>
      </c>
      <c r="H1546">
        <v>1</v>
      </c>
    </row>
    <row r="1547" spans="1:8" x14ac:dyDescent="0.35">
      <c r="A1547" s="9">
        <v>2585298</v>
      </c>
      <c r="B1547" s="10">
        <v>42940</v>
      </c>
      <c r="C1547" s="11">
        <v>0.41853009259259261</v>
      </c>
      <c r="D1547" s="12">
        <v>0.42252314814814818</v>
      </c>
      <c r="E1547">
        <v>1</v>
      </c>
      <c r="G1547" s="18">
        <v>3589291</v>
      </c>
      <c r="H1547">
        <v>1</v>
      </c>
    </row>
    <row r="1548" spans="1:8" x14ac:dyDescent="0.35">
      <c r="A1548" s="5">
        <v>2947035</v>
      </c>
      <c r="B1548" s="6">
        <v>42940</v>
      </c>
      <c r="C1548" s="7">
        <v>0.42241898148148149</v>
      </c>
      <c r="D1548" s="8">
        <v>0.42863425925925924</v>
      </c>
      <c r="E1548">
        <v>1</v>
      </c>
      <c r="G1548" s="18">
        <v>4150421</v>
      </c>
      <c r="H1548">
        <v>1</v>
      </c>
    </row>
    <row r="1549" spans="1:8" x14ac:dyDescent="0.35">
      <c r="A1549" s="9">
        <v>6615729</v>
      </c>
      <c r="B1549" s="10">
        <v>42940</v>
      </c>
      <c r="C1549" s="11">
        <v>0.42561342592592594</v>
      </c>
      <c r="D1549" s="12">
        <v>0.42799768518518516</v>
      </c>
      <c r="E1549">
        <v>1</v>
      </c>
      <c r="G1549" s="18">
        <v>3590468</v>
      </c>
      <c r="H1549">
        <v>1</v>
      </c>
    </row>
    <row r="1550" spans="1:8" x14ac:dyDescent="0.35">
      <c r="A1550" s="5">
        <v>2135609</v>
      </c>
      <c r="B1550" s="6">
        <v>42940</v>
      </c>
      <c r="C1550" s="7">
        <v>0.42563657407407407</v>
      </c>
      <c r="D1550" s="8">
        <v>0.42670138888888887</v>
      </c>
      <c r="E1550">
        <v>1</v>
      </c>
      <c r="G1550" s="18">
        <v>4174785</v>
      </c>
      <c r="H1550">
        <v>1</v>
      </c>
    </row>
    <row r="1551" spans="1:8" x14ac:dyDescent="0.35">
      <c r="A1551" s="9">
        <v>2697566</v>
      </c>
      <c r="B1551" s="10">
        <v>42940</v>
      </c>
      <c r="C1551" s="11">
        <v>0.42951388888888886</v>
      </c>
      <c r="D1551" s="12">
        <v>0.44059027777777776</v>
      </c>
      <c r="E1551">
        <v>1</v>
      </c>
      <c r="G1551" s="18">
        <v>3596504</v>
      </c>
      <c r="H1551">
        <v>1</v>
      </c>
    </row>
    <row r="1552" spans="1:8" x14ac:dyDescent="0.35">
      <c r="A1552" s="5">
        <v>2569721</v>
      </c>
      <c r="B1552" s="6">
        <v>42940</v>
      </c>
      <c r="C1552" s="7">
        <v>0.43133101851851852</v>
      </c>
      <c r="D1552" s="8">
        <v>0.43762731481481482</v>
      </c>
      <c r="E1552">
        <v>1</v>
      </c>
      <c r="G1552" s="18">
        <v>4176999</v>
      </c>
      <c r="H1552">
        <v>1</v>
      </c>
    </row>
    <row r="1553" spans="1:8" x14ac:dyDescent="0.35">
      <c r="A1553" s="9">
        <v>96375379</v>
      </c>
      <c r="B1553" s="10">
        <v>42940</v>
      </c>
      <c r="C1553" s="11">
        <v>0.43637731481481479</v>
      </c>
      <c r="D1553" s="12">
        <v>0.44526620370370368</v>
      </c>
      <c r="E1553">
        <v>1</v>
      </c>
      <c r="G1553" s="18">
        <v>3599100</v>
      </c>
      <c r="H1553">
        <v>1</v>
      </c>
    </row>
    <row r="1554" spans="1:8" x14ac:dyDescent="0.35">
      <c r="A1554" s="5">
        <v>3968528766</v>
      </c>
      <c r="B1554" s="6">
        <v>42940</v>
      </c>
      <c r="C1554" s="7">
        <v>0.44081018518518517</v>
      </c>
      <c r="D1554" s="8">
        <v>0.44767361111111109</v>
      </c>
      <c r="E1554">
        <v>1</v>
      </c>
      <c r="G1554" s="18">
        <v>4191600</v>
      </c>
      <c r="H1554">
        <v>1</v>
      </c>
    </row>
    <row r="1555" spans="1:8" x14ac:dyDescent="0.35">
      <c r="A1555" s="9">
        <v>8133585</v>
      </c>
      <c r="B1555" s="10">
        <v>42940</v>
      </c>
      <c r="C1555" s="11">
        <v>0.44185185185185183</v>
      </c>
      <c r="D1555" s="12">
        <v>0.44634259259259257</v>
      </c>
      <c r="E1555">
        <v>1</v>
      </c>
      <c r="G1555" s="18">
        <v>3607585</v>
      </c>
      <c r="H1555">
        <v>1</v>
      </c>
    </row>
    <row r="1556" spans="1:8" x14ac:dyDescent="0.35">
      <c r="A1556" s="5">
        <v>45232967</v>
      </c>
      <c r="B1556" s="6">
        <v>42940</v>
      </c>
      <c r="C1556" s="7">
        <v>0.4462962962962963</v>
      </c>
      <c r="D1556" s="8">
        <v>0.44753472222222224</v>
      </c>
      <c r="E1556">
        <v>1</v>
      </c>
      <c r="G1556" s="18">
        <v>4203418</v>
      </c>
      <c r="H1556">
        <v>1</v>
      </c>
    </row>
    <row r="1557" spans="1:8" x14ac:dyDescent="0.35">
      <c r="A1557" s="9">
        <v>8900603</v>
      </c>
      <c r="B1557" s="10">
        <v>42940</v>
      </c>
      <c r="C1557" s="11">
        <v>0.44680555555555557</v>
      </c>
      <c r="D1557" s="12">
        <v>0.45518518518518519</v>
      </c>
      <c r="E1557">
        <v>1</v>
      </c>
      <c r="G1557" s="18">
        <v>3613950</v>
      </c>
      <c r="H1557">
        <v>1</v>
      </c>
    </row>
    <row r="1558" spans="1:8" x14ac:dyDescent="0.35">
      <c r="A1558" s="5">
        <v>9413315</v>
      </c>
      <c r="B1558" s="6">
        <v>42940</v>
      </c>
      <c r="C1558" s="7">
        <v>0.4490277777777778</v>
      </c>
      <c r="D1558" s="8">
        <v>0.45984953703703701</v>
      </c>
      <c r="E1558">
        <v>1</v>
      </c>
      <c r="G1558" s="18">
        <v>4221160</v>
      </c>
      <c r="H1558">
        <v>1</v>
      </c>
    </row>
    <row r="1559" spans="1:8" x14ac:dyDescent="0.35">
      <c r="A1559" s="9">
        <v>9781981</v>
      </c>
      <c r="B1559" s="10">
        <v>42940</v>
      </c>
      <c r="C1559" s="11">
        <v>0.45392361111111112</v>
      </c>
      <c r="D1559" s="12">
        <v>0.4582060185185185</v>
      </c>
      <c r="E1559">
        <v>1</v>
      </c>
      <c r="G1559" s="18">
        <v>3616291</v>
      </c>
      <c r="H1559">
        <v>1</v>
      </c>
    </row>
    <row r="1560" spans="1:8" x14ac:dyDescent="0.35">
      <c r="A1560" s="5">
        <v>9527543</v>
      </c>
      <c r="B1560" s="6">
        <v>42940</v>
      </c>
      <c r="C1560" s="7">
        <v>0.45481481481481484</v>
      </c>
      <c r="D1560" s="8">
        <v>0.45863425925925927</v>
      </c>
      <c r="E1560">
        <v>1</v>
      </c>
      <c r="G1560" s="18">
        <v>4230507</v>
      </c>
      <c r="H1560">
        <v>1</v>
      </c>
    </row>
    <row r="1561" spans="1:8" x14ac:dyDescent="0.35">
      <c r="A1561" s="9">
        <v>91626903</v>
      </c>
      <c r="B1561" s="10">
        <v>42940</v>
      </c>
      <c r="C1561" s="11">
        <v>0.45930555555555558</v>
      </c>
      <c r="D1561" s="12">
        <v>0.46885416666666668</v>
      </c>
      <c r="E1561">
        <v>1</v>
      </c>
      <c r="G1561" s="18">
        <v>2900584</v>
      </c>
      <c r="H1561">
        <v>1</v>
      </c>
    </row>
    <row r="1562" spans="1:8" x14ac:dyDescent="0.35">
      <c r="A1562" s="5">
        <v>1475008</v>
      </c>
      <c r="B1562" s="6">
        <v>42940</v>
      </c>
      <c r="C1562" s="7">
        <v>0.46489583333333334</v>
      </c>
      <c r="D1562" s="8">
        <v>0.47530092592592593</v>
      </c>
      <c r="E1562">
        <v>1</v>
      </c>
      <c r="G1562" s="18">
        <v>2989192</v>
      </c>
      <c r="H1562">
        <v>1</v>
      </c>
    </row>
    <row r="1563" spans="1:8" x14ac:dyDescent="0.35">
      <c r="A1563" s="9">
        <v>4767842</v>
      </c>
      <c r="B1563" s="10">
        <v>42940</v>
      </c>
      <c r="C1563" s="11">
        <v>0.46971064814814817</v>
      </c>
      <c r="D1563" s="12">
        <v>0.47116898148148151</v>
      </c>
      <c r="E1563">
        <v>1</v>
      </c>
      <c r="G1563" s="18">
        <v>4483996</v>
      </c>
      <c r="H1563">
        <v>1</v>
      </c>
    </row>
    <row r="1564" spans="1:8" x14ac:dyDescent="0.35">
      <c r="A1564" s="5">
        <v>64586869</v>
      </c>
      <c r="B1564" s="6">
        <v>42940</v>
      </c>
      <c r="C1564" s="7">
        <v>0.47188657407407408</v>
      </c>
      <c r="D1564" s="8">
        <v>0.47260416666666666</v>
      </c>
      <c r="E1564">
        <v>1</v>
      </c>
      <c r="G1564" s="18">
        <v>4272221</v>
      </c>
      <c r="H1564">
        <v>1</v>
      </c>
    </row>
    <row r="1565" spans="1:8" x14ac:dyDescent="0.35">
      <c r="A1565" s="9">
        <v>7066389</v>
      </c>
      <c r="B1565" s="10">
        <v>42940</v>
      </c>
      <c r="C1565" s="11">
        <v>0.47590277777777779</v>
      </c>
      <c r="D1565" s="12">
        <v>0.47621527777777778</v>
      </c>
      <c r="E1565">
        <v>1</v>
      </c>
      <c r="G1565" s="18">
        <v>3638658</v>
      </c>
      <c r="H1565">
        <v>1</v>
      </c>
    </row>
    <row r="1566" spans="1:8" x14ac:dyDescent="0.35">
      <c r="A1566" s="5">
        <v>28791070</v>
      </c>
      <c r="B1566" s="6">
        <v>42940</v>
      </c>
      <c r="C1566" s="7">
        <v>0.48082175925925924</v>
      </c>
      <c r="D1566" s="8">
        <v>0.49135416666666665</v>
      </c>
      <c r="E1566">
        <v>1</v>
      </c>
      <c r="G1566" s="18">
        <v>4274149</v>
      </c>
      <c r="H1566">
        <v>1</v>
      </c>
    </row>
    <row r="1567" spans="1:8" x14ac:dyDescent="0.35">
      <c r="A1567" s="9">
        <v>5094248</v>
      </c>
      <c r="B1567" s="10">
        <v>42940</v>
      </c>
      <c r="C1567" s="11">
        <v>0.48358796296296297</v>
      </c>
      <c r="D1567" s="12">
        <v>0.48965277777777777</v>
      </c>
      <c r="E1567">
        <v>1</v>
      </c>
      <c r="G1567" s="18">
        <v>3652646</v>
      </c>
      <c r="H1567">
        <v>1</v>
      </c>
    </row>
    <row r="1568" spans="1:8" x14ac:dyDescent="0.35">
      <c r="A1568" s="5">
        <v>44882393</v>
      </c>
      <c r="B1568" s="6">
        <v>42940</v>
      </c>
      <c r="C1568" s="7">
        <v>0.4866550925925926</v>
      </c>
      <c r="D1568" s="8">
        <v>0.49528935185185186</v>
      </c>
      <c r="E1568">
        <v>1</v>
      </c>
      <c r="G1568" s="18">
        <v>4283724</v>
      </c>
      <c r="H1568">
        <v>1</v>
      </c>
    </row>
    <row r="1569" spans="1:8" x14ac:dyDescent="0.35">
      <c r="A1569" s="9">
        <v>29391132</v>
      </c>
      <c r="B1569" s="10">
        <v>42940</v>
      </c>
      <c r="C1569" s="11">
        <v>0.48770833333333335</v>
      </c>
      <c r="D1569" s="12">
        <v>0.49613425925925925</v>
      </c>
      <c r="E1569">
        <v>1</v>
      </c>
      <c r="G1569" s="18">
        <v>3654212</v>
      </c>
      <c r="H1569">
        <v>1</v>
      </c>
    </row>
    <row r="1570" spans="1:8" x14ac:dyDescent="0.35">
      <c r="A1570" s="5">
        <v>9892639</v>
      </c>
      <c r="B1570" s="6">
        <v>42940</v>
      </c>
      <c r="C1570" s="7">
        <v>0.48836805555555557</v>
      </c>
      <c r="D1570" s="8">
        <v>0.48893518518518519</v>
      </c>
      <c r="E1570">
        <v>1</v>
      </c>
      <c r="G1570" s="18">
        <v>3004967</v>
      </c>
      <c r="H1570">
        <v>1</v>
      </c>
    </row>
    <row r="1571" spans="1:8" x14ac:dyDescent="0.35">
      <c r="A1571" s="9">
        <v>3979295</v>
      </c>
      <c r="B1571" s="10">
        <v>42940</v>
      </c>
      <c r="C1571" s="11">
        <v>0.49062499999999998</v>
      </c>
      <c r="D1571" s="12">
        <v>0.49767361111111114</v>
      </c>
      <c r="E1571">
        <v>1</v>
      </c>
      <c r="G1571" s="18">
        <v>2912297</v>
      </c>
      <c r="H1571">
        <v>1</v>
      </c>
    </row>
    <row r="1572" spans="1:8" x14ac:dyDescent="0.35">
      <c r="A1572" s="5">
        <v>8471219</v>
      </c>
      <c r="B1572" s="6">
        <v>42940</v>
      </c>
      <c r="C1572" s="7">
        <v>0.49229166666666668</v>
      </c>
      <c r="D1572" s="8">
        <v>0.49554398148148149</v>
      </c>
      <c r="E1572">
        <v>1</v>
      </c>
      <c r="G1572" s="18">
        <v>4305632</v>
      </c>
      <c r="H1572">
        <v>1</v>
      </c>
    </row>
    <row r="1573" spans="1:8" x14ac:dyDescent="0.35">
      <c r="A1573" s="9">
        <v>5631380</v>
      </c>
      <c r="B1573" s="10">
        <v>42940</v>
      </c>
      <c r="C1573" s="11">
        <v>0.49274305555555553</v>
      </c>
      <c r="D1573" s="12">
        <v>0.50315972222222227</v>
      </c>
      <c r="E1573">
        <v>1</v>
      </c>
      <c r="G1573" s="18">
        <v>3680072</v>
      </c>
      <c r="H1573">
        <v>1</v>
      </c>
    </row>
    <row r="1574" spans="1:8" x14ac:dyDescent="0.35">
      <c r="A1574" s="5">
        <v>6309138</v>
      </c>
      <c r="B1574" s="6">
        <v>42940</v>
      </c>
      <c r="C1574" s="7">
        <v>0.49416666666666664</v>
      </c>
      <c r="D1574" s="8">
        <v>0.49465277777777777</v>
      </c>
      <c r="E1574">
        <v>1</v>
      </c>
      <c r="G1574" s="18">
        <v>4326245</v>
      </c>
      <c r="H1574">
        <v>1</v>
      </c>
    </row>
    <row r="1575" spans="1:8" x14ac:dyDescent="0.35">
      <c r="A1575" s="9">
        <v>72287838</v>
      </c>
      <c r="B1575" s="10">
        <v>42940</v>
      </c>
      <c r="C1575" s="11">
        <v>0.49633101851851852</v>
      </c>
      <c r="D1575" s="12">
        <v>0.50209490740740736</v>
      </c>
      <c r="E1575">
        <v>1</v>
      </c>
      <c r="G1575" s="18">
        <v>3680149</v>
      </c>
      <c r="H1575">
        <v>1</v>
      </c>
    </row>
    <row r="1576" spans="1:8" x14ac:dyDescent="0.35">
      <c r="A1576" s="5">
        <v>2515441</v>
      </c>
      <c r="B1576" s="6">
        <v>42940</v>
      </c>
      <c r="C1576" s="7">
        <v>0.49857638888888889</v>
      </c>
      <c r="D1576" s="8">
        <v>0.50195601851851857</v>
      </c>
      <c r="E1576">
        <v>1</v>
      </c>
      <c r="G1576" s="18">
        <v>4334364</v>
      </c>
      <c r="H1576">
        <v>1</v>
      </c>
    </row>
    <row r="1577" spans="1:8" x14ac:dyDescent="0.35">
      <c r="A1577" s="9">
        <v>8056387</v>
      </c>
      <c r="B1577" s="10">
        <v>42940</v>
      </c>
      <c r="C1577" s="11">
        <v>0.50306712962962963</v>
      </c>
      <c r="D1577" s="12">
        <v>0.51333333333333331</v>
      </c>
      <c r="E1577">
        <v>1</v>
      </c>
      <c r="G1577" s="18">
        <v>3691176</v>
      </c>
      <c r="H1577">
        <v>1</v>
      </c>
    </row>
    <row r="1578" spans="1:8" x14ac:dyDescent="0.35">
      <c r="A1578" s="5">
        <v>5489867</v>
      </c>
      <c r="B1578" s="6">
        <v>42940</v>
      </c>
      <c r="C1578" s="7">
        <v>0.50583333333333336</v>
      </c>
      <c r="D1578" s="8">
        <v>0.51407407407407413</v>
      </c>
      <c r="E1578">
        <v>1</v>
      </c>
      <c r="G1578" s="18">
        <v>4370146</v>
      </c>
      <c r="H1578">
        <v>1</v>
      </c>
    </row>
    <row r="1579" spans="1:8" x14ac:dyDescent="0.35">
      <c r="A1579" s="9">
        <v>5528648</v>
      </c>
      <c r="B1579" s="10">
        <v>42940</v>
      </c>
      <c r="C1579" s="11">
        <v>0.50611111111111107</v>
      </c>
      <c r="D1579" s="12">
        <v>0.51354166666666667</v>
      </c>
      <c r="E1579">
        <v>1</v>
      </c>
      <c r="G1579" s="18">
        <v>2808052</v>
      </c>
      <c r="H1579">
        <v>1</v>
      </c>
    </row>
    <row r="1580" spans="1:8" x14ac:dyDescent="0.35">
      <c r="A1580" s="5">
        <v>4293872</v>
      </c>
      <c r="B1580" s="6">
        <v>42940</v>
      </c>
      <c r="C1580" s="7">
        <v>0.50714120370370375</v>
      </c>
      <c r="D1580" s="8">
        <v>0.51232638888888893</v>
      </c>
      <c r="E1580">
        <v>1</v>
      </c>
      <c r="G1580" s="18">
        <v>4376637</v>
      </c>
      <c r="H1580">
        <v>1</v>
      </c>
    </row>
    <row r="1581" spans="1:8" x14ac:dyDescent="0.35">
      <c r="A1581" s="9">
        <v>99625946</v>
      </c>
      <c r="B1581" s="10">
        <v>42940</v>
      </c>
      <c r="C1581" s="11">
        <v>0.51270833333333332</v>
      </c>
      <c r="D1581" s="12">
        <v>0.52407407407407403</v>
      </c>
      <c r="E1581">
        <v>1</v>
      </c>
      <c r="G1581" s="18">
        <v>3697935</v>
      </c>
      <c r="H1581">
        <v>1</v>
      </c>
    </row>
    <row r="1582" spans="1:8" x14ac:dyDescent="0.35">
      <c r="A1582" s="5">
        <v>9827875</v>
      </c>
      <c r="B1582" s="6">
        <v>42940</v>
      </c>
      <c r="C1582" s="7">
        <v>0.51512731481481477</v>
      </c>
      <c r="D1582" s="8">
        <v>0.51954861111111106</v>
      </c>
      <c r="E1582">
        <v>1</v>
      </c>
      <c r="G1582" s="18">
        <v>4379524</v>
      </c>
      <c r="H1582">
        <v>1</v>
      </c>
    </row>
    <row r="1583" spans="1:8" x14ac:dyDescent="0.35">
      <c r="A1583" s="9">
        <v>40120881</v>
      </c>
      <c r="B1583" s="10">
        <v>42940</v>
      </c>
      <c r="C1583" s="11">
        <v>0.51746527777777773</v>
      </c>
      <c r="D1583" s="12">
        <v>0.52686342592592594</v>
      </c>
      <c r="E1583">
        <v>1</v>
      </c>
      <c r="G1583" s="18">
        <v>3704193</v>
      </c>
      <c r="H1583">
        <v>1</v>
      </c>
    </row>
    <row r="1584" spans="1:8" x14ac:dyDescent="0.35">
      <c r="A1584" s="5">
        <v>42373338</v>
      </c>
      <c r="B1584" s="6">
        <v>42940</v>
      </c>
      <c r="C1584" s="7">
        <v>0.51962962962962966</v>
      </c>
      <c r="D1584" s="8">
        <v>0.53030092592592593</v>
      </c>
      <c r="E1584">
        <v>1</v>
      </c>
      <c r="G1584" s="18">
        <v>4404713</v>
      </c>
      <c r="H1584">
        <v>1</v>
      </c>
    </row>
    <row r="1585" spans="1:8" x14ac:dyDescent="0.35">
      <c r="A1585" s="9">
        <v>39697250</v>
      </c>
      <c r="B1585" s="10">
        <v>42940</v>
      </c>
      <c r="C1585" s="11">
        <v>0.52520833333333339</v>
      </c>
      <c r="D1585" s="12">
        <v>0.52866898148148145</v>
      </c>
      <c r="E1585">
        <v>1</v>
      </c>
      <c r="G1585" s="18">
        <v>3707498</v>
      </c>
      <c r="H1585">
        <v>1</v>
      </c>
    </row>
    <row r="1586" spans="1:8" x14ac:dyDescent="0.35">
      <c r="A1586" s="5">
        <v>55464931</v>
      </c>
      <c r="B1586" s="6">
        <v>42940</v>
      </c>
      <c r="C1586" s="7">
        <v>0.5285185185185185</v>
      </c>
      <c r="D1586" s="8">
        <v>0.53349537037037043</v>
      </c>
      <c r="E1586">
        <v>1</v>
      </c>
      <c r="G1586" s="18">
        <v>4412771</v>
      </c>
      <c r="H1586">
        <v>1</v>
      </c>
    </row>
    <row r="1587" spans="1:8" x14ac:dyDescent="0.35">
      <c r="A1587" s="9">
        <v>3616291</v>
      </c>
      <c r="B1587" s="10">
        <v>42940</v>
      </c>
      <c r="C1587" s="11">
        <v>0.53403935185185181</v>
      </c>
      <c r="D1587" s="12">
        <v>0.54538194444444443</v>
      </c>
      <c r="E1587">
        <v>1</v>
      </c>
      <c r="G1587" s="18">
        <v>3720500</v>
      </c>
      <c r="H1587">
        <v>1</v>
      </c>
    </row>
    <row r="1588" spans="1:8" x14ac:dyDescent="0.35">
      <c r="A1588" s="5">
        <v>3473734</v>
      </c>
      <c r="B1588" s="6">
        <v>42940</v>
      </c>
      <c r="C1588" s="7">
        <v>0.53949074074074077</v>
      </c>
      <c r="D1588" s="8">
        <v>0.54844907407407406</v>
      </c>
      <c r="E1588">
        <v>1</v>
      </c>
      <c r="G1588" s="18">
        <v>4424322</v>
      </c>
      <c r="H1588">
        <v>1</v>
      </c>
    </row>
    <row r="1589" spans="1:8" x14ac:dyDescent="0.35">
      <c r="A1589" s="9">
        <v>63492662</v>
      </c>
      <c r="B1589" s="10">
        <v>42940</v>
      </c>
      <c r="C1589" s="11">
        <v>0.54060185185185183</v>
      </c>
      <c r="D1589" s="12">
        <v>0.54240740740740745</v>
      </c>
      <c r="E1589">
        <v>1</v>
      </c>
      <c r="G1589" s="18">
        <v>3733011</v>
      </c>
      <c r="H1589">
        <v>1</v>
      </c>
    </row>
    <row r="1590" spans="1:8" x14ac:dyDescent="0.35">
      <c r="A1590" s="5">
        <v>2104331</v>
      </c>
      <c r="B1590" s="6">
        <v>42940</v>
      </c>
      <c r="C1590" s="7">
        <v>0.54410879629629627</v>
      </c>
      <c r="D1590" s="8">
        <v>0.55207175925925922</v>
      </c>
      <c r="E1590">
        <v>1</v>
      </c>
      <c r="G1590" s="18">
        <v>4445684</v>
      </c>
      <c r="H1590">
        <v>1</v>
      </c>
    </row>
    <row r="1591" spans="1:8" x14ac:dyDescent="0.35">
      <c r="A1591" s="9">
        <v>9555643</v>
      </c>
      <c r="B1591" s="10">
        <v>42940</v>
      </c>
      <c r="C1591" s="11">
        <v>0.54478009259259264</v>
      </c>
      <c r="D1591" s="12">
        <v>0.55106481481481484</v>
      </c>
      <c r="E1591">
        <v>1</v>
      </c>
      <c r="G1591" s="18">
        <v>3757504</v>
      </c>
      <c r="H1591">
        <v>1</v>
      </c>
    </row>
    <row r="1592" spans="1:8" x14ac:dyDescent="0.35">
      <c r="A1592" s="5">
        <v>5220235</v>
      </c>
      <c r="B1592" s="6">
        <v>42940</v>
      </c>
      <c r="C1592" s="7">
        <v>0.54741898148148149</v>
      </c>
      <c r="D1592" s="8">
        <v>0.54915509259259254</v>
      </c>
      <c r="E1592">
        <v>1</v>
      </c>
      <c r="G1592" s="18">
        <v>4454837</v>
      </c>
      <c r="H1592">
        <v>1</v>
      </c>
    </row>
    <row r="1593" spans="1:8" x14ac:dyDescent="0.35">
      <c r="A1593" s="9">
        <v>26254490</v>
      </c>
      <c r="B1593" s="10">
        <v>42940</v>
      </c>
      <c r="C1593" s="11">
        <v>0.54773148148148143</v>
      </c>
      <c r="D1593" s="12">
        <v>0.55074074074074075</v>
      </c>
      <c r="E1593">
        <v>1</v>
      </c>
      <c r="G1593" s="18">
        <v>3759991</v>
      </c>
      <c r="H1593">
        <v>1</v>
      </c>
    </row>
    <row r="1594" spans="1:8" x14ac:dyDescent="0.35">
      <c r="A1594" s="5">
        <v>26463662</v>
      </c>
      <c r="B1594" s="6">
        <v>42940</v>
      </c>
      <c r="C1594" s="7">
        <v>0.55153935185185188</v>
      </c>
      <c r="D1594" s="8">
        <v>0.56090277777777775</v>
      </c>
      <c r="E1594">
        <v>1</v>
      </c>
      <c r="G1594" s="18">
        <v>2825289</v>
      </c>
      <c r="H1594">
        <v>1</v>
      </c>
    </row>
    <row r="1595" spans="1:8" x14ac:dyDescent="0.35">
      <c r="A1595" s="9">
        <v>2853860</v>
      </c>
      <c r="B1595" s="10">
        <v>42940</v>
      </c>
      <c r="C1595" s="11">
        <v>0.55491898148148144</v>
      </c>
      <c r="D1595" s="12">
        <v>0.55787037037037035</v>
      </c>
      <c r="E1595">
        <v>1</v>
      </c>
      <c r="G1595" s="18">
        <v>3765001</v>
      </c>
      <c r="H1595">
        <v>1</v>
      </c>
    </row>
    <row r="1596" spans="1:8" x14ac:dyDescent="0.35">
      <c r="A1596" s="5">
        <v>1829028</v>
      </c>
      <c r="B1596" s="6">
        <v>42940</v>
      </c>
      <c r="C1596" s="7">
        <v>0.5602893518518518</v>
      </c>
      <c r="D1596" s="8">
        <v>0.57128472222222226</v>
      </c>
      <c r="E1596">
        <v>1</v>
      </c>
      <c r="G1596" s="18">
        <v>4471828</v>
      </c>
      <c r="H1596">
        <v>1</v>
      </c>
    </row>
    <row r="1597" spans="1:8" x14ac:dyDescent="0.35">
      <c r="A1597" s="9">
        <v>1365581</v>
      </c>
      <c r="B1597" s="10">
        <v>42940</v>
      </c>
      <c r="C1597" s="11">
        <v>0.56196759259259255</v>
      </c>
      <c r="D1597" s="12">
        <v>0.57019675925925928</v>
      </c>
      <c r="E1597">
        <v>1</v>
      </c>
      <c r="G1597" s="18">
        <v>3765658</v>
      </c>
      <c r="H1597">
        <v>1</v>
      </c>
    </row>
    <row r="1598" spans="1:8" x14ac:dyDescent="0.35">
      <c r="A1598" s="5">
        <v>66800387</v>
      </c>
      <c r="B1598" s="6">
        <v>42940</v>
      </c>
      <c r="C1598" s="7">
        <v>0.5634837962962963</v>
      </c>
      <c r="D1598" s="8">
        <v>0.56763888888888892</v>
      </c>
      <c r="E1598">
        <v>1</v>
      </c>
      <c r="G1598" s="18">
        <v>3767866</v>
      </c>
      <c r="H1598">
        <v>1</v>
      </c>
    </row>
    <row r="1599" spans="1:8" x14ac:dyDescent="0.35">
      <c r="A1599" s="9">
        <v>9282666</v>
      </c>
      <c r="B1599" s="10">
        <v>42940</v>
      </c>
      <c r="C1599" s="11">
        <v>0.56879629629629624</v>
      </c>
      <c r="D1599" s="12">
        <v>0.56934027777777774</v>
      </c>
      <c r="E1599">
        <v>1</v>
      </c>
      <c r="G1599" s="18">
        <v>2753778</v>
      </c>
      <c r="H1599">
        <v>1</v>
      </c>
    </row>
    <row r="1600" spans="1:8" x14ac:dyDescent="0.35">
      <c r="A1600" s="5">
        <v>7994769</v>
      </c>
      <c r="B1600" s="6">
        <v>42940</v>
      </c>
      <c r="C1600" s="7">
        <v>0.56980324074074074</v>
      </c>
      <c r="D1600" s="8">
        <v>0.57826388888888891</v>
      </c>
      <c r="E1600">
        <v>1</v>
      </c>
      <c r="G1600" s="18">
        <v>3638038</v>
      </c>
      <c r="H1600">
        <v>1</v>
      </c>
    </row>
    <row r="1601" spans="1:8" x14ac:dyDescent="0.35">
      <c r="A1601" s="9">
        <v>3638038</v>
      </c>
      <c r="B1601" s="10">
        <v>42940</v>
      </c>
      <c r="C1601" s="11">
        <v>0.57262731481481477</v>
      </c>
      <c r="D1601" s="12">
        <v>0.57846064814814813</v>
      </c>
      <c r="E1601">
        <v>1</v>
      </c>
      <c r="G1601" s="18">
        <v>1959826</v>
      </c>
      <c r="H1601">
        <v>1</v>
      </c>
    </row>
    <row r="1602" spans="1:8" x14ac:dyDescent="0.35">
      <c r="A1602" s="5">
        <v>5221005</v>
      </c>
      <c r="B1602" s="6">
        <v>42940</v>
      </c>
      <c r="C1602" s="7">
        <v>0.57321759259259264</v>
      </c>
      <c r="D1602" s="8">
        <v>0.57461805555555556</v>
      </c>
      <c r="E1602">
        <v>1</v>
      </c>
      <c r="G1602" s="18">
        <v>2434652</v>
      </c>
      <c r="H1602">
        <v>1</v>
      </c>
    </row>
    <row r="1603" spans="1:8" x14ac:dyDescent="0.35">
      <c r="A1603" s="9">
        <v>3150344</v>
      </c>
      <c r="B1603" s="10">
        <v>42940</v>
      </c>
      <c r="C1603" s="11">
        <v>0.57322916666666668</v>
      </c>
      <c r="D1603" s="12">
        <v>0.58089120370370373</v>
      </c>
      <c r="E1603">
        <v>1</v>
      </c>
      <c r="G1603" s="18">
        <v>2188847</v>
      </c>
      <c r="H1603">
        <v>1</v>
      </c>
    </row>
    <row r="1604" spans="1:8" x14ac:dyDescent="0.35">
      <c r="A1604" s="5">
        <v>2780765</v>
      </c>
      <c r="B1604" s="6">
        <v>42940</v>
      </c>
      <c r="C1604" s="7">
        <v>0.57582175925925927</v>
      </c>
      <c r="D1604" s="8">
        <v>0.57693287037037033</v>
      </c>
      <c r="E1604">
        <v>1</v>
      </c>
      <c r="G1604" s="18">
        <v>1177203</v>
      </c>
      <c r="H1604">
        <v>1</v>
      </c>
    </row>
    <row r="1605" spans="1:8" x14ac:dyDescent="0.35">
      <c r="A1605" s="9">
        <v>3720500</v>
      </c>
      <c r="B1605" s="10">
        <v>42940</v>
      </c>
      <c r="C1605" s="11">
        <v>0.57660879629629624</v>
      </c>
      <c r="D1605" s="12">
        <v>0.58250000000000002</v>
      </c>
      <c r="E1605">
        <v>1</v>
      </c>
      <c r="G1605" s="18">
        <v>2644526</v>
      </c>
      <c r="H1605">
        <v>1</v>
      </c>
    </row>
    <row r="1606" spans="1:8" x14ac:dyDescent="0.35">
      <c r="A1606" s="5">
        <v>89419064</v>
      </c>
      <c r="B1606" s="6">
        <v>42940</v>
      </c>
      <c r="C1606" s="7">
        <v>0.57850694444444439</v>
      </c>
      <c r="D1606" s="8">
        <v>0.58456018518518515</v>
      </c>
      <c r="E1606">
        <v>1</v>
      </c>
      <c r="G1606" s="18">
        <v>1183006</v>
      </c>
      <c r="H1606">
        <v>1</v>
      </c>
    </row>
    <row r="1607" spans="1:8" x14ac:dyDescent="0.35">
      <c r="A1607" s="9">
        <v>9961121</v>
      </c>
      <c r="B1607" s="10">
        <v>42940</v>
      </c>
      <c r="C1607" s="11">
        <v>0.58304398148148151</v>
      </c>
      <c r="D1607" s="12">
        <v>0.58518518518518514</v>
      </c>
      <c r="E1607">
        <v>1</v>
      </c>
      <c r="G1607" s="18">
        <v>2107985</v>
      </c>
      <c r="H1607">
        <v>1</v>
      </c>
    </row>
    <row r="1608" spans="1:8" x14ac:dyDescent="0.35">
      <c r="A1608" s="5">
        <v>5303411</v>
      </c>
      <c r="B1608" s="6">
        <v>42940</v>
      </c>
      <c r="C1608" s="7">
        <v>0.58652777777777776</v>
      </c>
      <c r="D1608" s="8">
        <v>0.5917824074074074</v>
      </c>
      <c r="E1608">
        <v>1</v>
      </c>
      <c r="G1608" s="18">
        <v>1192412</v>
      </c>
      <c r="H1608">
        <v>1</v>
      </c>
    </row>
    <row r="1609" spans="1:8" x14ac:dyDescent="0.35">
      <c r="A1609" s="9">
        <v>4657345</v>
      </c>
      <c r="B1609" s="10">
        <v>42940</v>
      </c>
      <c r="C1609" s="11">
        <v>0.58981481481481479</v>
      </c>
      <c r="D1609" s="12">
        <v>0.59037037037037032</v>
      </c>
      <c r="E1609">
        <v>1</v>
      </c>
      <c r="G1609" s="18">
        <v>2325155</v>
      </c>
      <c r="H1609">
        <v>1</v>
      </c>
    </row>
    <row r="1610" spans="1:8" x14ac:dyDescent="0.35">
      <c r="A1610" s="5">
        <v>5850216</v>
      </c>
      <c r="B1610" s="6">
        <v>42940</v>
      </c>
      <c r="C1610" s="7">
        <v>0.59325231481481477</v>
      </c>
      <c r="D1610" s="8">
        <v>0.59866898148148151</v>
      </c>
      <c r="E1610">
        <v>1</v>
      </c>
      <c r="G1610" s="18">
        <v>1197931</v>
      </c>
      <c r="H1610">
        <v>1</v>
      </c>
    </row>
    <row r="1611" spans="1:8" x14ac:dyDescent="0.35">
      <c r="A1611" s="9">
        <v>4927402</v>
      </c>
      <c r="B1611" s="10">
        <v>42940</v>
      </c>
      <c r="C1611" s="11">
        <v>0.59351851851851856</v>
      </c>
      <c r="D1611" s="12">
        <v>0.60163194444444446</v>
      </c>
      <c r="E1611">
        <v>1</v>
      </c>
      <c r="G1611" s="18">
        <v>2557643</v>
      </c>
      <c r="H1611">
        <v>1</v>
      </c>
    </row>
    <row r="1612" spans="1:8" x14ac:dyDescent="0.35">
      <c r="A1612" s="5">
        <v>60113139</v>
      </c>
      <c r="B1612" s="6">
        <v>42940</v>
      </c>
      <c r="C1612" s="7">
        <v>0.59663194444444445</v>
      </c>
      <c r="D1612" s="8">
        <v>0.60359953703703706</v>
      </c>
      <c r="E1612">
        <v>1</v>
      </c>
      <c r="G1612" s="18">
        <v>1198407</v>
      </c>
      <c r="H1612">
        <v>1</v>
      </c>
    </row>
    <row r="1613" spans="1:8" x14ac:dyDescent="0.35">
      <c r="A1613" s="9">
        <v>2644526</v>
      </c>
      <c r="B1613" s="10">
        <v>42940</v>
      </c>
      <c r="C1613" s="11">
        <v>0.59864583333333332</v>
      </c>
      <c r="D1613" s="12">
        <v>0.6056597222222222</v>
      </c>
      <c r="E1613">
        <v>1</v>
      </c>
      <c r="G1613" s="18">
        <v>1898174</v>
      </c>
      <c r="H1613">
        <v>1</v>
      </c>
    </row>
    <row r="1614" spans="1:8" x14ac:dyDescent="0.35">
      <c r="A1614" s="5">
        <v>7226610</v>
      </c>
      <c r="B1614" s="6">
        <v>42940</v>
      </c>
      <c r="C1614" s="7">
        <v>0.6005787037037037</v>
      </c>
      <c r="D1614" s="8">
        <v>0.6107407407407407</v>
      </c>
      <c r="E1614">
        <v>1</v>
      </c>
      <c r="G1614" s="18">
        <v>1035023</v>
      </c>
      <c r="H1614">
        <v>1</v>
      </c>
    </row>
    <row r="1615" spans="1:8" x14ac:dyDescent="0.35">
      <c r="A1615" s="9">
        <v>9328179</v>
      </c>
      <c r="B1615" s="10">
        <v>42940</v>
      </c>
      <c r="C1615" s="11">
        <v>0.60211805555555553</v>
      </c>
      <c r="D1615" s="12">
        <v>0.60282407407407412</v>
      </c>
      <c r="E1615">
        <v>1</v>
      </c>
      <c r="G1615" s="18">
        <v>2071691</v>
      </c>
      <c r="H1615">
        <v>1</v>
      </c>
    </row>
    <row r="1616" spans="1:8" x14ac:dyDescent="0.35">
      <c r="A1616" s="5">
        <v>7457716</v>
      </c>
      <c r="B1616" s="6">
        <v>42940</v>
      </c>
      <c r="C1616" s="7">
        <v>0.6068634259259259</v>
      </c>
      <c r="D1616" s="8">
        <v>0.61152777777777778</v>
      </c>
      <c r="E1616">
        <v>1</v>
      </c>
      <c r="G1616" s="18">
        <v>1211446</v>
      </c>
      <c r="H1616">
        <v>1</v>
      </c>
    </row>
    <row r="1617" spans="1:8" x14ac:dyDescent="0.35">
      <c r="A1617" s="9">
        <v>1739364</v>
      </c>
      <c r="B1617" s="10">
        <v>42940</v>
      </c>
      <c r="C1617" s="11">
        <v>0.61100694444444448</v>
      </c>
      <c r="D1617" s="12">
        <v>0.62071759259259263</v>
      </c>
      <c r="E1617">
        <v>1</v>
      </c>
      <c r="G1617" s="18">
        <v>2145244</v>
      </c>
      <c r="H1617">
        <v>1</v>
      </c>
    </row>
    <row r="1618" spans="1:8" x14ac:dyDescent="0.35">
      <c r="A1618" s="5">
        <v>1677537</v>
      </c>
      <c r="B1618" s="6">
        <v>42940</v>
      </c>
      <c r="C1618" s="7">
        <v>0.61471064814814813</v>
      </c>
      <c r="D1618" s="8">
        <v>0.62232638888888892</v>
      </c>
      <c r="E1618">
        <v>1</v>
      </c>
      <c r="G1618" s="18">
        <v>1219073</v>
      </c>
      <c r="H1618">
        <v>1</v>
      </c>
    </row>
    <row r="1619" spans="1:8" x14ac:dyDescent="0.35">
      <c r="A1619" s="9">
        <v>55614678</v>
      </c>
      <c r="B1619" s="10">
        <v>42940</v>
      </c>
      <c r="C1619" s="11">
        <v>0.61826388888888884</v>
      </c>
      <c r="D1619" s="12">
        <v>0.62091435185185184</v>
      </c>
      <c r="E1619">
        <v>1</v>
      </c>
      <c r="G1619" s="18">
        <v>2252239</v>
      </c>
      <c r="H1619">
        <v>1</v>
      </c>
    </row>
    <row r="1620" spans="1:8" x14ac:dyDescent="0.35">
      <c r="A1620" s="5">
        <v>4272221</v>
      </c>
      <c r="B1620" s="6">
        <v>42940</v>
      </c>
      <c r="C1620" s="7">
        <v>0.62152777777777779</v>
      </c>
      <c r="D1620" s="8">
        <v>0.62572916666666667</v>
      </c>
      <c r="E1620">
        <v>1</v>
      </c>
      <c r="G1620" s="18">
        <v>1223816</v>
      </c>
      <c r="H1620">
        <v>1</v>
      </c>
    </row>
    <row r="1621" spans="1:8" x14ac:dyDescent="0.35">
      <c r="A1621" s="9">
        <v>1740380</v>
      </c>
      <c r="B1621" s="10">
        <v>42940</v>
      </c>
      <c r="C1621" s="11">
        <v>0.62605324074074076</v>
      </c>
      <c r="D1621" s="12">
        <v>0.63655092592592588</v>
      </c>
      <c r="E1621">
        <v>1</v>
      </c>
      <c r="G1621" s="18">
        <v>2394144</v>
      </c>
      <c r="H1621">
        <v>1</v>
      </c>
    </row>
    <row r="1622" spans="1:8" x14ac:dyDescent="0.35">
      <c r="A1622" s="5">
        <v>6005355</v>
      </c>
      <c r="B1622" s="6">
        <v>42941</v>
      </c>
      <c r="C1622" s="7">
        <v>0.33688657407407407</v>
      </c>
      <c r="D1622" s="8">
        <v>0.34452546296296294</v>
      </c>
      <c r="E1622">
        <v>1</v>
      </c>
      <c r="G1622" s="18">
        <v>1043289</v>
      </c>
      <c r="H1622">
        <v>1</v>
      </c>
    </row>
    <row r="1623" spans="1:8" x14ac:dyDescent="0.35">
      <c r="A1623" s="9">
        <v>2400590</v>
      </c>
      <c r="B1623" s="10">
        <v>42941</v>
      </c>
      <c r="C1623" s="11">
        <v>0.34145833333333331</v>
      </c>
      <c r="D1623" s="12">
        <v>0.34645833333333331</v>
      </c>
      <c r="E1623">
        <v>1</v>
      </c>
      <c r="G1623" s="18">
        <v>2475157</v>
      </c>
      <c r="H1623">
        <v>1</v>
      </c>
    </row>
    <row r="1624" spans="1:8" x14ac:dyDescent="0.35">
      <c r="A1624" s="5">
        <v>7918038</v>
      </c>
      <c r="B1624" s="6">
        <v>42941</v>
      </c>
      <c r="C1624" s="7">
        <v>0.34278935185185183</v>
      </c>
      <c r="D1624" s="8">
        <v>0.34370370370370368</v>
      </c>
      <c r="E1624">
        <v>1</v>
      </c>
      <c r="G1624" s="18">
        <v>1225082</v>
      </c>
      <c r="H1624">
        <v>1</v>
      </c>
    </row>
    <row r="1625" spans="1:8" x14ac:dyDescent="0.35">
      <c r="A1625" s="9">
        <v>7969038</v>
      </c>
      <c r="B1625" s="10">
        <v>42941</v>
      </c>
      <c r="C1625" s="11">
        <v>0.34605324074074073</v>
      </c>
      <c r="D1625" s="12">
        <v>0.35744212962962962</v>
      </c>
      <c r="E1625">
        <v>1</v>
      </c>
      <c r="G1625" s="18">
        <v>2590674</v>
      </c>
      <c r="H1625">
        <v>1</v>
      </c>
    </row>
    <row r="1626" spans="1:8" x14ac:dyDescent="0.35">
      <c r="A1626" s="5">
        <v>5833452</v>
      </c>
      <c r="B1626" s="6">
        <v>42941</v>
      </c>
      <c r="C1626" s="7">
        <v>0.34989583333333335</v>
      </c>
      <c r="D1626" s="8">
        <v>0.35214120370370372</v>
      </c>
      <c r="E1626">
        <v>1</v>
      </c>
      <c r="G1626" s="18">
        <v>1233459</v>
      </c>
      <c r="H1626">
        <v>1</v>
      </c>
    </row>
    <row r="1627" spans="1:8" x14ac:dyDescent="0.35">
      <c r="A1627" s="9">
        <v>11425383</v>
      </c>
      <c r="B1627" s="10">
        <v>42941</v>
      </c>
      <c r="C1627" s="11">
        <v>0.35267361111111112</v>
      </c>
      <c r="D1627" s="12">
        <v>0.36171296296296296</v>
      </c>
      <c r="E1627">
        <v>1</v>
      </c>
      <c r="G1627" s="18">
        <v>2697566</v>
      </c>
      <c r="H1627">
        <v>1</v>
      </c>
    </row>
    <row r="1628" spans="1:8" x14ac:dyDescent="0.35">
      <c r="A1628" s="5">
        <v>2900584</v>
      </c>
      <c r="B1628" s="6">
        <v>42941</v>
      </c>
      <c r="C1628" s="7">
        <v>0.35335648148148147</v>
      </c>
      <c r="D1628" s="8">
        <v>0.36329861111111111</v>
      </c>
      <c r="E1628">
        <v>1</v>
      </c>
      <c r="G1628" s="18">
        <v>1235622</v>
      </c>
      <c r="H1628">
        <v>1</v>
      </c>
    </row>
    <row r="1629" spans="1:8" x14ac:dyDescent="0.35">
      <c r="A1629" s="9">
        <v>77705897</v>
      </c>
      <c r="B1629" s="10">
        <v>42941</v>
      </c>
      <c r="C1629" s="11">
        <v>0.35603009259259261</v>
      </c>
      <c r="D1629" s="12">
        <v>0.35928240740740741</v>
      </c>
      <c r="E1629">
        <v>1</v>
      </c>
      <c r="G1629" s="18">
        <v>1922212</v>
      </c>
      <c r="H1629">
        <v>1</v>
      </c>
    </row>
    <row r="1630" spans="1:8" x14ac:dyDescent="0.35">
      <c r="A1630" s="5">
        <v>48497496</v>
      </c>
      <c r="B1630" s="6">
        <v>42941</v>
      </c>
      <c r="C1630" s="7">
        <v>0.35881944444444447</v>
      </c>
      <c r="D1630" s="8">
        <v>0.36379629629629628</v>
      </c>
      <c r="E1630">
        <v>1</v>
      </c>
      <c r="G1630" s="18">
        <v>1240369</v>
      </c>
      <c r="H1630">
        <v>1</v>
      </c>
    </row>
    <row r="1631" spans="1:8" x14ac:dyDescent="0.35">
      <c r="A1631" s="9">
        <v>98695684</v>
      </c>
      <c r="B1631" s="10">
        <v>42941</v>
      </c>
      <c r="C1631" s="11">
        <v>0.3634722222222222</v>
      </c>
      <c r="D1631" s="12">
        <v>0.37498842592592591</v>
      </c>
      <c r="E1631">
        <v>1</v>
      </c>
      <c r="G1631" s="18">
        <v>2025194</v>
      </c>
      <c r="H1631">
        <v>1</v>
      </c>
    </row>
    <row r="1632" spans="1:8" x14ac:dyDescent="0.35">
      <c r="A1632" s="5">
        <v>7712618</v>
      </c>
      <c r="B1632" s="6">
        <v>42941</v>
      </c>
      <c r="C1632" s="7">
        <v>0.36773148148148149</v>
      </c>
      <c r="D1632" s="8">
        <v>0.37118055555555557</v>
      </c>
      <c r="E1632">
        <v>1</v>
      </c>
      <c r="G1632" s="18">
        <v>1047809</v>
      </c>
      <c r="H1632">
        <v>1</v>
      </c>
    </row>
    <row r="1633" spans="1:8" x14ac:dyDescent="0.35">
      <c r="A1633" s="9">
        <v>8872311</v>
      </c>
      <c r="B1633" s="10">
        <v>42941</v>
      </c>
      <c r="C1633" s="11">
        <v>0.36854166666666666</v>
      </c>
      <c r="D1633" s="12">
        <v>0.37072916666666667</v>
      </c>
      <c r="E1633">
        <v>1</v>
      </c>
      <c r="G1633" s="18">
        <v>2092198</v>
      </c>
      <c r="H1633">
        <v>1</v>
      </c>
    </row>
    <row r="1634" spans="1:8" x14ac:dyDescent="0.35">
      <c r="A1634" s="5">
        <v>6056372</v>
      </c>
      <c r="B1634" s="6">
        <v>42941</v>
      </c>
      <c r="C1634" s="7">
        <v>0.36930555555555555</v>
      </c>
      <c r="D1634" s="8">
        <v>0.37615740740740738</v>
      </c>
      <c r="E1634">
        <v>1</v>
      </c>
      <c r="G1634" s="18">
        <v>1263080</v>
      </c>
      <c r="H1634">
        <v>1</v>
      </c>
    </row>
    <row r="1635" spans="1:8" x14ac:dyDescent="0.35">
      <c r="A1635" s="9">
        <v>8936656</v>
      </c>
      <c r="B1635" s="10">
        <v>42941</v>
      </c>
      <c r="C1635" s="11">
        <v>0.37222222222222223</v>
      </c>
      <c r="D1635" s="12">
        <v>0.37883101851851853</v>
      </c>
      <c r="E1635">
        <v>1</v>
      </c>
      <c r="G1635" s="18">
        <v>2128068</v>
      </c>
      <c r="H1635">
        <v>1</v>
      </c>
    </row>
    <row r="1636" spans="1:8" x14ac:dyDescent="0.35">
      <c r="A1636" s="5">
        <v>22966872</v>
      </c>
      <c r="B1636" s="6">
        <v>42941</v>
      </c>
      <c r="C1636" s="7">
        <v>0.37277777777777776</v>
      </c>
      <c r="D1636" s="8">
        <v>0.37791666666666668</v>
      </c>
      <c r="E1636">
        <v>1</v>
      </c>
      <c r="G1636" s="18">
        <v>1268336</v>
      </c>
      <c r="H1636">
        <v>1</v>
      </c>
    </row>
    <row r="1637" spans="1:8" x14ac:dyDescent="0.35">
      <c r="A1637" s="9">
        <v>3908162</v>
      </c>
      <c r="B1637" s="10">
        <v>42941</v>
      </c>
      <c r="C1637" s="11">
        <v>0.37805555555555553</v>
      </c>
      <c r="D1637" s="12">
        <v>0.38770833333333332</v>
      </c>
      <c r="E1637">
        <v>1</v>
      </c>
      <c r="G1637" s="18">
        <v>2163209</v>
      </c>
      <c r="H1637">
        <v>1</v>
      </c>
    </row>
    <row r="1638" spans="1:8" x14ac:dyDescent="0.35">
      <c r="A1638" s="5">
        <v>20485333</v>
      </c>
      <c r="B1638" s="6">
        <v>42941</v>
      </c>
      <c r="C1638" s="7">
        <v>0.38230324074074074</v>
      </c>
      <c r="D1638" s="8">
        <v>0.39293981481481483</v>
      </c>
      <c r="E1638">
        <v>1</v>
      </c>
      <c r="G1638" s="18">
        <v>1269611</v>
      </c>
      <c r="H1638">
        <v>1</v>
      </c>
    </row>
    <row r="1639" spans="1:8" x14ac:dyDescent="0.35">
      <c r="A1639" s="9">
        <v>78709747</v>
      </c>
      <c r="B1639" s="10">
        <v>42941</v>
      </c>
      <c r="C1639" s="11">
        <v>0.38638888888888889</v>
      </c>
      <c r="D1639" s="12">
        <v>0.38983796296296297</v>
      </c>
      <c r="E1639">
        <v>1</v>
      </c>
      <c r="G1639" s="18">
        <v>2227803</v>
      </c>
      <c r="H1639">
        <v>1</v>
      </c>
    </row>
    <row r="1640" spans="1:8" x14ac:dyDescent="0.35">
      <c r="A1640" s="5">
        <v>1859884</v>
      </c>
      <c r="B1640" s="6">
        <v>42941</v>
      </c>
      <c r="C1640" s="7">
        <v>0.38668981481481479</v>
      </c>
      <c r="D1640" s="8">
        <v>0.3913773148148148</v>
      </c>
      <c r="E1640">
        <v>1</v>
      </c>
      <c r="G1640" s="18">
        <v>1279245</v>
      </c>
      <c r="H1640">
        <v>1</v>
      </c>
    </row>
    <row r="1641" spans="1:8" x14ac:dyDescent="0.35">
      <c r="A1641" s="9">
        <v>2866546</v>
      </c>
      <c r="B1641" s="10">
        <v>42941</v>
      </c>
      <c r="C1641" s="11">
        <v>0.39038194444444446</v>
      </c>
      <c r="D1641" s="12">
        <v>0.39797453703703706</v>
      </c>
      <c r="E1641">
        <v>1</v>
      </c>
      <c r="G1641" s="18">
        <v>2289072</v>
      </c>
      <c r="H1641">
        <v>1</v>
      </c>
    </row>
    <row r="1642" spans="1:8" x14ac:dyDescent="0.35">
      <c r="A1642" s="5">
        <v>23715237</v>
      </c>
      <c r="B1642" s="6">
        <v>42941</v>
      </c>
      <c r="C1642" s="7">
        <v>0.39152777777777775</v>
      </c>
      <c r="D1642" s="8">
        <v>0.39559027777777778</v>
      </c>
      <c r="E1642">
        <v>1</v>
      </c>
      <c r="G1642" s="18">
        <v>1288637</v>
      </c>
      <c r="H1642">
        <v>1</v>
      </c>
    </row>
    <row r="1643" spans="1:8" x14ac:dyDescent="0.35">
      <c r="A1643" s="9">
        <v>6013508</v>
      </c>
      <c r="B1643" s="10">
        <v>42941</v>
      </c>
      <c r="C1643" s="11">
        <v>0.39195601851851852</v>
      </c>
      <c r="D1643" s="12">
        <v>0.39401620370370372</v>
      </c>
      <c r="E1643">
        <v>1</v>
      </c>
      <c r="G1643" s="18">
        <v>2354992</v>
      </c>
      <c r="H1643">
        <v>1</v>
      </c>
    </row>
    <row r="1644" spans="1:8" x14ac:dyDescent="0.35">
      <c r="A1644" s="5">
        <v>6175467</v>
      </c>
      <c r="B1644" s="6">
        <v>42941</v>
      </c>
      <c r="C1644" s="7">
        <v>0.39753472222222225</v>
      </c>
      <c r="D1644" s="8">
        <v>0.40424768518518517</v>
      </c>
      <c r="E1644">
        <v>1</v>
      </c>
      <c r="G1644" s="18">
        <v>1294973</v>
      </c>
      <c r="H1644">
        <v>1</v>
      </c>
    </row>
    <row r="1645" spans="1:8" x14ac:dyDescent="0.35">
      <c r="A1645" s="9">
        <v>22416837</v>
      </c>
      <c r="B1645" s="10">
        <v>42941</v>
      </c>
      <c r="C1645" s="11">
        <v>0.39881944444444445</v>
      </c>
      <c r="D1645" s="12">
        <v>0.40244212962962961</v>
      </c>
      <c r="E1645">
        <v>1</v>
      </c>
      <c r="G1645" s="18">
        <v>2406196</v>
      </c>
      <c r="H1645">
        <v>1</v>
      </c>
    </row>
    <row r="1646" spans="1:8" x14ac:dyDescent="0.35">
      <c r="A1646" s="5">
        <v>9065927</v>
      </c>
      <c r="B1646" s="6">
        <v>42941</v>
      </c>
      <c r="C1646" s="7">
        <v>0.3991898148148148</v>
      </c>
      <c r="D1646" s="8">
        <v>0.40934027777777776</v>
      </c>
      <c r="E1646">
        <v>1</v>
      </c>
      <c r="G1646" s="18">
        <v>1296262</v>
      </c>
      <c r="H1646">
        <v>1</v>
      </c>
    </row>
    <row r="1647" spans="1:8" x14ac:dyDescent="0.35">
      <c r="A1647" s="9">
        <v>8849918</v>
      </c>
      <c r="B1647" s="10">
        <v>42941</v>
      </c>
      <c r="C1647" s="11">
        <v>0.40263888888888888</v>
      </c>
      <c r="D1647" s="12">
        <v>0.40636574074074072</v>
      </c>
      <c r="E1647">
        <v>1</v>
      </c>
      <c r="G1647" s="18">
        <v>2456290</v>
      </c>
      <c r="H1647">
        <v>1</v>
      </c>
    </row>
    <row r="1648" spans="1:8" x14ac:dyDescent="0.35">
      <c r="A1648" s="5">
        <v>8250018</v>
      </c>
      <c r="B1648" s="6">
        <v>42941</v>
      </c>
      <c r="C1648" s="7">
        <v>0.40552083333333333</v>
      </c>
      <c r="D1648" s="8">
        <v>0.41104166666666669</v>
      </c>
      <c r="E1648">
        <v>1</v>
      </c>
      <c r="G1648" s="18">
        <v>1301099</v>
      </c>
      <c r="H1648">
        <v>1</v>
      </c>
    </row>
    <row r="1649" spans="1:8" x14ac:dyDescent="0.35">
      <c r="A1649" s="9">
        <v>20349502</v>
      </c>
      <c r="B1649" s="10">
        <v>42941</v>
      </c>
      <c r="C1649" s="11">
        <v>0.40979166666666667</v>
      </c>
      <c r="D1649" s="12">
        <v>0.41252314814814817</v>
      </c>
      <c r="E1649">
        <v>1</v>
      </c>
      <c r="G1649" s="18">
        <v>1159432</v>
      </c>
      <c r="H1649">
        <v>1</v>
      </c>
    </row>
    <row r="1650" spans="1:8" x14ac:dyDescent="0.35">
      <c r="A1650" s="5">
        <v>9894723</v>
      </c>
      <c r="B1650" s="6">
        <v>42941</v>
      </c>
      <c r="C1650" s="7">
        <v>0.40988425925925925</v>
      </c>
      <c r="D1650" s="8">
        <v>0.41157407407407409</v>
      </c>
      <c r="E1650">
        <v>1</v>
      </c>
      <c r="G1650" s="18">
        <v>1302112</v>
      </c>
      <c r="H1650">
        <v>1</v>
      </c>
    </row>
    <row r="1651" spans="1:8" x14ac:dyDescent="0.35">
      <c r="A1651" s="9">
        <v>9458504</v>
      </c>
      <c r="B1651" s="10">
        <v>42941</v>
      </c>
      <c r="C1651" s="11">
        <v>0.41054398148148147</v>
      </c>
      <c r="D1651" s="12">
        <v>0.41620370370370369</v>
      </c>
      <c r="E1651">
        <v>1</v>
      </c>
      <c r="G1651" s="18">
        <v>2571251</v>
      </c>
      <c r="H1651">
        <v>1</v>
      </c>
    </row>
    <row r="1652" spans="1:8" x14ac:dyDescent="0.35">
      <c r="A1652" s="5">
        <v>6741642</v>
      </c>
      <c r="B1652" s="6">
        <v>42941</v>
      </c>
      <c r="C1652" s="7">
        <v>0.41449074074074072</v>
      </c>
      <c r="D1652" s="8">
        <v>0.42371527777777779</v>
      </c>
      <c r="E1652">
        <v>1</v>
      </c>
      <c r="G1652" s="18">
        <v>1302842</v>
      </c>
      <c r="H1652">
        <v>1</v>
      </c>
    </row>
    <row r="1653" spans="1:8" x14ac:dyDescent="0.35">
      <c r="A1653" s="9">
        <v>4824710</v>
      </c>
      <c r="B1653" s="10">
        <v>42941</v>
      </c>
      <c r="C1653" s="11">
        <v>0.42008101851851853</v>
      </c>
      <c r="D1653" s="12">
        <v>0.4206597222222222</v>
      </c>
      <c r="E1653">
        <v>1</v>
      </c>
      <c r="G1653" s="18">
        <v>1160932</v>
      </c>
      <c r="H1653">
        <v>1</v>
      </c>
    </row>
    <row r="1654" spans="1:8" x14ac:dyDescent="0.35">
      <c r="A1654" s="5">
        <v>6465122</v>
      </c>
      <c r="B1654" s="6">
        <v>42941</v>
      </c>
      <c r="C1654" s="7">
        <v>0.42188657407407409</v>
      </c>
      <c r="D1654" s="8">
        <v>0.43138888888888888</v>
      </c>
      <c r="E1654">
        <v>1</v>
      </c>
      <c r="G1654" s="18">
        <v>1309359</v>
      </c>
      <c r="H1654">
        <v>1</v>
      </c>
    </row>
    <row r="1655" spans="1:8" x14ac:dyDescent="0.35">
      <c r="A1655" s="9">
        <v>6940373</v>
      </c>
      <c r="B1655" s="10">
        <v>42941</v>
      </c>
      <c r="C1655" s="11">
        <v>0.42711805555555554</v>
      </c>
      <c r="D1655" s="12">
        <v>0.43450231481481483</v>
      </c>
      <c r="E1655">
        <v>1</v>
      </c>
      <c r="G1655" s="18">
        <v>1165705</v>
      </c>
      <c r="H1655">
        <v>1</v>
      </c>
    </row>
    <row r="1656" spans="1:8" x14ac:dyDescent="0.35">
      <c r="A1656" s="5">
        <v>81613163</v>
      </c>
      <c r="B1656" s="6">
        <v>42941</v>
      </c>
      <c r="C1656" s="7">
        <v>0.43004629629629632</v>
      </c>
      <c r="D1656" s="8">
        <v>0.43855324074074076</v>
      </c>
      <c r="E1656">
        <v>1</v>
      </c>
      <c r="G1656" s="18">
        <v>1316116</v>
      </c>
      <c r="H1656">
        <v>1</v>
      </c>
    </row>
    <row r="1657" spans="1:8" x14ac:dyDescent="0.35">
      <c r="A1657" s="9">
        <v>9894998</v>
      </c>
      <c r="B1657" s="10">
        <v>42941</v>
      </c>
      <c r="C1657" s="11">
        <v>0.4344675925925926</v>
      </c>
      <c r="D1657" s="12">
        <v>0.44442129629629629</v>
      </c>
      <c r="E1657">
        <v>1</v>
      </c>
      <c r="G1657" s="18">
        <v>1119016</v>
      </c>
      <c r="H1657">
        <v>1</v>
      </c>
    </row>
    <row r="1658" spans="1:8" x14ac:dyDescent="0.35">
      <c r="A1658" s="5">
        <v>7663988</v>
      </c>
      <c r="B1658" s="6">
        <v>42941</v>
      </c>
      <c r="C1658" s="7">
        <v>0.43884259259259262</v>
      </c>
      <c r="D1658" s="8">
        <v>0.44464120370370369</v>
      </c>
      <c r="E1658">
        <v>1</v>
      </c>
      <c r="G1658" s="18">
        <v>1319121</v>
      </c>
      <c r="H1658">
        <v>1</v>
      </c>
    </row>
    <row r="1659" spans="1:8" x14ac:dyDescent="0.35">
      <c r="A1659" s="9">
        <v>29555837</v>
      </c>
      <c r="B1659" s="10">
        <v>42941</v>
      </c>
      <c r="C1659" s="11">
        <v>0.44231481481481483</v>
      </c>
      <c r="D1659" s="12">
        <v>0.45185185185185184</v>
      </c>
      <c r="E1659">
        <v>1</v>
      </c>
      <c r="G1659" s="18">
        <v>1909553</v>
      </c>
      <c r="H1659">
        <v>1</v>
      </c>
    </row>
    <row r="1660" spans="1:8" x14ac:dyDescent="0.35">
      <c r="A1660" s="5">
        <v>6890486</v>
      </c>
      <c r="B1660" s="6">
        <v>42941</v>
      </c>
      <c r="C1660" s="7">
        <v>0.44594907407407408</v>
      </c>
      <c r="D1660" s="8">
        <v>0.45099537037037035</v>
      </c>
      <c r="E1660">
        <v>1</v>
      </c>
      <c r="G1660" s="18">
        <v>1331802</v>
      </c>
      <c r="H1660">
        <v>1</v>
      </c>
    </row>
    <row r="1661" spans="1:8" x14ac:dyDescent="0.35">
      <c r="A1661" s="9">
        <v>1992079</v>
      </c>
      <c r="B1661" s="10">
        <v>42941</v>
      </c>
      <c r="C1661" s="11">
        <v>0.45004629629629628</v>
      </c>
      <c r="D1661" s="12">
        <v>0.45568287037037036</v>
      </c>
      <c r="E1661">
        <v>1</v>
      </c>
      <c r="G1661" s="18">
        <v>1927908</v>
      </c>
      <c r="H1661">
        <v>1</v>
      </c>
    </row>
    <row r="1662" spans="1:8" x14ac:dyDescent="0.35">
      <c r="A1662" s="5">
        <v>7599611</v>
      </c>
      <c r="B1662" s="6">
        <v>42941</v>
      </c>
      <c r="C1662" s="7">
        <v>0.45217592592592593</v>
      </c>
      <c r="D1662" s="8">
        <v>0.4568402777777778</v>
      </c>
      <c r="E1662">
        <v>1</v>
      </c>
      <c r="G1662" s="18">
        <v>1332513</v>
      </c>
      <c r="H1662">
        <v>1</v>
      </c>
    </row>
    <row r="1663" spans="1:8" x14ac:dyDescent="0.35">
      <c r="A1663" s="9">
        <v>1418351</v>
      </c>
      <c r="B1663" s="10">
        <v>42941</v>
      </c>
      <c r="C1663" s="11">
        <v>0.45377314814814818</v>
      </c>
      <c r="D1663" s="12">
        <v>0.45409722222222221</v>
      </c>
      <c r="E1663">
        <v>1</v>
      </c>
      <c r="G1663" s="18">
        <v>1997542</v>
      </c>
      <c r="H1663">
        <v>1</v>
      </c>
    </row>
    <row r="1664" spans="1:8" x14ac:dyDescent="0.35">
      <c r="A1664" s="5">
        <v>5883714</v>
      </c>
      <c r="B1664" s="6">
        <v>42941</v>
      </c>
      <c r="C1664" s="7">
        <v>0.45886574074074077</v>
      </c>
      <c r="D1664" s="8">
        <v>0.46630787037037036</v>
      </c>
      <c r="E1664">
        <v>1</v>
      </c>
      <c r="G1664" s="18">
        <v>1332884</v>
      </c>
      <c r="H1664">
        <v>1</v>
      </c>
    </row>
    <row r="1665" spans="1:8" x14ac:dyDescent="0.35">
      <c r="A1665" s="9">
        <v>1457083</v>
      </c>
      <c r="B1665" s="10">
        <v>42941</v>
      </c>
      <c r="C1665" s="11">
        <v>0.46381944444444445</v>
      </c>
      <c r="D1665" s="12">
        <v>0.47520833333333334</v>
      </c>
      <c r="E1665">
        <v>1</v>
      </c>
      <c r="G1665" s="18">
        <v>2054346</v>
      </c>
      <c r="H1665">
        <v>1</v>
      </c>
    </row>
    <row r="1666" spans="1:8" x14ac:dyDescent="0.35">
      <c r="A1666" s="5">
        <v>9948096</v>
      </c>
      <c r="B1666" s="6">
        <v>42941</v>
      </c>
      <c r="C1666" s="7">
        <v>0.46564814814814814</v>
      </c>
      <c r="D1666" s="8">
        <v>0.47028935185185183</v>
      </c>
      <c r="E1666">
        <v>1</v>
      </c>
      <c r="G1666" s="18">
        <v>1337042</v>
      </c>
      <c r="H1666">
        <v>1</v>
      </c>
    </row>
    <row r="1667" spans="1:8" x14ac:dyDescent="0.35">
      <c r="A1667" s="9">
        <v>2567031</v>
      </c>
      <c r="B1667" s="10">
        <v>42941</v>
      </c>
      <c r="C1667" s="11">
        <v>0.47077546296296297</v>
      </c>
      <c r="D1667" s="12">
        <v>0.47538194444444443</v>
      </c>
      <c r="E1667">
        <v>1</v>
      </c>
      <c r="G1667" s="18">
        <v>2078150</v>
      </c>
      <c r="H1667">
        <v>1</v>
      </c>
    </row>
    <row r="1668" spans="1:8" x14ac:dyDescent="0.35">
      <c r="A1668" s="5">
        <v>5952625</v>
      </c>
      <c r="B1668" s="6">
        <v>42941</v>
      </c>
      <c r="C1668" s="7">
        <v>0.4729976851851852</v>
      </c>
      <c r="D1668" s="8">
        <v>0.47553240740740743</v>
      </c>
      <c r="E1668">
        <v>1</v>
      </c>
      <c r="G1668" s="18">
        <v>1340323</v>
      </c>
      <c r="H1668">
        <v>1</v>
      </c>
    </row>
    <row r="1669" spans="1:8" x14ac:dyDescent="0.35">
      <c r="A1669" s="9">
        <v>8284495</v>
      </c>
      <c r="B1669" s="10">
        <v>42941</v>
      </c>
      <c r="C1669" s="11">
        <v>0.47385416666666669</v>
      </c>
      <c r="D1669" s="12">
        <v>0.47505787037037039</v>
      </c>
      <c r="E1669">
        <v>1</v>
      </c>
      <c r="G1669" s="18">
        <v>2096180</v>
      </c>
      <c r="H1669">
        <v>1</v>
      </c>
    </row>
    <row r="1670" spans="1:8" x14ac:dyDescent="0.35">
      <c r="A1670" s="5">
        <v>5354141</v>
      </c>
      <c r="B1670" s="6">
        <v>42941</v>
      </c>
      <c r="C1670" s="7">
        <v>0.47591435185185182</v>
      </c>
      <c r="D1670" s="8">
        <v>0.47734953703703703</v>
      </c>
      <c r="E1670">
        <v>1</v>
      </c>
      <c r="G1670" s="18">
        <v>1345591</v>
      </c>
      <c r="H1670">
        <v>1</v>
      </c>
    </row>
    <row r="1671" spans="1:8" x14ac:dyDescent="0.35">
      <c r="A1671" s="9">
        <v>5713477</v>
      </c>
      <c r="B1671" s="10">
        <v>42941</v>
      </c>
      <c r="C1671" s="11">
        <v>0.4770138888888889</v>
      </c>
      <c r="D1671" s="12">
        <v>0.48685185185185187</v>
      </c>
      <c r="E1671">
        <v>1</v>
      </c>
      <c r="G1671" s="18">
        <v>2114812</v>
      </c>
      <c r="H1671">
        <v>1</v>
      </c>
    </row>
    <row r="1672" spans="1:8" x14ac:dyDescent="0.35">
      <c r="A1672" s="5">
        <v>6865322</v>
      </c>
      <c r="B1672" s="6">
        <v>42941</v>
      </c>
      <c r="C1672" s="7">
        <v>0.47781249999999997</v>
      </c>
      <c r="D1672" s="8">
        <v>0.48425925925925928</v>
      </c>
      <c r="E1672">
        <v>1</v>
      </c>
      <c r="G1672" s="18">
        <v>1355775</v>
      </c>
      <c r="H1672">
        <v>1</v>
      </c>
    </row>
    <row r="1673" spans="1:8" x14ac:dyDescent="0.35">
      <c r="A1673" s="9">
        <v>9007177570</v>
      </c>
      <c r="B1673" s="10">
        <v>42941</v>
      </c>
      <c r="C1673" s="11">
        <v>0.47957175925925927</v>
      </c>
      <c r="D1673" s="12">
        <v>0.48254629629629631</v>
      </c>
      <c r="E1673">
        <v>1</v>
      </c>
      <c r="G1673" s="18">
        <v>2134315</v>
      </c>
      <c r="H1673">
        <v>1</v>
      </c>
    </row>
    <row r="1674" spans="1:8" x14ac:dyDescent="0.35">
      <c r="A1674" s="5">
        <v>49920930</v>
      </c>
      <c r="B1674" s="6">
        <v>42941</v>
      </c>
      <c r="C1674" s="7">
        <v>0.48457175925925927</v>
      </c>
      <c r="D1674" s="8">
        <v>0.48851851851851852</v>
      </c>
      <c r="E1674">
        <v>1</v>
      </c>
      <c r="G1674" s="18">
        <v>1365581</v>
      </c>
      <c r="H1674">
        <v>1</v>
      </c>
    </row>
    <row r="1675" spans="1:8" x14ac:dyDescent="0.35">
      <c r="A1675" s="9">
        <v>3624713</v>
      </c>
      <c r="B1675" s="10">
        <v>42941</v>
      </c>
      <c r="C1675" s="11">
        <v>0.48563657407407407</v>
      </c>
      <c r="D1675" s="12">
        <v>0.49687500000000001</v>
      </c>
      <c r="E1675">
        <v>1</v>
      </c>
      <c r="G1675" s="18">
        <v>2157195</v>
      </c>
      <c r="H1675">
        <v>1</v>
      </c>
    </row>
    <row r="1676" spans="1:8" x14ac:dyDescent="0.35">
      <c r="A1676" s="5">
        <v>39848401</v>
      </c>
      <c r="B1676" s="6">
        <v>42941</v>
      </c>
      <c r="C1676" s="7">
        <v>0.48615740740740743</v>
      </c>
      <c r="D1676" s="8">
        <v>0.49478009259259259</v>
      </c>
      <c r="E1676">
        <v>1</v>
      </c>
      <c r="G1676" s="18">
        <v>1384299</v>
      </c>
      <c r="H1676">
        <v>1</v>
      </c>
    </row>
    <row r="1677" spans="1:8" x14ac:dyDescent="0.35">
      <c r="A1677" s="9">
        <v>4131448</v>
      </c>
      <c r="B1677" s="10">
        <v>42941</v>
      </c>
      <c r="C1677" s="11">
        <v>0.48975694444444445</v>
      </c>
      <c r="D1677" s="12">
        <v>0.49530092592592595</v>
      </c>
      <c r="E1677">
        <v>1</v>
      </c>
      <c r="G1677" s="18">
        <v>2185216</v>
      </c>
      <c r="H1677">
        <v>1</v>
      </c>
    </row>
    <row r="1678" spans="1:8" x14ac:dyDescent="0.35">
      <c r="A1678" s="5">
        <v>2239958</v>
      </c>
      <c r="B1678" s="6">
        <v>42941</v>
      </c>
      <c r="C1678" s="7">
        <v>0.49523148148148149</v>
      </c>
      <c r="D1678" s="8">
        <v>0.49962962962962965</v>
      </c>
      <c r="E1678">
        <v>1</v>
      </c>
      <c r="G1678" s="18">
        <v>1390402</v>
      </c>
      <c r="H1678">
        <v>1</v>
      </c>
    </row>
    <row r="1679" spans="1:8" x14ac:dyDescent="0.35">
      <c r="A1679" s="9">
        <v>3680149</v>
      </c>
      <c r="B1679" s="10">
        <v>42941</v>
      </c>
      <c r="C1679" s="11">
        <v>0.49556712962962962</v>
      </c>
      <c r="D1679" s="12">
        <v>0.49927083333333333</v>
      </c>
      <c r="E1679">
        <v>1</v>
      </c>
      <c r="G1679" s="18">
        <v>2199311</v>
      </c>
      <c r="H1679">
        <v>1</v>
      </c>
    </row>
    <row r="1680" spans="1:8" x14ac:dyDescent="0.35">
      <c r="A1680" s="5">
        <v>3654212</v>
      </c>
      <c r="B1680" s="6">
        <v>42941</v>
      </c>
      <c r="C1680" s="7">
        <v>0.49739583333333331</v>
      </c>
      <c r="D1680" s="8">
        <v>0.49787037037037035</v>
      </c>
      <c r="E1680">
        <v>1</v>
      </c>
      <c r="G1680" s="18">
        <v>1391272</v>
      </c>
      <c r="H1680">
        <v>1</v>
      </c>
    </row>
    <row r="1681" spans="1:8" x14ac:dyDescent="0.35">
      <c r="A1681" s="9">
        <v>3192053</v>
      </c>
      <c r="B1681" s="10">
        <v>42941</v>
      </c>
      <c r="C1681" s="11">
        <v>0.49796296296296294</v>
      </c>
      <c r="D1681" s="12">
        <v>0.5053009259259259</v>
      </c>
      <c r="E1681">
        <v>1</v>
      </c>
      <c r="G1681" s="18">
        <v>2239958</v>
      </c>
      <c r="H1681">
        <v>1</v>
      </c>
    </row>
    <row r="1682" spans="1:8" x14ac:dyDescent="0.35">
      <c r="A1682" s="5">
        <v>2355456</v>
      </c>
      <c r="B1682" s="6">
        <v>42941</v>
      </c>
      <c r="C1682" s="7">
        <v>0.50027777777777782</v>
      </c>
      <c r="D1682" s="8">
        <v>0.50983796296296291</v>
      </c>
      <c r="E1682">
        <v>1</v>
      </c>
      <c r="G1682" s="18">
        <v>1405478</v>
      </c>
      <c r="H1682">
        <v>1</v>
      </c>
    </row>
    <row r="1683" spans="1:8" x14ac:dyDescent="0.35">
      <c r="A1683" s="9">
        <v>64932677</v>
      </c>
      <c r="B1683" s="10">
        <v>42941</v>
      </c>
      <c r="C1683" s="11">
        <v>0.50436342592592598</v>
      </c>
      <c r="D1683" s="12">
        <v>0.51339120370370372</v>
      </c>
      <c r="E1683">
        <v>1</v>
      </c>
      <c r="G1683" s="18">
        <v>2256093</v>
      </c>
      <c r="H1683">
        <v>1</v>
      </c>
    </row>
    <row r="1684" spans="1:8" x14ac:dyDescent="0.35">
      <c r="A1684" s="5">
        <v>9419117</v>
      </c>
      <c r="B1684" s="6">
        <v>42941</v>
      </c>
      <c r="C1684" s="7">
        <v>0.50545138888888885</v>
      </c>
      <c r="D1684" s="8">
        <v>0.50761574074074078</v>
      </c>
      <c r="E1684">
        <v>1</v>
      </c>
      <c r="G1684" s="18">
        <v>1409543</v>
      </c>
      <c r="H1684">
        <v>1</v>
      </c>
    </row>
    <row r="1685" spans="1:8" x14ac:dyDescent="0.35">
      <c r="A1685" s="9">
        <v>2509631</v>
      </c>
      <c r="B1685" s="10">
        <v>42941</v>
      </c>
      <c r="C1685" s="11">
        <v>0.51025462962962964</v>
      </c>
      <c r="D1685" s="12">
        <v>0.52134259259259264</v>
      </c>
      <c r="E1685">
        <v>1</v>
      </c>
      <c r="G1685" s="18">
        <v>1158631</v>
      </c>
      <c r="H1685">
        <v>1</v>
      </c>
    </row>
    <row r="1686" spans="1:8" x14ac:dyDescent="0.35">
      <c r="A1686" s="5">
        <v>4505950</v>
      </c>
      <c r="B1686" s="6">
        <v>42941</v>
      </c>
      <c r="C1686" s="7">
        <v>0.51373842592592589</v>
      </c>
      <c r="D1686" s="8">
        <v>0.52304398148148146</v>
      </c>
      <c r="E1686">
        <v>1</v>
      </c>
      <c r="G1686" s="18">
        <v>1415198</v>
      </c>
      <c r="H1686">
        <v>1</v>
      </c>
    </row>
    <row r="1687" spans="1:8" x14ac:dyDescent="0.35">
      <c r="A1687" s="9">
        <v>39663331</v>
      </c>
      <c r="B1687" s="10">
        <v>42941</v>
      </c>
      <c r="C1687" s="11">
        <v>0.51447916666666671</v>
      </c>
      <c r="D1687" s="12">
        <v>0.51800925925925922</v>
      </c>
      <c r="E1687">
        <v>1</v>
      </c>
      <c r="G1687" s="18">
        <v>2329556</v>
      </c>
      <c r="H1687">
        <v>1</v>
      </c>
    </row>
    <row r="1688" spans="1:8" x14ac:dyDescent="0.35">
      <c r="A1688" s="5">
        <v>73350537</v>
      </c>
      <c r="B1688" s="6">
        <v>42941</v>
      </c>
      <c r="C1688" s="7">
        <v>0.51847222222222222</v>
      </c>
      <c r="D1688" s="8">
        <v>0.5267708333333333</v>
      </c>
      <c r="E1688">
        <v>1</v>
      </c>
      <c r="G1688" s="18">
        <v>1418351</v>
      </c>
      <c r="H1688">
        <v>1</v>
      </c>
    </row>
    <row r="1689" spans="1:8" x14ac:dyDescent="0.35">
      <c r="A1689" s="9">
        <v>36929553</v>
      </c>
      <c r="B1689" s="10">
        <v>42941</v>
      </c>
      <c r="C1689" s="11">
        <v>0.52155092592592589</v>
      </c>
      <c r="D1689" s="12">
        <v>0.52667824074074077</v>
      </c>
      <c r="E1689">
        <v>1</v>
      </c>
      <c r="G1689" s="18">
        <v>2366545</v>
      </c>
      <c r="H1689">
        <v>1</v>
      </c>
    </row>
    <row r="1690" spans="1:8" x14ac:dyDescent="0.35">
      <c r="A1690" s="5">
        <v>74135093</v>
      </c>
      <c r="B1690" s="6">
        <v>42941</v>
      </c>
      <c r="C1690" s="7">
        <v>0.52232638888888894</v>
      </c>
      <c r="D1690" s="8">
        <v>0.52666666666666662</v>
      </c>
      <c r="E1690">
        <v>1</v>
      </c>
      <c r="G1690" s="18">
        <v>1431491</v>
      </c>
      <c r="H1690">
        <v>1</v>
      </c>
    </row>
    <row r="1691" spans="1:8" x14ac:dyDescent="0.35">
      <c r="A1691" s="9">
        <v>3505978</v>
      </c>
      <c r="B1691" s="10">
        <v>42941</v>
      </c>
      <c r="C1691" s="11">
        <v>0.52393518518518523</v>
      </c>
      <c r="D1691" s="12">
        <v>0.53479166666666667</v>
      </c>
      <c r="E1691">
        <v>1</v>
      </c>
      <c r="G1691" s="18">
        <v>2400590</v>
      </c>
      <c r="H1691">
        <v>1</v>
      </c>
    </row>
    <row r="1692" spans="1:8" x14ac:dyDescent="0.35">
      <c r="A1692" s="5">
        <v>4483996</v>
      </c>
      <c r="B1692" s="6">
        <v>42941</v>
      </c>
      <c r="C1692" s="7">
        <v>0.52584490740740741</v>
      </c>
      <c r="D1692" s="8">
        <v>0.53660879629629632</v>
      </c>
      <c r="E1692">
        <v>1</v>
      </c>
      <c r="G1692" s="18">
        <v>1435049</v>
      </c>
      <c r="H1692">
        <v>1</v>
      </c>
    </row>
    <row r="1693" spans="1:8" x14ac:dyDescent="0.35">
      <c r="A1693" s="9">
        <v>6264844</v>
      </c>
      <c r="B1693" s="10">
        <v>42941</v>
      </c>
      <c r="C1693" s="11">
        <v>0.52655092592592589</v>
      </c>
      <c r="D1693" s="12">
        <v>0.52703703703703708</v>
      </c>
      <c r="E1693">
        <v>1</v>
      </c>
      <c r="G1693" s="18">
        <v>2419247</v>
      </c>
      <c r="H1693">
        <v>1</v>
      </c>
    </row>
    <row r="1694" spans="1:8" x14ac:dyDescent="0.35">
      <c r="A1694" s="5">
        <v>92127966</v>
      </c>
      <c r="B1694" s="6">
        <v>42941</v>
      </c>
      <c r="C1694" s="7">
        <v>0.5317708333333333</v>
      </c>
      <c r="D1694" s="8">
        <v>0.53724537037037035</v>
      </c>
      <c r="E1694">
        <v>1</v>
      </c>
      <c r="G1694" s="18">
        <v>1439114</v>
      </c>
      <c r="H1694">
        <v>1</v>
      </c>
    </row>
    <row r="1695" spans="1:8" x14ac:dyDescent="0.35">
      <c r="A1695" s="9">
        <v>7353916</v>
      </c>
      <c r="B1695" s="10">
        <v>42941</v>
      </c>
      <c r="C1695" s="11">
        <v>0.53456018518518522</v>
      </c>
      <c r="D1695" s="12">
        <v>0.53718750000000004</v>
      </c>
      <c r="E1695">
        <v>1</v>
      </c>
      <c r="G1695" s="18">
        <v>2443869</v>
      </c>
      <c r="H1695">
        <v>1</v>
      </c>
    </row>
    <row r="1696" spans="1:8" x14ac:dyDescent="0.35">
      <c r="A1696" s="5">
        <v>5440420</v>
      </c>
      <c r="B1696" s="6">
        <v>42941</v>
      </c>
      <c r="C1696" s="7">
        <v>0.53535879629629635</v>
      </c>
      <c r="D1696" s="8">
        <v>0.54219907407407408</v>
      </c>
      <c r="E1696">
        <v>1</v>
      </c>
      <c r="G1696" s="18">
        <v>1451455</v>
      </c>
      <c r="H1696">
        <v>1</v>
      </c>
    </row>
    <row r="1697" spans="1:8" x14ac:dyDescent="0.35">
      <c r="A1697" s="9">
        <v>8840288</v>
      </c>
      <c r="B1697" s="10">
        <v>42941</v>
      </c>
      <c r="C1697" s="11">
        <v>0.53964120370370372</v>
      </c>
      <c r="D1697" s="12">
        <v>0.54101851851851857</v>
      </c>
      <c r="E1697">
        <v>1</v>
      </c>
      <c r="G1697" s="18">
        <v>2469778</v>
      </c>
      <c r="H1697">
        <v>1</v>
      </c>
    </row>
    <row r="1698" spans="1:8" x14ac:dyDescent="0.35">
      <c r="A1698" s="5">
        <v>9007177570</v>
      </c>
      <c r="B1698" s="6">
        <v>42941</v>
      </c>
      <c r="C1698" s="7">
        <v>0.54324074074074069</v>
      </c>
      <c r="D1698" s="8">
        <v>0.54956018518518523</v>
      </c>
      <c r="E1698">
        <v>1</v>
      </c>
      <c r="G1698" s="18">
        <v>1454555</v>
      </c>
      <c r="H1698">
        <v>1</v>
      </c>
    </row>
    <row r="1699" spans="1:8" x14ac:dyDescent="0.35">
      <c r="A1699" s="9">
        <v>24850212</v>
      </c>
      <c r="B1699" s="10">
        <v>42941</v>
      </c>
      <c r="C1699" s="11">
        <v>0.54350694444444447</v>
      </c>
      <c r="D1699" s="12">
        <v>0.54767361111111112</v>
      </c>
      <c r="E1699">
        <v>1</v>
      </c>
      <c r="G1699" s="18">
        <v>2486941</v>
      </c>
      <c r="H1699">
        <v>1</v>
      </c>
    </row>
    <row r="1700" spans="1:8" x14ac:dyDescent="0.35">
      <c r="A1700" s="5">
        <v>7857206</v>
      </c>
      <c r="B1700" s="6">
        <v>42941</v>
      </c>
      <c r="C1700" s="7">
        <v>0.54858796296296297</v>
      </c>
      <c r="D1700" s="8">
        <v>0.55077546296296298</v>
      </c>
      <c r="E1700">
        <v>1</v>
      </c>
      <c r="G1700" s="18">
        <v>1457083</v>
      </c>
      <c r="H1700">
        <v>1</v>
      </c>
    </row>
    <row r="1701" spans="1:8" x14ac:dyDescent="0.35">
      <c r="A1701" s="9">
        <v>9007177570</v>
      </c>
      <c r="B1701" s="10">
        <v>42941</v>
      </c>
      <c r="C1701" s="11">
        <v>0.5519560185185185</v>
      </c>
      <c r="D1701" s="12">
        <v>0.55625000000000002</v>
      </c>
      <c r="E1701">
        <v>1</v>
      </c>
      <c r="G1701" s="18">
        <v>2514802</v>
      </c>
      <c r="H1701">
        <v>1</v>
      </c>
    </row>
    <row r="1702" spans="1:8" x14ac:dyDescent="0.35">
      <c r="A1702" s="5">
        <v>96375379</v>
      </c>
      <c r="B1702" s="6">
        <v>42941</v>
      </c>
      <c r="C1702" s="7">
        <v>0.55320601851851847</v>
      </c>
      <c r="D1702" s="8">
        <v>0.55569444444444449</v>
      </c>
      <c r="E1702">
        <v>1</v>
      </c>
      <c r="G1702" s="18">
        <v>1458287</v>
      </c>
      <c r="H1702">
        <v>1</v>
      </c>
    </row>
    <row r="1703" spans="1:8" x14ac:dyDescent="0.35">
      <c r="A1703" s="9">
        <v>6146223</v>
      </c>
      <c r="B1703" s="10">
        <v>42941</v>
      </c>
      <c r="C1703" s="11">
        <v>0.55517361111111108</v>
      </c>
      <c r="D1703" s="12">
        <v>0.56013888888888885</v>
      </c>
      <c r="E1703">
        <v>1</v>
      </c>
      <c r="G1703" s="18">
        <v>2567031</v>
      </c>
      <c r="H1703">
        <v>1</v>
      </c>
    </row>
    <row r="1704" spans="1:8" x14ac:dyDescent="0.35">
      <c r="A1704" s="5">
        <v>7119239917</v>
      </c>
      <c r="B1704" s="6">
        <v>42941</v>
      </c>
      <c r="C1704" s="7">
        <v>0.56033564814814818</v>
      </c>
      <c r="D1704" s="8">
        <v>0.56570601851851854</v>
      </c>
      <c r="E1704">
        <v>1</v>
      </c>
      <c r="G1704" s="18">
        <v>1462418</v>
      </c>
      <c r="H1704">
        <v>1</v>
      </c>
    </row>
    <row r="1705" spans="1:8" x14ac:dyDescent="0.35">
      <c r="A1705" s="9">
        <v>8622421</v>
      </c>
      <c r="B1705" s="10">
        <v>42941</v>
      </c>
      <c r="C1705" s="11">
        <v>0.56459490740740736</v>
      </c>
      <c r="D1705" s="12">
        <v>0.56638888888888894</v>
      </c>
      <c r="E1705">
        <v>1</v>
      </c>
      <c r="G1705" s="18">
        <v>2584185</v>
      </c>
      <c r="H1705">
        <v>1</v>
      </c>
    </row>
    <row r="1706" spans="1:8" x14ac:dyDescent="0.35">
      <c r="A1706" s="5">
        <v>2304726</v>
      </c>
      <c r="B1706" s="6">
        <v>42941</v>
      </c>
      <c r="C1706" s="7">
        <v>0.56620370370370365</v>
      </c>
      <c r="D1706" s="8">
        <v>0.57226851851851857</v>
      </c>
      <c r="E1706">
        <v>1</v>
      </c>
      <c r="G1706" s="18">
        <v>1055495</v>
      </c>
      <c r="H1706">
        <v>1</v>
      </c>
    </row>
    <row r="1707" spans="1:8" x14ac:dyDescent="0.35">
      <c r="A1707" s="9">
        <v>9183185</v>
      </c>
      <c r="B1707" s="10">
        <v>42941</v>
      </c>
      <c r="C1707" s="11">
        <v>0.56643518518518521</v>
      </c>
      <c r="D1707" s="12">
        <v>0.5687268518518519</v>
      </c>
      <c r="E1707">
        <v>1</v>
      </c>
      <c r="G1707" s="18">
        <v>2604004</v>
      </c>
      <c r="H1707">
        <v>1</v>
      </c>
    </row>
    <row r="1708" spans="1:8" x14ac:dyDescent="0.35">
      <c r="A1708" s="5">
        <v>2185216</v>
      </c>
      <c r="B1708" s="6">
        <v>42941</v>
      </c>
      <c r="C1708" s="7">
        <v>0.56959490740740737</v>
      </c>
      <c r="D1708" s="8">
        <v>0.57927083333333329</v>
      </c>
      <c r="E1708">
        <v>1</v>
      </c>
      <c r="G1708" s="18">
        <v>1469705</v>
      </c>
      <c r="H1708">
        <v>1</v>
      </c>
    </row>
    <row r="1709" spans="1:8" x14ac:dyDescent="0.35">
      <c r="A1709" s="9">
        <v>9664191</v>
      </c>
      <c r="B1709" s="10">
        <v>42941</v>
      </c>
      <c r="C1709" s="11">
        <v>0.56974537037037032</v>
      </c>
      <c r="D1709" s="12">
        <v>0.57015046296296301</v>
      </c>
      <c r="E1709">
        <v>1</v>
      </c>
      <c r="G1709" s="18">
        <v>2635121</v>
      </c>
      <c r="H1709">
        <v>1</v>
      </c>
    </row>
    <row r="1710" spans="1:8" x14ac:dyDescent="0.35">
      <c r="A1710" s="5">
        <v>8743781</v>
      </c>
      <c r="B1710" s="6">
        <v>42941</v>
      </c>
      <c r="C1710" s="7">
        <v>0.57284722222222217</v>
      </c>
      <c r="D1710" s="8">
        <v>0.58149305555555553</v>
      </c>
      <c r="E1710">
        <v>1</v>
      </c>
      <c r="G1710" s="18">
        <v>1472253</v>
      </c>
      <c r="H1710">
        <v>1</v>
      </c>
    </row>
    <row r="1711" spans="1:8" x14ac:dyDescent="0.35">
      <c r="A1711" s="9">
        <v>97997759</v>
      </c>
      <c r="B1711" s="10">
        <v>42941</v>
      </c>
      <c r="C1711" s="11">
        <v>0.57335648148148144</v>
      </c>
      <c r="D1711" s="12">
        <v>0.5735069444444445</v>
      </c>
      <c r="E1711">
        <v>1</v>
      </c>
      <c r="G1711" s="18">
        <v>2653312</v>
      </c>
      <c r="H1711">
        <v>1</v>
      </c>
    </row>
    <row r="1712" spans="1:8" x14ac:dyDescent="0.35">
      <c r="A1712" s="5">
        <v>4100331</v>
      </c>
      <c r="B1712" s="6">
        <v>42941</v>
      </c>
      <c r="C1712" s="7">
        <v>0.57863425925925926</v>
      </c>
      <c r="D1712" s="8">
        <v>0.58030092592592597</v>
      </c>
      <c r="E1712">
        <v>1</v>
      </c>
      <c r="G1712" s="18">
        <v>1472682</v>
      </c>
      <c r="H1712">
        <v>1</v>
      </c>
    </row>
    <row r="1713" spans="1:8" x14ac:dyDescent="0.35">
      <c r="A1713" s="9">
        <v>7215284</v>
      </c>
      <c r="B1713" s="10">
        <v>42941</v>
      </c>
      <c r="C1713" s="11">
        <v>0.57974537037037033</v>
      </c>
      <c r="D1713" s="12">
        <v>0.59083333333333332</v>
      </c>
      <c r="E1713">
        <v>1</v>
      </c>
      <c r="G1713" s="18">
        <v>2675422</v>
      </c>
      <c r="H1713">
        <v>1</v>
      </c>
    </row>
    <row r="1714" spans="1:8" x14ac:dyDescent="0.35">
      <c r="A1714" s="5">
        <v>9474267</v>
      </c>
      <c r="B1714" s="6">
        <v>42941</v>
      </c>
      <c r="C1714" s="7">
        <v>0.58423611111111107</v>
      </c>
      <c r="D1714" s="8">
        <v>0.59392361111111114</v>
      </c>
      <c r="E1714">
        <v>1</v>
      </c>
      <c r="G1714" s="18">
        <v>1475008</v>
      </c>
      <c r="H1714">
        <v>1</v>
      </c>
    </row>
    <row r="1715" spans="1:8" x14ac:dyDescent="0.35">
      <c r="A1715" s="9">
        <v>3200206</v>
      </c>
      <c r="B1715" s="10">
        <v>42941</v>
      </c>
      <c r="C1715" s="11">
        <v>0.58784722222222219</v>
      </c>
      <c r="D1715" s="12">
        <v>0.59894675925925922</v>
      </c>
      <c r="E1715">
        <v>1</v>
      </c>
      <c r="G1715" s="18">
        <v>1879412</v>
      </c>
      <c r="H1715">
        <v>1</v>
      </c>
    </row>
    <row r="1716" spans="1:8" x14ac:dyDescent="0.35">
      <c r="A1716" s="5">
        <v>72014227</v>
      </c>
      <c r="B1716" s="6">
        <v>42941</v>
      </c>
      <c r="C1716" s="7">
        <v>0.58899305555555559</v>
      </c>
      <c r="D1716" s="8">
        <v>0.59116898148148145</v>
      </c>
      <c r="E1716">
        <v>1</v>
      </c>
      <c r="G1716" s="18">
        <v>1475165</v>
      </c>
      <c r="H1716">
        <v>1</v>
      </c>
    </row>
    <row r="1717" spans="1:8" x14ac:dyDescent="0.35">
      <c r="A1717" s="9">
        <v>3976931</v>
      </c>
      <c r="B1717" s="10">
        <v>42941</v>
      </c>
      <c r="C1717" s="11">
        <v>0.59350694444444441</v>
      </c>
      <c r="D1717" s="12">
        <v>0.59811342592592598</v>
      </c>
      <c r="E1717">
        <v>1</v>
      </c>
      <c r="G1717" s="18">
        <v>1890121</v>
      </c>
      <c r="H1717">
        <v>1</v>
      </c>
    </row>
    <row r="1718" spans="1:8" x14ac:dyDescent="0.35">
      <c r="A1718" s="5">
        <v>6717763</v>
      </c>
      <c r="B1718" s="6">
        <v>42941</v>
      </c>
      <c r="C1718" s="7">
        <v>0.596099537037037</v>
      </c>
      <c r="D1718" s="8">
        <v>0.60069444444444442</v>
      </c>
      <c r="E1718">
        <v>1</v>
      </c>
      <c r="G1718" s="18">
        <v>1480206</v>
      </c>
      <c r="H1718">
        <v>1</v>
      </c>
    </row>
    <row r="1719" spans="1:8" x14ac:dyDescent="0.35">
      <c r="A1719" s="9">
        <v>2117176</v>
      </c>
      <c r="B1719" s="10">
        <v>42941</v>
      </c>
      <c r="C1719" s="11">
        <v>0.5995138888888889</v>
      </c>
      <c r="D1719" s="12">
        <v>0.60322916666666671</v>
      </c>
      <c r="E1719">
        <v>1</v>
      </c>
      <c r="G1719" s="18">
        <v>1908394</v>
      </c>
      <c r="H1719">
        <v>1</v>
      </c>
    </row>
    <row r="1720" spans="1:8" x14ac:dyDescent="0.35">
      <c r="A1720" s="5">
        <v>67688044</v>
      </c>
      <c r="B1720" s="6">
        <v>42941</v>
      </c>
      <c r="C1720" s="7">
        <v>0.60341435185185188</v>
      </c>
      <c r="D1720" s="8">
        <v>0.60423611111111108</v>
      </c>
      <c r="E1720">
        <v>1</v>
      </c>
      <c r="G1720" s="18">
        <v>1482340</v>
      </c>
      <c r="H1720">
        <v>1</v>
      </c>
    </row>
    <row r="1721" spans="1:8" x14ac:dyDescent="0.35">
      <c r="A1721" s="9">
        <v>3824371</v>
      </c>
      <c r="B1721" s="10">
        <v>42941</v>
      </c>
      <c r="C1721" s="11">
        <v>0.60442129629629626</v>
      </c>
      <c r="D1721" s="12">
        <v>0.61266203703703703</v>
      </c>
      <c r="E1721">
        <v>1</v>
      </c>
      <c r="G1721" s="18">
        <v>1911796</v>
      </c>
      <c r="H1721">
        <v>1</v>
      </c>
    </row>
    <row r="1722" spans="1:8" x14ac:dyDescent="0.35">
      <c r="A1722" s="5">
        <v>3025855</v>
      </c>
      <c r="B1722" s="6">
        <v>42941</v>
      </c>
      <c r="C1722" s="7">
        <v>0.60601851851851851</v>
      </c>
      <c r="D1722" s="8">
        <v>0.60782407407407413</v>
      </c>
      <c r="E1722">
        <v>1</v>
      </c>
      <c r="G1722" s="18">
        <v>1068000</v>
      </c>
      <c r="H1722">
        <v>1</v>
      </c>
    </row>
    <row r="1723" spans="1:8" x14ac:dyDescent="0.35">
      <c r="A1723" s="9">
        <v>8773356</v>
      </c>
      <c r="B1723" s="10">
        <v>42941</v>
      </c>
      <c r="C1723" s="11">
        <v>0.60879629629629628</v>
      </c>
      <c r="D1723" s="12">
        <v>0.61106481481481478</v>
      </c>
      <c r="E1723">
        <v>1</v>
      </c>
      <c r="G1723" s="18">
        <v>1026326</v>
      </c>
      <c r="H1723">
        <v>1</v>
      </c>
    </row>
    <row r="1724" spans="1:8" x14ac:dyDescent="0.35">
      <c r="A1724" s="5">
        <v>1211446</v>
      </c>
      <c r="B1724" s="6">
        <v>42941</v>
      </c>
      <c r="C1724" s="7">
        <v>0.61202546296296301</v>
      </c>
      <c r="D1724" s="8">
        <v>0.62135416666666665</v>
      </c>
      <c r="E1724">
        <v>1</v>
      </c>
      <c r="G1724" s="18">
        <v>1500342</v>
      </c>
      <c r="H1724">
        <v>1</v>
      </c>
    </row>
    <row r="1725" spans="1:8" x14ac:dyDescent="0.35">
      <c r="A1725" s="9">
        <v>3607585</v>
      </c>
      <c r="B1725" s="10">
        <v>42941</v>
      </c>
      <c r="C1725" s="11">
        <v>0.61460648148148145</v>
      </c>
      <c r="D1725" s="12">
        <v>0.62116898148148147</v>
      </c>
      <c r="E1725">
        <v>1</v>
      </c>
      <c r="G1725" s="18">
        <v>1951101</v>
      </c>
      <c r="H1725">
        <v>1</v>
      </c>
    </row>
    <row r="1726" spans="1:8" x14ac:dyDescent="0.35">
      <c r="A1726" s="5">
        <v>5492379</v>
      </c>
      <c r="B1726" s="6">
        <v>42941</v>
      </c>
      <c r="C1726" s="7">
        <v>0.61895833333333339</v>
      </c>
      <c r="D1726" s="8">
        <v>0.61971064814814814</v>
      </c>
      <c r="E1726">
        <v>1</v>
      </c>
      <c r="G1726" s="18">
        <v>1507196</v>
      </c>
      <c r="H1726">
        <v>1</v>
      </c>
    </row>
    <row r="1727" spans="1:8" x14ac:dyDescent="0.35">
      <c r="A1727" s="9">
        <v>84589848</v>
      </c>
      <c r="B1727" s="10">
        <v>42941</v>
      </c>
      <c r="C1727" s="11">
        <v>0.61971064814814814</v>
      </c>
      <c r="D1727" s="12">
        <v>0.62334490740740744</v>
      </c>
      <c r="E1727">
        <v>1</v>
      </c>
      <c r="G1727" s="18">
        <v>1992079</v>
      </c>
      <c r="H1727">
        <v>1</v>
      </c>
    </row>
    <row r="1728" spans="1:8" x14ac:dyDescent="0.35">
      <c r="A1728" s="5">
        <v>7622848</v>
      </c>
      <c r="B1728" s="6">
        <v>42941</v>
      </c>
      <c r="C1728" s="7">
        <v>0.62008101851851849</v>
      </c>
      <c r="D1728" s="8">
        <v>0.62776620370370373</v>
      </c>
      <c r="E1728">
        <v>1</v>
      </c>
      <c r="G1728" s="18">
        <v>1508356</v>
      </c>
      <c r="H1728">
        <v>1</v>
      </c>
    </row>
    <row r="1729" spans="1:8" x14ac:dyDescent="0.35">
      <c r="A1729" s="9">
        <v>7883595</v>
      </c>
      <c r="B1729" s="10">
        <v>42941</v>
      </c>
      <c r="C1729" s="11">
        <v>0.62149305555555556</v>
      </c>
      <c r="D1729" s="12">
        <v>0.624537037037037</v>
      </c>
      <c r="E1729">
        <v>1</v>
      </c>
      <c r="G1729" s="18">
        <v>1138033</v>
      </c>
      <c r="H1729">
        <v>1</v>
      </c>
    </row>
    <row r="1730" spans="1:8" x14ac:dyDescent="0.35">
      <c r="A1730" s="5">
        <v>4804872</v>
      </c>
      <c r="B1730" s="6">
        <v>42941</v>
      </c>
      <c r="C1730" s="7">
        <v>0.62472222222222218</v>
      </c>
      <c r="D1730" s="8">
        <v>0.6360069444444445</v>
      </c>
      <c r="E1730">
        <v>1</v>
      </c>
      <c r="G1730" s="18">
        <v>1519891</v>
      </c>
      <c r="H1730">
        <v>1</v>
      </c>
    </row>
    <row r="1731" spans="1:8" x14ac:dyDescent="0.35">
      <c r="A1731" s="9">
        <v>61812355</v>
      </c>
      <c r="B1731" s="10">
        <v>42941</v>
      </c>
      <c r="C1731" s="11">
        <v>0.6292592592592593</v>
      </c>
      <c r="D1731" s="12">
        <v>0.63806712962962964</v>
      </c>
      <c r="E1731">
        <v>1</v>
      </c>
      <c r="G1731" s="18">
        <v>2028923</v>
      </c>
      <c r="H1731">
        <v>1</v>
      </c>
    </row>
    <row r="1732" spans="1:8" x14ac:dyDescent="0.35">
      <c r="A1732" s="5">
        <v>6493766</v>
      </c>
      <c r="B1732" s="6">
        <v>42942</v>
      </c>
      <c r="C1732" s="7">
        <v>0.33584490740740741</v>
      </c>
      <c r="D1732" s="8">
        <v>0.33677083333333335</v>
      </c>
      <c r="E1732">
        <v>1</v>
      </c>
      <c r="G1732" s="18">
        <v>1531672</v>
      </c>
      <c r="H1732">
        <v>1</v>
      </c>
    </row>
    <row r="1733" spans="1:8" x14ac:dyDescent="0.35">
      <c r="A1733" s="9">
        <v>4965118</v>
      </c>
      <c r="B1733" s="10">
        <v>42942</v>
      </c>
      <c r="C1733" s="11">
        <v>0.33710648148148148</v>
      </c>
      <c r="D1733" s="12">
        <v>0.34759259259259262</v>
      </c>
      <c r="E1733">
        <v>1</v>
      </c>
      <c r="G1733" s="18">
        <v>2056567</v>
      </c>
      <c r="H1733">
        <v>1</v>
      </c>
    </row>
    <row r="1734" spans="1:8" x14ac:dyDescent="0.35">
      <c r="A1734" s="5">
        <v>7973476</v>
      </c>
      <c r="B1734" s="6">
        <v>42942</v>
      </c>
      <c r="C1734" s="7">
        <v>0.34250000000000003</v>
      </c>
      <c r="D1734" s="8">
        <v>0.35003472222222221</v>
      </c>
      <c r="E1734">
        <v>1</v>
      </c>
      <c r="G1734" s="18">
        <v>1552302</v>
      </c>
      <c r="H1734">
        <v>1</v>
      </c>
    </row>
    <row r="1735" spans="1:8" x14ac:dyDescent="0.35">
      <c r="A1735" s="9">
        <v>6642574</v>
      </c>
      <c r="B1735" s="10">
        <v>42942</v>
      </c>
      <c r="C1735" s="11">
        <v>0.34575231481481483</v>
      </c>
      <c r="D1735" s="12">
        <v>0.35645833333333332</v>
      </c>
      <c r="E1735">
        <v>1</v>
      </c>
      <c r="G1735" s="18">
        <v>2076719</v>
      </c>
      <c r="H1735">
        <v>1</v>
      </c>
    </row>
    <row r="1736" spans="1:8" x14ac:dyDescent="0.35">
      <c r="A1736" s="5">
        <v>2325155</v>
      </c>
      <c r="B1736" s="6">
        <v>42942</v>
      </c>
      <c r="C1736" s="7">
        <v>0.34759259259259262</v>
      </c>
      <c r="D1736" s="8">
        <v>0.35511574074074076</v>
      </c>
      <c r="E1736">
        <v>1</v>
      </c>
      <c r="G1736" s="18">
        <v>1552877</v>
      </c>
      <c r="H1736">
        <v>1</v>
      </c>
    </row>
    <row r="1737" spans="1:8" x14ac:dyDescent="0.35">
      <c r="A1737" s="9">
        <v>1340323</v>
      </c>
      <c r="B1737" s="10">
        <v>42942</v>
      </c>
      <c r="C1737" s="11">
        <v>0.34994212962962962</v>
      </c>
      <c r="D1737" s="12">
        <v>0.35781249999999998</v>
      </c>
      <c r="E1737">
        <v>1</v>
      </c>
      <c r="G1737" s="18">
        <v>2089993</v>
      </c>
      <c r="H1737">
        <v>1</v>
      </c>
    </row>
    <row r="1738" spans="1:8" x14ac:dyDescent="0.35">
      <c r="A1738" s="5">
        <v>8957203</v>
      </c>
      <c r="B1738" s="6">
        <v>42942</v>
      </c>
      <c r="C1738" s="7">
        <v>0.35454861111111113</v>
      </c>
      <c r="D1738" s="8">
        <v>0.3629398148148148</v>
      </c>
      <c r="E1738">
        <v>1</v>
      </c>
      <c r="G1738" s="18">
        <v>1563816</v>
      </c>
      <c r="H1738">
        <v>1</v>
      </c>
    </row>
    <row r="1739" spans="1:8" x14ac:dyDescent="0.35">
      <c r="A1739" s="9">
        <v>8276893</v>
      </c>
      <c r="B1739" s="10">
        <v>42942</v>
      </c>
      <c r="C1739" s="11">
        <v>0.3590740740740741</v>
      </c>
      <c r="D1739" s="12">
        <v>0.36600694444444443</v>
      </c>
      <c r="E1739">
        <v>1</v>
      </c>
      <c r="G1739" s="18">
        <v>2096100</v>
      </c>
      <c r="H1739">
        <v>1</v>
      </c>
    </row>
    <row r="1740" spans="1:8" x14ac:dyDescent="0.35">
      <c r="A1740" s="5">
        <v>7894591002</v>
      </c>
      <c r="B1740" s="6">
        <v>42942</v>
      </c>
      <c r="C1740" s="7">
        <v>0.36476851851851849</v>
      </c>
      <c r="D1740" s="8">
        <v>0.37505787037037036</v>
      </c>
      <c r="E1740">
        <v>1</v>
      </c>
      <c r="G1740" s="18">
        <v>1015521</v>
      </c>
      <c r="H1740">
        <v>1</v>
      </c>
    </row>
    <row r="1741" spans="1:8" x14ac:dyDescent="0.35">
      <c r="A1741" s="9">
        <v>26891502</v>
      </c>
      <c r="B1741" s="10">
        <v>42942</v>
      </c>
      <c r="C1741" s="11">
        <v>0.3697685185185185</v>
      </c>
      <c r="D1741" s="12">
        <v>0.37656250000000002</v>
      </c>
      <c r="E1741">
        <v>1</v>
      </c>
      <c r="G1741" s="18">
        <v>2104331</v>
      </c>
      <c r="H1741">
        <v>1</v>
      </c>
    </row>
    <row r="1742" spans="1:8" x14ac:dyDescent="0.35">
      <c r="A1742" s="5">
        <v>71021004</v>
      </c>
      <c r="B1742" s="6">
        <v>42942</v>
      </c>
      <c r="C1742" s="7">
        <v>0.37305555555555553</v>
      </c>
      <c r="D1742" s="8">
        <v>0.38090277777777776</v>
      </c>
      <c r="E1742">
        <v>1</v>
      </c>
      <c r="G1742" s="18">
        <v>1089768</v>
      </c>
      <c r="H1742">
        <v>1</v>
      </c>
    </row>
    <row r="1743" spans="1:8" x14ac:dyDescent="0.35">
      <c r="A1743" s="9">
        <v>17314583</v>
      </c>
      <c r="B1743" s="10">
        <v>42942</v>
      </c>
      <c r="C1743" s="11">
        <v>0.37843749999999998</v>
      </c>
      <c r="D1743" s="12">
        <v>0.38879629629629631</v>
      </c>
      <c r="E1743">
        <v>1</v>
      </c>
      <c r="G1743" s="18">
        <v>2111996</v>
      </c>
      <c r="H1743">
        <v>1</v>
      </c>
    </row>
    <row r="1744" spans="1:8" x14ac:dyDescent="0.35">
      <c r="A1744" s="5">
        <v>3972159</v>
      </c>
      <c r="B1744" s="6">
        <v>42942</v>
      </c>
      <c r="C1744" s="7">
        <v>0.37895833333333334</v>
      </c>
      <c r="D1744" s="8">
        <v>0.38263888888888886</v>
      </c>
      <c r="E1744">
        <v>1</v>
      </c>
      <c r="G1744" s="18">
        <v>1586675</v>
      </c>
      <c r="H1744">
        <v>1</v>
      </c>
    </row>
    <row r="1745" spans="1:8" x14ac:dyDescent="0.35">
      <c r="A1745" s="9">
        <v>94989369</v>
      </c>
      <c r="B1745" s="10">
        <v>42942</v>
      </c>
      <c r="C1745" s="11">
        <v>0.37965277777777778</v>
      </c>
      <c r="D1745" s="12">
        <v>0.39068287037037036</v>
      </c>
      <c r="E1745">
        <v>1</v>
      </c>
      <c r="G1745" s="18">
        <v>2117176</v>
      </c>
      <c r="H1745">
        <v>1</v>
      </c>
    </row>
    <row r="1746" spans="1:8" x14ac:dyDescent="0.35">
      <c r="A1746" s="5">
        <v>4857453</v>
      </c>
      <c r="B1746" s="6">
        <v>42942</v>
      </c>
      <c r="C1746" s="7">
        <v>0.38013888888888892</v>
      </c>
      <c r="D1746" s="8">
        <v>0.385625</v>
      </c>
      <c r="E1746">
        <v>1</v>
      </c>
      <c r="G1746" s="18">
        <v>1588418</v>
      </c>
      <c r="H1746">
        <v>1</v>
      </c>
    </row>
    <row r="1747" spans="1:8" x14ac:dyDescent="0.35">
      <c r="A1747" s="9">
        <v>7980513</v>
      </c>
      <c r="B1747" s="10">
        <v>42942</v>
      </c>
      <c r="C1747" s="11">
        <v>0.38197916666666665</v>
      </c>
      <c r="D1747" s="12">
        <v>0.38288194444444446</v>
      </c>
      <c r="E1747">
        <v>1</v>
      </c>
      <c r="G1747" s="18">
        <v>2128803</v>
      </c>
      <c r="H1747">
        <v>1</v>
      </c>
    </row>
    <row r="1748" spans="1:8" x14ac:dyDescent="0.35">
      <c r="A1748" s="5">
        <v>6896175</v>
      </c>
      <c r="B1748" s="6">
        <v>42942</v>
      </c>
      <c r="C1748" s="7">
        <v>0.38309027777777777</v>
      </c>
      <c r="D1748" s="8">
        <v>0.38425925925925924</v>
      </c>
      <c r="E1748">
        <v>1</v>
      </c>
      <c r="G1748" s="18">
        <v>1592822</v>
      </c>
      <c r="H1748">
        <v>1</v>
      </c>
    </row>
    <row r="1749" spans="1:8" x14ac:dyDescent="0.35">
      <c r="A1749" s="9">
        <v>1689993</v>
      </c>
      <c r="B1749" s="10">
        <v>42942</v>
      </c>
      <c r="C1749" s="11">
        <v>0.38337962962962963</v>
      </c>
      <c r="D1749" s="12">
        <v>0.38748842592592592</v>
      </c>
      <c r="E1749">
        <v>1</v>
      </c>
      <c r="G1749" s="18">
        <v>2135609</v>
      </c>
      <c r="H1749">
        <v>1</v>
      </c>
    </row>
    <row r="1750" spans="1:8" x14ac:dyDescent="0.35">
      <c r="A1750" s="5">
        <v>1183006</v>
      </c>
      <c r="B1750" s="6">
        <v>42942</v>
      </c>
      <c r="C1750" s="7">
        <v>0.38601851851851854</v>
      </c>
      <c r="D1750" s="8">
        <v>0.39283564814814814</v>
      </c>
      <c r="E1750">
        <v>1</v>
      </c>
      <c r="G1750" s="18">
        <v>1607422</v>
      </c>
      <c r="H1750">
        <v>1</v>
      </c>
    </row>
    <row r="1751" spans="1:8" x14ac:dyDescent="0.35">
      <c r="A1751" s="9">
        <v>9446278</v>
      </c>
      <c r="B1751" s="10">
        <v>42942</v>
      </c>
      <c r="C1751" s="11">
        <v>0.38871527777777776</v>
      </c>
      <c r="D1751" s="12">
        <v>0.38982638888888888</v>
      </c>
      <c r="E1751">
        <v>1</v>
      </c>
      <c r="G1751" s="18">
        <v>2150051</v>
      </c>
      <c r="H1751">
        <v>1</v>
      </c>
    </row>
    <row r="1752" spans="1:8" x14ac:dyDescent="0.35">
      <c r="A1752" s="5">
        <v>2445944</v>
      </c>
      <c r="B1752" s="6">
        <v>42942</v>
      </c>
      <c r="C1752" s="7">
        <v>0.3895601851851852</v>
      </c>
      <c r="D1752" s="8">
        <v>0.39548611111111109</v>
      </c>
      <c r="E1752">
        <v>1</v>
      </c>
      <c r="G1752" s="18">
        <v>1611389</v>
      </c>
      <c r="H1752">
        <v>1</v>
      </c>
    </row>
    <row r="1753" spans="1:8" x14ac:dyDescent="0.35">
      <c r="A1753" s="9">
        <v>4404713</v>
      </c>
      <c r="B1753" s="10">
        <v>42942</v>
      </c>
      <c r="C1753" s="11">
        <v>0.39533564814814814</v>
      </c>
      <c r="D1753" s="12">
        <v>0.39599537037037036</v>
      </c>
      <c r="E1753">
        <v>1</v>
      </c>
      <c r="G1753" s="18">
        <v>2158377</v>
      </c>
      <c r="H1753">
        <v>1</v>
      </c>
    </row>
    <row r="1754" spans="1:8" x14ac:dyDescent="0.35">
      <c r="A1754" s="5">
        <v>6495153</v>
      </c>
      <c r="B1754" s="6">
        <v>42942</v>
      </c>
      <c r="C1754" s="7">
        <v>0.4001736111111111</v>
      </c>
      <c r="D1754" s="8">
        <v>0.40406249999999999</v>
      </c>
      <c r="E1754">
        <v>1</v>
      </c>
      <c r="G1754" s="18">
        <v>1616328</v>
      </c>
      <c r="H1754">
        <v>1</v>
      </c>
    </row>
    <row r="1755" spans="1:8" x14ac:dyDescent="0.35">
      <c r="A1755" s="9">
        <v>2684831</v>
      </c>
      <c r="B1755" s="10">
        <v>42942</v>
      </c>
      <c r="C1755" s="11">
        <v>0.40130787037037036</v>
      </c>
      <c r="D1755" s="12">
        <v>0.40658564814814813</v>
      </c>
      <c r="E1755">
        <v>1</v>
      </c>
      <c r="G1755" s="18">
        <v>2184116</v>
      </c>
      <c r="H1755">
        <v>1</v>
      </c>
    </row>
    <row r="1756" spans="1:8" x14ac:dyDescent="0.35">
      <c r="A1756" s="5">
        <v>8748493</v>
      </c>
      <c r="B1756" s="6">
        <v>42942</v>
      </c>
      <c r="C1756" s="7">
        <v>0.40415509259259258</v>
      </c>
      <c r="D1756" s="8">
        <v>0.40443287037037035</v>
      </c>
      <c r="E1756">
        <v>1</v>
      </c>
      <c r="G1756" s="18">
        <v>1092699</v>
      </c>
      <c r="H1756">
        <v>1</v>
      </c>
    </row>
    <row r="1757" spans="1:8" x14ac:dyDescent="0.35">
      <c r="A1757" s="9">
        <v>7230252</v>
      </c>
      <c r="B1757" s="10">
        <v>42942</v>
      </c>
      <c r="C1757" s="11">
        <v>0.40771990740740743</v>
      </c>
      <c r="D1757" s="12">
        <v>0.41290509259259262</v>
      </c>
      <c r="E1757">
        <v>1</v>
      </c>
      <c r="G1757" s="18">
        <v>2186880</v>
      </c>
      <c r="H1757">
        <v>1</v>
      </c>
    </row>
    <row r="1758" spans="1:8" x14ac:dyDescent="0.35">
      <c r="A1758" s="5">
        <v>5082463</v>
      </c>
      <c r="B1758" s="6">
        <v>42942</v>
      </c>
      <c r="C1758" s="7">
        <v>0.41269675925925925</v>
      </c>
      <c r="D1758" s="8">
        <v>0.42046296296296298</v>
      </c>
      <c r="E1758">
        <v>1</v>
      </c>
      <c r="G1758" s="18">
        <v>1626862</v>
      </c>
      <c r="H1758">
        <v>1</v>
      </c>
    </row>
    <row r="1759" spans="1:8" x14ac:dyDescent="0.35">
      <c r="A1759" s="9">
        <v>1830054</v>
      </c>
      <c r="B1759" s="10">
        <v>42942</v>
      </c>
      <c r="C1759" s="11">
        <v>0.41390046296296296</v>
      </c>
      <c r="D1759" s="12">
        <v>0.42016203703703703</v>
      </c>
      <c r="E1759">
        <v>1</v>
      </c>
      <c r="G1759" s="18">
        <v>2193730</v>
      </c>
      <c r="H1759">
        <v>1</v>
      </c>
    </row>
    <row r="1760" spans="1:8" x14ac:dyDescent="0.35">
      <c r="A1760" s="5">
        <v>5223970</v>
      </c>
      <c r="B1760" s="6">
        <v>42942</v>
      </c>
      <c r="C1760" s="7">
        <v>0.41413194444444446</v>
      </c>
      <c r="D1760" s="8">
        <v>0.41684027777777777</v>
      </c>
      <c r="E1760">
        <v>1</v>
      </c>
      <c r="G1760" s="18">
        <v>1639829</v>
      </c>
      <c r="H1760">
        <v>1</v>
      </c>
    </row>
    <row r="1761" spans="1:8" x14ac:dyDescent="0.35">
      <c r="A1761" s="9">
        <v>8369071681</v>
      </c>
      <c r="B1761" s="10">
        <v>42942</v>
      </c>
      <c r="C1761" s="11">
        <v>0.41935185185185186</v>
      </c>
      <c r="D1761" s="12">
        <v>0.42133101851851851</v>
      </c>
      <c r="E1761">
        <v>1</v>
      </c>
      <c r="G1761" s="18">
        <v>2201085</v>
      </c>
      <c r="H1761">
        <v>1</v>
      </c>
    </row>
    <row r="1762" spans="1:8" x14ac:dyDescent="0.35">
      <c r="A1762" s="5">
        <v>5582631</v>
      </c>
      <c r="B1762" s="6">
        <v>42942</v>
      </c>
      <c r="C1762" s="7">
        <v>0.42229166666666668</v>
      </c>
      <c r="D1762" s="8">
        <v>0.42271990740740739</v>
      </c>
      <c r="E1762">
        <v>1</v>
      </c>
      <c r="G1762" s="18">
        <v>1640140</v>
      </c>
      <c r="H1762">
        <v>1</v>
      </c>
    </row>
    <row r="1763" spans="1:8" x14ac:dyDescent="0.35">
      <c r="A1763" s="9">
        <v>68043713</v>
      </c>
      <c r="B1763" s="10">
        <v>42942</v>
      </c>
      <c r="C1763" s="11">
        <v>0.42366898148148147</v>
      </c>
      <c r="D1763" s="12">
        <v>0.42792824074074076</v>
      </c>
      <c r="E1763">
        <v>1</v>
      </c>
      <c r="G1763" s="18">
        <v>1157434</v>
      </c>
      <c r="H1763">
        <v>1</v>
      </c>
    </row>
    <row r="1764" spans="1:8" x14ac:dyDescent="0.35">
      <c r="A1764" s="5">
        <v>89263578</v>
      </c>
      <c r="B1764" s="6">
        <v>42942</v>
      </c>
      <c r="C1764" s="7">
        <v>0.42912037037037037</v>
      </c>
      <c r="D1764" s="8">
        <v>0.43753472222222223</v>
      </c>
      <c r="E1764">
        <v>1</v>
      </c>
      <c r="G1764" s="18">
        <v>1640513</v>
      </c>
      <c r="H1764">
        <v>1</v>
      </c>
    </row>
    <row r="1765" spans="1:8" x14ac:dyDescent="0.35">
      <c r="A1765" s="9">
        <v>7511410</v>
      </c>
      <c r="B1765" s="10">
        <v>42942</v>
      </c>
      <c r="C1765" s="11">
        <v>0.43304398148148149</v>
      </c>
      <c r="D1765" s="12">
        <v>0.43761574074074072</v>
      </c>
      <c r="E1765">
        <v>1</v>
      </c>
      <c r="G1765" s="18">
        <v>2248131</v>
      </c>
      <c r="H1765">
        <v>1</v>
      </c>
    </row>
    <row r="1766" spans="1:8" x14ac:dyDescent="0.35">
      <c r="A1766" s="5">
        <v>2128803</v>
      </c>
      <c r="B1766" s="6">
        <v>42942</v>
      </c>
      <c r="C1766" s="7">
        <v>0.43815972222222221</v>
      </c>
      <c r="D1766" s="8">
        <v>0.44572916666666668</v>
      </c>
      <c r="E1766">
        <v>1</v>
      </c>
      <c r="G1766" s="18">
        <v>1649912</v>
      </c>
      <c r="H1766">
        <v>1</v>
      </c>
    </row>
    <row r="1767" spans="1:8" x14ac:dyDescent="0.35">
      <c r="A1767" s="9">
        <v>3135285</v>
      </c>
      <c r="B1767" s="10">
        <v>42942</v>
      </c>
      <c r="C1767" s="11">
        <v>0.43896990740740743</v>
      </c>
      <c r="D1767" s="12">
        <v>0.44863425925925926</v>
      </c>
      <c r="E1767">
        <v>1</v>
      </c>
      <c r="G1767" s="18">
        <v>2255197</v>
      </c>
      <c r="H1767">
        <v>1</v>
      </c>
    </row>
    <row r="1768" spans="1:8" x14ac:dyDescent="0.35">
      <c r="A1768" s="5">
        <v>5231877</v>
      </c>
      <c r="B1768" s="6">
        <v>42942</v>
      </c>
      <c r="C1768" s="7">
        <v>0.44265046296296295</v>
      </c>
      <c r="D1768" s="8">
        <v>0.45337962962962963</v>
      </c>
      <c r="E1768">
        <v>1</v>
      </c>
      <c r="G1768" s="18">
        <v>1659814</v>
      </c>
      <c r="H1768">
        <v>1</v>
      </c>
    </row>
    <row r="1769" spans="1:8" x14ac:dyDescent="0.35">
      <c r="A1769" s="9">
        <v>98391891</v>
      </c>
      <c r="B1769" s="10">
        <v>42942</v>
      </c>
      <c r="C1769" s="11">
        <v>0.44289351851851849</v>
      </c>
      <c r="D1769" s="12">
        <v>0.44364583333333335</v>
      </c>
      <c r="E1769">
        <v>1</v>
      </c>
      <c r="G1769" s="18">
        <v>2260131</v>
      </c>
      <c r="H1769">
        <v>1</v>
      </c>
    </row>
    <row r="1770" spans="1:8" x14ac:dyDescent="0.35">
      <c r="A1770" s="5">
        <v>9865524</v>
      </c>
      <c r="B1770" s="6">
        <v>42942</v>
      </c>
      <c r="C1770" s="7">
        <v>0.44298611111111114</v>
      </c>
      <c r="D1770" s="8">
        <v>0.45023148148148145</v>
      </c>
      <c r="E1770">
        <v>1</v>
      </c>
      <c r="G1770" s="18">
        <v>1100142</v>
      </c>
      <c r="H1770">
        <v>1</v>
      </c>
    </row>
    <row r="1771" spans="1:8" x14ac:dyDescent="0.35">
      <c r="A1771" s="9">
        <v>7988607</v>
      </c>
      <c r="B1771" s="10">
        <v>42942</v>
      </c>
      <c r="C1771" s="11">
        <v>0.44300925925925927</v>
      </c>
      <c r="D1771" s="12">
        <v>0.4513773148148148</v>
      </c>
      <c r="E1771">
        <v>1</v>
      </c>
      <c r="G1771" s="18">
        <v>2302227</v>
      </c>
      <c r="H1771">
        <v>1</v>
      </c>
    </row>
    <row r="1772" spans="1:8" x14ac:dyDescent="0.35">
      <c r="A1772" s="5">
        <v>4599598</v>
      </c>
      <c r="B1772" s="6">
        <v>42942</v>
      </c>
      <c r="C1772" s="7">
        <v>0.44710648148148147</v>
      </c>
      <c r="D1772" s="8">
        <v>0.45658564814814817</v>
      </c>
      <c r="E1772">
        <v>1</v>
      </c>
      <c r="G1772" s="18">
        <v>1677537</v>
      </c>
      <c r="H1772">
        <v>1</v>
      </c>
    </row>
    <row r="1773" spans="1:8" x14ac:dyDescent="0.35">
      <c r="A1773" s="9">
        <v>59984179</v>
      </c>
      <c r="B1773" s="10">
        <v>42942</v>
      </c>
      <c r="C1773" s="11">
        <v>0.44815972222222222</v>
      </c>
      <c r="D1773" s="12">
        <v>0.45435185185185184</v>
      </c>
      <c r="E1773">
        <v>1</v>
      </c>
      <c r="G1773" s="18">
        <v>2309436</v>
      </c>
      <c r="H1773">
        <v>1</v>
      </c>
    </row>
    <row r="1774" spans="1:8" x14ac:dyDescent="0.35">
      <c r="A1774" s="5">
        <v>9763924</v>
      </c>
      <c r="B1774" s="6">
        <v>42942</v>
      </c>
      <c r="C1774" s="7">
        <v>0.44972222222222225</v>
      </c>
      <c r="D1774" s="8">
        <v>0.45559027777777777</v>
      </c>
      <c r="E1774">
        <v>1</v>
      </c>
      <c r="G1774" s="18">
        <v>1679471</v>
      </c>
      <c r="H1774">
        <v>1</v>
      </c>
    </row>
    <row r="1775" spans="1:8" x14ac:dyDescent="0.35">
      <c r="A1775" s="9">
        <v>1531672</v>
      </c>
      <c r="B1775" s="10">
        <v>42942</v>
      </c>
      <c r="C1775" s="11">
        <v>0.45021990740740742</v>
      </c>
      <c r="D1775" s="12">
        <v>0.46079861111111109</v>
      </c>
      <c r="E1775">
        <v>1</v>
      </c>
      <c r="G1775" s="18">
        <v>2327418</v>
      </c>
      <c r="H1775">
        <v>1</v>
      </c>
    </row>
    <row r="1776" spans="1:8" x14ac:dyDescent="0.35">
      <c r="A1776" s="5">
        <v>59723258</v>
      </c>
      <c r="B1776" s="6">
        <v>42942</v>
      </c>
      <c r="C1776" s="7">
        <v>0.4503125</v>
      </c>
      <c r="D1776" s="8">
        <v>0.4601736111111111</v>
      </c>
      <c r="E1776">
        <v>1</v>
      </c>
      <c r="G1776" s="18">
        <v>1689993</v>
      </c>
      <c r="H1776">
        <v>1</v>
      </c>
    </row>
    <row r="1777" spans="1:8" x14ac:dyDescent="0.35">
      <c r="A1777" s="9">
        <v>6878722</v>
      </c>
      <c r="B1777" s="10">
        <v>42942</v>
      </c>
      <c r="C1777" s="11">
        <v>0.45333333333333331</v>
      </c>
      <c r="D1777" s="12">
        <v>0.45443287037037039</v>
      </c>
      <c r="E1777">
        <v>1</v>
      </c>
      <c r="G1777" s="18">
        <v>2341441</v>
      </c>
      <c r="H1777">
        <v>1</v>
      </c>
    </row>
    <row r="1778" spans="1:8" x14ac:dyDescent="0.35">
      <c r="A1778" s="5">
        <v>49278984</v>
      </c>
      <c r="B1778" s="6">
        <v>42942</v>
      </c>
      <c r="C1778" s="7">
        <v>0.45531250000000001</v>
      </c>
      <c r="D1778" s="8">
        <v>0.45717592592592593</v>
      </c>
      <c r="E1778">
        <v>1</v>
      </c>
      <c r="G1778" s="18">
        <v>1692981</v>
      </c>
      <c r="H1778">
        <v>1</v>
      </c>
    </row>
    <row r="1779" spans="1:8" x14ac:dyDescent="0.35">
      <c r="A1779" s="9">
        <v>5672312</v>
      </c>
      <c r="B1779" s="10">
        <v>42942</v>
      </c>
      <c r="C1779" s="11">
        <v>0.45554398148148151</v>
      </c>
      <c r="D1779" s="12">
        <v>0.45913194444444444</v>
      </c>
      <c r="E1779">
        <v>1</v>
      </c>
      <c r="G1779" s="18">
        <v>2355456</v>
      </c>
      <c r="H1779">
        <v>1</v>
      </c>
    </row>
    <row r="1780" spans="1:8" x14ac:dyDescent="0.35">
      <c r="A1780" s="5">
        <v>9716545</v>
      </c>
      <c r="B1780" s="6">
        <v>42942</v>
      </c>
      <c r="C1780" s="7">
        <v>0.45726851851851852</v>
      </c>
      <c r="D1780" s="8">
        <v>0.46751157407407407</v>
      </c>
      <c r="E1780">
        <v>1</v>
      </c>
      <c r="G1780" s="18">
        <v>1700508</v>
      </c>
      <c r="H1780">
        <v>1</v>
      </c>
    </row>
    <row r="1781" spans="1:8" x14ac:dyDescent="0.35">
      <c r="A1781" s="9">
        <v>97953696</v>
      </c>
      <c r="B1781" s="10">
        <v>42942</v>
      </c>
      <c r="C1781" s="11">
        <v>0.46297453703703706</v>
      </c>
      <c r="D1781" s="12">
        <v>0.47129629629629627</v>
      </c>
      <c r="E1781">
        <v>1</v>
      </c>
      <c r="G1781" s="18">
        <v>2388040</v>
      </c>
      <c r="H1781">
        <v>1</v>
      </c>
    </row>
    <row r="1782" spans="1:8" x14ac:dyDescent="0.35">
      <c r="A1782" s="5">
        <v>18636086</v>
      </c>
      <c r="B1782" s="6">
        <v>42942</v>
      </c>
      <c r="C1782" s="7">
        <v>0.46431712962962962</v>
      </c>
      <c r="D1782" s="8">
        <v>0.47060185185185183</v>
      </c>
      <c r="E1782">
        <v>1</v>
      </c>
      <c r="G1782" s="18">
        <v>1701008</v>
      </c>
      <c r="H1782">
        <v>1</v>
      </c>
    </row>
    <row r="1783" spans="1:8" x14ac:dyDescent="0.35">
      <c r="A1783" s="9">
        <v>2071691</v>
      </c>
      <c r="B1783" s="10">
        <v>42942</v>
      </c>
      <c r="C1783" s="11">
        <v>0.46703703703703703</v>
      </c>
      <c r="D1783" s="12">
        <v>0.47262731481481479</v>
      </c>
      <c r="E1783">
        <v>1</v>
      </c>
      <c r="G1783" s="18">
        <v>2395447</v>
      </c>
      <c r="H1783">
        <v>1</v>
      </c>
    </row>
    <row r="1784" spans="1:8" x14ac:dyDescent="0.35">
      <c r="A1784" s="5">
        <v>8023179</v>
      </c>
      <c r="B1784" s="6">
        <v>42942</v>
      </c>
      <c r="C1784" s="7">
        <v>0.46703703703703703</v>
      </c>
      <c r="D1784" s="8">
        <v>0.47568287037037038</v>
      </c>
      <c r="E1784">
        <v>1</v>
      </c>
      <c r="G1784" s="18">
        <v>1709455</v>
      </c>
      <c r="H1784">
        <v>1</v>
      </c>
    </row>
    <row r="1785" spans="1:8" x14ac:dyDescent="0.35">
      <c r="A1785" s="9">
        <v>3533421</v>
      </c>
      <c r="B1785" s="10">
        <v>42942</v>
      </c>
      <c r="C1785" s="11">
        <v>0.47266203703703702</v>
      </c>
      <c r="D1785" s="12">
        <v>0.48297453703703702</v>
      </c>
      <c r="E1785">
        <v>1</v>
      </c>
      <c r="G1785" s="18">
        <v>2402827</v>
      </c>
      <c r="H1785">
        <v>1</v>
      </c>
    </row>
    <row r="1786" spans="1:8" x14ac:dyDescent="0.35">
      <c r="A1786" s="5">
        <v>1160932</v>
      </c>
      <c r="B1786" s="6">
        <v>42942</v>
      </c>
      <c r="C1786" s="7">
        <v>0.47515046296296298</v>
      </c>
      <c r="D1786" s="8">
        <v>0.47552083333333334</v>
      </c>
      <c r="E1786">
        <v>1</v>
      </c>
      <c r="G1786" s="18">
        <v>1714791</v>
      </c>
      <c r="H1786">
        <v>1</v>
      </c>
    </row>
    <row r="1787" spans="1:8" x14ac:dyDescent="0.35">
      <c r="A1787" s="9">
        <v>6320579</v>
      </c>
      <c r="B1787" s="10">
        <v>42942</v>
      </c>
      <c r="C1787" s="11">
        <v>0.48082175925925924</v>
      </c>
      <c r="D1787" s="12">
        <v>0.48585648148148147</v>
      </c>
      <c r="E1787">
        <v>1</v>
      </c>
      <c r="G1787" s="18">
        <v>2412611</v>
      </c>
      <c r="H1787">
        <v>1</v>
      </c>
    </row>
    <row r="1788" spans="1:8" x14ac:dyDescent="0.35">
      <c r="A1788" s="5">
        <v>6021417</v>
      </c>
      <c r="B1788" s="6">
        <v>42942</v>
      </c>
      <c r="C1788" s="7">
        <v>0.48534722222222221</v>
      </c>
      <c r="D1788" s="8">
        <v>0.48814814814814816</v>
      </c>
      <c r="E1788">
        <v>1</v>
      </c>
      <c r="G1788" s="18">
        <v>1715377</v>
      </c>
      <c r="H1788">
        <v>1</v>
      </c>
    </row>
    <row r="1789" spans="1:8" x14ac:dyDescent="0.35">
      <c r="A1789" s="9">
        <v>3638658</v>
      </c>
      <c r="B1789" s="10">
        <v>42942</v>
      </c>
      <c r="C1789" s="11">
        <v>0.48700231481481482</v>
      </c>
      <c r="D1789" s="12">
        <v>0.49305555555555558</v>
      </c>
      <c r="E1789">
        <v>1</v>
      </c>
      <c r="G1789" s="18">
        <v>2419817</v>
      </c>
      <c r="H1789">
        <v>1</v>
      </c>
    </row>
    <row r="1790" spans="1:8" x14ac:dyDescent="0.35">
      <c r="A1790" s="5">
        <v>7595348</v>
      </c>
      <c r="B1790" s="6">
        <v>42942</v>
      </c>
      <c r="C1790" s="7">
        <v>0.48849537037037039</v>
      </c>
      <c r="D1790" s="8">
        <v>0.49665509259259261</v>
      </c>
      <c r="E1790">
        <v>1</v>
      </c>
      <c r="G1790" s="18">
        <v>1721264</v>
      </c>
      <c r="H1790">
        <v>1</v>
      </c>
    </row>
    <row r="1791" spans="1:8" x14ac:dyDescent="0.35">
      <c r="A1791" s="9">
        <v>6637746981</v>
      </c>
      <c r="B1791" s="10">
        <v>42942</v>
      </c>
      <c r="C1791" s="11">
        <v>0.49020833333333336</v>
      </c>
      <c r="D1791" s="12">
        <v>0.49932870370370369</v>
      </c>
      <c r="E1791">
        <v>1</v>
      </c>
      <c r="G1791" s="18">
        <v>2435007</v>
      </c>
      <c r="H1791">
        <v>1</v>
      </c>
    </row>
    <row r="1792" spans="1:8" x14ac:dyDescent="0.35">
      <c r="A1792" s="5">
        <v>8501947</v>
      </c>
      <c r="B1792" s="6">
        <v>42942</v>
      </c>
      <c r="C1792" s="7">
        <v>0.49135416666666665</v>
      </c>
      <c r="D1792" s="8">
        <v>0.49472222222222223</v>
      </c>
      <c r="E1792">
        <v>1</v>
      </c>
      <c r="G1792" s="18">
        <v>1734512</v>
      </c>
      <c r="H1792">
        <v>1</v>
      </c>
    </row>
    <row r="1793" spans="1:8" x14ac:dyDescent="0.35">
      <c r="A1793" s="9">
        <v>85666950</v>
      </c>
      <c r="B1793" s="10">
        <v>42942</v>
      </c>
      <c r="C1793" s="11">
        <v>0.49417824074074074</v>
      </c>
      <c r="D1793" s="12">
        <v>0.50312500000000004</v>
      </c>
      <c r="E1793">
        <v>1</v>
      </c>
      <c r="G1793" s="18">
        <v>2445944</v>
      </c>
      <c r="H1793">
        <v>1</v>
      </c>
    </row>
    <row r="1794" spans="1:8" x14ac:dyDescent="0.35">
      <c r="A1794" s="5">
        <v>72289518</v>
      </c>
      <c r="B1794" s="6">
        <v>42942</v>
      </c>
      <c r="C1794" s="7">
        <v>0.49541666666666667</v>
      </c>
      <c r="D1794" s="8">
        <v>0.49947916666666664</v>
      </c>
      <c r="E1794">
        <v>1</v>
      </c>
      <c r="G1794" s="18">
        <v>1739364</v>
      </c>
      <c r="H1794">
        <v>1</v>
      </c>
    </row>
    <row r="1795" spans="1:8" x14ac:dyDescent="0.35">
      <c r="A1795" s="9">
        <v>4419123</v>
      </c>
      <c r="B1795" s="10">
        <v>42942</v>
      </c>
      <c r="C1795" s="11">
        <v>0.49952546296296296</v>
      </c>
      <c r="D1795" s="12">
        <v>0.50207175925925929</v>
      </c>
      <c r="E1795">
        <v>1</v>
      </c>
      <c r="G1795" s="18">
        <v>2462682</v>
      </c>
      <c r="H1795">
        <v>1</v>
      </c>
    </row>
    <row r="1796" spans="1:8" x14ac:dyDescent="0.35">
      <c r="A1796" s="5">
        <v>75645195</v>
      </c>
      <c r="B1796" s="6">
        <v>42942</v>
      </c>
      <c r="C1796" s="7">
        <v>0.5046180555555555</v>
      </c>
      <c r="D1796" s="8">
        <v>0.50491898148148151</v>
      </c>
      <c r="E1796">
        <v>1</v>
      </c>
      <c r="G1796" s="18">
        <v>1740380</v>
      </c>
      <c r="H1796">
        <v>1</v>
      </c>
    </row>
    <row r="1797" spans="1:8" x14ac:dyDescent="0.35">
      <c r="A1797" s="9">
        <v>4305960</v>
      </c>
      <c r="B1797" s="10">
        <v>42942</v>
      </c>
      <c r="C1797" s="11">
        <v>0.50671296296296298</v>
      </c>
      <c r="D1797" s="12">
        <v>0.51233796296296297</v>
      </c>
      <c r="E1797">
        <v>1</v>
      </c>
      <c r="G1797" s="18">
        <v>2474506</v>
      </c>
      <c r="H1797">
        <v>1</v>
      </c>
    </row>
    <row r="1798" spans="1:8" x14ac:dyDescent="0.35">
      <c r="A1798" s="5">
        <v>21681406</v>
      </c>
      <c r="B1798" s="6">
        <v>42942</v>
      </c>
      <c r="C1798" s="7">
        <v>0.50876157407407407</v>
      </c>
      <c r="D1798" s="8">
        <v>0.51472222222222219</v>
      </c>
      <c r="E1798">
        <v>1</v>
      </c>
      <c r="G1798" s="18">
        <v>1747389</v>
      </c>
      <c r="H1798">
        <v>1</v>
      </c>
    </row>
    <row r="1799" spans="1:8" x14ac:dyDescent="0.35">
      <c r="A1799" s="9">
        <v>6401011</v>
      </c>
      <c r="B1799" s="10">
        <v>42942</v>
      </c>
      <c r="C1799" s="11">
        <v>0.51140046296296293</v>
      </c>
      <c r="D1799" s="12">
        <v>0.5186574074074074</v>
      </c>
      <c r="E1799">
        <v>1</v>
      </c>
      <c r="G1799" s="18">
        <v>2478461</v>
      </c>
      <c r="H1799">
        <v>1</v>
      </c>
    </row>
    <row r="1800" spans="1:8" x14ac:dyDescent="0.35">
      <c r="A1800" s="5">
        <v>1879412</v>
      </c>
      <c r="B1800" s="6">
        <v>42942</v>
      </c>
      <c r="C1800" s="7">
        <v>0.51546296296296301</v>
      </c>
      <c r="D1800" s="8">
        <v>0.52481481481481485</v>
      </c>
      <c r="E1800">
        <v>1</v>
      </c>
      <c r="G1800" s="18">
        <v>1761255</v>
      </c>
      <c r="H1800">
        <v>1</v>
      </c>
    </row>
    <row r="1801" spans="1:8" x14ac:dyDescent="0.35">
      <c r="A1801" s="9">
        <v>6218089</v>
      </c>
      <c r="B1801" s="10">
        <v>42942</v>
      </c>
      <c r="C1801" s="11">
        <v>0.51712962962962961</v>
      </c>
      <c r="D1801" s="12">
        <v>0.52177083333333329</v>
      </c>
      <c r="E1801">
        <v>1</v>
      </c>
      <c r="G1801" s="18">
        <v>2492731</v>
      </c>
      <c r="H1801">
        <v>1</v>
      </c>
    </row>
    <row r="1802" spans="1:8" x14ac:dyDescent="0.35">
      <c r="A1802" s="5">
        <v>3408462348</v>
      </c>
      <c r="B1802" s="6">
        <v>42942</v>
      </c>
      <c r="C1802" s="7">
        <v>0.52173611111111107</v>
      </c>
      <c r="D1802" s="8">
        <v>0.52998842592592588</v>
      </c>
      <c r="E1802">
        <v>1</v>
      </c>
      <c r="G1802" s="18">
        <v>1766133</v>
      </c>
      <c r="H1802">
        <v>1</v>
      </c>
    </row>
    <row r="1803" spans="1:8" x14ac:dyDescent="0.35">
      <c r="A1803" s="9">
        <v>9535780</v>
      </c>
      <c r="B1803" s="10">
        <v>42942</v>
      </c>
      <c r="C1803" s="11">
        <v>0.52265046296296291</v>
      </c>
      <c r="D1803" s="12">
        <v>0.53091435185185187</v>
      </c>
      <c r="E1803">
        <v>1</v>
      </c>
      <c r="G1803" s="18">
        <v>2509631</v>
      </c>
      <c r="H1803">
        <v>1</v>
      </c>
    </row>
    <row r="1804" spans="1:8" x14ac:dyDescent="0.35">
      <c r="A1804" s="5">
        <v>4945889</v>
      </c>
      <c r="B1804" s="6">
        <v>42942</v>
      </c>
      <c r="C1804" s="7">
        <v>0.52790509259259255</v>
      </c>
      <c r="D1804" s="8">
        <v>0.53581018518518519</v>
      </c>
      <c r="E1804">
        <v>1</v>
      </c>
      <c r="G1804" s="18">
        <v>1775131</v>
      </c>
      <c r="H1804">
        <v>1</v>
      </c>
    </row>
    <row r="1805" spans="1:8" x14ac:dyDescent="0.35">
      <c r="A1805" s="9">
        <v>8985437</v>
      </c>
      <c r="B1805" s="10">
        <v>42942</v>
      </c>
      <c r="C1805" s="11">
        <v>0.52937500000000004</v>
      </c>
      <c r="D1805" s="12">
        <v>0.53609953703703705</v>
      </c>
      <c r="E1805">
        <v>1</v>
      </c>
      <c r="G1805" s="18">
        <v>2515441</v>
      </c>
      <c r="H1805">
        <v>1</v>
      </c>
    </row>
    <row r="1806" spans="1:8" x14ac:dyDescent="0.35">
      <c r="A1806" s="5">
        <v>57891628</v>
      </c>
      <c r="B1806" s="6">
        <v>42942</v>
      </c>
      <c r="C1806" s="7">
        <v>0.53282407407407406</v>
      </c>
      <c r="D1806" s="8">
        <v>0.53501157407407407</v>
      </c>
      <c r="E1806">
        <v>1</v>
      </c>
      <c r="G1806" s="18">
        <v>1025756</v>
      </c>
      <c r="H1806">
        <v>1</v>
      </c>
    </row>
    <row r="1807" spans="1:8" x14ac:dyDescent="0.35">
      <c r="A1807" s="9">
        <v>9772824</v>
      </c>
      <c r="B1807" s="10">
        <v>42942</v>
      </c>
      <c r="C1807" s="11">
        <v>0.53344907407407405</v>
      </c>
      <c r="D1807" s="12">
        <v>0.54386574074074079</v>
      </c>
      <c r="E1807">
        <v>1</v>
      </c>
      <c r="G1807" s="18">
        <v>2557668</v>
      </c>
      <c r="H1807">
        <v>1</v>
      </c>
    </row>
    <row r="1808" spans="1:8" x14ac:dyDescent="0.35">
      <c r="A1808" s="5">
        <v>4154521</v>
      </c>
      <c r="B1808" s="6">
        <v>42942</v>
      </c>
      <c r="C1808" s="7">
        <v>0.53439814814814812</v>
      </c>
      <c r="D1808" s="8">
        <v>0.53813657407407411</v>
      </c>
      <c r="E1808">
        <v>1</v>
      </c>
      <c r="G1808" s="18">
        <v>1117708</v>
      </c>
      <c r="H1808">
        <v>1</v>
      </c>
    </row>
    <row r="1809" spans="1:8" x14ac:dyDescent="0.35">
      <c r="A1809" s="9">
        <v>96977805</v>
      </c>
      <c r="B1809" s="10">
        <v>42942</v>
      </c>
      <c r="C1809" s="11">
        <v>0.53601851851851856</v>
      </c>
      <c r="D1809" s="12">
        <v>0.54394675925925928</v>
      </c>
      <c r="E1809">
        <v>1</v>
      </c>
      <c r="G1809" s="18">
        <v>2569721</v>
      </c>
      <c r="H1809">
        <v>1</v>
      </c>
    </row>
    <row r="1810" spans="1:8" x14ac:dyDescent="0.35">
      <c r="A1810" s="5">
        <v>24665933</v>
      </c>
      <c r="B1810" s="6">
        <v>42942</v>
      </c>
      <c r="C1810" s="7">
        <v>0.53666666666666663</v>
      </c>
      <c r="D1810" s="8">
        <v>0.5370949074074074</v>
      </c>
      <c r="E1810">
        <v>1</v>
      </c>
      <c r="G1810" s="18">
        <v>2701816</v>
      </c>
      <c r="H1810">
        <v>1</v>
      </c>
    </row>
    <row r="1811" spans="1:8" x14ac:dyDescent="0.35">
      <c r="A1811" s="9">
        <v>5465004</v>
      </c>
      <c r="B1811" s="10">
        <v>42942</v>
      </c>
      <c r="C1811" s="11">
        <v>0.54017361111111106</v>
      </c>
      <c r="D1811" s="12">
        <v>0.54915509259259254</v>
      </c>
      <c r="E1811">
        <v>1</v>
      </c>
      <c r="G1811" s="18">
        <v>2573868</v>
      </c>
      <c r="H1811">
        <v>1</v>
      </c>
    </row>
    <row r="1812" spans="1:8" x14ac:dyDescent="0.35">
      <c r="A1812" s="5">
        <v>9560827</v>
      </c>
      <c r="B1812" s="6">
        <v>42942</v>
      </c>
      <c r="C1812" s="7">
        <v>0.54069444444444448</v>
      </c>
      <c r="D1812" s="8">
        <v>0.55103009259259261</v>
      </c>
      <c r="E1812">
        <v>1</v>
      </c>
      <c r="G1812" s="18">
        <v>2723614</v>
      </c>
      <c r="H1812">
        <v>1</v>
      </c>
    </row>
    <row r="1813" spans="1:8" x14ac:dyDescent="0.35">
      <c r="A1813" s="9">
        <v>3443287</v>
      </c>
      <c r="B1813" s="10">
        <v>42942</v>
      </c>
      <c r="C1813" s="11">
        <v>0.54593749999999996</v>
      </c>
      <c r="D1813" s="12">
        <v>0.55622685185185183</v>
      </c>
      <c r="E1813">
        <v>1</v>
      </c>
      <c r="G1813" s="18">
        <v>2585298</v>
      </c>
      <c r="H1813">
        <v>1</v>
      </c>
    </row>
    <row r="1814" spans="1:8" x14ac:dyDescent="0.35">
      <c r="A1814" s="5">
        <v>7551668</v>
      </c>
      <c r="B1814" s="6">
        <v>42942</v>
      </c>
      <c r="C1814" s="7">
        <v>0.55053240740740739</v>
      </c>
      <c r="D1814" s="8">
        <v>0.55672453703703706</v>
      </c>
      <c r="E1814">
        <v>1</v>
      </c>
      <c r="G1814" s="18">
        <v>2733008</v>
      </c>
      <c r="H1814">
        <v>1</v>
      </c>
    </row>
    <row r="1815" spans="1:8" x14ac:dyDescent="0.35">
      <c r="A1815" s="9">
        <v>3189059</v>
      </c>
      <c r="B1815" s="10">
        <v>42942</v>
      </c>
      <c r="C1815" s="11">
        <v>0.55462962962962958</v>
      </c>
      <c r="D1815" s="12">
        <v>0.56101851851851847</v>
      </c>
      <c r="E1815">
        <v>1</v>
      </c>
      <c r="G1815" s="18">
        <v>2603125</v>
      </c>
      <c r="H1815">
        <v>1</v>
      </c>
    </row>
    <row r="1816" spans="1:8" x14ac:dyDescent="0.35">
      <c r="A1816" s="5">
        <v>9061957</v>
      </c>
      <c r="B1816" s="6">
        <v>42942</v>
      </c>
      <c r="C1816" s="7">
        <v>0.55604166666666666</v>
      </c>
      <c r="D1816" s="8">
        <v>0.56381944444444443</v>
      </c>
      <c r="E1816">
        <v>1</v>
      </c>
      <c r="G1816" s="18">
        <v>2750193</v>
      </c>
      <c r="H1816">
        <v>1</v>
      </c>
    </row>
    <row r="1817" spans="1:8" x14ac:dyDescent="0.35">
      <c r="A1817" s="9">
        <v>2109147679</v>
      </c>
      <c r="B1817" s="10">
        <v>42942</v>
      </c>
      <c r="C1817" s="11">
        <v>0.56098379629629624</v>
      </c>
      <c r="D1817" s="12">
        <v>0.56753472222222223</v>
      </c>
      <c r="E1817">
        <v>1</v>
      </c>
      <c r="G1817" s="18">
        <v>2611045</v>
      </c>
      <c r="H1817">
        <v>1</v>
      </c>
    </row>
    <row r="1818" spans="1:8" x14ac:dyDescent="0.35">
      <c r="A1818" s="5">
        <v>59508384</v>
      </c>
      <c r="B1818" s="6">
        <v>42942</v>
      </c>
      <c r="C1818" s="7">
        <v>0.56232638888888886</v>
      </c>
      <c r="D1818" s="8">
        <v>0.56594907407407402</v>
      </c>
      <c r="E1818">
        <v>1</v>
      </c>
      <c r="G1818" s="18">
        <v>1814327</v>
      </c>
      <c r="H1818">
        <v>1</v>
      </c>
    </row>
    <row r="1819" spans="1:8" x14ac:dyDescent="0.35">
      <c r="A1819" s="9">
        <v>48529464</v>
      </c>
      <c r="B1819" s="10">
        <v>42942</v>
      </c>
      <c r="C1819" s="11">
        <v>0.56283564814814813</v>
      </c>
      <c r="D1819" s="12">
        <v>0.56427083333333339</v>
      </c>
      <c r="E1819">
        <v>1</v>
      </c>
      <c r="G1819" s="18">
        <v>2631285</v>
      </c>
      <c r="H1819">
        <v>1</v>
      </c>
    </row>
    <row r="1820" spans="1:8" x14ac:dyDescent="0.35">
      <c r="A1820" s="5">
        <v>4082744</v>
      </c>
      <c r="B1820" s="6">
        <v>42942</v>
      </c>
      <c r="C1820" s="7">
        <v>0.56481481481481477</v>
      </c>
      <c r="D1820" s="8">
        <v>0.57565972222222217</v>
      </c>
      <c r="E1820">
        <v>1</v>
      </c>
      <c r="G1820" s="18">
        <v>1816002</v>
      </c>
      <c r="H1820">
        <v>1</v>
      </c>
    </row>
    <row r="1821" spans="1:8" x14ac:dyDescent="0.35">
      <c r="A1821" s="9">
        <v>2395447</v>
      </c>
      <c r="B1821" s="10">
        <v>42942</v>
      </c>
      <c r="C1821" s="11">
        <v>0.56805555555555554</v>
      </c>
      <c r="D1821" s="12">
        <v>0.56937499999999996</v>
      </c>
      <c r="E1821">
        <v>1</v>
      </c>
      <c r="G1821" s="18">
        <v>2636055</v>
      </c>
      <c r="H1821">
        <v>1</v>
      </c>
    </row>
    <row r="1822" spans="1:8" x14ac:dyDescent="0.35">
      <c r="A1822" s="5">
        <v>96620804</v>
      </c>
      <c r="B1822" s="6">
        <v>42942</v>
      </c>
      <c r="C1822" s="7">
        <v>0.56945601851851857</v>
      </c>
      <c r="D1822" s="8">
        <v>0.5776041666666667</v>
      </c>
      <c r="E1822">
        <v>1</v>
      </c>
      <c r="G1822" s="18">
        <v>1829028</v>
      </c>
      <c r="H1822">
        <v>1</v>
      </c>
    </row>
    <row r="1823" spans="1:8" x14ac:dyDescent="0.35">
      <c r="A1823" s="9">
        <v>9489003225</v>
      </c>
      <c r="B1823" s="10">
        <v>42942</v>
      </c>
      <c r="C1823" s="11">
        <v>0.57263888888888892</v>
      </c>
      <c r="D1823" s="12">
        <v>0.57309027777777777</v>
      </c>
      <c r="E1823">
        <v>1</v>
      </c>
      <c r="G1823" s="18">
        <v>2645518</v>
      </c>
      <c r="H1823">
        <v>1</v>
      </c>
    </row>
    <row r="1824" spans="1:8" x14ac:dyDescent="0.35">
      <c r="A1824" s="5">
        <v>6897893</v>
      </c>
      <c r="B1824" s="6">
        <v>42942</v>
      </c>
      <c r="C1824" s="7">
        <v>0.57662037037037039</v>
      </c>
      <c r="D1824" s="8">
        <v>0.58204861111111106</v>
      </c>
      <c r="E1824">
        <v>1</v>
      </c>
      <c r="G1824" s="18">
        <v>1830054</v>
      </c>
      <c r="H1824">
        <v>1</v>
      </c>
    </row>
    <row r="1825" spans="1:8" x14ac:dyDescent="0.35">
      <c r="A1825" s="9">
        <v>9759222</v>
      </c>
      <c r="B1825" s="10">
        <v>42942</v>
      </c>
      <c r="C1825" s="11">
        <v>0.58021990740740736</v>
      </c>
      <c r="D1825" s="12">
        <v>0.58726851851851847</v>
      </c>
      <c r="E1825">
        <v>1</v>
      </c>
      <c r="G1825" s="18">
        <v>2663800</v>
      </c>
      <c r="H1825">
        <v>1</v>
      </c>
    </row>
    <row r="1826" spans="1:8" x14ac:dyDescent="0.35">
      <c r="A1826" s="5">
        <v>39793981</v>
      </c>
      <c r="B1826" s="6">
        <v>42942</v>
      </c>
      <c r="C1826" s="7">
        <v>0.58101851851851849</v>
      </c>
      <c r="D1826" s="8">
        <v>0.58164351851851848</v>
      </c>
      <c r="E1826">
        <v>1</v>
      </c>
      <c r="G1826" s="18">
        <v>1830251</v>
      </c>
      <c r="H1826">
        <v>1</v>
      </c>
    </row>
    <row r="1827" spans="1:8" x14ac:dyDescent="0.35">
      <c r="A1827" s="9">
        <v>3759991</v>
      </c>
      <c r="B1827" s="10">
        <v>42942</v>
      </c>
      <c r="C1827" s="11">
        <v>0.58408564814814812</v>
      </c>
      <c r="D1827" s="12">
        <v>0.58677083333333335</v>
      </c>
      <c r="E1827">
        <v>1</v>
      </c>
      <c r="G1827" s="18">
        <v>2672229</v>
      </c>
      <c r="H1827">
        <v>1</v>
      </c>
    </row>
    <row r="1828" spans="1:8" x14ac:dyDescent="0.35">
      <c r="A1828" s="5">
        <v>37838778</v>
      </c>
      <c r="B1828" s="6">
        <v>42942</v>
      </c>
      <c r="C1828" s="7">
        <v>0.58770833333333339</v>
      </c>
      <c r="D1828" s="8">
        <v>0.59591435185185182</v>
      </c>
      <c r="E1828">
        <v>1</v>
      </c>
      <c r="G1828" s="18">
        <v>1837797</v>
      </c>
      <c r="H1828">
        <v>1</v>
      </c>
    </row>
    <row r="1829" spans="1:8" x14ac:dyDescent="0.35">
      <c r="A1829" s="9">
        <v>3785540</v>
      </c>
      <c r="B1829" s="10">
        <v>42942</v>
      </c>
      <c r="C1829" s="11">
        <v>0.59261574074074075</v>
      </c>
      <c r="D1829" s="12">
        <v>0.60343749999999996</v>
      </c>
      <c r="E1829">
        <v>1</v>
      </c>
      <c r="G1829" s="18">
        <v>2684831</v>
      </c>
      <c r="H1829">
        <v>1</v>
      </c>
    </row>
    <row r="1830" spans="1:8" x14ac:dyDescent="0.35">
      <c r="A1830" s="5">
        <v>9689833</v>
      </c>
      <c r="B1830" s="6">
        <v>42942</v>
      </c>
      <c r="C1830" s="7">
        <v>0.5932291666666667</v>
      </c>
      <c r="D1830" s="8">
        <v>0.59943287037037041</v>
      </c>
      <c r="E1830">
        <v>1</v>
      </c>
      <c r="G1830" s="18">
        <v>1859884</v>
      </c>
      <c r="H1830">
        <v>1</v>
      </c>
    </row>
    <row r="1831" spans="1:8" x14ac:dyDescent="0.35">
      <c r="A1831" s="9">
        <v>8136309</v>
      </c>
      <c r="B1831" s="10">
        <v>42942</v>
      </c>
      <c r="C1831" s="11">
        <v>0.59876157407407404</v>
      </c>
      <c r="D1831" s="12">
        <v>0.60951388888888891</v>
      </c>
      <c r="E1831">
        <v>1</v>
      </c>
      <c r="G1831" s="18">
        <v>1166111</v>
      </c>
      <c r="H1831">
        <v>1</v>
      </c>
    </row>
    <row r="1832" spans="1:8" x14ac:dyDescent="0.35">
      <c r="A1832" s="5">
        <v>1177203</v>
      </c>
      <c r="B1832" s="6">
        <v>42942</v>
      </c>
      <c r="C1832" s="7">
        <v>0.60384259259259254</v>
      </c>
      <c r="D1832" s="8">
        <v>0.60452546296296295</v>
      </c>
      <c r="E1832">
        <v>1</v>
      </c>
      <c r="G1832" s="18">
        <v>1867016</v>
      </c>
      <c r="H1832">
        <v>1</v>
      </c>
    </row>
    <row r="1833" spans="1:8" x14ac:dyDescent="0.35">
      <c r="A1833" s="9">
        <v>6060835</v>
      </c>
      <c r="B1833" s="10">
        <v>42942</v>
      </c>
      <c r="C1833" s="11">
        <v>0.60623842592592592</v>
      </c>
      <c r="D1833" s="12">
        <v>0.61055555555555552</v>
      </c>
      <c r="E1833">
        <v>1</v>
      </c>
      <c r="G1833" s="18">
        <v>1797960</v>
      </c>
      <c r="H1833">
        <v>1</v>
      </c>
    </row>
    <row r="1834" spans="1:8" x14ac:dyDescent="0.35">
      <c r="A1834" s="5">
        <v>8534481</v>
      </c>
      <c r="B1834" s="6">
        <v>42942</v>
      </c>
      <c r="C1834" s="7">
        <v>0.60950231481481476</v>
      </c>
      <c r="D1834" s="8">
        <v>0.61940972222222224</v>
      </c>
      <c r="E1834">
        <v>1</v>
      </c>
      <c r="G1834" s="18">
        <v>2731955</v>
      </c>
      <c r="H1834">
        <v>1</v>
      </c>
    </row>
    <row r="1835" spans="1:8" x14ac:dyDescent="0.35">
      <c r="A1835" s="9">
        <v>4959594</v>
      </c>
      <c r="B1835" s="10">
        <v>42942</v>
      </c>
      <c r="C1835" s="11">
        <v>0.61371527777777779</v>
      </c>
      <c r="D1835" s="12">
        <v>0.6235532407407407</v>
      </c>
      <c r="E1835">
        <v>1</v>
      </c>
      <c r="G1835" s="18">
        <v>1808444</v>
      </c>
      <c r="H1835">
        <v>1</v>
      </c>
    </row>
    <row r="1836" spans="1:8" x14ac:dyDescent="0.35">
      <c r="A1836" s="5">
        <v>1047809</v>
      </c>
      <c r="B1836" s="6">
        <v>42942</v>
      </c>
      <c r="C1836" s="7">
        <v>0.61724537037037042</v>
      </c>
      <c r="D1836" s="8">
        <v>0.62866898148148154</v>
      </c>
      <c r="E1836">
        <v>1</v>
      </c>
      <c r="G1836" s="18">
        <v>2741017</v>
      </c>
      <c r="H1836">
        <v>1</v>
      </c>
    </row>
    <row r="1837" spans="1:8" x14ac:dyDescent="0.35">
      <c r="A1837" s="9">
        <v>3437033</v>
      </c>
      <c r="B1837" s="10">
        <v>42942</v>
      </c>
      <c r="C1837" s="11">
        <v>0.62089120370370365</v>
      </c>
      <c r="D1837" s="12">
        <v>0.62159722222222225</v>
      </c>
      <c r="E1837">
        <v>1</v>
      </c>
      <c r="G1837" s="18">
        <v>1809111</v>
      </c>
      <c r="H1837">
        <v>1</v>
      </c>
    </row>
    <row r="1838" spans="1:8" x14ac:dyDescent="0.35">
      <c r="A1838" s="5">
        <v>6801890</v>
      </c>
      <c r="B1838" s="6">
        <v>42942</v>
      </c>
      <c r="C1838" s="7">
        <v>0.62467592592592591</v>
      </c>
      <c r="D1838" s="8">
        <v>0.62690972222222219</v>
      </c>
      <c r="E1838">
        <v>1</v>
      </c>
      <c r="G1838" s="18">
        <v>1003402</v>
      </c>
      <c r="H1838">
        <v>1</v>
      </c>
    </row>
    <row r="1839" spans="1:8" x14ac:dyDescent="0.35">
      <c r="A1839" s="9">
        <v>2604004</v>
      </c>
      <c r="B1839" s="10">
        <v>42942</v>
      </c>
      <c r="C1839" s="11">
        <v>0.6277314814814815</v>
      </c>
      <c r="D1839" s="12">
        <v>0.63423611111111111</v>
      </c>
      <c r="E1839">
        <v>1</v>
      </c>
      <c r="G1839" s="18">
        <v>1811630</v>
      </c>
      <c r="H1839">
        <v>1</v>
      </c>
    </row>
    <row r="1840" spans="1:8" x14ac:dyDescent="0.35">
      <c r="A1840" s="5">
        <v>4379524</v>
      </c>
      <c r="B1840" s="6">
        <v>42943</v>
      </c>
      <c r="C1840" s="7">
        <v>0.33751157407407406</v>
      </c>
      <c r="D1840" s="8">
        <v>0.33754629629629629</v>
      </c>
      <c r="E1840">
        <v>1</v>
      </c>
      <c r="G1840" s="18" t="s">
        <v>6</v>
      </c>
      <c r="H1840">
        <v>2148</v>
      </c>
    </row>
    <row r="1841" spans="1:5" x14ac:dyDescent="0.35">
      <c r="A1841" s="9">
        <v>12377650</v>
      </c>
      <c r="B1841" s="10">
        <v>42943</v>
      </c>
      <c r="C1841" s="11">
        <v>0.33943287037037034</v>
      </c>
      <c r="D1841" s="12">
        <v>0.34292824074074074</v>
      </c>
      <c r="E1841">
        <v>1</v>
      </c>
    </row>
    <row r="1842" spans="1:5" x14ac:dyDescent="0.35">
      <c r="A1842" s="5">
        <v>77869622</v>
      </c>
      <c r="B1842" s="6">
        <v>42943</v>
      </c>
      <c r="C1842" s="7">
        <v>0.34219907407407407</v>
      </c>
      <c r="D1842" s="8">
        <v>0.35170138888888891</v>
      </c>
      <c r="E1842">
        <v>1</v>
      </c>
    </row>
    <row r="1843" spans="1:5" x14ac:dyDescent="0.35">
      <c r="A1843" s="9">
        <v>3414247278</v>
      </c>
      <c r="B1843" s="10">
        <v>42943</v>
      </c>
      <c r="C1843" s="11">
        <v>0.34658564814814813</v>
      </c>
      <c r="D1843" s="12">
        <v>0.34666666666666668</v>
      </c>
      <c r="E1843">
        <v>1</v>
      </c>
    </row>
    <row r="1844" spans="1:5" x14ac:dyDescent="0.35">
      <c r="A1844" s="5">
        <v>5839324907</v>
      </c>
      <c r="B1844" s="6">
        <v>42943</v>
      </c>
      <c r="C1844" s="7">
        <v>0.3490509259259259</v>
      </c>
      <c r="D1844" s="8">
        <v>0.35481481481481481</v>
      </c>
      <c r="E1844">
        <v>1</v>
      </c>
    </row>
    <row r="1845" spans="1:5" x14ac:dyDescent="0.35">
      <c r="A1845" s="9">
        <v>4852863</v>
      </c>
      <c r="B1845" s="10">
        <v>42943</v>
      </c>
      <c r="C1845" s="11">
        <v>0.34975694444444444</v>
      </c>
      <c r="D1845" s="12">
        <v>0.35971064814814813</v>
      </c>
      <c r="E1845">
        <v>1</v>
      </c>
    </row>
    <row r="1846" spans="1:5" x14ac:dyDescent="0.35">
      <c r="A1846" s="5">
        <v>3245936</v>
      </c>
      <c r="B1846" s="6">
        <v>42943</v>
      </c>
      <c r="C1846" s="7">
        <v>0.35116898148148146</v>
      </c>
      <c r="D1846" s="8">
        <v>0.35408564814814814</v>
      </c>
      <c r="E1846">
        <v>1</v>
      </c>
    </row>
    <row r="1847" spans="1:5" x14ac:dyDescent="0.35">
      <c r="A1847" s="9">
        <v>6674505</v>
      </c>
      <c r="B1847" s="10">
        <v>42943</v>
      </c>
      <c r="C1847" s="11">
        <v>0.35136574074074073</v>
      </c>
      <c r="D1847" s="12">
        <v>0.35390046296296296</v>
      </c>
      <c r="E1847">
        <v>1</v>
      </c>
    </row>
    <row r="1848" spans="1:5" x14ac:dyDescent="0.35">
      <c r="A1848" s="5">
        <v>9591892</v>
      </c>
      <c r="B1848" s="6">
        <v>42943</v>
      </c>
      <c r="C1848" s="7">
        <v>0.35487268518518517</v>
      </c>
      <c r="D1848" s="8">
        <v>0.36251157407407408</v>
      </c>
      <c r="E1848">
        <v>1</v>
      </c>
    </row>
    <row r="1849" spans="1:5" x14ac:dyDescent="0.35">
      <c r="A1849" s="9">
        <v>96404523</v>
      </c>
      <c r="B1849" s="10">
        <v>42943</v>
      </c>
      <c r="C1849" s="11">
        <v>0.35592592592592592</v>
      </c>
      <c r="D1849" s="12">
        <v>0.36366898148148147</v>
      </c>
      <c r="E1849">
        <v>1</v>
      </c>
    </row>
    <row r="1850" spans="1:5" x14ac:dyDescent="0.35">
      <c r="A1850" s="5">
        <v>1405478</v>
      </c>
      <c r="B1850" s="6">
        <v>42943</v>
      </c>
      <c r="C1850" s="7">
        <v>0.35940972222222223</v>
      </c>
      <c r="D1850" s="8">
        <v>0.36412037037037037</v>
      </c>
      <c r="E1850">
        <v>1</v>
      </c>
    </row>
    <row r="1851" spans="1:5" x14ac:dyDescent="0.35">
      <c r="A1851" s="9">
        <v>5900506</v>
      </c>
      <c r="B1851" s="10">
        <v>42943</v>
      </c>
      <c r="C1851" s="11">
        <v>0.36026620370370371</v>
      </c>
      <c r="D1851" s="12">
        <v>0.36319444444444443</v>
      </c>
      <c r="E1851">
        <v>1</v>
      </c>
    </row>
    <row r="1852" spans="1:5" x14ac:dyDescent="0.35">
      <c r="A1852" s="5">
        <v>6060835</v>
      </c>
      <c r="B1852" s="6">
        <v>42943</v>
      </c>
      <c r="C1852" s="7">
        <v>0.36148148148148146</v>
      </c>
      <c r="D1852" s="8">
        <v>0.3721990740740741</v>
      </c>
      <c r="E1852">
        <v>1</v>
      </c>
    </row>
    <row r="1853" spans="1:5" x14ac:dyDescent="0.35">
      <c r="A1853" s="9">
        <v>8880275</v>
      </c>
      <c r="B1853" s="10">
        <v>42943</v>
      </c>
      <c r="C1853" s="11">
        <v>0.36598379629629629</v>
      </c>
      <c r="D1853" s="12">
        <v>0.37474537037037037</v>
      </c>
      <c r="E1853">
        <v>1</v>
      </c>
    </row>
    <row r="1854" spans="1:5" x14ac:dyDescent="0.35">
      <c r="A1854" s="5">
        <v>57101974</v>
      </c>
      <c r="B1854" s="6">
        <v>42943</v>
      </c>
      <c r="C1854" s="7">
        <v>0.37133101851851852</v>
      </c>
      <c r="D1854" s="8">
        <v>0.37923611111111111</v>
      </c>
      <c r="E1854">
        <v>1</v>
      </c>
    </row>
    <row r="1855" spans="1:5" x14ac:dyDescent="0.35">
      <c r="A1855" s="9">
        <v>2096100</v>
      </c>
      <c r="B1855" s="10">
        <v>42943</v>
      </c>
      <c r="C1855" s="11">
        <v>0.3717361111111111</v>
      </c>
      <c r="D1855" s="12">
        <v>0.37253472222222223</v>
      </c>
      <c r="E1855">
        <v>1</v>
      </c>
    </row>
    <row r="1856" spans="1:5" x14ac:dyDescent="0.35">
      <c r="A1856" s="5">
        <v>2366545</v>
      </c>
      <c r="B1856" s="6">
        <v>42943</v>
      </c>
      <c r="C1856" s="7">
        <v>0.3737152777777778</v>
      </c>
      <c r="D1856" s="8">
        <v>0.37967592592592592</v>
      </c>
      <c r="E1856">
        <v>1</v>
      </c>
    </row>
    <row r="1857" spans="1:5" x14ac:dyDescent="0.35">
      <c r="A1857" s="9">
        <v>2260131</v>
      </c>
      <c r="B1857" s="10">
        <v>42943</v>
      </c>
      <c r="C1857" s="11">
        <v>0.37664351851851852</v>
      </c>
      <c r="D1857" s="12">
        <v>0.38442129629629629</v>
      </c>
      <c r="E1857">
        <v>1</v>
      </c>
    </row>
    <row r="1858" spans="1:5" x14ac:dyDescent="0.35">
      <c r="A1858" s="5">
        <v>75818182</v>
      </c>
      <c r="B1858" s="6">
        <v>42943</v>
      </c>
      <c r="C1858" s="7">
        <v>0.37973379629629628</v>
      </c>
      <c r="D1858" s="8">
        <v>0.38395833333333335</v>
      </c>
      <c r="E1858">
        <v>1</v>
      </c>
    </row>
    <row r="1859" spans="1:5" x14ac:dyDescent="0.35">
      <c r="A1859" s="9">
        <v>1247125</v>
      </c>
      <c r="B1859" s="10">
        <v>42943</v>
      </c>
      <c r="C1859" s="11">
        <v>0.38461805555555556</v>
      </c>
      <c r="D1859" s="12">
        <v>0.39339120370370373</v>
      </c>
      <c r="E1859">
        <v>1</v>
      </c>
    </row>
    <row r="1860" spans="1:5" x14ac:dyDescent="0.35">
      <c r="A1860" s="5">
        <v>3733011</v>
      </c>
      <c r="B1860" s="6">
        <v>42943</v>
      </c>
      <c r="C1860" s="7">
        <v>0.38571759259259258</v>
      </c>
      <c r="D1860" s="8">
        <v>0.39556712962962964</v>
      </c>
      <c r="E1860">
        <v>1</v>
      </c>
    </row>
    <row r="1861" spans="1:5" x14ac:dyDescent="0.35">
      <c r="A1861" s="9">
        <v>6615729</v>
      </c>
      <c r="B1861" s="10">
        <v>42943</v>
      </c>
      <c r="C1861" s="11">
        <v>0.38997685185185182</v>
      </c>
      <c r="D1861" s="12">
        <v>0.39743055555555556</v>
      </c>
      <c r="E1861">
        <v>1</v>
      </c>
    </row>
    <row r="1862" spans="1:5" x14ac:dyDescent="0.35">
      <c r="A1862" s="5">
        <v>6844342</v>
      </c>
      <c r="B1862" s="6">
        <v>42943</v>
      </c>
      <c r="C1862" s="7">
        <v>0.39451388888888889</v>
      </c>
      <c r="D1862" s="8">
        <v>0.39609953703703704</v>
      </c>
      <c r="E1862">
        <v>1</v>
      </c>
    </row>
    <row r="1863" spans="1:5" x14ac:dyDescent="0.35">
      <c r="A1863" s="9">
        <v>8369815</v>
      </c>
      <c r="B1863" s="10">
        <v>42943</v>
      </c>
      <c r="C1863" s="11">
        <v>0.3967013888888889</v>
      </c>
      <c r="D1863" s="12">
        <v>0.40182870370370372</v>
      </c>
      <c r="E1863">
        <v>1</v>
      </c>
    </row>
    <row r="1864" spans="1:5" x14ac:dyDescent="0.35">
      <c r="A1864" s="5">
        <v>9304830</v>
      </c>
      <c r="B1864" s="6">
        <v>42943</v>
      </c>
      <c r="C1864" s="7">
        <v>0.39812500000000001</v>
      </c>
      <c r="D1864" s="8">
        <v>0.39895833333333336</v>
      </c>
      <c r="E1864">
        <v>1</v>
      </c>
    </row>
    <row r="1865" spans="1:5" x14ac:dyDescent="0.35">
      <c r="A1865" s="9">
        <v>1117708</v>
      </c>
      <c r="B1865" s="10">
        <v>42943</v>
      </c>
      <c r="C1865" s="11">
        <v>0.40266203703703701</v>
      </c>
      <c r="D1865" s="12">
        <v>0.4073148148148148</v>
      </c>
      <c r="E1865">
        <v>1</v>
      </c>
    </row>
    <row r="1866" spans="1:5" x14ac:dyDescent="0.35">
      <c r="A1866" s="5">
        <v>6055986</v>
      </c>
      <c r="B1866" s="6">
        <v>42943</v>
      </c>
      <c r="C1866" s="7">
        <v>0.40710648148148149</v>
      </c>
      <c r="D1866" s="8">
        <v>0.40740740740740738</v>
      </c>
      <c r="E1866">
        <v>1</v>
      </c>
    </row>
    <row r="1867" spans="1:5" x14ac:dyDescent="0.35">
      <c r="A1867" s="9">
        <v>4569864426</v>
      </c>
      <c r="B1867" s="10">
        <v>42943</v>
      </c>
      <c r="C1867" s="11">
        <v>0.40751157407407407</v>
      </c>
      <c r="D1867" s="12">
        <v>0.41725694444444444</v>
      </c>
      <c r="E1867">
        <v>1</v>
      </c>
    </row>
    <row r="1868" spans="1:5" x14ac:dyDescent="0.35">
      <c r="A1868" s="5">
        <v>2781512</v>
      </c>
      <c r="B1868" s="6">
        <v>42943</v>
      </c>
      <c r="C1868" s="7">
        <v>0.41244212962962962</v>
      </c>
      <c r="D1868" s="8">
        <v>0.41619212962962965</v>
      </c>
      <c r="E1868">
        <v>1</v>
      </c>
    </row>
    <row r="1869" spans="1:5" x14ac:dyDescent="0.35">
      <c r="A1869" s="9">
        <v>3093964</v>
      </c>
      <c r="B1869" s="10">
        <v>42943</v>
      </c>
      <c r="C1869" s="11">
        <v>0.41363425925925928</v>
      </c>
      <c r="D1869" s="12">
        <v>0.41902777777777778</v>
      </c>
      <c r="E1869">
        <v>1</v>
      </c>
    </row>
    <row r="1870" spans="1:5" x14ac:dyDescent="0.35">
      <c r="A1870" s="5">
        <v>9413315</v>
      </c>
      <c r="B1870" s="6">
        <v>42943</v>
      </c>
      <c r="C1870" s="7">
        <v>0.41783564814814816</v>
      </c>
      <c r="D1870" s="8">
        <v>0.42383101851851851</v>
      </c>
      <c r="E1870">
        <v>1</v>
      </c>
    </row>
    <row r="1871" spans="1:5" x14ac:dyDescent="0.35">
      <c r="A1871" s="9">
        <v>1890121</v>
      </c>
      <c r="B1871" s="10">
        <v>42943</v>
      </c>
      <c r="C1871" s="11">
        <v>0.42357638888888888</v>
      </c>
      <c r="D1871" s="12">
        <v>0.43</v>
      </c>
      <c r="E1871">
        <v>1</v>
      </c>
    </row>
    <row r="1872" spans="1:5" x14ac:dyDescent="0.35">
      <c r="A1872" s="5">
        <v>9906846123</v>
      </c>
      <c r="B1872" s="6">
        <v>42943</v>
      </c>
      <c r="C1872" s="7">
        <v>0.424375</v>
      </c>
      <c r="D1872" s="8">
        <v>0.42505787037037035</v>
      </c>
      <c r="E1872">
        <v>1</v>
      </c>
    </row>
    <row r="1873" spans="1:5" x14ac:dyDescent="0.35">
      <c r="A1873" s="9">
        <v>12063341</v>
      </c>
      <c r="B1873" s="10">
        <v>42943</v>
      </c>
      <c r="C1873" s="11">
        <v>0.42849537037037039</v>
      </c>
      <c r="D1873" s="12">
        <v>0.4372800925925926</v>
      </c>
      <c r="E1873">
        <v>1</v>
      </c>
    </row>
    <row r="1874" spans="1:5" x14ac:dyDescent="0.35">
      <c r="A1874" s="5">
        <v>27798660</v>
      </c>
      <c r="B1874" s="6">
        <v>42943</v>
      </c>
      <c r="C1874" s="7">
        <v>0.42925925925925928</v>
      </c>
      <c r="D1874" s="8">
        <v>0.43239583333333331</v>
      </c>
      <c r="E1874">
        <v>1</v>
      </c>
    </row>
    <row r="1875" spans="1:5" x14ac:dyDescent="0.35">
      <c r="A1875" s="9">
        <v>37077953</v>
      </c>
      <c r="B1875" s="10">
        <v>42943</v>
      </c>
      <c r="C1875" s="11">
        <v>0.43262731481481481</v>
      </c>
      <c r="D1875" s="12">
        <v>0.43929398148148147</v>
      </c>
      <c r="E1875">
        <v>1</v>
      </c>
    </row>
    <row r="1876" spans="1:5" x14ac:dyDescent="0.35">
      <c r="A1876" s="5">
        <v>70606958</v>
      </c>
      <c r="B1876" s="6">
        <v>42943</v>
      </c>
      <c r="C1876" s="7">
        <v>0.43387731481481484</v>
      </c>
      <c r="D1876" s="8">
        <v>0.44252314814814814</v>
      </c>
      <c r="E1876">
        <v>1</v>
      </c>
    </row>
    <row r="1877" spans="1:5" x14ac:dyDescent="0.35">
      <c r="A1877" s="9">
        <v>21303266</v>
      </c>
      <c r="B1877" s="10">
        <v>42943</v>
      </c>
      <c r="C1877" s="11">
        <v>0.4384953703703704</v>
      </c>
      <c r="D1877" s="12">
        <v>0.44209490740740742</v>
      </c>
      <c r="E1877">
        <v>1</v>
      </c>
    </row>
    <row r="1878" spans="1:5" x14ac:dyDescent="0.35">
      <c r="A1878" s="5">
        <v>66871690</v>
      </c>
      <c r="B1878" s="6">
        <v>42943</v>
      </c>
      <c r="C1878" s="7">
        <v>0.44003472222222223</v>
      </c>
      <c r="D1878" s="8">
        <v>0.44219907407407405</v>
      </c>
      <c r="E1878">
        <v>1</v>
      </c>
    </row>
    <row r="1879" spans="1:5" x14ac:dyDescent="0.35">
      <c r="A1879" s="9">
        <v>88366261</v>
      </c>
      <c r="B1879" s="10">
        <v>42943</v>
      </c>
      <c r="C1879" s="11">
        <v>0.44006944444444446</v>
      </c>
      <c r="D1879" s="12">
        <v>0.44208333333333333</v>
      </c>
      <c r="E1879">
        <v>1</v>
      </c>
    </row>
    <row r="1880" spans="1:5" x14ac:dyDescent="0.35">
      <c r="A1880" s="5">
        <v>9506446</v>
      </c>
      <c r="B1880" s="6">
        <v>42943</v>
      </c>
      <c r="C1880" s="7">
        <v>0.44490740740740742</v>
      </c>
      <c r="D1880" s="8">
        <v>0.45071759259259259</v>
      </c>
      <c r="E1880">
        <v>1</v>
      </c>
    </row>
    <row r="1881" spans="1:5" x14ac:dyDescent="0.35">
      <c r="A1881" s="9">
        <v>9225807</v>
      </c>
      <c r="B1881" s="10">
        <v>42943</v>
      </c>
      <c r="C1881" s="11">
        <v>0.44996527777777778</v>
      </c>
      <c r="D1881" s="12">
        <v>0.45952546296296298</v>
      </c>
      <c r="E1881">
        <v>1</v>
      </c>
    </row>
    <row r="1882" spans="1:5" x14ac:dyDescent="0.35">
      <c r="A1882" s="5">
        <v>6956143</v>
      </c>
      <c r="B1882" s="6">
        <v>42943</v>
      </c>
      <c r="C1882" s="7">
        <v>0.45157407407407407</v>
      </c>
      <c r="D1882" s="8">
        <v>0.455625</v>
      </c>
      <c r="E1882">
        <v>1</v>
      </c>
    </row>
    <row r="1883" spans="1:5" x14ac:dyDescent="0.35">
      <c r="A1883" s="9">
        <v>1472253</v>
      </c>
      <c r="B1883" s="10">
        <v>42943</v>
      </c>
      <c r="C1883" s="11">
        <v>0.45729166666666665</v>
      </c>
      <c r="D1883" s="12">
        <v>0.46041666666666664</v>
      </c>
      <c r="E1883">
        <v>1</v>
      </c>
    </row>
    <row r="1884" spans="1:5" x14ac:dyDescent="0.35">
      <c r="A1884" s="5">
        <v>4025325</v>
      </c>
      <c r="B1884" s="6">
        <v>42943</v>
      </c>
      <c r="C1884" s="7">
        <v>0.46151620370370372</v>
      </c>
      <c r="D1884" s="8">
        <v>0.46604166666666669</v>
      </c>
      <c r="E1884">
        <v>1</v>
      </c>
    </row>
    <row r="1885" spans="1:5" x14ac:dyDescent="0.35">
      <c r="A1885" s="9">
        <v>6220398</v>
      </c>
      <c r="B1885" s="10">
        <v>42943</v>
      </c>
      <c r="C1885" s="11">
        <v>0.46175925925925926</v>
      </c>
      <c r="D1885" s="12">
        <v>0.46263888888888888</v>
      </c>
      <c r="E1885">
        <v>1</v>
      </c>
    </row>
    <row r="1886" spans="1:5" x14ac:dyDescent="0.35">
      <c r="A1886" s="5">
        <v>6326108</v>
      </c>
      <c r="B1886" s="6">
        <v>42943</v>
      </c>
      <c r="C1886" s="7">
        <v>0.46474537037037039</v>
      </c>
      <c r="D1886" s="8">
        <v>0.47486111111111112</v>
      </c>
      <c r="E1886">
        <v>1</v>
      </c>
    </row>
    <row r="1887" spans="1:5" x14ac:dyDescent="0.35">
      <c r="A1887" s="9">
        <v>88929709</v>
      </c>
      <c r="B1887" s="10">
        <v>42943</v>
      </c>
      <c r="C1887" s="11">
        <v>0.46687499999999998</v>
      </c>
      <c r="D1887" s="12">
        <v>0.47510416666666666</v>
      </c>
      <c r="E1887">
        <v>1</v>
      </c>
    </row>
    <row r="1888" spans="1:5" x14ac:dyDescent="0.35">
      <c r="A1888" s="5">
        <v>3004967</v>
      </c>
      <c r="B1888" s="6">
        <v>42943</v>
      </c>
      <c r="C1888" s="7">
        <v>0.4707175925925926</v>
      </c>
      <c r="D1888" s="8">
        <v>0.47547453703703701</v>
      </c>
      <c r="E1888">
        <v>1</v>
      </c>
    </row>
    <row r="1889" spans="1:5" x14ac:dyDescent="0.35">
      <c r="A1889" s="9">
        <v>1721264</v>
      </c>
      <c r="B1889" s="10">
        <v>42943</v>
      </c>
      <c r="C1889" s="11">
        <v>0.47394675925925928</v>
      </c>
      <c r="D1889" s="12">
        <v>0.47922453703703705</v>
      </c>
      <c r="E1889">
        <v>1</v>
      </c>
    </row>
    <row r="1890" spans="1:5" x14ac:dyDescent="0.35">
      <c r="A1890" s="5">
        <v>5231877</v>
      </c>
      <c r="B1890" s="6">
        <v>42943</v>
      </c>
      <c r="C1890" s="7">
        <v>0.47550925925925924</v>
      </c>
      <c r="D1890" s="8">
        <v>0.47930555555555554</v>
      </c>
      <c r="E1890">
        <v>1</v>
      </c>
    </row>
    <row r="1891" spans="1:5" x14ac:dyDescent="0.35">
      <c r="A1891" s="9">
        <v>92414932</v>
      </c>
      <c r="B1891" s="10">
        <v>42943</v>
      </c>
      <c r="C1891" s="11">
        <v>0.48085648148148147</v>
      </c>
      <c r="D1891" s="12">
        <v>0.48893518518518519</v>
      </c>
      <c r="E1891">
        <v>1</v>
      </c>
    </row>
    <row r="1892" spans="1:5" x14ac:dyDescent="0.35">
      <c r="A1892" s="5">
        <v>3202610</v>
      </c>
      <c r="B1892" s="6">
        <v>42943</v>
      </c>
      <c r="C1892" s="7">
        <v>0.48528935185185185</v>
      </c>
      <c r="D1892" s="8">
        <v>0.48694444444444446</v>
      </c>
      <c r="E1892">
        <v>1</v>
      </c>
    </row>
    <row r="1893" spans="1:5" x14ac:dyDescent="0.35">
      <c r="A1893" s="9">
        <v>2825289</v>
      </c>
      <c r="B1893" s="10">
        <v>42943</v>
      </c>
      <c r="C1893" s="11">
        <v>0.4855902777777778</v>
      </c>
      <c r="D1893" s="12">
        <v>0.49710648148148145</v>
      </c>
      <c r="E1893">
        <v>1</v>
      </c>
    </row>
    <row r="1894" spans="1:5" x14ac:dyDescent="0.35">
      <c r="A1894" s="5">
        <v>7915936</v>
      </c>
      <c r="B1894" s="6">
        <v>42943</v>
      </c>
      <c r="C1894" s="7">
        <v>0.49075231481481479</v>
      </c>
      <c r="D1894" s="8">
        <v>0.49836805555555558</v>
      </c>
      <c r="E1894">
        <v>1</v>
      </c>
    </row>
    <row r="1895" spans="1:5" x14ac:dyDescent="0.35">
      <c r="A1895" s="9">
        <v>3680072</v>
      </c>
      <c r="B1895" s="10">
        <v>42943</v>
      </c>
      <c r="C1895" s="11">
        <v>0.49561342592592594</v>
      </c>
      <c r="D1895" s="12">
        <v>0.49716435185185187</v>
      </c>
      <c r="E1895">
        <v>1</v>
      </c>
    </row>
    <row r="1896" spans="1:5" x14ac:dyDescent="0.35">
      <c r="A1896" s="5">
        <v>6980867</v>
      </c>
      <c r="B1896" s="6">
        <v>42943</v>
      </c>
      <c r="C1896" s="7">
        <v>0.49716435185185187</v>
      </c>
      <c r="D1896" s="8">
        <v>0.50270833333333331</v>
      </c>
      <c r="E1896">
        <v>1</v>
      </c>
    </row>
    <row r="1897" spans="1:5" x14ac:dyDescent="0.35">
      <c r="A1897" s="9">
        <v>3656681</v>
      </c>
      <c r="B1897" s="10">
        <v>42943</v>
      </c>
      <c r="C1897" s="11">
        <v>0.50123842592592593</v>
      </c>
      <c r="D1897" s="12">
        <v>0.5084143518518518</v>
      </c>
      <c r="E1897">
        <v>1</v>
      </c>
    </row>
    <row r="1898" spans="1:5" x14ac:dyDescent="0.35">
      <c r="A1898" s="5">
        <v>4445684</v>
      </c>
      <c r="B1898" s="6">
        <v>42943</v>
      </c>
      <c r="C1898" s="7">
        <v>0.50361111111111112</v>
      </c>
      <c r="D1898" s="8">
        <v>0.51285879629629627</v>
      </c>
      <c r="E1898">
        <v>1</v>
      </c>
    </row>
    <row r="1899" spans="1:5" x14ac:dyDescent="0.35">
      <c r="A1899" s="9">
        <v>9864502</v>
      </c>
      <c r="B1899" s="10">
        <v>42943</v>
      </c>
      <c r="C1899" s="11">
        <v>0.50722222222222224</v>
      </c>
      <c r="D1899" s="12">
        <v>0.50762731481481482</v>
      </c>
      <c r="E1899">
        <v>1</v>
      </c>
    </row>
    <row r="1900" spans="1:5" x14ac:dyDescent="0.35">
      <c r="A1900" s="5">
        <v>5881130</v>
      </c>
      <c r="B1900" s="6">
        <v>42943</v>
      </c>
      <c r="C1900" s="7">
        <v>0.51086805555555559</v>
      </c>
      <c r="D1900" s="8">
        <v>0.516087962962963</v>
      </c>
      <c r="E1900">
        <v>1</v>
      </c>
    </row>
    <row r="1901" spans="1:5" x14ac:dyDescent="0.35">
      <c r="A1901" s="9">
        <v>2056567</v>
      </c>
      <c r="B1901" s="10">
        <v>42943</v>
      </c>
      <c r="C1901" s="11">
        <v>0.51563657407407404</v>
      </c>
      <c r="D1901" s="12">
        <v>0.52396990740740745</v>
      </c>
      <c r="E1901">
        <v>1</v>
      </c>
    </row>
    <row r="1902" spans="1:5" x14ac:dyDescent="0.35">
      <c r="A1902" s="5">
        <v>62150310</v>
      </c>
      <c r="B1902" s="6">
        <v>42943</v>
      </c>
      <c r="C1902" s="7">
        <v>0.52003472222222225</v>
      </c>
      <c r="D1902" s="8">
        <v>0.52927083333333336</v>
      </c>
      <c r="E1902">
        <v>1</v>
      </c>
    </row>
    <row r="1903" spans="1:5" x14ac:dyDescent="0.35">
      <c r="A1903" s="9">
        <v>9340299</v>
      </c>
      <c r="B1903" s="10">
        <v>42943</v>
      </c>
      <c r="C1903" s="11">
        <v>0.52034722222222218</v>
      </c>
      <c r="D1903" s="12">
        <v>0.52137731481481486</v>
      </c>
      <c r="E1903">
        <v>1</v>
      </c>
    </row>
    <row r="1904" spans="1:5" x14ac:dyDescent="0.35">
      <c r="A1904" s="5">
        <v>3912924</v>
      </c>
      <c r="B1904" s="6">
        <v>42943</v>
      </c>
      <c r="C1904" s="7">
        <v>0.52368055555555559</v>
      </c>
      <c r="D1904" s="8">
        <v>0.52627314814814818</v>
      </c>
      <c r="E1904">
        <v>1</v>
      </c>
    </row>
    <row r="1905" spans="1:5" x14ac:dyDescent="0.35">
      <c r="A1905" s="9">
        <v>8159466</v>
      </c>
      <c r="B1905" s="10">
        <v>42943</v>
      </c>
      <c r="C1905" s="11">
        <v>0.52460648148148148</v>
      </c>
      <c r="D1905" s="12">
        <v>0.52971064814814817</v>
      </c>
      <c r="E1905">
        <v>1</v>
      </c>
    </row>
    <row r="1906" spans="1:5" x14ac:dyDescent="0.35">
      <c r="A1906" s="5">
        <v>7467198</v>
      </c>
      <c r="B1906" s="6">
        <v>42943</v>
      </c>
      <c r="C1906" s="7">
        <v>0.52993055555555557</v>
      </c>
      <c r="D1906" s="8">
        <v>0.53739583333333329</v>
      </c>
      <c r="E1906">
        <v>1</v>
      </c>
    </row>
    <row r="1907" spans="1:5" x14ac:dyDescent="0.35">
      <c r="A1907" s="9">
        <v>4703748</v>
      </c>
      <c r="B1907" s="10">
        <v>42943</v>
      </c>
      <c r="C1907" s="11">
        <v>0.53315972222222219</v>
      </c>
      <c r="D1907" s="12">
        <v>0.53454861111111107</v>
      </c>
      <c r="E1907">
        <v>1</v>
      </c>
    </row>
    <row r="1908" spans="1:5" x14ac:dyDescent="0.35">
      <c r="A1908" s="5">
        <v>1165705</v>
      </c>
      <c r="B1908" s="6">
        <v>42943</v>
      </c>
      <c r="C1908" s="7">
        <v>0.53666666666666663</v>
      </c>
      <c r="D1908" s="8">
        <v>0.54100694444444442</v>
      </c>
      <c r="E1908">
        <v>1</v>
      </c>
    </row>
    <row r="1909" spans="1:5" x14ac:dyDescent="0.35">
      <c r="A1909" s="9">
        <v>90762334</v>
      </c>
      <c r="B1909" s="10">
        <v>42943</v>
      </c>
      <c r="C1909" s="11">
        <v>0.54144675925925922</v>
      </c>
      <c r="D1909" s="12">
        <v>0.54313657407407412</v>
      </c>
      <c r="E1909">
        <v>1</v>
      </c>
    </row>
    <row r="1910" spans="1:5" x14ac:dyDescent="0.35">
      <c r="A1910" s="5">
        <v>16527855</v>
      </c>
      <c r="B1910" s="6">
        <v>42943</v>
      </c>
      <c r="C1910" s="7">
        <v>0.54194444444444445</v>
      </c>
      <c r="D1910" s="8">
        <v>0.5513541666666667</v>
      </c>
      <c r="E1910">
        <v>1</v>
      </c>
    </row>
    <row r="1911" spans="1:5" x14ac:dyDescent="0.35">
      <c r="A1911" s="9">
        <v>1055495</v>
      </c>
      <c r="B1911" s="10">
        <v>42943</v>
      </c>
      <c r="C1911" s="11">
        <v>0.54600694444444442</v>
      </c>
      <c r="D1911" s="12">
        <v>0.54866898148148147</v>
      </c>
      <c r="E1911">
        <v>1</v>
      </c>
    </row>
    <row r="1912" spans="1:5" x14ac:dyDescent="0.35">
      <c r="A1912" s="5">
        <v>9120318</v>
      </c>
      <c r="B1912" s="6">
        <v>42943</v>
      </c>
      <c r="C1912" s="7">
        <v>0.54690972222222223</v>
      </c>
      <c r="D1912" s="8">
        <v>0.54707175925925922</v>
      </c>
      <c r="E1912">
        <v>1</v>
      </c>
    </row>
    <row r="1913" spans="1:5" x14ac:dyDescent="0.35">
      <c r="A1913" s="9">
        <v>4030817</v>
      </c>
      <c r="B1913" s="10">
        <v>42943</v>
      </c>
      <c r="C1913" s="11">
        <v>0.55092592592592593</v>
      </c>
      <c r="D1913" s="12">
        <v>0.56030092592592595</v>
      </c>
      <c r="E1913">
        <v>1</v>
      </c>
    </row>
    <row r="1914" spans="1:5" x14ac:dyDescent="0.35">
      <c r="A1914" s="5">
        <v>1025756</v>
      </c>
      <c r="B1914" s="6">
        <v>42943</v>
      </c>
      <c r="C1914" s="7">
        <v>0.55116898148148152</v>
      </c>
      <c r="D1914" s="8">
        <v>0.56047453703703709</v>
      </c>
      <c r="E1914">
        <v>1</v>
      </c>
    </row>
    <row r="1915" spans="1:5" x14ac:dyDescent="0.35">
      <c r="A1915" s="9">
        <v>29880225</v>
      </c>
      <c r="B1915" s="10">
        <v>42943</v>
      </c>
      <c r="C1915" s="11">
        <v>0.55174768518518513</v>
      </c>
      <c r="D1915" s="12">
        <v>0.55920138888888893</v>
      </c>
      <c r="E1915">
        <v>1</v>
      </c>
    </row>
    <row r="1916" spans="1:5" x14ac:dyDescent="0.35">
      <c r="A1916" s="5">
        <v>4791902</v>
      </c>
      <c r="B1916" s="6">
        <v>42943</v>
      </c>
      <c r="C1916" s="7">
        <v>0.55718749999999995</v>
      </c>
      <c r="D1916" s="8">
        <v>0.55753472222222222</v>
      </c>
      <c r="E1916">
        <v>1</v>
      </c>
    </row>
    <row r="1917" spans="1:5" x14ac:dyDescent="0.35">
      <c r="A1917" s="9">
        <v>5228419</v>
      </c>
      <c r="B1917" s="10">
        <v>42943</v>
      </c>
      <c r="C1917" s="11">
        <v>0.55995370370370368</v>
      </c>
      <c r="D1917" s="12">
        <v>0.56405092592592587</v>
      </c>
      <c r="E1917">
        <v>1</v>
      </c>
    </row>
    <row r="1918" spans="1:5" x14ac:dyDescent="0.35">
      <c r="A1918" s="5">
        <v>8991671</v>
      </c>
      <c r="B1918" s="6">
        <v>42943</v>
      </c>
      <c r="C1918" s="7">
        <v>0.56268518518518518</v>
      </c>
      <c r="D1918" s="8">
        <v>0.56517361111111108</v>
      </c>
      <c r="E1918">
        <v>1</v>
      </c>
    </row>
    <row r="1919" spans="1:5" x14ac:dyDescent="0.35">
      <c r="A1919" s="9">
        <v>8045338707</v>
      </c>
      <c r="B1919" s="10">
        <v>42943</v>
      </c>
      <c r="C1919" s="11">
        <v>0.56680555555555556</v>
      </c>
      <c r="D1919" s="12">
        <v>0.56877314814814817</v>
      </c>
      <c r="E1919">
        <v>1</v>
      </c>
    </row>
    <row r="1920" spans="1:5" x14ac:dyDescent="0.35">
      <c r="A1920" s="5">
        <v>9192546</v>
      </c>
      <c r="B1920" s="6">
        <v>42943</v>
      </c>
      <c r="C1920" s="7">
        <v>0.57233796296296291</v>
      </c>
      <c r="D1920" s="8">
        <v>0.57620370370370366</v>
      </c>
      <c r="E1920">
        <v>1</v>
      </c>
    </row>
    <row r="1921" spans="1:5" x14ac:dyDescent="0.35">
      <c r="A1921" s="9">
        <v>9664752</v>
      </c>
      <c r="B1921" s="10">
        <v>42943</v>
      </c>
      <c r="C1921" s="11">
        <v>0.57563657407407409</v>
      </c>
      <c r="D1921" s="12">
        <v>0.57976851851851852</v>
      </c>
      <c r="E1921">
        <v>1</v>
      </c>
    </row>
    <row r="1922" spans="1:5" x14ac:dyDescent="0.35">
      <c r="A1922" s="5">
        <v>62653835</v>
      </c>
      <c r="B1922" s="6">
        <v>42943</v>
      </c>
      <c r="C1922" s="7">
        <v>0.58034722222222224</v>
      </c>
      <c r="D1922" s="8">
        <v>0.58803240740740736</v>
      </c>
      <c r="E1922">
        <v>1</v>
      </c>
    </row>
    <row r="1923" spans="1:5" x14ac:dyDescent="0.35">
      <c r="A1923" s="9">
        <v>6087301</v>
      </c>
      <c r="B1923" s="10">
        <v>42943</v>
      </c>
      <c r="C1923" s="11">
        <v>0.58589120370370373</v>
      </c>
      <c r="D1923" s="12">
        <v>0.59706018518518522</v>
      </c>
      <c r="E1923">
        <v>1</v>
      </c>
    </row>
    <row r="1924" spans="1:5" x14ac:dyDescent="0.35">
      <c r="A1924" s="5">
        <v>3864488</v>
      </c>
      <c r="B1924" s="6">
        <v>42943</v>
      </c>
      <c r="C1924" s="7">
        <v>0.58601851851851849</v>
      </c>
      <c r="D1924" s="8">
        <v>0.58971064814814811</v>
      </c>
      <c r="E1924">
        <v>1</v>
      </c>
    </row>
    <row r="1925" spans="1:5" x14ac:dyDescent="0.35">
      <c r="A1925" s="9">
        <v>5604405</v>
      </c>
      <c r="B1925" s="10">
        <v>42943</v>
      </c>
      <c r="C1925" s="11">
        <v>0.58655092592592595</v>
      </c>
      <c r="D1925" s="12">
        <v>0.59761574074074075</v>
      </c>
      <c r="E1925">
        <v>1</v>
      </c>
    </row>
    <row r="1926" spans="1:5" x14ac:dyDescent="0.35">
      <c r="A1926" s="5">
        <v>4774889</v>
      </c>
      <c r="B1926" s="6">
        <v>42943</v>
      </c>
      <c r="C1926" s="7">
        <v>0.58733796296296292</v>
      </c>
      <c r="D1926" s="8">
        <v>0.59475694444444449</v>
      </c>
      <c r="E1926">
        <v>1</v>
      </c>
    </row>
    <row r="1927" spans="1:5" x14ac:dyDescent="0.35">
      <c r="A1927" s="9">
        <v>4017213</v>
      </c>
      <c r="B1927" s="10">
        <v>42943</v>
      </c>
      <c r="C1927" s="11">
        <v>0.59228009259259262</v>
      </c>
      <c r="D1927" s="12">
        <v>0.60034722222222225</v>
      </c>
      <c r="E1927">
        <v>1</v>
      </c>
    </row>
    <row r="1928" spans="1:5" x14ac:dyDescent="0.35">
      <c r="A1928" s="5">
        <v>4720934</v>
      </c>
      <c r="B1928" s="6">
        <v>42943</v>
      </c>
      <c r="C1928" s="7">
        <v>0.59624999999999995</v>
      </c>
      <c r="D1928" s="8">
        <v>0.59810185185185183</v>
      </c>
      <c r="E1928">
        <v>1</v>
      </c>
    </row>
    <row r="1929" spans="1:5" x14ac:dyDescent="0.35">
      <c r="A1929" s="9">
        <v>13494237</v>
      </c>
      <c r="B1929" s="10">
        <v>42943</v>
      </c>
      <c r="C1929" s="11">
        <v>0.60160879629629627</v>
      </c>
      <c r="D1929" s="12">
        <v>0.61234953703703698</v>
      </c>
      <c r="E1929">
        <v>1</v>
      </c>
    </row>
    <row r="1930" spans="1:5" x14ac:dyDescent="0.35">
      <c r="A1930" s="5">
        <v>71807686</v>
      </c>
      <c r="B1930" s="6">
        <v>42943</v>
      </c>
      <c r="C1930" s="7">
        <v>0.60339120370370369</v>
      </c>
      <c r="D1930" s="8">
        <v>0.61410879629629633</v>
      </c>
      <c r="E1930">
        <v>1</v>
      </c>
    </row>
    <row r="1931" spans="1:5" x14ac:dyDescent="0.35">
      <c r="A1931" s="9">
        <v>7865609</v>
      </c>
      <c r="B1931" s="10">
        <v>42943</v>
      </c>
      <c r="C1931" s="11">
        <v>0.60826388888888894</v>
      </c>
      <c r="D1931" s="12">
        <v>0.61071759259259262</v>
      </c>
      <c r="E1931">
        <v>1</v>
      </c>
    </row>
    <row r="1932" spans="1:5" x14ac:dyDescent="0.35">
      <c r="A1932" s="5">
        <v>5318850</v>
      </c>
      <c r="B1932" s="6">
        <v>42943</v>
      </c>
      <c r="C1932" s="7">
        <v>0.61053240740740744</v>
      </c>
      <c r="D1932" s="8">
        <v>0.61406249999999996</v>
      </c>
      <c r="E1932">
        <v>1</v>
      </c>
    </row>
    <row r="1933" spans="1:5" x14ac:dyDescent="0.35">
      <c r="A1933" s="9">
        <v>63613334</v>
      </c>
      <c r="B1933" s="10">
        <v>42943</v>
      </c>
      <c r="C1933" s="11">
        <v>0.61393518518518519</v>
      </c>
      <c r="D1933" s="12">
        <v>0.61831018518518521</v>
      </c>
      <c r="E1933">
        <v>1</v>
      </c>
    </row>
    <row r="1934" spans="1:5" x14ac:dyDescent="0.35">
      <c r="A1934" s="5">
        <v>2256093</v>
      </c>
      <c r="B1934" s="6">
        <v>42943</v>
      </c>
      <c r="C1934" s="7">
        <v>0.61958333333333337</v>
      </c>
      <c r="D1934" s="8">
        <v>0.62275462962962957</v>
      </c>
      <c r="E1934">
        <v>1</v>
      </c>
    </row>
    <row r="1935" spans="1:5" x14ac:dyDescent="0.35">
      <c r="A1935" s="9">
        <v>7421094</v>
      </c>
      <c r="B1935" s="10">
        <v>42943</v>
      </c>
      <c r="C1935" s="11">
        <v>0.62206018518518513</v>
      </c>
      <c r="D1935" s="12">
        <v>0.62554398148148149</v>
      </c>
      <c r="E1935">
        <v>1</v>
      </c>
    </row>
    <row r="1936" spans="1:5" x14ac:dyDescent="0.35">
      <c r="A1936" s="5">
        <v>5376362</v>
      </c>
      <c r="B1936" s="6">
        <v>42943</v>
      </c>
      <c r="C1936" s="7">
        <v>0.6255208333333333</v>
      </c>
      <c r="D1936" s="8">
        <v>0.63026620370370368</v>
      </c>
      <c r="E1936">
        <v>1</v>
      </c>
    </row>
    <row r="1937" spans="1:5" x14ac:dyDescent="0.35">
      <c r="A1937" s="9">
        <v>8967842</v>
      </c>
      <c r="B1937" s="10">
        <v>42944</v>
      </c>
      <c r="C1937" s="11">
        <v>0.3369328703703704</v>
      </c>
      <c r="D1937" s="12">
        <v>0.34400462962962963</v>
      </c>
      <c r="E1937">
        <v>1</v>
      </c>
    </row>
    <row r="1938" spans="1:5" x14ac:dyDescent="0.35">
      <c r="A1938" s="5">
        <v>76644634</v>
      </c>
      <c r="B1938" s="6">
        <v>42944</v>
      </c>
      <c r="C1938" s="7">
        <v>0.33696759259259257</v>
      </c>
      <c r="D1938" s="8">
        <v>0.33809027777777778</v>
      </c>
      <c r="E1938">
        <v>1</v>
      </c>
    </row>
    <row r="1939" spans="1:5" x14ac:dyDescent="0.35">
      <c r="A1939" s="9">
        <v>7622819</v>
      </c>
      <c r="B1939" s="10">
        <v>42944</v>
      </c>
      <c r="C1939" s="11">
        <v>0.33831018518518519</v>
      </c>
      <c r="D1939" s="12">
        <v>0.34758101851851853</v>
      </c>
      <c r="E1939">
        <v>1</v>
      </c>
    </row>
    <row r="1940" spans="1:5" x14ac:dyDescent="0.35">
      <c r="A1940" s="5">
        <v>3524259</v>
      </c>
      <c r="B1940" s="6">
        <v>42944</v>
      </c>
      <c r="C1940" s="7">
        <v>0.33927083333333335</v>
      </c>
      <c r="D1940" s="8">
        <v>0.34861111111111109</v>
      </c>
      <c r="E1940">
        <v>1</v>
      </c>
    </row>
    <row r="1941" spans="1:5" x14ac:dyDescent="0.35">
      <c r="A1941" s="9">
        <v>5550678</v>
      </c>
      <c r="B1941" s="10">
        <v>42944</v>
      </c>
      <c r="C1941" s="11">
        <v>0.34497685185185184</v>
      </c>
      <c r="D1941" s="12">
        <v>0.35487268518518517</v>
      </c>
      <c r="E1941">
        <v>1</v>
      </c>
    </row>
    <row r="1942" spans="1:5" x14ac:dyDescent="0.35">
      <c r="A1942" s="5">
        <v>41852472</v>
      </c>
      <c r="B1942" s="6">
        <v>42944</v>
      </c>
      <c r="C1942" s="7">
        <v>0.34826388888888887</v>
      </c>
      <c r="D1942" s="8">
        <v>0.34871527777777778</v>
      </c>
      <c r="E1942">
        <v>1</v>
      </c>
    </row>
    <row r="1943" spans="1:5" x14ac:dyDescent="0.35">
      <c r="A1943" s="9">
        <v>8799570155</v>
      </c>
      <c r="B1943" s="10">
        <v>42944</v>
      </c>
      <c r="C1943" s="11">
        <v>0.34932870370370372</v>
      </c>
      <c r="D1943" s="12">
        <v>0.35365740740740742</v>
      </c>
      <c r="E1943">
        <v>1</v>
      </c>
    </row>
    <row r="1944" spans="1:5" x14ac:dyDescent="0.35">
      <c r="A1944" s="5">
        <v>9329226</v>
      </c>
      <c r="B1944" s="6">
        <v>42944</v>
      </c>
      <c r="C1944" s="7">
        <v>0.34983796296296299</v>
      </c>
      <c r="D1944" s="8">
        <v>0.35505787037037034</v>
      </c>
      <c r="E1944">
        <v>1</v>
      </c>
    </row>
    <row r="1945" spans="1:5" x14ac:dyDescent="0.35">
      <c r="A1945" s="9">
        <v>9219408</v>
      </c>
      <c r="B1945" s="10">
        <v>42944</v>
      </c>
      <c r="C1945" s="11">
        <v>0.35519675925925925</v>
      </c>
      <c r="D1945" s="12">
        <v>0.36072916666666666</v>
      </c>
      <c r="E1945">
        <v>1</v>
      </c>
    </row>
    <row r="1946" spans="1:5" x14ac:dyDescent="0.35">
      <c r="A1946" s="5">
        <v>2163209</v>
      </c>
      <c r="B1946" s="6">
        <v>42944</v>
      </c>
      <c r="C1946" s="7">
        <v>0.35749999999999998</v>
      </c>
      <c r="D1946" s="8">
        <v>0.36791666666666667</v>
      </c>
      <c r="E1946">
        <v>1</v>
      </c>
    </row>
    <row r="1947" spans="1:5" x14ac:dyDescent="0.35">
      <c r="A1947" s="9">
        <v>98021540</v>
      </c>
      <c r="B1947" s="10">
        <v>42944</v>
      </c>
      <c r="C1947" s="11">
        <v>0.35806712962962961</v>
      </c>
      <c r="D1947" s="12">
        <v>0.36835648148148148</v>
      </c>
      <c r="E1947">
        <v>1</v>
      </c>
    </row>
    <row r="1948" spans="1:5" x14ac:dyDescent="0.35">
      <c r="A1948" s="5">
        <v>58420185</v>
      </c>
      <c r="B1948" s="6">
        <v>42944</v>
      </c>
      <c r="C1948" s="7">
        <v>0.35957175925925927</v>
      </c>
      <c r="D1948" s="8">
        <v>0.3616435185185185</v>
      </c>
      <c r="E1948">
        <v>1</v>
      </c>
    </row>
    <row r="1949" spans="1:5" x14ac:dyDescent="0.35">
      <c r="A1949" s="9">
        <v>2188847</v>
      </c>
      <c r="B1949" s="10">
        <v>42944</v>
      </c>
      <c r="C1949" s="11">
        <v>0.36321759259259262</v>
      </c>
      <c r="D1949" s="12">
        <v>0.36689814814814814</v>
      </c>
      <c r="E1949">
        <v>1</v>
      </c>
    </row>
    <row r="1950" spans="1:5" x14ac:dyDescent="0.35">
      <c r="A1950" s="5">
        <v>2419817</v>
      </c>
      <c r="B1950" s="6">
        <v>42944</v>
      </c>
      <c r="C1950" s="7">
        <v>0.36768518518518517</v>
      </c>
      <c r="D1950" s="8">
        <v>0.3742476851851852</v>
      </c>
      <c r="E1950">
        <v>1</v>
      </c>
    </row>
    <row r="1951" spans="1:5" x14ac:dyDescent="0.35">
      <c r="A1951" s="9">
        <v>8938444</v>
      </c>
      <c r="B1951" s="10">
        <v>42944</v>
      </c>
      <c r="C1951" s="11">
        <v>0.37162037037037038</v>
      </c>
      <c r="D1951" s="12">
        <v>0.37275462962962963</v>
      </c>
      <c r="E1951">
        <v>1</v>
      </c>
    </row>
    <row r="1952" spans="1:5" x14ac:dyDescent="0.35">
      <c r="A1952" s="5">
        <v>8512255</v>
      </c>
      <c r="B1952" s="6">
        <v>42944</v>
      </c>
      <c r="C1952" s="7">
        <v>0.37327546296296299</v>
      </c>
      <c r="D1952" s="8">
        <v>0.37962962962962965</v>
      </c>
      <c r="E1952">
        <v>1</v>
      </c>
    </row>
    <row r="1953" spans="1:5" x14ac:dyDescent="0.35">
      <c r="A1953" s="9">
        <v>7488966</v>
      </c>
      <c r="B1953" s="10">
        <v>42944</v>
      </c>
      <c r="C1953" s="11">
        <v>0.37513888888888891</v>
      </c>
      <c r="D1953" s="12">
        <v>0.3775</v>
      </c>
      <c r="E1953">
        <v>1</v>
      </c>
    </row>
    <row r="1954" spans="1:5" x14ac:dyDescent="0.35">
      <c r="A1954" s="5">
        <v>6068132</v>
      </c>
      <c r="B1954" s="6">
        <v>42944</v>
      </c>
      <c r="C1954" s="7">
        <v>0.37793981481481481</v>
      </c>
      <c r="D1954" s="8">
        <v>0.3873611111111111</v>
      </c>
      <c r="E1954">
        <v>1</v>
      </c>
    </row>
    <row r="1955" spans="1:5" x14ac:dyDescent="0.35">
      <c r="A1955" s="9">
        <v>6131743</v>
      </c>
      <c r="B1955" s="10">
        <v>42944</v>
      </c>
      <c r="C1955" s="11">
        <v>0.38305555555555554</v>
      </c>
      <c r="D1955" s="12">
        <v>0.38718750000000002</v>
      </c>
      <c r="E1955">
        <v>1</v>
      </c>
    </row>
    <row r="1956" spans="1:5" x14ac:dyDescent="0.35">
      <c r="A1956" s="5">
        <v>71564278</v>
      </c>
      <c r="B1956" s="6">
        <v>42944</v>
      </c>
      <c r="C1956" s="7">
        <v>0.38849537037037035</v>
      </c>
      <c r="D1956" s="8">
        <v>0.39708333333333334</v>
      </c>
      <c r="E1956">
        <v>1</v>
      </c>
    </row>
    <row r="1957" spans="1:5" x14ac:dyDescent="0.35">
      <c r="A1957" s="9">
        <v>4529192</v>
      </c>
      <c r="B1957" s="10">
        <v>42944</v>
      </c>
      <c r="C1957" s="11">
        <v>0.39005787037037037</v>
      </c>
      <c r="D1957" s="12">
        <v>0.39561342592592591</v>
      </c>
      <c r="E1957">
        <v>1</v>
      </c>
    </row>
    <row r="1958" spans="1:5" x14ac:dyDescent="0.35">
      <c r="A1958" s="5">
        <v>2193730</v>
      </c>
      <c r="B1958" s="6">
        <v>42944</v>
      </c>
      <c r="C1958" s="7">
        <v>0.39269675925925923</v>
      </c>
      <c r="D1958" s="8">
        <v>0.40126157407407409</v>
      </c>
      <c r="E1958">
        <v>1</v>
      </c>
    </row>
    <row r="1959" spans="1:5" x14ac:dyDescent="0.35">
      <c r="A1959" s="9">
        <v>3120387</v>
      </c>
      <c r="B1959" s="10">
        <v>42944</v>
      </c>
      <c r="C1959" s="11">
        <v>0.39303240740740741</v>
      </c>
      <c r="D1959" s="12">
        <v>0.39657407407407408</v>
      </c>
      <c r="E1959">
        <v>1</v>
      </c>
    </row>
    <row r="1960" spans="1:5" x14ac:dyDescent="0.35">
      <c r="A1960" s="5">
        <v>5726531</v>
      </c>
      <c r="B1960" s="6">
        <v>42944</v>
      </c>
      <c r="C1960" s="7">
        <v>0.39825231481481482</v>
      </c>
      <c r="D1960" s="8">
        <v>0.39855324074074072</v>
      </c>
      <c r="E1960">
        <v>1</v>
      </c>
    </row>
    <row r="1961" spans="1:5" x14ac:dyDescent="0.35">
      <c r="A1961" s="9">
        <v>5076649</v>
      </c>
      <c r="B1961" s="10">
        <v>42944</v>
      </c>
      <c r="C1961" s="11">
        <v>0.39922453703703703</v>
      </c>
      <c r="D1961" s="12">
        <v>0.40482638888888889</v>
      </c>
      <c r="E1961">
        <v>1</v>
      </c>
    </row>
    <row r="1962" spans="1:5" x14ac:dyDescent="0.35">
      <c r="A1962" s="5">
        <v>98939809</v>
      </c>
      <c r="B1962" s="6">
        <v>42944</v>
      </c>
      <c r="C1962" s="7">
        <v>0.40277777777777779</v>
      </c>
      <c r="D1962" s="8">
        <v>0.40599537037037037</v>
      </c>
      <c r="E1962">
        <v>1</v>
      </c>
    </row>
    <row r="1963" spans="1:5" x14ac:dyDescent="0.35">
      <c r="A1963" s="9">
        <v>2005653</v>
      </c>
      <c r="B1963" s="10">
        <v>42944</v>
      </c>
      <c r="C1963" s="11">
        <v>0.40842592592592591</v>
      </c>
      <c r="D1963" s="12">
        <v>0.41866898148148146</v>
      </c>
      <c r="E1963">
        <v>1</v>
      </c>
    </row>
    <row r="1964" spans="1:5" x14ac:dyDescent="0.35">
      <c r="A1964" s="5">
        <v>4659808</v>
      </c>
      <c r="B1964" s="6">
        <v>42944</v>
      </c>
      <c r="C1964" s="7">
        <v>0.40956018518518517</v>
      </c>
      <c r="D1964" s="8">
        <v>0.41278935185185184</v>
      </c>
      <c r="E1964">
        <v>1</v>
      </c>
    </row>
    <row r="1965" spans="1:5" x14ac:dyDescent="0.35">
      <c r="A1965" s="9">
        <v>60113139</v>
      </c>
      <c r="B1965" s="10">
        <v>42944</v>
      </c>
      <c r="C1965" s="11">
        <v>0.41228009259259257</v>
      </c>
      <c r="D1965" s="12">
        <v>0.41718749999999999</v>
      </c>
      <c r="E1965">
        <v>1</v>
      </c>
    </row>
    <row r="1966" spans="1:5" x14ac:dyDescent="0.35">
      <c r="A1966" s="5">
        <v>55896338</v>
      </c>
      <c r="B1966" s="6">
        <v>42944</v>
      </c>
      <c r="C1966" s="7">
        <v>0.41521990740740738</v>
      </c>
      <c r="D1966" s="8">
        <v>0.41893518518518519</v>
      </c>
      <c r="E1966">
        <v>1</v>
      </c>
    </row>
    <row r="1967" spans="1:5" x14ac:dyDescent="0.35">
      <c r="A1967" s="9">
        <v>9747403</v>
      </c>
      <c r="B1967" s="10">
        <v>42944</v>
      </c>
      <c r="C1967" s="11">
        <v>0.42093750000000002</v>
      </c>
      <c r="D1967" s="12">
        <v>0.42825231481481479</v>
      </c>
      <c r="E1967">
        <v>1</v>
      </c>
    </row>
    <row r="1968" spans="1:5" x14ac:dyDescent="0.35">
      <c r="A1968" s="5">
        <v>5687447</v>
      </c>
      <c r="B1968" s="6">
        <v>42944</v>
      </c>
      <c r="C1968" s="7">
        <v>0.42295138888888889</v>
      </c>
      <c r="D1968" s="8">
        <v>0.42423611111111109</v>
      </c>
      <c r="E1968">
        <v>1</v>
      </c>
    </row>
    <row r="1969" spans="1:5" x14ac:dyDescent="0.35">
      <c r="A1969" s="9">
        <v>78940032</v>
      </c>
      <c r="B1969" s="10">
        <v>42944</v>
      </c>
      <c r="C1969" s="11">
        <v>0.42478009259259258</v>
      </c>
      <c r="D1969" s="12">
        <v>0.43118055555555557</v>
      </c>
      <c r="E1969">
        <v>1</v>
      </c>
    </row>
    <row r="1970" spans="1:5" x14ac:dyDescent="0.35">
      <c r="A1970" s="5">
        <v>1094486764</v>
      </c>
      <c r="B1970" s="6">
        <v>42944</v>
      </c>
      <c r="C1970" s="7">
        <v>0.42781249999999998</v>
      </c>
      <c r="D1970" s="8">
        <v>0.43763888888888891</v>
      </c>
      <c r="E1970">
        <v>1</v>
      </c>
    </row>
    <row r="1971" spans="1:5" x14ac:dyDescent="0.35">
      <c r="A1971" s="9">
        <v>2611045</v>
      </c>
      <c r="B1971" s="10">
        <v>42944</v>
      </c>
      <c r="C1971" s="11">
        <v>0.43131944444444442</v>
      </c>
      <c r="D1971" s="12">
        <v>0.4387152777777778</v>
      </c>
      <c r="E1971">
        <v>1</v>
      </c>
    </row>
    <row r="1972" spans="1:5" x14ac:dyDescent="0.35">
      <c r="A1972" s="5">
        <v>6047761</v>
      </c>
      <c r="B1972" s="6">
        <v>42944</v>
      </c>
      <c r="C1972" s="7">
        <v>0.43351851851851853</v>
      </c>
      <c r="D1972" s="8">
        <v>0.4412152777777778</v>
      </c>
      <c r="E1972">
        <v>1</v>
      </c>
    </row>
    <row r="1973" spans="1:5" x14ac:dyDescent="0.35">
      <c r="A1973" s="9">
        <v>4154521</v>
      </c>
      <c r="B1973" s="10">
        <v>42944</v>
      </c>
      <c r="C1973" s="11">
        <v>0.43552083333333336</v>
      </c>
      <c r="D1973" s="12">
        <v>0.44587962962962963</v>
      </c>
      <c r="E1973">
        <v>1</v>
      </c>
    </row>
    <row r="1974" spans="1:5" x14ac:dyDescent="0.35">
      <c r="A1974" s="5">
        <v>8895257</v>
      </c>
      <c r="B1974" s="6">
        <v>42944</v>
      </c>
      <c r="C1974" s="7">
        <v>0.43975694444444446</v>
      </c>
      <c r="D1974" s="8">
        <v>0.4472800925925926</v>
      </c>
      <c r="E1974">
        <v>1</v>
      </c>
    </row>
    <row r="1975" spans="1:5" x14ac:dyDescent="0.35">
      <c r="A1975" s="9">
        <v>2199311</v>
      </c>
      <c r="B1975" s="10">
        <v>42944</v>
      </c>
      <c r="C1975" s="11">
        <v>0.44490740740740742</v>
      </c>
      <c r="D1975" s="12">
        <v>0.44578703703703704</v>
      </c>
      <c r="E1975">
        <v>1</v>
      </c>
    </row>
    <row r="1976" spans="1:5" x14ac:dyDescent="0.35">
      <c r="A1976" s="5">
        <v>17864361</v>
      </c>
      <c r="B1976" s="6">
        <v>42944</v>
      </c>
      <c r="C1976" s="7">
        <v>0.44605324074074076</v>
      </c>
      <c r="D1976" s="8">
        <v>0.45253472222222224</v>
      </c>
      <c r="E1976">
        <v>1</v>
      </c>
    </row>
    <row r="1977" spans="1:5" x14ac:dyDescent="0.35">
      <c r="A1977" s="9">
        <v>6943996503</v>
      </c>
      <c r="B1977" s="10">
        <v>42944</v>
      </c>
      <c r="C1977" s="11">
        <v>0.4506134259259259</v>
      </c>
      <c r="D1977" s="12">
        <v>0.45674768518518516</v>
      </c>
      <c r="E1977">
        <v>1</v>
      </c>
    </row>
    <row r="1978" spans="1:5" x14ac:dyDescent="0.35">
      <c r="A1978" s="5">
        <v>9547712</v>
      </c>
      <c r="B1978" s="6">
        <v>42944</v>
      </c>
      <c r="C1978" s="7">
        <v>0.45546296296296296</v>
      </c>
      <c r="D1978" s="8">
        <v>0.46259259259259261</v>
      </c>
      <c r="E1978">
        <v>1</v>
      </c>
    </row>
    <row r="1979" spans="1:5" x14ac:dyDescent="0.35">
      <c r="A1979" s="9">
        <v>3925701</v>
      </c>
      <c r="B1979" s="10">
        <v>42944</v>
      </c>
      <c r="C1979" s="11">
        <v>0.45756944444444442</v>
      </c>
      <c r="D1979" s="12">
        <v>0.46141203703703704</v>
      </c>
      <c r="E1979">
        <v>1</v>
      </c>
    </row>
    <row r="1980" spans="1:5" x14ac:dyDescent="0.35">
      <c r="A1980" s="5">
        <v>97317489</v>
      </c>
      <c r="B1980" s="6">
        <v>42944</v>
      </c>
      <c r="C1980" s="7">
        <v>0.46269675925925924</v>
      </c>
      <c r="D1980" s="8">
        <v>0.46620370370370373</v>
      </c>
      <c r="E1980">
        <v>1</v>
      </c>
    </row>
    <row r="1981" spans="1:5" x14ac:dyDescent="0.35">
      <c r="A1981" s="9">
        <v>78009874</v>
      </c>
      <c r="B1981" s="10">
        <v>42944</v>
      </c>
      <c r="C1981" s="11">
        <v>0.46400462962962963</v>
      </c>
      <c r="D1981" s="12">
        <v>0.46545138888888887</v>
      </c>
      <c r="E1981">
        <v>1</v>
      </c>
    </row>
    <row r="1982" spans="1:5" x14ac:dyDescent="0.35">
      <c r="A1982" s="5">
        <v>8590206</v>
      </c>
      <c r="B1982" s="6">
        <v>42944</v>
      </c>
      <c r="C1982" s="7">
        <v>0.46763888888888888</v>
      </c>
      <c r="D1982" s="8">
        <v>0.47359953703703705</v>
      </c>
      <c r="E1982">
        <v>1</v>
      </c>
    </row>
    <row r="1983" spans="1:5" x14ac:dyDescent="0.35">
      <c r="A1983" s="9">
        <v>7273239</v>
      </c>
      <c r="B1983" s="10">
        <v>42944</v>
      </c>
      <c r="C1983" s="11">
        <v>0.47111111111111109</v>
      </c>
      <c r="D1983" s="12">
        <v>0.48017361111111112</v>
      </c>
      <c r="E1983">
        <v>1</v>
      </c>
    </row>
    <row r="1984" spans="1:5" x14ac:dyDescent="0.35">
      <c r="A1984" s="5">
        <v>9975967</v>
      </c>
      <c r="B1984" s="6">
        <v>42944</v>
      </c>
      <c r="C1984" s="7">
        <v>0.47454861111111113</v>
      </c>
      <c r="D1984" s="8">
        <v>0.47562500000000002</v>
      </c>
      <c r="E1984">
        <v>1</v>
      </c>
    </row>
    <row r="1985" spans="1:5" x14ac:dyDescent="0.35">
      <c r="A1985" s="9">
        <v>2134315</v>
      </c>
      <c r="B1985" s="10">
        <v>42944</v>
      </c>
      <c r="C1985" s="11">
        <v>0.47733796296296294</v>
      </c>
      <c r="D1985" s="12">
        <v>0.48003472222222221</v>
      </c>
      <c r="E1985">
        <v>1</v>
      </c>
    </row>
    <row r="1986" spans="1:5" x14ac:dyDescent="0.35">
      <c r="A1986" s="5">
        <v>6919928</v>
      </c>
      <c r="B1986" s="6">
        <v>42944</v>
      </c>
      <c r="C1986" s="7">
        <v>0.4783101851851852</v>
      </c>
      <c r="D1986" s="8">
        <v>0.48770833333333335</v>
      </c>
      <c r="E1986">
        <v>1</v>
      </c>
    </row>
    <row r="1987" spans="1:5" x14ac:dyDescent="0.35">
      <c r="A1987" s="9">
        <v>45081794</v>
      </c>
      <c r="B1987" s="10">
        <v>42944</v>
      </c>
      <c r="C1987" s="11">
        <v>0.47928240740740741</v>
      </c>
      <c r="D1987" s="12">
        <v>0.481875</v>
      </c>
      <c r="E1987">
        <v>1</v>
      </c>
    </row>
    <row r="1988" spans="1:5" x14ac:dyDescent="0.35">
      <c r="A1988" s="5">
        <v>1661633</v>
      </c>
      <c r="B1988" s="6">
        <v>42944</v>
      </c>
      <c r="C1988" s="7">
        <v>0.48042824074074075</v>
      </c>
      <c r="D1988" s="8">
        <v>0.48422453703703705</v>
      </c>
      <c r="E1988">
        <v>1</v>
      </c>
    </row>
    <row r="1989" spans="1:5" x14ac:dyDescent="0.35">
      <c r="A1989" s="9">
        <v>1639829</v>
      </c>
      <c r="B1989" s="10">
        <v>42944</v>
      </c>
      <c r="C1989" s="11">
        <v>0.4815740740740741</v>
      </c>
      <c r="D1989" s="12">
        <v>0.48802083333333335</v>
      </c>
      <c r="E1989">
        <v>1</v>
      </c>
    </row>
    <row r="1990" spans="1:5" x14ac:dyDescent="0.35">
      <c r="A1990" s="5">
        <v>8585321</v>
      </c>
      <c r="B1990" s="6">
        <v>42944</v>
      </c>
      <c r="C1990" s="7">
        <v>0.4836111111111111</v>
      </c>
      <c r="D1990" s="8">
        <v>0.48996527777777776</v>
      </c>
      <c r="E1990">
        <v>1</v>
      </c>
    </row>
    <row r="1991" spans="1:5" x14ac:dyDescent="0.35">
      <c r="A1991" s="9">
        <v>1661643168</v>
      </c>
      <c r="B1991" s="10">
        <v>42944</v>
      </c>
      <c r="C1991" s="11">
        <v>0.48609953703703701</v>
      </c>
      <c r="D1991" s="12">
        <v>0.48850694444444442</v>
      </c>
      <c r="E1991">
        <v>1</v>
      </c>
    </row>
    <row r="1992" spans="1:5" x14ac:dyDescent="0.35">
      <c r="A1992" s="5">
        <v>5136126</v>
      </c>
      <c r="B1992" s="6">
        <v>42944</v>
      </c>
      <c r="C1992" s="7">
        <v>0.49048611111111112</v>
      </c>
      <c r="D1992" s="8">
        <v>0.49685185185185188</v>
      </c>
      <c r="E1992">
        <v>1</v>
      </c>
    </row>
    <row r="1993" spans="1:5" x14ac:dyDescent="0.35">
      <c r="A1993" s="9">
        <v>9747700</v>
      </c>
      <c r="B1993" s="10">
        <v>42944</v>
      </c>
      <c r="C1993" s="11">
        <v>0.49305555555555558</v>
      </c>
      <c r="D1993" s="12">
        <v>0.50435185185185183</v>
      </c>
      <c r="E1993">
        <v>1</v>
      </c>
    </row>
    <row r="1994" spans="1:5" x14ac:dyDescent="0.35">
      <c r="A1994" s="5">
        <v>8387594</v>
      </c>
      <c r="B1994" s="6">
        <v>42944</v>
      </c>
      <c r="C1994" s="7">
        <v>0.49401620370370369</v>
      </c>
      <c r="D1994" s="8">
        <v>0.49682870370370369</v>
      </c>
      <c r="E1994">
        <v>1</v>
      </c>
    </row>
    <row r="1995" spans="1:5" x14ac:dyDescent="0.35">
      <c r="A1995" s="9">
        <v>65166542</v>
      </c>
      <c r="B1995" s="10">
        <v>42944</v>
      </c>
      <c r="C1995" s="11">
        <v>0.49554398148148149</v>
      </c>
      <c r="D1995" s="12">
        <v>0.49667824074074074</v>
      </c>
      <c r="E1995">
        <v>1</v>
      </c>
    </row>
    <row r="1996" spans="1:5" x14ac:dyDescent="0.35">
      <c r="A1996" s="5">
        <v>77607017</v>
      </c>
      <c r="B1996" s="6">
        <v>42944</v>
      </c>
      <c r="C1996" s="7">
        <v>0.49858796296296298</v>
      </c>
      <c r="D1996" s="8">
        <v>0.50891203703703702</v>
      </c>
      <c r="E1996">
        <v>1</v>
      </c>
    </row>
    <row r="1997" spans="1:5" x14ac:dyDescent="0.35">
      <c r="A1997" s="9">
        <v>9028434625</v>
      </c>
      <c r="B1997" s="10">
        <v>42944</v>
      </c>
      <c r="C1997" s="11">
        <v>0.50208333333333333</v>
      </c>
      <c r="D1997" s="12">
        <v>0.5110069444444445</v>
      </c>
      <c r="E1997">
        <v>1</v>
      </c>
    </row>
    <row r="1998" spans="1:5" x14ac:dyDescent="0.35">
      <c r="A1998" s="5">
        <v>7503173</v>
      </c>
      <c r="B1998" s="6">
        <v>42944</v>
      </c>
      <c r="C1998" s="7">
        <v>0.50390046296296298</v>
      </c>
      <c r="D1998" s="8">
        <v>0.50619212962962967</v>
      </c>
      <c r="E1998">
        <v>1</v>
      </c>
    </row>
    <row r="1999" spans="1:5" x14ac:dyDescent="0.35">
      <c r="A1999" s="9">
        <v>9039872</v>
      </c>
      <c r="B1999" s="10">
        <v>42944</v>
      </c>
      <c r="C1999" s="11">
        <v>0.50825231481481481</v>
      </c>
      <c r="D1999" s="12">
        <v>0.5168518518518519</v>
      </c>
      <c r="E1999">
        <v>1</v>
      </c>
    </row>
    <row r="2000" spans="1:5" x14ac:dyDescent="0.35">
      <c r="A2000" s="5">
        <v>45940361</v>
      </c>
      <c r="B2000" s="6">
        <v>42944</v>
      </c>
      <c r="C2000" s="7">
        <v>0.50982638888888887</v>
      </c>
      <c r="D2000" s="8">
        <v>0.51537037037037037</v>
      </c>
      <c r="E2000">
        <v>1</v>
      </c>
    </row>
    <row r="2001" spans="1:5" x14ac:dyDescent="0.35">
      <c r="A2001" s="9">
        <v>6242177</v>
      </c>
      <c r="B2001" s="10">
        <v>42944</v>
      </c>
      <c r="C2001" s="11">
        <v>0.5138773148148148</v>
      </c>
      <c r="D2001" s="12">
        <v>0.52096064814814813</v>
      </c>
      <c r="E2001">
        <v>1</v>
      </c>
    </row>
    <row r="2002" spans="1:5" x14ac:dyDescent="0.35">
      <c r="A2002" s="5">
        <v>60454232</v>
      </c>
      <c r="B2002" s="6">
        <v>42944</v>
      </c>
      <c r="C2002" s="7">
        <v>0.5149421296296296</v>
      </c>
      <c r="D2002" s="8">
        <v>0.5248032407407407</v>
      </c>
      <c r="E2002">
        <v>1</v>
      </c>
    </row>
    <row r="2003" spans="1:5" x14ac:dyDescent="0.35">
      <c r="A2003" s="9">
        <v>4060894</v>
      </c>
      <c r="B2003" s="10">
        <v>42944</v>
      </c>
      <c r="C2003" s="11">
        <v>0.51730324074074074</v>
      </c>
      <c r="D2003" s="12">
        <v>0.51848379629629626</v>
      </c>
      <c r="E2003">
        <v>1</v>
      </c>
    </row>
    <row r="2004" spans="1:5" x14ac:dyDescent="0.35">
      <c r="A2004" s="5">
        <v>8223406</v>
      </c>
      <c r="B2004" s="6">
        <v>42944</v>
      </c>
      <c r="C2004" s="7">
        <v>0.51908564814814817</v>
      </c>
      <c r="D2004" s="8">
        <v>0.51929398148148154</v>
      </c>
      <c r="E2004">
        <v>1</v>
      </c>
    </row>
    <row r="2005" spans="1:5" x14ac:dyDescent="0.35">
      <c r="A2005" s="9">
        <v>43109897</v>
      </c>
      <c r="B2005" s="10">
        <v>42944</v>
      </c>
      <c r="C2005" s="11">
        <v>0.52467592592592593</v>
      </c>
      <c r="D2005" s="12">
        <v>0.53178240740740745</v>
      </c>
      <c r="E2005">
        <v>1</v>
      </c>
    </row>
    <row r="2006" spans="1:5" x14ac:dyDescent="0.35">
      <c r="A2006" s="5">
        <v>95805020</v>
      </c>
      <c r="B2006" s="6">
        <v>42944</v>
      </c>
      <c r="C2006" s="7">
        <v>0.52603009259259259</v>
      </c>
      <c r="D2006" s="8">
        <v>0.53304398148148147</v>
      </c>
      <c r="E2006">
        <v>1</v>
      </c>
    </row>
    <row r="2007" spans="1:5" x14ac:dyDescent="0.35">
      <c r="A2007" s="9">
        <v>2849439</v>
      </c>
      <c r="B2007" s="10">
        <v>42944</v>
      </c>
      <c r="C2007" s="11">
        <v>0.52813657407407411</v>
      </c>
      <c r="D2007" s="12">
        <v>0.53039351851851857</v>
      </c>
      <c r="E2007">
        <v>1</v>
      </c>
    </row>
    <row r="2008" spans="1:5" x14ac:dyDescent="0.35">
      <c r="A2008" s="5">
        <v>9589060</v>
      </c>
      <c r="B2008" s="6">
        <v>42944</v>
      </c>
      <c r="C2008" s="7">
        <v>0.53310185185185188</v>
      </c>
      <c r="D2008" s="8">
        <v>0.53871527777777772</v>
      </c>
      <c r="E2008">
        <v>1</v>
      </c>
    </row>
    <row r="2009" spans="1:5" x14ac:dyDescent="0.35">
      <c r="A2009" s="9">
        <v>2603125</v>
      </c>
      <c r="B2009" s="10">
        <v>42944</v>
      </c>
      <c r="C2009" s="11">
        <v>0.53541666666666665</v>
      </c>
      <c r="D2009" s="12">
        <v>0.53666666666666663</v>
      </c>
      <c r="E2009">
        <v>1</v>
      </c>
    </row>
    <row r="2010" spans="1:5" x14ac:dyDescent="0.35">
      <c r="A2010" s="5">
        <v>8770898</v>
      </c>
      <c r="B2010" s="6">
        <v>42944</v>
      </c>
      <c r="C2010" s="7">
        <v>0.53773148148148153</v>
      </c>
      <c r="D2010" s="8">
        <v>0.54628472222222224</v>
      </c>
      <c r="E2010">
        <v>1</v>
      </c>
    </row>
    <row r="2011" spans="1:5" x14ac:dyDescent="0.35">
      <c r="A2011" s="9">
        <v>3224960</v>
      </c>
      <c r="B2011" s="10">
        <v>42944</v>
      </c>
      <c r="C2011" s="11">
        <v>0.54221064814814812</v>
      </c>
      <c r="D2011" s="12">
        <v>0.54947916666666663</v>
      </c>
      <c r="E2011">
        <v>1</v>
      </c>
    </row>
    <row r="2012" spans="1:5" x14ac:dyDescent="0.35">
      <c r="A2012" s="5">
        <v>4150421</v>
      </c>
      <c r="B2012" s="6">
        <v>42944</v>
      </c>
      <c r="C2012" s="7">
        <v>0.54599537037037038</v>
      </c>
      <c r="D2012" s="8">
        <v>0.54759259259259263</v>
      </c>
      <c r="E2012">
        <v>1</v>
      </c>
    </row>
    <row r="2013" spans="1:5" x14ac:dyDescent="0.35">
      <c r="A2013" s="9">
        <v>44302763</v>
      </c>
      <c r="B2013" s="10">
        <v>42944</v>
      </c>
      <c r="C2013" s="11">
        <v>0.54905092592592597</v>
      </c>
      <c r="D2013" s="12">
        <v>0.55343750000000003</v>
      </c>
      <c r="E2013">
        <v>1</v>
      </c>
    </row>
    <row r="2014" spans="1:5" x14ac:dyDescent="0.35">
      <c r="A2014" s="5">
        <v>1922212</v>
      </c>
      <c r="B2014" s="6">
        <v>42944</v>
      </c>
      <c r="C2014" s="7">
        <v>0.55334490740740738</v>
      </c>
      <c r="D2014" s="8">
        <v>0.56339120370370366</v>
      </c>
      <c r="E2014">
        <v>1</v>
      </c>
    </row>
    <row r="2015" spans="1:5" x14ac:dyDescent="0.35">
      <c r="A2015" s="9">
        <v>9603024</v>
      </c>
      <c r="B2015" s="10">
        <v>42944</v>
      </c>
      <c r="C2015" s="11">
        <v>0.55806712962962968</v>
      </c>
      <c r="D2015" s="12">
        <v>0.55923611111111116</v>
      </c>
      <c r="E2015">
        <v>1</v>
      </c>
    </row>
    <row r="2016" spans="1:5" x14ac:dyDescent="0.35">
      <c r="A2016" s="5">
        <v>1640513</v>
      </c>
      <c r="B2016" s="6">
        <v>42944</v>
      </c>
      <c r="C2016" s="7">
        <v>0.56162037037037038</v>
      </c>
      <c r="D2016" s="8">
        <v>0.56876157407407413</v>
      </c>
      <c r="E2016">
        <v>1</v>
      </c>
    </row>
    <row r="2017" spans="1:5" x14ac:dyDescent="0.35">
      <c r="A2017" s="9">
        <v>16592072</v>
      </c>
      <c r="B2017" s="10">
        <v>42944</v>
      </c>
      <c r="C2017" s="11">
        <v>0.56673611111111111</v>
      </c>
      <c r="D2017" s="12">
        <v>0.57725694444444442</v>
      </c>
      <c r="E2017">
        <v>1</v>
      </c>
    </row>
    <row r="2018" spans="1:5" x14ac:dyDescent="0.35">
      <c r="A2018" s="5">
        <v>4895290</v>
      </c>
      <c r="B2018" s="6">
        <v>42944</v>
      </c>
      <c r="C2018" s="7">
        <v>0.56821759259259264</v>
      </c>
      <c r="D2018" s="8">
        <v>0.5773611111111111</v>
      </c>
      <c r="E2018">
        <v>1</v>
      </c>
    </row>
    <row r="2019" spans="1:5" x14ac:dyDescent="0.35">
      <c r="A2019" s="9">
        <v>5277660</v>
      </c>
      <c r="B2019" s="10">
        <v>42944</v>
      </c>
      <c r="C2019" s="11">
        <v>0.57050925925925922</v>
      </c>
      <c r="D2019" s="12">
        <v>0.58049768518518519</v>
      </c>
      <c r="E2019">
        <v>1</v>
      </c>
    </row>
    <row r="2020" spans="1:5" x14ac:dyDescent="0.35">
      <c r="A2020" s="5">
        <v>8715278</v>
      </c>
      <c r="B2020" s="6">
        <v>42944</v>
      </c>
      <c r="C2020" s="7">
        <v>0.57146990740740744</v>
      </c>
      <c r="D2020" s="8">
        <v>0.57642361111111107</v>
      </c>
      <c r="E2020">
        <v>1</v>
      </c>
    </row>
    <row r="2021" spans="1:5" x14ac:dyDescent="0.35">
      <c r="A2021" s="9">
        <v>1462418</v>
      </c>
      <c r="B2021" s="10">
        <v>42944</v>
      </c>
      <c r="C2021" s="11">
        <v>0.57186342592592587</v>
      </c>
      <c r="D2021" s="12">
        <v>0.57379629629629625</v>
      </c>
      <c r="E2021">
        <v>1</v>
      </c>
    </row>
    <row r="2022" spans="1:5" x14ac:dyDescent="0.35">
      <c r="A2022" s="5">
        <v>8077806</v>
      </c>
      <c r="B2022" s="6">
        <v>42944</v>
      </c>
      <c r="C2022" s="7">
        <v>0.57629629629629631</v>
      </c>
      <c r="D2022" s="8">
        <v>0.58628472222222228</v>
      </c>
      <c r="E2022">
        <v>1</v>
      </c>
    </row>
    <row r="2023" spans="1:5" x14ac:dyDescent="0.35">
      <c r="A2023" s="9">
        <v>5759409</v>
      </c>
      <c r="B2023" s="10">
        <v>42944</v>
      </c>
      <c r="C2023" s="11">
        <v>0.57835648148148144</v>
      </c>
      <c r="D2023" s="12">
        <v>0.58644675925925926</v>
      </c>
      <c r="E2023">
        <v>1</v>
      </c>
    </row>
    <row r="2024" spans="1:5" x14ac:dyDescent="0.35">
      <c r="A2024" s="5">
        <v>6257971</v>
      </c>
      <c r="B2024" s="6">
        <v>42944</v>
      </c>
      <c r="C2024" s="7">
        <v>0.58331018518518518</v>
      </c>
      <c r="D2024" s="8">
        <v>0.58539351851851851</v>
      </c>
      <c r="E2024">
        <v>1</v>
      </c>
    </row>
    <row r="2025" spans="1:5" x14ac:dyDescent="0.35">
      <c r="A2025" s="9">
        <v>91129571</v>
      </c>
      <c r="B2025" s="10">
        <v>42944</v>
      </c>
      <c r="C2025" s="11">
        <v>0.58353009259259259</v>
      </c>
      <c r="D2025" s="12">
        <v>0.58950231481481485</v>
      </c>
      <c r="E2025">
        <v>1</v>
      </c>
    </row>
    <row r="2026" spans="1:5" x14ac:dyDescent="0.35">
      <c r="A2026" s="5">
        <v>6884037</v>
      </c>
      <c r="B2026" s="6">
        <v>42944</v>
      </c>
      <c r="C2026" s="7">
        <v>0.58892361111111113</v>
      </c>
      <c r="D2026" s="8">
        <v>0.59381944444444446</v>
      </c>
      <c r="E2026">
        <v>1</v>
      </c>
    </row>
    <row r="2027" spans="1:5" x14ac:dyDescent="0.35">
      <c r="A2027" s="9">
        <v>6657074</v>
      </c>
      <c r="B2027" s="10">
        <v>42944</v>
      </c>
      <c r="C2027" s="11">
        <v>0.59035879629629628</v>
      </c>
      <c r="D2027" s="12">
        <v>0.5992939814814815</v>
      </c>
      <c r="E2027">
        <v>1</v>
      </c>
    </row>
    <row r="2028" spans="1:5" x14ac:dyDescent="0.35">
      <c r="A2028" s="5">
        <v>2211277198</v>
      </c>
      <c r="B2028" s="6">
        <v>42944</v>
      </c>
      <c r="C2028" s="7">
        <v>0.59439814814814818</v>
      </c>
      <c r="D2028" s="8">
        <v>0.60048611111111116</v>
      </c>
      <c r="E2028">
        <v>1</v>
      </c>
    </row>
    <row r="2029" spans="1:5" x14ac:dyDescent="0.35">
      <c r="A2029" s="9">
        <v>26766818</v>
      </c>
      <c r="B2029" s="10">
        <v>42944</v>
      </c>
      <c r="C2029" s="11">
        <v>0.59788194444444442</v>
      </c>
      <c r="D2029" s="12">
        <v>0.60576388888888888</v>
      </c>
      <c r="E2029">
        <v>1</v>
      </c>
    </row>
    <row r="2030" spans="1:5" x14ac:dyDescent="0.35">
      <c r="A2030" s="5">
        <v>4473835</v>
      </c>
      <c r="B2030" s="6">
        <v>42944</v>
      </c>
      <c r="C2030" s="7">
        <v>0.60322916666666671</v>
      </c>
      <c r="D2030" s="8">
        <v>0.60628472222222218</v>
      </c>
      <c r="E2030">
        <v>1</v>
      </c>
    </row>
    <row r="2031" spans="1:5" x14ac:dyDescent="0.35">
      <c r="A2031" s="9">
        <v>9941776</v>
      </c>
      <c r="B2031" s="10">
        <v>42944</v>
      </c>
      <c r="C2031" s="11">
        <v>0.60745370370370366</v>
      </c>
      <c r="D2031" s="12">
        <v>0.61017361111111112</v>
      </c>
      <c r="E2031">
        <v>1</v>
      </c>
    </row>
    <row r="2032" spans="1:5" x14ac:dyDescent="0.35">
      <c r="A2032" s="5">
        <v>9045402</v>
      </c>
      <c r="B2032" s="6">
        <v>42944</v>
      </c>
      <c r="C2032" s="7">
        <v>0.61322916666666671</v>
      </c>
      <c r="D2032" s="8">
        <v>0.62153935185185183</v>
      </c>
      <c r="E2032">
        <v>1</v>
      </c>
    </row>
    <row r="2033" spans="1:5" x14ac:dyDescent="0.35">
      <c r="A2033" s="9">
        <v>7662302259</v>
      </c>
      <c r="B2033" s="10">
        <v>42944</v>
      </c>
      <c r="C2033" s="11">
        <v>0.61570601851851847</v>
      </c>
      <c r="D2033" s="12">
        <v>0.62429398148148152</v>
      </c>
      <c r="E2033">
        <v>1</v>
      </c>
    </row>
    <row r="2034" spans="1:5" x14ac:dyDescent="0.35">
      <c r="A2034" s="5">
        <v>2756059784</v>
      </c>
      <c r="B2034" s="6">
        <v>42944</v>
      </c>
      <c r="C2034" s="7">
        <v>0.61962962962962964</v>
      </c>
      <c r="D2034" s="8">
        <v>0.62399305555555551</v>
      </c>
      <c r="E2034">
        <v>1</v>
      </c>
    </row>
    <row r="2035" spans="1:5" x14ac:dyDescent="0.35">
      <c r="A2035" s="9">
        <v>8667012</v>
      </c>
      <c r="B2035" s="10">
        <v>42944</v>
      </c>
      <c r="C2035" s="11">
        <v>0.62204861111111109</v>
      </c>
      <c r="D2035" s="12">
        <v>0.62440972222222224</v>
      </c>
      <c r="E2035">
        <v>1</v>
      </c>
    </row>
    <row r="2036" spans="1:5" x14ac:dyDescent="0.35">
      <c r="A2036" s="5">
        <v>34964547</v>
      </c>
      <c r="B2036" s="6">
        <v>42944</v>
      </c>
      <c r="C2036" s="7">
        <v>0.62502314814814819</v>
      </c>
      <c r="D2036" s="8">
        <v>0.63574074074074072</v>
      </c>
      <c r="E2036">
        <v>1</v>
      </c>
    </row>
    <row r="2037" spans="1:5" x14ac:dyDescent="0.35">
      <c r="A2037" s="9">
        <v>9357185</v>
      </c>
      <c r="B2037" s="10">
        <v>42947</v>
      </c>
      <c r="C2037" s="11">
        <v>0.3342013888888889</v>
      </c>
      <c r="D2037" s="12">
        <v>0.34159722222222222</v>
      </c>
      <c r="E2037">
        <v>1</v>
      </c>
    </row>
    <row r="2038" spans="1:5" x14ac:dyDescent="0.35">
      <c r="A2038" s="5">
        <v>12471534</v>
      </c>
      <c r="B2038" s="6">
        <v>42947</v>
      </c>
      <c r="C2038" s="7">
        <v>0.33929398148148149</v>
      </c>
      <c r="D2038" s="8">
        <v>0.34349537037037037</v>
      </c>
      <c r="E2038">
        <v>1</v>
      </c>
    </row>
    <row r="2039" spans="1:5" x14ac:dyDescent="0.35">
      <c r="A2039" s="9">
        <v>1003402</v>
      </c>
      <c r="B2039" s="10">
        <v>42947</v>
      </c>
      <c r="C2039" s="11">
        <v>0.34378472222222223</v>
      </c>
      <c r="D2039" s="12">
        <v>0.34677083333333331</v>
      </c>
      <c r="E2039">
        <v>1</v>
      </c>
    </row>
    <row r="2040" spans="1:5" x14ac:dyDescent="0.35">
      <c r="A2040" s="5">
        <v>4509550</v>
      </c>
      <c r="B2040" s="6">
        <v>42947</v>
      </c>
      <c r="C2040" s="7">
        <v>0.34609953703703705</v>
      </c>
      <c r="D2040" s="8">
        <v>0.35118055555555555</v>
      </c>
      <c r="E2040">
        <v>1</v>
      </c>
    </row>
    <row r="2041" spans="1:5" x14ac:dyDescent="0.35">
      <c r="A2041" s="9">
        <v>5356824</v>
      </c>
      <c r="B2041" s="10">
        <v>42947</v>
      </c>
      <c r="C2041" s="11">
        <v>0.35167824074074072</v>
      </c>
      <c r="D2041" s="12">
        <v>0.35538194444444443</v>
      </c>
      <c r="E2041">
        <v>1</v>
      </c>
    </row>
    <row r="2042" spans="1:5" x14ac:dyDescent="0.35">
      <c r="A2042" s="5">
        <v>4293872</v>
      </c>
      <c r="B2042" s="6">
        <v>42947</v>
      </c>
      <c r="C2042" s="7">
        <v>0.35333333333333333</v>
      </c>
      <c r="D2042" s="8">
        <v>0.35844907407407406</v>
      </c>
      <c r="E2042">
        <v>1</v>
      </c>
    </row>
    <row r="2043" spans="1:5" x14ac:dyDescent="0.35">
      <c r="A2043" s="9">
        <v>5086182</v>
      </c>
      <c r="B2043" s="10">
        <v>42947</v>
      </c>
      <c r="C2043" s="11">
        <v>0.35793981481481479</v>
      </c>
      <c r="D2043" s="12">
        <v>0.36571759259259257</v>
      </c>
      <c r="E2043">
        <v>1</v>
      </c>
    </row>
    <row r="2044" spans="1:5" x14ac:dyDescent="0.35">
      <c r="A2044" s="5">
        <v>6175467</v>
      </c>
      <c r="B2044" s="6">
        <v>42947</v>
      </c>
      <c r="C2044" s="7">
        <v>0.35976851851851854</v>
      </c>
      <c r="D2044" s="8">
        <v>0.36883101851851852</v>
      </c>
      <c r="E2044">
        <v>1</v>
      </c>
    </row>
    <row r="2045" spans="1:5" x14ac:dyDescent="0.35">
      <c r="A2045" s="9">
        <v>2107985</v>
      </c>
      <c r="B2045" s="10">
        <v>42947</v>
      </c>
      <c r="C2045" s="11">
        <v>0.36394675925925923</v>
      </c>
      <c r="D2045" s="12">
        <v>0.37373842592592593</v>
      </c>
      <c r="E2045">
        <v>1</v>
      </c>
    </row>
    <row r="2046" spans="1:5" x14ac:dyDescent="0.35">
      <c r="A2046" s="5">
        <v>9388066</v>
      </c>
      <c r="B2046" s="6">
        <v>42947</v>
      </c>
      <c r="C2046" s="7">
        <v>0.36552083333333335</v>
      </c>
      <c r="D2046" s="8">
        <v>0.3696990740740741</v>
      </c>
      <c r="E2046">
        <v>1</v>
      </c>
    </row>
    <row r="2047" spans="1:5" x14ac:dyDescent="0.35">
      <c r="A2047" s="9">
        <v>4614100</v>
      </c>
      <c r="B2047" s="10">
        <v>42947</v>
      </c>
      <c r="C2047" s="11">
        <v>0.36776620370370372</v>
      </c>
      <c r="D2047" s="12">
        <v>0.37584490740740739</v>
      </c>
      <c r="E2047">
        <v>1</v>
      </c>
    </row>
    <row r="2048" spans="1:5" x14ac:dyDescent="0.35">
      <c r="A2048" s="5">
        <v>8279741</v>
      </c>
      <c r="B2048" s="6">
        <v>42947</v>
      </c>
      <c r="C2048" s="7">
        <v>0.37170138888888887</v>
      </c>
      <c r="D2048" s="8">
        <v>0.38305555555555554</v>
      </c>
      <c r="E2048">
        <v>1</v>
      </c>
    </row>
    <row r="2049" spans="1:5" x14ac:dyDescent="0.35">
      <c r="A2049" s="9">
        <v>9564752674</v>
      </c>
      <c r="B2049" s="10">
        <v>42947</v>
      </c>
      <c r="C2049" s="11">
        <v>0.37239583333333331</v>
      </c>
      <c r="D2049" s="12">
        <v>0.37680555555555556</v>
      </c>
      <c r="E2049">
        <v>1</v>
      </c>
    </row>
    <row r="2050" spans="1:5" x14ac:dyDescent="0.35">
      <c r="A2050" s="5">
        <v>1451455</v>
      </c>
      <c r="B2050" s="6">
        <v>42947</v>
      </c>
      <c r="C2050" s="7">
        <v>0.37714120370370369</v>
      </c>
      <c r="D2050" s="8">
        <v>0.38119212962962962</v>
      </c>
      <c r="E2050">
        <v>1</v>
      </c>
    </row>
    <row r="2051" spans="1:5" x14ac:dyDescent="0.35">
      <c r="A2051" s="9">
        <v>8156713</v>
      </c>
      <c r="B2051" s="10">
        <v>42947</v>
      </c>
      <c r="C2051" s="11">
        <v>0.38130787037037039</v>
      </c>
      <c r="D2051" s="12">
        <v>0.38280092592592591</v>
      </c>
      <c r="E2051">
        <v>1</v>
      </c>
    </row>
    <row r="2052" spans="1:5" x14ac:dyDescent="0.35">
      <c r="A2052" s="5">
        <v>24024164</v>
      </c>
      <c r="B2052" s="6">
        <v>42947</v>
      </c>
      <c r="C2052" s="7">
        <v>0.38135416666666666</v>
      </c>
      <c r="D2052" s="8">
        <v>0.38210648148148146</v>
      </c>
      <c r="E2052">
        <v>1</v>
      </c>
    </row>
    <row r="2053" spans="1:5" x14ac:dyDescent="0.35">
      <c r="A2053" s="9">
        <v>75122204</v>
      </c>
      <c r="B2053" s="10">
        <v>42947</v>
      </c>
      <c r="C2053" s="11">
        <v>0.38641203703703703</v>
      </c>
      <c r="D2053" s="12">
        <v>0.39549768518518519</v>
      </c>
      <c r="E2053">
        <v>1</v>
      </c>
    </row>
    <row r="2054" spans="1:5" x14ac:dyDescent="0.35">
      <c r="A2054" s="5">
        <v>33166727</v>
      </c>
      <c r="B2054" s="6">
        <v>42947</v>
      </c>
      <c r="C2054" s="7">
        <v>0.38927083333333334</v>
      </c>
      <c r="D2054" s="8">
        <v>0.39721064814814816</v>
      </c>
      <c r="E2054">
        <v>1</v>
      </c>
    </row>
    <row r="2055" spans="1:5" x14ac:dyDescent="0.35">
      <c r="A2055" s="9">
        <v>4293872</v>
      </c>
      <c r="B2055" s="10">
        <v>42947</v>
      </c>
      <c r="C2055" s="11">
        <v>0.39023148148148146</v>
      </c>
      <c r="D2055" s="12">
        <v>0.39748842592592593</v>
      </c>
      <c r="E2055">
        <v>1</v>
      </c>
    </row>
    <row r="2056" spans="1:5" x14ac:dyDescent="0.35">
      <c r="A2056" s="5">
        <v>3017523</v>
      </c>
      <c r="B2056" s="6">
        <v>42947</v>
      </c>
      <c r="C2056" s="7">
        <v>0.3934259259259259</v>
      </c>
      <c r="D2056" s="8">
        <v>0.40181712962962962</v>
      </c>
      <c r="E2056">
        <v>1</v>
      </c>
    </row>
    <row r="2057" spans="1:5" x14ac:dyDescent="0.35">
      <c r="A2057" s="9">
        <v>5087484</v>
      </c>
      <c r="B2057" s="10">
        <v>42947</v>
      </c>
      <c r="C2057" s="11">
        <v>0.39766203703703706</v>
      </c>
      <c r="D2057" s="12">
        <v>0.39957175925925925</v>
      </c>
      <c r="E2057">
        <v>1</v>
      </c>
    </row>
    <row r="2058" spans="1:5" x14ac:dyDescent="0.35">
      <c r="A2058" s="5">
        <v>47615054</v>
      </c>
      <c r="B2058" s="6">
        <v>42947</v>
      </c>
      <c r="C2058" s="7">
        <v>0.39878472222222222</v>
      </c>
      <c r="D2058" s="8">
        <v>0.40041666666666664</v>
      </c>
      <c r="E2058">
        <v>1</v>
      </c>
    </row>
    <row r="2059" spans="1:5" x14ac:dyDescent="0.35">
      <c r="A2059" s="9">
        <v>7775602353</v>
      </c>
      <c r="B2059" s="10">
        <v>42947</v>
      </c>
      <c r="C2059" s="11">
        <v>0.40313657407407405</v>
      </c>
      <c r="D2059" s="12">
        <v>0.40773148148148147</v>
      </c>
      <c r="E2059">
        <v>1</v>
      </c>
    </row>
    <row r="2060" spans="1:5" x14ac:dyDescent="0.35">
      <c r="A2060" s="5">
        <v>9533304954</v>
      </c>
      <c r="B2060" s="6">
        <v>42947</v>
      </c>
      <c r="C2060" s="7">
        <v>0.40328703703703705</v>
      </c>
      <c r="D2060" s="8">
        <v>0.41405092592592591</v>
      </c>
      <c r="E2060">
        <v>1</v>
      </c>
    </row>
    <row r="2061" spans="1:5" x14ac:dyDescent="0.35">
      <c r="A2061" s="9">
        <v>5147651</v>
      </c>
      <c r="B2061" s="10">
        <v>42947</v>
      </c>
      <c r="C2061" s="11">
        <v>0.40497685185185184</v>
      </c>
      <c r="D2061" s="12">
        <v>0.41167824074074072</v>
      </c>
      <c r="E2061">
        <v>1</v>
      </c>
    </row>
    <row r="2062" spans="1:5" x14ac:dyDescent="0.35">
      <c r="A2062" s="5">
        <v>7564861</v>
      </c>
      <c r="B2062" s="6">
        <v>42947</v>
      </c>
      <c r="C2062" s="7">
        <v>0.40725694444444444</v>
      </c>
      <c r="D2062" s="8">
        <v>0.41819444444444442</v>
      </c>
      <c r="E2062">
        <v>1</v>
      </c>
    </row>
    <row r="2063" spans="1:5" x14ac:dyDescent="0.35">
      <c r="A2063" s="9">
        <v>8163790</v>
      </c>
      <c r="B2063" s="10">
        <v>42947</v>
      </c>
      <c r="C2063" s="11">
        <v>0.40787037037037038</v>
      </c>
      <c r="D2063" s="12">
        <v>0.40846064814814814</v>
      </c>
      <c r="E2063">
        <v>1</v>
      </c>
    </row>
    <row r="2064" spans="1:5" x14ac:dyDescent="0.35">
      <c r="A2064" s="5">
        <v>37930610</v>
      </c>
      <c r="B2064" s="6">
        <v>42947</v>
      </c>
      <c r="C2064" s="7">
        <v>0.41334490740740742</v>
      </c>
      <c r="D2064" s="8">
        <v>0.4239236111111111</v>
      </c>
      <c r="E2064">
        <v>1</v>
      </c>
    </row>
    <row r="2065" spans="1:5" x14ac:dyDescent="0.35">
      <c r="A2065" s="9">
        <v>7518300</v>
      </c>
      <c r="B2065" s="10">
        <v>42947</v>
      </c>
      <c r="C2065" s="11">
        <v>0.41337962962962965</v>
      </c>
      <c r="D2065" s="12">
        <v>0.41743055555555558</v>
      </c>
      <c r="E2065">
        <v>1</v>
      </c>
    </row>
    <row r="2066" spans="1:5" x14ac:dyDescent="0.35">
      <c r="A2066" s="5">
        <v>9233918039</v>
      </c>
      <c r="B2066" s="6">
        <v>42947</v>
      </c>
      <c r="C2066" s="7">
        <v>0.41523148148148148</v>
      </c>
      <c r="D2066" s="8">
        <v>0.42322916666666666</v>
      </c>
      <c r="E2066">
        <v>1</v>
      </c>
    </row>
    <row r="2067" spans="1:5" x14ac:dyDescent="0.35">
      <c r="A2067" s="9">
        <v>5744555</v>
      </c>
      <c r="B2067" s="10">
        <v>42947</v>
      </c>
      <c r="C2067" s="11">
        <v>0.41841435185185183</v>
      </c>
      <c r="D2067" s="12">
        <v>0.42677083333333332</v>
      </c>
      <c r="E2067">
        <v>1</v>
      </c>
    </row>
    <row r="2068" spans="1:5" x14ac:dyDescent="0.35">
      <c r="A2068" s="5">
        <v>17005785</v>
      </c>
      <c r="B2068" s="6">
        <v>42947</v>
      </c>
      <c r="C2068" s="7">
        <v>0.41873842592592592</v>
      </c>
      <c r="D2068" s="8">
        <v>0.42502314814814812</v>
      </c>
      <c r="E2068">
        <v>1</v>
      </c>
    </row>
    <row r="2069" spans="1:5" x14ac:dyDescent="0.35">
      <c r="A2069" s="9">
        <v>35281950</v>
      </c>
      <c r="B2069" s="10">
        <v>42947</v>
      </c>
      <c r="C2069" s="11">
        <v>0.41952546296296295</v>
      </c>
      <c r="D2069" s="12">
        <v>0.42105324074074074</v>
      </c>
      <c r="E2069">
        <v>1</v>
      </c>
    </row>
    <row r="2070" spans="1:5" x14ac:dyDescent="0.35">
      <c r="A2070" s="5">
        <v>54840810</v>
      </c>
      <c r="B2070" s="6">
        <v>42947</v>
      </c>
      <c r="C2070" s="7">
        <v>0.4211111111111111</v>
      </c>
      <c r="D2070" s="8">
        <v>0.42442129629629627</v>
      </c>
      <c r="E2070">
        <v>1</v>
      </c>
    </row>
    <row r="2071" spans="1:5" x14ac:dyDescent="0.35">
      <c r="A2071" s="9">
        <v>3236046</v>
      </c>
      <c r="B2071" s="10">
        <v>42947</v>
      </c>
      <c r="C2071" s="11">
        <v>0.42247685185185185</v>
      </c>
      <c r="D2071" s="12">
        <v>0.4268865740740741</v>
      </c>
      <c r="E2071">
        <v>1</v>
      </c>
    </row>
    <row r="2072" spans="1:5" x14ac:dyDescent="0.35">
      <c r="A2072" s="5">
        <v>20149106</v>
      </c>
      <c r="B2072" s="6">
        <v>42947</v>
      </c>
      <c r="C2072" s="7">
        <v>0.42586805555555557</v>
      </c>
      <c r="D2072" s="8">
        <v>0.42711805555555554</v>
      </c>
      <c r="E2072">
        <v>1</v>
      </c>
    </row>
    <row r="2073" spans="1:5" x14ac:dyDescent="0.35">
      <c r="A2073" s="9">
        <v>6124638</v>
      </c>
      <c r="B2073" s="10">
        <v>42947</v>
      </c>
      <c r="C2073" s="11">
        <v>0.43162037037037038</v>
      </c>
      <c r="D2073" s="12">
        <v>0.44153935185185184</v>
      </c>
      <c r="E2073">
        <v>1</v>
      </c>
    </row>
    <row r="2074" spans="1:5" x14ac:dyDescent="0.35">
      <c r="A2074" s="5">
        <v>1090396060</v>
      </c>
      <c r="B2074" s="6">
        <v>42947</v>
      </c>
      <c r="C2074" s="7">
        <v>0.43663194444444442</v>
      </c>
      <c r="D2074" s="8">
        <v>0.43993055555555555</v>
      </c>
      <c r="E2074">
        <v>1</v>
      </c>
    </row>
    <row r="2075" spans="1:5" x14ac:dyDescent="0.35">
      <c r="A2075" s="9">
        <v>9355422</v>
      </c>
      <c r="B2075" s="10">
        <v>42947</v>
      </c>
      <c r="C2075" s="11">
        <v>0.43686342592592592</v>
      </c>
      <c r="D2075" s="12">
        <v>0.44393518518518521</v>
      </c>
      <c r="E2075">
        <v>1</v>
      </c>
    </row>
    <row r="2076" spans="1:5" x14ac:dyDescent="0.35">
      <c r="A2076" s="5">
        <v>9950462</v>
      </c>
      <c r="B2076" s="6">
        <v>42947</v>
      </c>
      <c r="C2076" s="7">
        <v>0.44243055555555555</v>
      </c>
      <c r="D2076" s="8">
        <v>0.45349537037037035</v>
      </c>
      <c r="E2076">
        <v>1</v>
      </c>
    </row>
    <row r="2077" spans="1:5" x14ac:dyDescent="0.35">
      <c r="A2077" s="9">
        <v>2474506</v>
      </c>
      <c r="B2077" s="10">
        <v>42947</v>
      </c>
      <c r="C2077" s="11">
        <v>0.44802083333333331</v>
      </c>
      <c r="D2077" s="12">
        <v>0.45892361111111113</v>
      </c>
      <c r="E2077">
        <v>1</v>
      </c>
    </row>
    <row r="2078" spans="1:5" x14ac:dyDescent="0.35">
      <c r="A2078" s="5">
        <v>2462682</v>
      </c>
      <c r="B2078" s="6">
        <v>42947</v>
      </c>
      <c r="C2078" s="7">
        <v>0.45243055555555556</v>
      </c>
      <c r="D2078" s="8">
        <v>0.45275462962962965</v>
      </c>
      <c r="E2078">
        <v>1</v>
      </c>
    </row>
    <row r="2079" spans="1:5" x14ac:dyDescent="0.35">
      <c r="A2079" s="9">
        <v>8159788</v>
      </c>
      <c r="B2079" s="10">
        <v>42947</v>
      </c>
      <c r="C2079" s="11">
        <v>0.45399305555555558</v>
      </c>
      <c r="D2079" s="12">
        <v>0.46392361111111113</v>
      </c>
      <c r="E2079">
        <v>1</v>
      </c>
    </row>
    <row r="2080" spans="1:5" x14ac:dyDescent="0.35">
      <c r="A2080" s="5">
        <v>8802222</v>
      </c>
      <c r="B2080" s="6">
        <v>42947</v>
      </c>
      <c r="C2080" s="7">
        <v>0.4572222222222222</v>
      </c>
      <c r="D2080" s="8">
        <v>0.45910879629629631</v>
      </c>
      <c r="E2080">
        <v>1</v>
      </c>
    </row>
    <row r="2081" spans="1:5" x14ac:dyDescent="0.35">
      <c r="A2081" s="9">
        <v>6384230</v>
      </c>
      <c r="B2081" s="10">
        <v>42947</v>
      </c>
      <c r="C2081" s="11">
        <v>0.45846064814814813</v>
      </c>
      <c r="D2081" s="12">
        <v>0.46900462962962963</v>
      </c>
      <c r="E2081">
        <v>1</v>
      </c>
    </row>
    <row r="2082" spans="1:5" x14ac:dyDescent="0.35">
      <c r="A2082" s="5">
        <v>48676568</v>
      </c>
      <c r="B2082" s="6">
        <v>42947</v>
      </c>
      <c r="C2082" s="7">
        <v>0.45945601851851853</v>
      </c>
      <c r="D2082" s="8">
        <v>0.46525462962962966</v>
      </c>
      <c r="E2082">
        <v>1</v>
      </c>
    </row>
    <row r="2083" spans="1:5" x14ac:dyDescent="0.35">
      <c r="A2083" s="9">
        <v>3691457</v>
      </c>
      <c r="B2083" s="10">
        <v>42947</v>
      </c>
      <c r="C2083" s="11">
        <v>0.46119212962962963</v>
      </c>
      <c r="D2083" s="12">
        <v>0.4725347222222222</v>
      </c>
      <c r="E2083">
        <v>1</v>
      </c>
    </row>
    <row r="2084" spans="1:5" x14ac:dyDescent="0.35">
      <c r="A2084" s="5">
        <v>3263854</v>
      </c>
      <c r="B2084" s="6">
        <v>42947</v>
      </c>
      <c r="C2084" s="7">
        <v>0.46311342592592591</v>
      </c>
      <c r="D2084" s="8">
        <v>0.46394675925925927</v>
      </c>
      <c r="E2084">
        <v>1</v>
      </c>
    </row>
    <row r="2085" spans="1:5" x14ac:dyDescent="0.35">
      <c r="A2085" s="9">
        <v>8489588</v>
      </c>
      <c r="B2085" s="10">
        <v>42947</v>
      </c>
      <c r="C2085" s="11">
        <v>0.46803240740740742</v>
      </c>
      <c r="D2085" s="12">
        <v>0.47423611111111114</v>
      </c>
      <c r="E2085">
        <v>1</v>
      </c>
    </row>
    <row r="2086" spans="1:5" x14ac:dyDescent="0.35">
      <c r="A2086" s="5">
        <v>57211290</v>
      </c>
      <c r="B2086" s="6">
        <v>42947</v>
      </c>
      <c r="C2086" s="7">
        <v>0.46987268518518521</v>
      </c>
      <c r="D2086" s="8">
        <v>0.47664351851851849</v>
      </c>
      <c r="E2086">
        <v>1</v>
      </c>
    </row>
    <row r="2087" spans="1:5" x14ac:dyDescent="0.35">
      <c r="A2087" s="9">
        <v>67748426</v>
      </c>
      <c r="B2087" s="10">
        <v>42947</v>
      </c>
      <c r="C2087" s="11">
        <v>0.47158564814814813</v>
      </c>
      <c r="D2087" s="12">
        <v>0.47471064814814817</v>
      </c>
      <c r="E2087">
        <v>1</v>
      </c>
    </row>
    <row r="2088" spans="1:5" x14ac:dyDescent="0.35">
      <c r="A2088" s="5">
        <v>7225111</v>
      </c>
      <c r="B2088" s="6">
        <v>42947</v>
      </c>
      <c r="C2088" s="7">
        <v>0.47314814814814815</v>
      </c>
      <c r="D2088" s="8">
        <v>0.47643518518518518</v>
      </c>
      <c r="E2088">
        <v>1</v>
      </c>
    </row>
    <row r="2089" spans="1:5" x14ac:dyDescent="0.35">
      <c r="A2089" s="9">
        <v>5418543</v>
      </c>
      <c r="B2089" s="10">
        <v>42947</v>
      </c>
      <c r="C2089" s="11">
        <v>0.47315972222222225</v>
      </c>
      <c r="D2089" s="12">
        <v>0.47687499999999999</v>
      </c>
      <c r="E2089">
        <v>1</v>
      </c>
    </row>
    <row r="2090" spans="1:5" x14ac:dyDescent="0.35">
      <c r="A2090" s="5">
        <v>6439414</v>
      </c>
      <c r="B2090" s="6">
        <v>42947</v>
      </c>
      <c r="C2090" s="7">
        <v>0.47349537037037037</v>
      </c>
      <c r="D2090" s="8">
        <v>0.47881944444444446</v>
      </c>
      <c r="E2090">
        <v>1</v>
      </c>
    </row>
    <row r="2091" spans="1:5" x14ac:dyDescent="0.35">
      <c r="A2091" s="9">
        <v>3478173</v>
      </c>
      <c r="B2091" s="10">
        <v>42947</v>
      </c>
      <c r="C2091" s="11">
        <v>0.47357638888888887</v>
      </c>
      <c r="D2091" s="12">
        <v>0.47564814814814815</v>
      </c>
      <c r="E2091">
        <v>1</v>
      </c>
    </row>
    <row r="2092" spans="1:5" x14ac:dyDescent="0.35">
      <c r="A2092" s="5">
        <v>3691457</v>
      </c>
      <c r="B2092" s="6">
        <v>42947</v>
      </c>
      <c r="C2092" s="7">
        <v>0.47366898148148145</v>
      </c>
      <c r="D2092" s="8">
        <v>0.48020833333333335</v>
      </c>
      <c r="E2092">
        <v>1</v>
      </c>
    </row>
    <row r="2093" spans="1:5" x14ac:dyDescent="0.35">
      <c r="A2093" s="9">
        <v>6717763</v>
      </c>
      <c r="B2093" s="10">
        <v>42947</v>
      </c>
      <c r="C2093" s="11">
        <v>0.47851851851851851</v>
      </c>
      <c r="D2093" s="12">
        <v>0.48517361111111112</v>
      </c>
      <c r="E2093">
        <v>1</v>
      </c>
    </row>
    <row r="2094" spans="1:5" x14ac:dyDescent="0.35">
      <c r="A2094" s="5">
        <v>61228399</v>
      </c>
      <c r="B2094" s="6">
        <v>42947</v>
      </c>
      <c r="C2094" s="7">
        <v>0.48053240740740738</v>
      </c>
      <c r="D2094" s="8">
        <v>0.48828703703703702</v>
      </c>
      <c r="E2094">
        <v>1</v>
      </c>
    </row>
    <row r="2095" spans="1:5" x14ac:dyDescent="0.35">
      <c r="A2095" s="9">
        <v>9282166</v>
      </c>
      <c r="B2095" s="10">
        <v>42947</v>
      </c>
      <c r="C2095" s="11">
        <v>0.48141203703703705</v>
      </c>
      <c r="D2095" s="12">
        <v>0.49063657407407407</v>
      </c>
      <c r="E2095">
        <v>1</v>
      </c>
    </row>
    <row r="2096" spans="1:5" x14ac:dyDescent="0.35">
      <c r="A2096" s="5">
        <v>6426246</v>
      </c>
      <c r="B2096" s="6">
        <v>42947</v>
      </c>
      <c r="C2096" s="7">
        <v>0.48174768518518518</v>
      </c>
      <c r="D2096" s="8">
        <v>0.48682870370370368</v>
      </c>
      <c r="E2096">
        <v>1</v>
      </c>
    </row>
    <row r="2097" spans="1:5" x14ac:dyDescent="0.35">
      <c r="A2097" s="9">
        <v>8585321</v>
      </c>
      <c r="B2097" s="10">
        <v>42947</v>
      </c>
      <c r="C2097" s="11">
        <v>0.48424768518518518</v>
      </c>
      <c r="D2097" s="12">
        <v>0.48873842592592592</v>
      </c>
      <c r="E2097">
        <v>1</v>
      </c>
    </row>
    <row r="2098" spans="1:5" x14ac:dyDescent="0.35">
      <c r="A2098" s="5">
        <v>9791237</v>
      </c>
      <c r="B2098" s="6">
        <v>42947</v>
      </c>
      <c r="C2098" s="7">
        <v>0.48635416666666664</v>
      </c>
      <c r="D2098" s="8">
        <v>0.49025462962962962</v>
      </c>
      <c r="E2098">
        <v>1</v>
      </c>
    </row>
    <row r="2099" spans="1:5" x14ac:dyDescent="0.35">
      <c r="A2099" s="9">
        <v>1830251</v>
      </c>
      <c r="B2099" s="10">
        <v>42947</v>
      </c>
      <c r="C2099" s="11">
        <v>0.48893518518518519</v>
      </c>
      <c r="D2099" s="12">
        <v>0.49787037037037035</v>
      </c>
      <c r="E2099">
        <v>1</v>
      </c>
    </row>
    <row r="2100" spans="1:5" x14ac:dyDescent="0.35">
      <c r="A2100" s="5">
        <v>42603700</v>
      </c>
      <c r="B2100" s="6">
        <v>42947</v>
      </c>
      <c r="C2100" s="7">
        <v>0.49409722222222224</v>
      </c>
      <c r="D2100" s="8">
        <v>0.50521990740740741</v>
      </c>
      <c r="E2100">
        <v>1</v>
      </c>
    </row>
    <row r="2101" spans="1:5" x14ac:dyDescent="0.35">
      <c r="A2101" s="9">
        <v>3983714</v>
      </c>
      <c r="B2101" s="10">
        <v>42947</v>
      </c>
      <c r="C2101" s="11">
        <v>0.49849537037037039</v>
      </c>
      <c r="D2101" s="12">
        <v>0.5092592592592593</v>
      </c>
      <c r="E2101">
        <v>1</v>
      </c>
    </row>
    <row r="2102" spans="1:5" x14ac:dyDescent="0.35">
      <c r="A2102" s="5">
        <v>4520226</v>
      </c>
      <c r="B2102" s="6">
        <v>42947</v>
      </c>
      <c r="C2102" s="7">
        <v>0.49903935185185183</v>
      </c>
      <c r="D2102" s="8">
        <v>0.51059027777777777</v>
      </c>
      <c r="E2102">
        <v>1</v>
      </c>
    </row>
    <row r="2103" spans="1:5" x14ac:dyDescent="0.35">
      <c r="A2103" s="9">
        <v>6999348</v>
      </c>
      <c r="B2103" s="10">
        <v>42947</v>
      </c>
      <c r="C2103" s="11">
        <v>0.50065972222222221</v>
      </c>
      <c r="D2103" s="12">
        <v>0.50898148148148148</v>
      </c>
      <c r="E2103">
        <v>1</v>
      </c>
    </row>
    <row r="2104" spans="1:5" x14ac:dyDescent="0.35">
      <c r="A2104" s="5">
        <v>3767866</v>
      </c>
      <c r="B2104" s="6">
        <v>42947</v>
      </c>
      <c r="C2104" s="7">
        <v>0.5040972222222222</v>
      </c>
      <c r="D2104" s="8">
        <v>0.50971064814814815</v>
      </c>
      <c r="E2104">
        <v>1</v>
      </c>
    </row>
    <row r="2105" spans="1:5" x14ac:dyDescent="0.35">
      <c r="A2105" s="9">
        <v>49342013</v>
      </c>
      <c r="B2105" s="10">
        <v>42947</v>
      </c>
      <c r="C2105" s="11">
        <v>0.50410879629629635</v>
      </c>
      <c r="D2105" s="12">
        <v>0.50539351851851855</v>
      </c>
      <c r="E2105">
        <v>1</v>
      </c>
    </row>
    <row r="2106" spans="1:5" x14ac:dyDescent="0.35">
      <c r="A2106" s="5">
        <v>6051341</v>
      </c>
      <c r="B2106" s="6">
        <v>42947</v>
      </c>
      <c r="C2106" s="7">
        <v>0.50980324074074079</v>
      </c>
      <c r="D2106" s="8">
        <v>0.51123842592592594</v>
      </c>
      <c r="E2106">
        <v>1</v>
      </c>
    </row>
    <row r="2107" spans="1:5" x14ac:dyDescent="0.35">
      <c r="A2107" s="9">
        <v>4326245</v>
      </c>
      <c r="B2107" s="10">
        <v>42947</v>
      </c>
      <c r="C2107" s="11">
        <v>0.51331018518518523</v>
      </c>
      <c r="D2107" s="12">
        <v>0.51490740740740737</v>
      </c>
      <c r="E2107">
        <v>1</v>
      </c>
    </row>
    <row r="2108" spans="1:5" x14ac:dyDescent="0.35">
      <c r="A2108" s="5">
        <v>5356378</v>
      </c>
      <c r="B2108" s="6">
        <v>42947</v>
      </c>
      <c r="C2108" s="7">
        <v>0.51811342592592591</v>
      </c>
      <c r="D2108" s="8">
        <v>0.51965277777777774</v>
      </c>
      <c r="E2108">
        <v>1</v>
      </c>
    </row>
    <row r="2109" spans="1:5" x14ac:dyDescent="0.35">
      <c r="A2109" s="9">
        <v>1302842</v>
      </c>
      <c r="B2109" s="10">
        <v>42947</v>
      </c>
      <c r="C2109" s="11">
        <v>0.52203703703703708</v>
      </c>
      <c r="D2109" s="12">
        <v>0.53162037037037035</v>
      </c>
      <c r="E2109">
        <v>1</v>
      </c>
    </row>
    <row r="2110" spans="1:5" x14ac:dyDescent="0.35">
      <c r="A2110" s="5">
        <v>2025194</v>
      </c>
      <c r="B2110" s="6">
        <v>42947</v>
      </c>
      <c r="C2110" s="7">
        <v>0.52238425925925924</v>
      </c>
      <c r="D2110" s="8">
        <v>0.52749999999999997</v>
      </c>
      <c r="E2110">
        <v>1</v>
      </c>
    </row>
    <row r="2111" spans="1:5" x14ac:dyDescent="0.35">
      <c r="A2111" s="9">
        <v>6703754</v>
      </c>
      <c r="B2111" s="10">
        <v>42947</v>
      </c>
      <c r="C2111" s="11">
        <v>0.5237384259259259</v>
      </c>
      <c r="D2111" s="12">
        <v>0.52431712962962962</v>
      </c>
      <c r="E2111">
        <v>1</v>
      </c>
    </row>
    <row r="2112" spans="1:5" x14ac:dyDescent="0.35">
      <c r="A2112" s="5">
        <v>86965710</v>
      </c>
      <c r="B2112" s="6">
        <v>42947</v>
      </c>
      <c r="C2112" s="7">
        <v>0.52516203703703701</v>
      </c>
      <c r="D2112" s="8">
        <v>0.52825231481481483</v>
      </c>
      <c r="E2112">
        <v>1</v>
      </c>
    </row>
    <row r="2113" spans="1:5" x14ac:dyDescent="0.35">
      <c r="A2113" s="9">
        <v>9797571</v>
      </c>
      <c r="B2113" s="10">
        <v>42947</v>
      </c>
      <c r="C2113" s="11">
        <v>0.53011574074074075</v>
      </c>
      <c r="D2113" s="12">
        <v>0.5342824074074074</v>
      </c>
      <c r="E2113">
        <v>1</v>
      </c>
    </row>
    <row r="2114" spans="1:5" x14ac:dyDescent="0.35">
      <c r="A2114" s="5">
        <v>34628061</v>
      </c>
      <c r="B2114" s="6">
        <v>42947</v>
      </c>
      <c r="C2114" s="7">
        <v>0.53206018518518516</v>
      </c>
      <c r="D2114" s="8">
        <v>0.53396990740740746</v>
      </c>
      <c r="E2114">
        <v>1</v>
      </c>
    </row>
    <row r="2115" spans="1:5" x14ac:dyDescent="0.35">
      <c r="A2115" s="9">
        <v>6716140</v>
      </c>
      <c r="B2115" s="10">
        <v>42947</v>
      </c>
      <c r="C2115" s="11">
        <v>0.53451388888888884</v>
      </c>
      <c r="D2115" s="12">
        <v>0.54087962962962965</v>
      </c>
      <c r="E2115">
        <v>1</v>
      </c>
    </row>
    <row r="2116" spans="1:5" x14ac:dyDescent="0.35">
      <c r="A2116" s="5">
        <v>9709339</v>
      </c>
      <c r="B2116" s="6">
        <v>42947</v>
      </c>
      <c r="C2116" s="7">
        <v>0.53622685185185182</v>
      </c>
      <c r="D2116" s="8">
        <v>0.54399305555555555</v>
      </c>
      <c r="E2116">
        <v>1</v>
      </c>
    </row>
    <row r="2117" spans="1:5" x14ac:dyDescent="0.35">
      <c r="A2117" s="9">
        <v>1331802</v>
      </c>
      <c r="B2117" s="10">
        <v>42947</v>
      </c>
      <c r="C2117" s="11">
        <v>0.5376967592592593</v>
      </c>
      <c r="D2117" s="12">
        <v>0.54113425925925929</v>
      </c>
      <c r="E2117">
        <v>1</v>
      </c>
    </row>
    <row r="2118" spans="1:5" x14ac:dyDescent="0.35">
      <c r="A2118" s="5">
        <v>9413315</v>
      </c>
      <c r="B2118" s="6">
        <v>42947</v>
      </c>
      <c r="C2118" s="7">
        <v>0.53961805555555553</v>
      </c>
      <c r="D2118" s="8">
        <v>0.54870370370370369</v>
      </c>
      <c r="E2118">
        <v>1</v>
      </c>
    </row>
    <row r="2119" spans="1:5" x14ac:dyDescent="0.35">
      <c r="A2119" s="9">
        <v>9555643</v>
      </c>
      <c r="B2119" s="10">
        <v>42947</v>
      </c>
      <c r="C2119" s="11">
        <v>0.5415740740740741</v>
      </c>
      <c r="D2119" s="12">
        <v>0.54230324074074077</v>
      </c>
      <c r="E2119">
        <v>1</v>
      </c>
    </row>
    <row r="2120" spans="1:5" x14ac:dyDescent="0.35">
      <c r="A2120" s="5">
        <v>4824250</v>
      </c>
      <c r="B2120" s="6">
        <v>42947</v>
      </c>
      <c r="C2120" s="7">
        <v>0.54670138888888886</v>
      </c>
      <c r="D2120" s="8">
        <v>0.55440972222222218</v>
      </c>
      <c r="E2120">
        <v>1</v>
      </c>
    </row>
    <row r="2121" spans="1:5" x14ac:dyDescent="0.35">
      <c r="A2121" s="9">
        <v>3931914</v>
      </c>
      <c r="B2121" s="10">
        <v>42947</v>
      </c>
      <c r="C2121" s="11">
        <v>0.55063657407407407</v>
      </c>
      <c r="D2121" s="12">
        <v>0.55451388888888886</v>
      </c>
      <c r="E2121">
        <v>1</v>
      </c>
    </row>
    <row r="2122" spans="1:5" x14ac:dyDescent="0.35">
      <c r="A2122" s="5">
        <v>79698655</v>
      </c>
      <c r="B2122" s="6">
        <v>42947</v>
      </c>
      <c r="C2122" s="7">
        <v>0.55182870370370374</v>
      </c>
      <c r="D2122" s="8">
        <v>0.55775462962962963</v>
      </c>
      <c r="E2122">
        <v>1</v>
      </c>
    </row>
    <row r="2123" spans="1:5" x14ac:dyDescent="0.35">
      <c r="A2123" s="9">
        <v>5387521845</v>
      </c>
      <c r="B2123" s="10">
        <v>42947</v>
      </c>
      <c r="C2123" s="11">
        <v>0.55717592592592591</v>
      </c>
      <c r="D2123" s="12">
        <v>0.56000000000000005</v>
      </c>
      <c r="E2123">
        <v>1</v>
      </c>
    </row>
    <row r="2124" spans="1:5" x14ac:dyDescent="0.35">
      <c r="A2124" s="5">
        <v>84589848</v>
      </c>
      <c r="B2124" s="6">
        <v>42947</v>
      </c>
      <c r="C2124" s="7">
        <v>0.56119212962962961</v>
      </c>
      <c r="D2124" s="8">
        <v>0.56221064814814814</v>
      </c>
      <c r="E2124">
        <v>1</v>
      </c>
    </row>
    <row r="2125" spans="1:5" x14ac:dyDescent="0.35">
      <c r="A2125" s="9">
        <v>1927908</v>
      </c>
      <c r="B2125" s="10">
        <v>42947</v>
      </c>
      <c r="C2125" s="11">
        <v>0.56452546296296291</v>
      </c>
      <c r="D2125" s="12">
        <v>0.5725231481481482</v>
      </c>
      <c r="E2125">
        <v>1</v>
      </c>
    </row>
    <row r="2126" spans="1:5" x14ac:dyDescent="0.35">
      <c r="A2126" s="5">
        <v>7975900</v>
      </c>
      <c r="B2126" s="6">
        <v>42947</v>
      </c>
      <c r="C2126" s="7">
        <v>0.56582175925925926</v>
      </c>
      <c r="D2126" s="8">
        <v>0.57314814814814818</v>
      </c>
      <c r="E2126">
        <v>1</v>
      </c>
    </row>
    <row r="2127" spans="1:5" x14ac:dyDescent="0.35">
      <c r="A2127" s="9">
        <v>1731500345</v>
      </c>
      <c r="B2127" s="10">
        <v>42947</v>
      </c>
      <c r="C2127" s="11">
        <v>0.56916666666666671</v>
      </c>
      <c r="D2127" s="12">
        <v>0.57851851851851854</v>
      </c>
      <c r="E2127">
        <v>1</v>
      </c>
    </row>
    <row r="2128" spans="1:5" x14ac:dyDescent="0.35">
      <c r="A2128" s="5">
        <v>5926011</v>
      </c>
      <c r="B2128" s="6">
        <v>42947</v>
      </c>
      <c r="C2128" s="7">
        <v>0.57268518518518519</v>
      </c>
      <c r="D2128" s="8">
        <v>0.58170138888888889</v>
      </c>
      <c r="E2128">
        <v>1</v>
      </c>
    </row>
    <row r="2129" spans="1:5" x14ac:dyDescent="0.35">
      <c r="A2129" s="9">
        <v>6408952</v>
      </c>
      <c r="B2129" s="10">
        <v>42947</v>
      </c>
      <c r="C2129" s="11">
        <v>0.57740740740740737</v>
      </c>
      <c r="D2129" s="12">
        <v>0.58895833333333336</v>
      </c>
      <c r="E2129">
        <v>1</v>
      </c>
    </row>
    <row r="2130" spans="1:5" x14ac:dyDescent="0.35">
      <c r="A2130" s="5">
        <v>53370610</v>
      </c>
      <c r="B2130" s="6">
        <v>42947</v>
      </c>
      <c r="C2130" s="7">
        <v>0.57822916666666668</v>
      </c>
      <c r="D2130" s="8">
        <v>0.57994212962962965</v>
      </c>
      <c r="E2130">
        <v>1</v>
      </c>
    </row>
    <row r="2131" spans="1:5" x14ac:dyDescent="0.35">
      <c r="A2131" s="9">
        <v>8060169</v>
      </c>
      <c r="B2131" s="10">
        <v>42947</v>
      </c>
      <c r="C2131" s="11">
        <v>0.57874999999999999</v>
      </c>
      <c r="D2131" s="12">
        <v>0.58307870370370374</v>
      </c>
      <c r="E2131">
        <v>1</v>
      </c>
    </row>
    <row r="2132" spans="1:5" x14ac:dyDescent="0.35">
      <c r="A2132" s="5">
        <v>9147613</v>
      </c>
      <c r="B2132" s="6">
        <v>42947</v>
      </c>
      <c r="C2132" s="7">
        <v>0.57952546296296292</v>
      </c>
      <c r="D2132" s="8">
        <v>0.58090277777777777</v>
      </c>
      <c r="E2132">
        <v>1</v>
      </c>
    </row>
    <row r="2133" spans="1:5" x14ac:dyDescent="0.35">
      <c r="A2133" s="9">
        <v>4505950</v>
      </c>
      <c r="B2133" s="10">
        <v>42947</v>
      </c>
      <c r="C2133" s="11">
        <v>0.58163194444444444</v>
      </c>
      <c r="D2133" s="12">
        <v>0.5872222222222222</v>
      </c>
      <c r="E2133">
        <v>1</v>
      </c>
    </row>
    <row r="2134" spans="1:5" x14ac:dyDescent="0.35">
      <c r="A2134" s="5">
        <v>3537655</v>
      </c>
      <c r="B2134" s="6">
        <v>42947</v>
      </c>
      <c r="C2134" s="7">
        <v>0.58287037037037037</v>
      </c>
      <c r="D2134" s="8">
        <v>0.58347222222222217</v>
      </c>
      <c r="E2134">
        <v>1</v>
      </c>
    </row>
    <row r="2135" spans="1:5" x14ac:dyDescent="0.35">
      <c r="A2135" s="9">
        <v>1583683</v>
      </c>
      <c r="B2135" s="10">
        <v>42947</v>
      </c>
      <c r="C2135" s="11">
        <v>0.58784722222222219</v>
      </c>
      <c r="D2135" s="12">
        <v>0.58940972222222221</v>
      </c>
      <c r="E2135">
        <v>1</v>
      </c>
    </row>
    <row r="2136" spans="1:5" x14ac:dyDescent="0.35">
      <c r="A2136" s="5">
        <v>96302157</v>
      </c>
      <c r="B2136" s="6">
        <v>42947</v>
      </c>
      <c r="C2136" s="7">
        <v>0.59052083333333338</v>
      </c>
      <c r="D2136" s="8">
        <v>0.59702546296296299</v>
      </c>
      <c r="E2136">
        <v>1</v>
      </c>
    </row>
    <row r="2137" spans="1:5" x14ac:dyDescent="0.35">
      <c r="A2137" s="9">
        <v>1809111</v>
      </c>
      <c r="B2137" s="10">
        <v>42947</v>
      </c>
      <c r="C2137" s="11">
        <v>0.59290509259259261</v>
      </c>
      <c r="D2137" s="12">
        <v>0.60322916666666671</v>
      </c>
      <c r="E2137">
        <v>1</v>
      </c>
    </row>
    <row r="2138" spans="1:5" x14ac:dyDescent="0.35">
      <c r="A2138" s="5">
        <v>8493652</v>
      </c>
      <c r="B2138" s="6">
        <v>42947</v>
      </c>
      <c r="C2138" s="7">
        <v>0.59569444444444442</v>
      </c>
      <c r="D2138" s="8">
        <v>0.60372685185185182</v>
      </c>
      <c r="E2138">
        <v>1</v>
      </c>
    </row>
    <row r="2139" spans="1:5" x14ac:dyDescent="0.35">
      <c r="A2139" s="9">
        <v>1026326</v>
      </c>
      <c r="B2139" s="10">
        <v>42947</v>
      </c>
      <c r="C2139" s="11">
        <v>0.59736111111111112</v>
      </c>
      <c r="D2139" s="12">
        <v>0.60046296296296298</v>
      </c>
      <c r="E2139">
        <v>1</v>
      </c>
    </row>
    <row r="2140" spans="1:5" x14ac:dyDescent="0.35">
      <c r="A2140" s="5">
        <v>1475165</v>
      </c>
      <c r="B2140" s="6">
        <v>42947</v>
      </c>
      <c r="C2140" s="7">
        <v>0.60197916666666662</v>
      </c>
      <c r="D2140" s="8">
        <v>0.60856481481481484</v>
      </c>
      <c r="E2140">
        <v>1</v>
      </c>
    </row>
    <row r="2141" spans="1:5" x14ac:dyDescent="0.35">
      <c r="A2141" s="9">
        <v>6264844</v>
      </c>
      <c r="B2141" s="10">
        <v>42947</v>
      </c>
      <c r="C2141" s="11">
        <v>0.60348379629629634</v>
      </c>
      <c r="D2141" s="12">
        <v>0.61365740740740737</v>
      </c>
      <c r="E2141">
        <v>1</v>
      </c>
    </row>
    <row r="2142" spans="1:5" x14ac:dyDescent="0.35">
      <c r="A2142" s="5">
        <v>9861652</v>
      </c>
      <c r="B2142" s="6">
        <v>42947</v>
      </c>
      <c r="C2142" s="7">
        <v>0.60519675925925931</v>
      </c>
      <c r="D2142" s="8">
        <v>0.61221064814814818</v>
      </c>
      <c r="E2142">
        <v>1</v>
      </c>
    </row>
    <row r="2143" spans="1:5" x14ac:dyDescent="0.35">
      <c r="A2143" s="9">
        <v>5446203</v>
      </c>
      <c r="B2143" s="10">
        <v>42947</v>
      </c>
      <c r="C2143" s="11">
        <v>0.60825231481481479</v>
      </c>
      <c r="D2143" s="12">
        <v>0.61048611111111106</v>
      </c>
      <c r="E2143">
        <v>1</v>
      </c>
    </row>
    <row r="2144" spans="1:5" x14ac:dyDescent="0.35">
      <c r="A2144" s="5">
        <v>7762020</v>
      </c>
      <c r="B2144" s="6">
        <v>42947</v>
      </c>
      <c r="C2144" s="7">
        <v>0.61159722222222224</v>
      </c>
      <c r="D2144" s="8">
        <v>0.61434027777777778</v>
      </c>
      <c r="E2144">
        <v>1</v>
      </c>
    </row>
    <row r="2145" spans="1:5" x14ac:dyDescent="0.35">
      <c r="A2145" s="9">
        <v>4045129075</v>
      </c>
      <c r="B2145" s="10">
        <v>42947</v>
      </c>
      <c r="C2145" s="11">
        <v>0.61328703703703702</v>
      </c>
      <c r="D2145" s="12">
        <v>0.61828703703703702</v>
      </c>
      <c r="E2145">
        <v>1</v>
      </c>
    </row>
    <row r="2146" spans="1:5" x14ac:dyDescent="0.35">
      <c r="A2146" s="5">
        <v>96736796</v>
      </c>
      <c r="B2146" s="6">
        <v>42947</v>
      </c>
      <c r="C2146" s="7">
        <v>0.61524305555555558</v>
      </c>
      <c r="D2146" s="8">
        <v>0.62432870370370375</v>
      </c>
      <c r="E2146">
        <v>1</v>
      </c>
    </row>
    <row r="2147" spans="1:5" x14ac:dyDescent="0.35">
      <c r="A2147" s="9">
        <v>1035023</v>
      </c>
      <c r="B2147" s="10">
        <v>42947</v>
      </c>
      <c r="C2147" s="11">
        <v>0.61821759259259257</v>
      </c>
      <c r="D2147" s="12">
        <v>0.62706018518518514</v>
      </c>
      <c r="E2147">
        <v>1</v>
      </c>
    </row>
    <row r="2148" spans="1:5" x14ac:dyDescent="0.35">
      <c r="A2148" s="5">
        <v>9941776</v>
      </c>
      <c r="B2148" s="6">
        <v>42947</v>
      </c>
      <c r="C2148" s="7">
        <v>0.62299768518518517</v>
      </c>
      <c r="D2148" s="8">
        <v>0.62311342592592589</v>
      </c>
      <c r="E2148">
        <v>1</v>
      </c>
    </row>
    <row r="2149" spans="1:5" x14ac:dyDescent="0.35">
      <c r="A2149" s="1">
        <v>6401011</v>
      </c>
      <c r="B2149" s="13">
        <v>42947</v>
      </c>
      <c r="C2149" s="14">
        <v>0.62693287037037038</v>
      </c>
      <c r="D2149" s="15">
        <v>0.62837962962962968</v>
      </c>
      <c r="E214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4D0D-3B60-418B-9E93-0A7D3EBC508C}">
  <dimension ref="A1:K2149"/>
  <sheetViews>
    <sheetView topLeftCell="J7" zoomScale="90" workbookViewId="0">
      <selection activeCell="U17" sqref="U17"/>
    </sheetView>
  </sheetViews>
  <sheetFormatPr defaultRowHeight="14.5" x14ac:dyDescent="0.35"/>
  <cols>
    <col min="1" max="1" width="10.81640625" bestFit="1" customWidth="1"/>
    <col min="2" max="2" width="10.36328125" bestFit="1" customWidth="1"/>
    <col min="3" max="3" width="12.81640625" bestFit="1" customWidth="1"/>
    <col min="4" max="4" width="13.26953125" bestFit="1" customWidth="1"/>
    <col min="5" max="5" width="14.26953125" bestFit="1" customWidth="1"/>
    <col min="6" max="6" width="14.453125" bestFit="1" customWidth="1"/>
    <col min="9" max="9" width="17.453125" bestFit="1" customWidth="1"/>
    <col min="10" max="10" width="20.7265625" bestFit="1" customWidth="1"/>
    <col min="11" max="11" width="20.90625" bestFit="1" customWidth="1"/>
  </cols>
  <sheetData>
    <row r="1" spans="1:11" x14ac:dyDescent="0.35">
      <c r="A1" s="2" t="s">
        <v>0</v>
      </c>
      <c r="B1" s="3" t="s">
        <v>1</v>
      </c>
      <c r="C1" s="3" t="s">
        <v>2</v>
      </c>
      <c r="D1" s="4" t="s">
        <v>3</v>
      </c>
      <c r="E1" s="16" t="s">
        <v>9</v>
      </c>
      <c r="F1" s="16" t="s">
        <v>10</v>
      </c>
    </row>
    <row r="2" spans="1:11" x14ac:dyDescent="0.35">
      <c r="A2" s="5">
        <v>3539762</v>
      </c>
      <c r="B2" s="6">
        <v>42919</v>
      </c>
      <c r="C2" s="7">
        <v>0.33673611111111112</v>
      </c>
      <c r="D2" s="8">
        <v>0.34821759259259261</v>
      </c>
      <c r="E2">
        <f>IF(LEN(A2)=7,1,0)</f>
        <v>1</v>
      </c>
      <c r="F2">
        <f>IF(LEN(A2)=8,1,0)</f>
        <v>0</v>
      </c>
    </row>
    <row r="3" spans="1:11" x14ac:dyDescent="0.35">
      <c r="A3" s="9">
        <v>4546455</v>
      </c>
      <c r="B3" s="10">
        <v>42919</v>
      </c>
      <c r="C3" s="11">
        <v>0.34037037037037038</v>
      </c>
      <c r="D3" s="12">
        <v>0.34983796296296299</v>
      </c>
      <c r="E3">
        <f t="shared" ref="E3:E66" si="0">IF(LEN(A3)=7,1,0)</f>
        <v>1</v>
      </c>
      <c r="F3">
        <f t="shared" ref="F3:F66" si="1">IF(LEN(A3)=8,1,0)</f>
        <v>0</v>
      </c>
    </row>
    <row r="4" spans="1:11" x14ac:dyDescent="0.35">
      <c r="A4" s="5">
        <v>4546455</v>
      </c>
      <c r="B4" s="6">
        <v>42919</v>
      </c>
      <c r="C4" s="7">
        <v>0.34042824074074074</v>
      </c>
      <c r="D4" s="8">
        <v>0.35046296296296298</v>
      </c>
      <c r="E4">
        <f t="shared" si="0"/>
        <v>1</v>
      </c>
      <c r="F4">
        <f t="shared" si="1"/>
        <v>0</v>
      </c>
    </row>
    <row r="5" spans="1:11" x14ac:dyDescent="0.35">
      <c r="A5" s="9">
        <v>6900303</v>
      </c>
      <c r="B5" s="10">
        <v>42919</v>
      </c>
      <c r="C5" s="11">
        <v>0.34362268518518518</v>
      </c>
      <c r="D5" s="12">
        <v>0.3482986111111111</v>
      </c>
      <c r="E5">
        <f t="shared" si="0"/>
        <v>1</v>
      </c>
      <c r="F5">
        <f t="shared" si="1"/>
        <v>0</v>
      </c>
      <c r="I5" s="17" t="s">
        <v>1</v>
      </c>
      <c r="J5" t="s">
        <v>11</v>
      </c>
      <c r="K5" t="s">
        <v>12</v>
      </c>
    </row>
    <row r="6" spans="1:11" x14ac:dyDescent="0.35">
      <c r="A6" s="5">
        <v>4250194</v>
      </c>
      <c r="B6" s="6">
        <v>42919</v>
      </c>
      <c r="C6" s="7">
        <v>0.34399305555555554</v>
      </c>
      <c r="D6" s="8">
        <v>0.34872685185185187</v>
      </c>
      <c r="E6">
        <f t="shared" si="0"/>
        <v>1</v>
      </c>
      <c r="F6">
        <f t="shared" si="1"/>
        <v>0</v>
      </c>
      <c r="I6" s="19">
        <v>42919</v>
      </c>
      <c r="J6">
        <v>67</v>
      </c>
      <c r="K6">
        <v>27</v>
      </c>
    </row>
    <row r="7" spans="1:11" x14ac:dyDescent="0.35">
      <c r="A7" s="9">
        <v>54586484</v>
      </c>
      <c r="B7" s="10">
        <v>42919</v>
      </c>
      <c r="C7" s="11">
        <v>0.3460185185185185</v>
      </c>
      <c r="D7" s="12">
        <v>0.34969907407407408</v>
      </c>
      <c r="E7">
        <f t="shared" si="0"/>
        <v>0</v>
      </c>
      <c r="F7">
        <f t="shared" si="1"/>
        <v>1</v>
      </c>
      <c r="I7" s="19">
        <v>42920</v>
      </c>
      <c r="J7">
        <v>68</v>
      </c>
      <c r="K7">
        <v>23</v>
      </c>
    </row>
    <row r="8" spans="1:11" x14ac:dyDescent="0.35">
      <c r="A8" s="5">
        <v>26204415</v>
      </c>
      <c r="B8" s="6">
        <v>42919</v>
      </c>
      <c r="C8" s="7">
        <v>0.34880787037037037</v>
      </c>
      <c r="D8" s="8">
        <v>0.35023148148148148</v>
      </c>
      <c r="E8">
        <f t="shared" si="0"/>
        <v>0</v>
      </c>
      <c r="F8">
        <f t="shared" si="1"/>
        <v>1</v>
      </c>
      <c r="I8" s="19">
        <v>42921</v>
      </c>
      <c r="J8">
        <v>79</v>
      </c>
      <c r="K8">
        <v>24</v>
      </c>
    </row>
    <row r="9" spans="1:11" x14ac:dyDescent="0.35">
      <c r="A9" s="9">
        <v>8596929</v>
      </c>
      <c r="B9" s="10">
        <v>42919</v>
      </c>
      <c r="C9" s="11">
        <v>0.35322916666666665</v>
      </c>
      <c r="D9" s="12">
        <v>0.35968749999999999</v>
      </c>
      <c r="E9">
        <f t="shared" si="0"/>
        <v>1</v>
      </c>
      <c r="F9">
        <f t="shared" si="1"/>
        <v>0</v>
      </c>
      <c r="I9" s="19">
        <v>42922</v>
      </c>
      <c r="J9">
        <v>78</v>
      </c>
      <c r="K9">
        <v>20</v>
      </c>
    </row>
    <row r="10" spans="1:11" x14ac:dyDescent="0.35">
      <c r="A10" s="5">
        <v>4546455</v>
      </c>
      <c r="B10" s="6">
        <v>42919</v>
      </c>
      <c r="C10" s="7">
        <v>0.35723379629629631</v>
      </c>
      <c r="D10" s="8">
        <v>0.36699074074074073</v>
      </c>
      <c r="E10">
        <f t="shared" si="0"/>
        <v>1</v>
      </c>
      <c r="F10">
        <f t="shared" si="1"/>
        <v>0</v>
      </c>
      <c r="I10" s="19">
        <v>42923</v>
      </c>
      <c r="J10">
        <v>69</v>
      </c>
      <c r="K10">
        <v>31</v>
      </c>
    </row>
    <row r="11" spans="1:11" x14ac:dyDescent="0.35">
      <c r="A11" s="9">
        <v>44937926</v>
      </c>
      <c r="B11" s="10">
        <v>42919</v>
      </c>
      <c r="C11" s="11">
        <v>0.36178240740740741</v>
      </c>
      <c r="D11" s="12">
        <v>0.37260416666666668</v>
      </c>
      <c r="E11">
        <f t="shared" si="0"/>
        <v>0</v>
      </c>
      <c r="F11">
        <f t="shared" si="1"/>
        <v>1</v>
      </c>
      <c r="I11" s="19">
        <v>42926</v>
      </c>
      <c r="J11">
        <v>73</v>
      </c>
      <c r="K11">
        <v>23</v>
      </c>
    </row>
    <row r="12" spans="1:11" x14ac:dyDescent="0.35">
      <c r="A12" s="5">
        <v>5816822</v>
      </c>
      <c r="B12" s="6">
        <v>42919</v>
      </c>
      <c r="C12" s="7">
        <v>0.36702546296296296</v>
      </c>
      <c r="D12" s="8">
        <v>0.37568287037037035</v>
      </c>
      <c r="E12">
        <f t="shared" si="0"/>
        <v>1</v>
      </c>
      <c r="F12">
        <f t="shared" si="1"/>
        <v>0</v>
      </c>
      <c r="I12" s="19">
        <v>42927</v>
      </c>
      <c r="J12">
        <v>60</v>
      </c>
      <c r="K12">
        <v>27</v>
      </c>
    </row>
    <row r="13" spans="1:11" x14ac:dyDescent="0.35">
      <c r="A13" s="9">
        <v>96191858</v>
      </c>
      <c r="B13" s="10">
        <v>42919</v>
      </c>
      <c r="C13" s="11">
        <v>0.36861111111111111</v>
      </c>
      <c r="D13" s="12">
        <v>0.37554398148148149</v>
      </c>
      <c r="E13">
        <f t="shared" si="0"/>
        <v>0</v>
      </c>
      <c r="F13">
        <f t="shared" si="1"/>
        <v>1</v>
      </c>
      <c r="I13" s="19">
        <v>42928</v>
      </c>
      <c r="J13">
        <v>70</v>
      </c>
      <c r="K13">
        <v>27</v>
      </c>
    </row>
    <row r="14" spans="1:11" x14ac:dyDescent="0.35">
      <c r="A14" s="5">
        <v>47261256</v>
      </c>
      <c r="B14" s="6">
        <v>42919</v>
      </c>
      <c r="C14" s="7">
        <v>0.37017361111111113</v>
      </c>
      <c r="D14" s="8">
        <v>0.37328703703703703</v>
      </c>
      <c r="E14">
        <f t="shared" si="0"/>
        <v>0</v>
      </c>
      <c r="F14">
        <f t="shared" si="1"/>
        <v>1</v>
      </c>
      <c r="I14" s="19">
        <v>42929</v>
      </c>
      <c r="J14">
        <v>67</v>
      </c>
      <c r="K14">
        <v>24</v>
      </c>
    </row>
    <row r="15" spans="1:11" x14ac:dyDescent="0.35">
      <c r="A15" s="9">
        <v>26204415</v>
      </c>
      <c r="B15" s="10">
        <v>42919</v>
      </c>
      <c r="C15" s="11">
        <v>0.37516203703703704</v>
      </c>
      <c r="D15" s="12">
        <v>0.38424768518518521</v>
      </c>
      <c r="E15">
        <f t="shared" si="0"/>
        <v>0</v>
      </c>
      <c r="F15">
        <f t="shared" si="1"/>
        <v>1</v>
      </c>
      <c r="I15" s="19">
        <v>42930</v>
      </c>
      <c r="J15">
        <v>74</v>
      </c>
      <c r="K15">
        <v>24</v>
      </c>
    </row>
    <row r="16" spans="1:11" x14ac:dyDescent="0.35">
      <c r="A16" s="5">
        <v>22747425</v>
      </c>
      <c r="B16" s="6">
        <v>42919</v>
      </c>
      <c r="C16" s="7">
        <v>0.37719907407407405</v>
      </c>
      <c r="D16" s="8">
        <v>0.38513888888888886</v>
      </c>
      <c r="E16">
        <f t="shared" si="0"/>
        <v>0</v>
      </c>
      <c r="F16">
        <f t="shared" si="1"/>
        <v>1</v>
      </c>
      <c r="I16" s="19">
        <v>42933</v>
      </c>
      <c r="J16">
        <v>76</v>
      </c>
      <c r="K16">
        <v>26</v>
      </c>
    </row>
    <row r="17" spans="1:11" x14ac:dyDescent="0.35">
      <c r="A17" s="9">
        <v>96191858</v>
      </c>
      <c r="B17" s="10">
        <v>42919</v>
      </c>
      <c r="C17" s="11">
        <v>0.37987268518518519</v>
      </c>
      <c r="D17" s="12">
        <v>0.38802083333333331</v>
      </c>
      <c r="E17">
        <f t="shared" si="0"/>
        <v>0</v>
      </c>
      <c r="F17">
        <f t="shared" si="1"/>
        <v>1</v>
      </c>
      <c r="I17" s="19">
        <v>42934</v>
      </c>
      <c r="J17">
        <v>74</v>
      </c>
      <c r="K17">
        <v>17</v>
      </c>
    </row>
    <row r="18" spans="1:11" x14ac:dyDescent="0.35">
      <c r="A18" s="5">
        <v>5816822</v>
      </c>
      <c r="B18" s="6">
        <v>42919</v>
      </c>
      <c r="C18" s="7">
        <v>0.38123842592592594</v>
      </c>
      <c r="D18" s="8">
        <v>0.38390046296296299</v>
      </c>
      <c r="E18">
        <f t="shared" si="0"/>
        <v>1</v>
      </c>
      <c r="F18">
        <f t="shared" si="1"/>
        <v>0</v>
      </c>
      <c r="I18" s="19">
        <v>42935</v>
      </c>
      <c r="J18">
        <v>67</v>
      </c>
      <c r="K18">
        <v>24</v>
      </c>
    </row>
    <row r="19" spans="1:11" x14ac:dyDescent="0.35">
      <c r="A19" s="9">
        <v>3352943</v>
      </c>
      <c r="B19" s="10">
        <v>42919</v>
      </c>
      <c r="C19" s="11">
        <v>0.38701388888888888</v>
      </c>
      <c r="D19" s="12">
        <v>0.3943402777777778</v>
      </c>
      <c r="E19">
        <f t="shared" si="0"/>
        <v>1</v>
      </c>
      <c r="F19">
        <f t="shared" si="1"/>
        <v>0</v>
      </c>
      <c r="I19" s="19">
        <v>42936</v>
      </c>
      <c r="J19">
        <v>75</v>
      </c>
      <c r="K19">
        <v>20</v>
      </c>
    </row>
    <row r="20" spans="1:11" x14ac:dyDescent="0.35">
      <c r="A20" s="5">
        <v>35634368</v>
      </c>
      <c r="B20" s="6">
        <v>42919</v>
      </c>
      <c r="C20" s="7">
        <v>0.39181712962962961</v>
      </c>
      <c r="D20" s="8">
        <v>0.40334490740740742</v>
      </c>
      <c r="E20">
        <f t="shared" si="0"/>
        <v>0</v>
      </c>
      <c r="F20">
        <f t="shared" si="1"/>
        <v>1</v>
      </c>
      <c r="I20" s="19">
        <v>42937</v>
      </c>
      <c r="J20">
        <v>73</v>
      </c>
      <c r="K20">
        <v>25</v>
      </c>
    </row>
    <row r="21" spans="1:11" x14ac:dyDescent="0.35">
      <c r="A21" s="9">
        <v>8313390</v>
      </c>
      <c r="B21" s="10">
        <v>42919</v>
      </c>
      <c r="C21" s="11">
        <v>0.39571759259259259</v>
      </c>
      <c r="D21" s="12">
        <v>0.39844907407407409</v>
      </c>
      <c r="E21">
        <f t="shared" si="0"/>
        <v>1</v>
      </c>
      <c r="F21">
        <f t="shared" si="1"/>
        <v>0</v>
      </c>
      <c r="I21" s="19">
        <v>42940</v>
      </c>
      <c r="J21">
        <v>77</v>
      </c>
      <c r="K21">
        <v>30</v>
      </c>
    </row>
    <row r="22" spans="1:11" x14ac:dyDescent="0.35">
      <c r="A22" s="5">
        <v>3954712</v>
      </c>
      <c r="B22" s="6">
        <v>42919</v>
      </c>
      <c r="C22" s="7">
        <v>0.39876157407407409</v>
      </c>
      <c r="D22" s="8">
        <v>0.40207175925925925</v>
      </c>
      <c r="E22">
        <f t="shared" si="0"/>
        <v>1</v>
      </c>
      <c r="F22">
        <f t="shared" si="1"/>
        <v>0</v>
      </c>
      <c r="I22" s="19">
        <v>42941</v>
      </c>
      <c r="J22">
        <v>79</v>
      </c>
      <c r="K22">
        <v>27</v>
      </c>
    </row>
    <row r="23" spans="1:11" x14ac:dyDescent="0.35">
      <c r="A23" s="9">
        <v>2109147679</v>
      </c>
      <c r="B23" s="10">
        <v>42919</v>
      </c>
      <c r="C23" s="11">
        <v>0.40035879629629628</v>
      </c>
      <c r="D23" s="12">
        <v>0.41166666666666668</v>
      </c>
      <c r="E23">
        <f t="shared" si="0"/>
        <v>0</v>
      </c>
      <c r="F23">
        <f t="shared" si="1"/>
        <v>0</v>
      </c>
      <c r="I23" s="19">
        <v>42942</v>
      </c>
      <c r="J23">
        <v>78</v>
      </c>
      <c r="K23">
        <v>24</v>
      </c>
    </row>
    <row r="24" spans="1:11" x14ac:dyDescent="0.35">
      <c r="A24" s="5">
        <v>1787732</v>
      </c>
      <c r="B24" s="6">
        <v>42919</v>
      </c>
      <c r="C24" s="7">
        <v>0.4052546296296296</v>
      </c>
      <c r="D24" s="8">
        <v>0.41048611111111111</v>
      </c>
      <c r="E24">
        <f t="shared" si="0"/>
        <v>1</v>
      </c>
      <c r="F24">
        <f t="shared" si="1"/>
        <v>0</v>
      </c>
      <c r="I24" s="19">
        <v>42943</v>
      </c>
      <c r="J24">
        <v>70</v>
      </c>
      <c r="K24">
        <v>22</v>
      </c>
    </row>
    <row r="25" spans="1:11" x14ac:dyDescent="0.35">
      <c r="A25" s="9">
        <v>7834807</v>
      </c>
      <c r="B25" s="10">
        <v>42919</v>
      </c>
      <c r="C25" s="11">
        <v>0.40980324074074076</v>
      </c>
      <c r="D25" s="12">
        <v>0.41035879629629629</v>
      </c>
      <c r="E25">
        <f t="shared" si="0"/>
        <v>1</v>
      </c>
      <c r="F25">
        <f t="shared" si="1"/>
        <v>0</v>
      </c>
      <c r="I25" s="19">
        <v>42944</v>
      </c>
      <c r="J25">
        <v>68</v>
      </c>
      <c r="K25">
        <v>24</v>
      </c>
    </row>
    <row r="26" spans="1:11" x14ac:dyDescent="0.35">
      <c r="A26" s="5">
        <v>33320202</v>
      </c>
      <c r="B26" s="6">
        <v>42919</v>
      </c>
      <c r="C26" s="7">
        <v>0.41506944444444444</v>
      </c>
      <c r="D26" s="8">
        <v>0.42621527777777779</v>
      </c>
      <c r="E26">
        <f t="shared" si="0"/>
        <v>0</v>
      </c>
      <c r="F26">
        <f t="shared" si="1"/>
        <v>1</v>
      </c>
      <c r="I26" s="19">
        <v>42947</v>
      </c>
      <c r="J26">
        <v>82</v>
      </c>
      <c r="K26">
        <v>23</v>
      </c>
    </row>
    <row r="27" spans="1:11" x14ac:dyDescent="0.35">
      <c r="A27" s="9">
        <v>1488369</v>
      </c>
      <c r="B27" s="10">
        <v>42919</v>
      </c>
      <c r="C27" s="11">
        <v>0.41612268518518519</v>
      </c>
      <c r="D27" s="12">
        <v>0.41756944444444444</v>
      </c>
      <c r="E27">
        <f t="shared" si="0"/>
        <v>1</v>
      </c>
      <c r="F27">
        <f t="shared" si="1"/>
        <v>0</v>
      </c>
      <c r="I27" s="19" t="s">
        <v>6</v>
      </c>
      <c r="J27">
        <v>1524</v>
      </c>
      <c r="K27">
        <v>512</v>
      </c>
    </row>
    <row r="28" spans="1:11" x14ac:dyDescent="0.35">
      <c r="A28" s="5">
        <v>2631285</v>
      </c>
      <c r="B28" s="6">
        <v>42919</v>
      </c>
      <c r="C28" s="7">
        <v>0.4176273148148148</v>
      </c>
      <c r="D28" s="8">
        <v>0.42375000000000002</v>
      </c>
      <c r="E28">
        <f t="shared" si="0"/>
        <v>1</v>
      </c>
      <c r="F28">
        <f t="shared" si="1"/>
        <v>0</v>
      </c>
    </row>
    <row r="29" spans="1:11" x14ac:dyDescent="0.35">
      <c r="A29" s="9">
        <v>7415603</v>
      </c>
      <c r="B29" s="10">
        <v>42919</v>
      </c>
      <c r="C29" s="11">
        <v>0.42078703703703701</v>
      </c>
      <c r="D29" s="12">
        <v>0.43216435185185187</v>
      </c>
      <c r="E29">
        <f t="shared" si="0"/>
        <v>1</v>
      </c>
      <c r="F29">
        <f t="shared" si="1"/>
        <v>0</v>
      </c>
    </row>
    <row r="30" spans="1:11" x14ac:dyDescent="0.35">
      <c r="A30" s="5">
        <v>96375379</v>
      </c>
      <c r="B30" s="6">
        <v>42919</v>
      </c>
      <c r="C30" s="7">
        <v>0.42447916666666669</v>
      </c>
      <c r="D30" s="8">
        <v>0.42660879629629628</v>
      </c>
      <c r="E30">
        <f t="shared" si="0"/>
        <v>0</v>
      </c>
      <c r="F30">
        <f t="shared" si="1"/>
        <v>1</v>
      </c>
    </row>
    <row r="31" spans="1:11" x14ac:dyDescent="0.35">
      <c r="A31" s="9">
        <v>6976431</v>
      </c>
      <c r="B31" s="10">
        <v>42919</v>
      </c>
      <c r="C31" s="11">
        <v>0.4281712962962963</v>
      </c>
      <c r="D31" s="12">
        <v>0.43692129629629628</v>
      </c>
      <c r="E31">
        <f t="shared" si="0"/>
        <v>1</v>
      </c>
      <c r="F31">
        <f t="shared" si="1"/>
        <v>0</v>
      </c>
    </row>
    <row r="32" spans="1:11" x14ac:dyDescent="0.35">
      <c r="A32" s="5">
        <v>4093292</v>
      </c>
      <c r="B32" s="6">
        <v>42919</v>
      </c>
      <c r="C32" s="7">
        <v>0.43038194444444444</v>
      </c>
      <c r="D32" s="8">
        <v>0.43494212962962964</v>
      </c>
      <c r="E32">
        <f t="shared" si="0"/>
        <v>1</v>
      </c>
      <c r="F32">
        <f t="shared" si="1"/>
        <v>0</v>
      </c>
    </row>
    <row r="33" spans="1:6" x14ac:dyDescent="0.35">
      <c r="A33" s="9">
        <v>6312575</v>
      </c>
      <c r="B33" s="10">
        <v>42919</v>
      </c>
      <c r="C33" s="11">
        <v>0.4309837962962963</v>
      </c>
      <c r="D33" s="12">
        <v>0.43748842592592591</v>
      </c>
      <c r="E33">
        <f t="shared" si="0"/>
        <v>1</v>
      </c>
      <c r="F33">
        <f t="shared" si="1"/>
        <v>0</v>
      </c>
    </row>
    <row r="34" spans="1:6" x14ac:dyDescent="0.35">
      <c r="A34" s="5">
        <v>38535407</v>
      </c>
      <c r="B34" s="6">
        <v>42919</v>
      </c>
      <c r="C34" s="7">
        <v>0.43593749999999998</v>
      </c>
      <c r="D34" s="8">
        <v>0.44417824074074075</v>
      </c>
      <c r="E34">
        <f t="shared" si="0"/>
        <v>0</v>
      </c>
      <c r="F34">
        <f t="shared" si="1"/>
        <v>1</v>
      </c>
    </row>
    <row r="35" spans="1:6" x14ac:dyDescent="0.35">
      <c r="A35" s="9">
        <v>38535407</v>
      </c>
      <c r="B35" s="10">
        <v>42919</v>
      </c>
      <c r="C35" s="11">
        <v>0.43824074074074076</v>
      </c>
      <c r="D35" s="12">
        <v>0.43913194444444442</v>
      </c>
      <c r="E35">
        <f t="shared" si="0"/>
        <v>0</v>
      </c>
      <c r="F35">
        <f t="shared" si="1"/>
        <v>1</v>
      </c>
    </row>
    <row r="36" spans="1:6" x14ac:dyDescent="0.35">
      <c r="A36" s="5">
        <v>9413315</v>
      </c>
      <c r="B36" s="6">
        <v>42919</v>
      </c>
      <c r="C36" s="7">
        <v>0.44313657407407409</v>
      </c>
      <c r="D36" s="8">
        <v>0.45300925925925928</v>
      </c>
      <c r="E36">
        <f t="shared" si="0"/>
        <v>1</v>
      </c>
      <c r="F36">
        <f t="shared" si="1"/>
        <v>0</v>
      </c>
    </row>
    <row r="37" spans="1:6" x14ac:dyDescent="0.35">
      <c r="A37" s="9">
        <v>8514016</v>
      </c>
      <c r="B37" s="10">
        <v>42919</v>
      </c>
      <c r="C37" s="11">
        <v>0.44778935185185187</v>
      </c>
      <c r="D37" s="12">
        <v>0.44998842592592592</v>
      </c>
      <c r="E37">
        <f t="shared" si="0"/>
        <v>1</v>
      </c>
      <c r="F37">
        <f t="shared" si="1"/>
        <v>0</v>
      </c>
    </row>
    <row r="38" spans="1:6" x14ac:dyDescent="0.35">
      <c r="A38" s="5">
        <v>40965486</v>
      </c>
      <c r="B38" s="6">
        <v>42919</v>
      </c>
      <c r="C38" s="7">
        <v>0.44945601851851852</v>
      </c>
      <c r="D38" s="8">
        <v>0.46011574074074074</v>
      </c>
      <c r="E38">
        <f t="shared" si="0"/>
        <v>0</v>
      </c>
      <c r="F38">
        <f t="shared" si="1"/>
        <v>1</v>
      </c>
    </row>
    <row r="39" spans="1:6" x14ac:dyDescent="0.35">
      <c r="A39" s="9">
        <v>4546455</v>
      </c>
      <c r="B39" s="10">
        <v>42919</v>
      </c>
      <c r="C39" s="11">
        <v>0.45270833333333332</v>
      </c>
      <c r="D39" s="12">
        <v>0.45620370370370372</v>
      </c>
      <c r="E39">
        <f t="shared" si="0"/>
        <v>1</v>
      </c>
      <c r="F39">
        <f t="shared" si="1"/>
        <v>0</v>
      </c>
    </row>
    <row r="40" spans="1:6" x14ac:dyDescent="0.35">
      <c r="A40" s="5">
        <v>1435049</v>
      </c>
      <c r="B40" s="6">
        <v>42919</v>
      </c>
      <c r="C40" s="7">
        <v>0.45494212962962965</v>
      </c>
      <c r="D40" s="8">
        <v>0.45567129629629627</v>
      </c>
      <c r="E40">
        <f t="shared" si="0"/>
        <v>1</v>
      </c>
      <c r="F40">
        <f t="shared" si="1"/>
        <v>0</v>
      </c>
    </row>
    <row r="41" spans="1:6" x14ac:dyDescent="0.35">
      <c r="A41" s="9">
        <v>85598139</v>
      </c>
      <c r="B41" s="10">
        <v>42919</v>
      </c>
      <c r="C41" s="11">
        <v>0.45608796296296295</v>
      </c>
      <c r="D41" s="12">
        <v>0.46314814814814814</v>
      </c>
      <c r="E41">
        <f t="shared" si="0"/>
        <v>0</v>
      </c>
      <c r="F41">
        <f t="shared" si="1"/>
        <v>1</v>
      </c>
    </row>
    <row r="42" spans="1:6" x14ac:dyDescent="0.35">
      <c r="A42" s="5">
        <v>1787732</v>
      </c>
      <c r="B42" s="6">
        <v>42919</v>
      </c>
      <c r="C42" s="7">
        <v>0.46151620370370372</v>
      </c>
      <c r="D42" s="8">
        <v>0.46546296296296297</v>
      </c>
      <c r="E42">
        <f t="shared" si="0"/>
        <v>1</v>
      </c>
      <c r="F42">
        <f t="shared" si="1"/>
        <v>0</v>
      </c>
    </row>
    <row r="43" spans="1:6" x14ac:dyDescent="0.35">
      <c r="A43" s="9">
        <v>1926053</v>
      </c>
      <c r="B43" s="10">
        <v>42919</v>
      </c>
      <c r="C43" s="11">
        <v>0.46155092592592595</v>
      </c>
      <c r="D43" s="12">
        <v>0.46766203703703701</v>
      </c>
      <c r="E43">
        <f t="shared" si="0"/>
        <v>1</v>
      </c>
      <c r="F43">
        <f t="shared" si="1"/>
        <v>0</v>
      </c>
    </row>
    <row r="44" spans="1:6" x14ac:dyDescent="0.35">
      <c r="A44" s="5">
        <v>82949156</v>
      </c>
      <c r="B44" s="6">
        <v>42919</v>
      </c>
      <c r="C44" s="7">
        <v>0.46224537037037039</v>
      </c>
      <c r="D44" s="8">
        <v>0.46390046296296295</v>
      </c>
      <c r="E44">
        <f t="shared" si="0"/>
        <v>0</v>
      </c>
      <c r="F44">
        <f t="shared" si="1"/>
        <v>1</v>
      </c>
    </row>
    <row r="45" spans="1:6" x14ac:dyDescent="0.35">
      <c r="A45" s="9">
        <v>73690742</v>
      </c>
      <c r="B45" s="10">
        <v>42919</v>
      </c>
      <c r="C45" s="11">
        <v>0.46766203703703701</v>
      </c>
      <c r="D45" s="12">
        <v>0.4767939814814815</v>
      </c>
      <c r="E45">
        <f t="shared" si="0"/>
        <v>0</v>
      </c>
      <c r="F45">
        <f t="shared" si="1"/>
        <v>1</v>
      </c>
    </row>
    <row r="46" spans="1:6" x14ac:dyDescent="0.35">
      <c r="A46" s="5">
        <v>5107477025</v>
      </c>
      <c r="B46" s="6">
        <v>42919</v>
      </c>
      <c r="C46" s="7">
        <v>0.47125</v>
      </c>
      <c r="D46" s="8">
        <v>0.47871527777777778</v>
      </c>
      <c r="E46">
        <f t="shared" si="0"/>
        <v>0</v>
      </c>
      <c r="F46">
        <f t="shared" si="1"/>
        <v>0</v>
      </c>
    </row>
    <row r="47" spans="1:6" x14ac:dyDescent="0.35">
      <c r="A47" s="9">
        <v>4787793</v>
      </c>
      <c r="B47" s="10">
        <v>42919</v>
      </c>
      <c r="C47" s="11">
        <v>0.47584490740740742</v>
      </c>
      <c r="D47" s="12">
        <v>0.48518518518518516</v>
      </c>
      <c r="E47">
        <f t="shared" si="0"/>
        <v>1</v>
      </c>
      <c r="F47">
        <f t="shared" si="1"/>
        <v>0</v>
      </c>
    </row>
    <row r="48" spans="1:6" x14ac:dyDescent="0.35">
      <c r="A48" s="5">
        <v>79381100</v>
      </c>
      <c r="B48" s="6">
        <v>42919</v>
      </c>
      <c r="C48" s="7">
        <v>0.48078703703703701</v>
      </c>
      <c r="D48" s="8">
        <v>0.48550925925925925</v>
      </c>
      <c r="E48">
        <f t="shared" si="0"/>
        <v>0</v>
      </c>
      <c r="F48">
        <f t="shared" si="1"/>
        <v>1</v>
      </c>
    </row>
    <row r="49" spans="1:6" x14ac:dyDescent="0.35">
      <c r="A49" s="9">
        <v>4146159</v>
      </c>
      <c r="B49" s="10">
        <v>42919</v>
      </c>
      <c r="C49" s="11">
        <v>0.48123842592592592</v>
      </c>
      <c r="D49" s="12">
        <v>0.49261574074074072</v>
      </c>
      <c r="E49">
        <f t="shared" si="0"/>
        <v>1</v>
      </c>
      <c r="F49">
        <f t="shared" si="1"/>
        <v>0</v>
      </c>
    </row>
    <row r="50" spans="1:6" x14ac:dyDescent="0.35">
      <c r="A50" s="5">
        <v>13484133</v>
      </c>
      <c r="B50" s="6">
        <v>42919</v>
      </c>
      <c r="C50" s="7">
        <v>0.48254629629629631</v>
      </c>
      <c r="D50" s="8">
        <v>0.48739583333333331</v>
      </c>
      <c r="E50">
        <f t="shared" si="0"/>
        <v>0</v>
      </c>
      <c r="F50">
        <f t="shared" si="1"/>
        <v>1</v>
      </c>
    </row>
    <row r="51" spans="1:6" x14ac:dyDescent="0.35">
      <c r="A51" s="9">
        <v>4657345</v>
      </c>
      <c r="B51" s="10">
        <v>42919</v>
      </c>
      <c r="C51" s="11">
        <v>0.48489583333333336</v>
      </c>
      <c r="D51" s="12">
        <v>0.48734953703703704</v>
      </c>
      <c r="E51">
        <f t="shared" si="0"/>
        <v>1</v>
      </c>
      <c r="F51">
        <f t="shared" si="1"/>
        <v>0</v>
      </c>
    </row>
    <row r="52" spans="1:6" x14ac:dyDescent="0.35">
      <c r="A52" s="5">
        <v>3697935</v>
      </c>
      <c r="B52" s="6">
        <v>42919</v>
      </c>
      <c r="C52" s="7">
        <v>0.49054398148148148</v>
      </c>
      <c r="D52" s="8">
        <v>0.49251157407407409</v>
      </c>
      <c r="E52">
        <f t="shared" si="0"/>
        <v>1</v>
      </c>
      <c r="F52">
        <f t="shared" si="1"/>
        <v>0</v>
      </c>
    </row>
    <row r="53" spans="1:6" x14ac:dyDescent="0.35">
      <c r="A53" s="9">
        <v>2668991</v>
      </c>
      <c r="B53" s="10">
        <v>42919</v>
      </c>
      <c r="C53" s="11">
        <v>0.49284722222222221</v>
      </c>
      <c r="D53" s="12">
        <v>0.50354166666666667</v>
      </c>
      <c r="E53">
        <f t="shared" si="0"/>
        <v>1</v>
      </c>
      <c r="F53">
        <f t="shared" si="1"/>
        <v>0</v>
      </c>
    </row>
    <row r="54" spans="1:6" x14ac:dyDescent="0.35">
      <c r="A54" s="5">
        <v>3520189</v>
      </c>
      <c r="B54" s="6">
        <v>42919</v>
      </c>
      <c r="C54" s="7">
        <v>0.49862268518518521</v>
      </c>
      <c r="D54" s="8">
        <v>0.50287037037037041</v>
      </c>
      <c r="E54">
        <f t="shared" si="0"/>
        <v>1</v>
      </c>
      <c r="F54">
        <f t="shared" si="1"/>
        <v>0</v>
      </c>
    </row>
    <row r="55" spans="1:6" x14ac:dyDescent="0.35">
      <c r="A55" s="9">
        <v>4546455</v>
      </c>
      <c r="B55" s="10">
        <v>42919</v>
      </c>
      <c r="C55" s="11">
        <v>0.50089120370370366</v>
      </c>
      <c r="D55" s="12">
        <v>0.50876157407407407</v>
      </c>
      <c r="E55">
        <f t="shared" si="0"/>
        <v>1</v>
      </c>
      <c r="F55">
        <f t="shared" si="1"/>
        <v>0</v>
      </c>
    </row>
    <row r="56" spans="1:6" x14ac:dyDescent="0.35">
      <c r="A56" s="5">
        <v>3897347</v>
      </c>
      <c r="B56" s="6">
        <v>42919</v>
      </c>
      <c r="C56" s="7">
        <v>0.50549768518518523</v>
      </c>
      <c r="D56" s="8">
        <v>0.5100231481481482</v>
      </c>
      <c r="E56">
        <f t="shared" si="0"/>
        <v>1</v>
      </c>
      <c r="F56">
        <f t="shared" si="1"/>
        <v>0</v>
      </c>
    </row>
    <row r="57" spans="1:6" x14ac:dyDescent="0.35">
      <c r="A57" s="9">
        <v>1867016</v>
      </c>
      <c r="B57" s="10">
        <v>42919</v>
      </c>
      <c r="C57" s="11">
        <v>0.50910879629629635</v>
      </c>
      <c r="D57" s="12">
        <v>0.50930555555555557</v>
      </c>
      <c r="E57">
        <f t="shared" si="0"/>
        <v>1</v>
      </c>
      <c r="F57">
        <f t="shared" si="1"/>
        <v>0</v>
      </c>
    </row>
    <row r="58" spans="1:6" x14ac:dyDescent="0.35">
      <c r="A58" s="5">
        <v>96949751</v>
      </c>
      <c r="B58" s="6">
        <v>42919</v>
      </c>
      <c r="C58" s="7">
        <v>0.51262731481481483</v>
      </c>
      <c r="D58" s="8">
        <v>0.5142592592592593</v>
      </c>
      <c r="E58">
        <f t="shared" si="0"/>
        <v>0</v>
      </c>
      <c r="F58">
        <f t="shared" si="1"/>
        <v>1</v>
      </c>
    </row>
    <row r="59" spans="1:6" x14ac:dyDescent="0.35">
      <c r="A59" s="9">
        <v>81613163</v>
      </c>
      <c r="B59" s="10">
        <v>42919</v>
      </c>
      <c r="C59" s="11">
        <v>0.5175925925925926</v>
      </c>
      <c r="D59" s="12">
        <v>0.52021990740740742</v>
      </c>
      <c r="E59">
        <f t="shared" si="0"/>
        <v>0</v>
      </c>
      <c r="F59">
        <f t="shared" si="1"/>
        <v>1</v>
      </c>
    </row>
    <row r="60" spans="1:6" x14ac:dyDescent="0.35">
      <c r="A60" s="5">
        <v>4250194</v>
      </c>
      <c r="B60" s="6">
        <v>42919</v>
      </c>
      <c r="C60" s="7">
        <v>0.52217592592592588</v>
      </c>
      <c r="D60" s="8">
        <v>0.52918981481481486</v>
      </c>
      <c r="E60">
        <f t="shared" si="0"/>
        <v>1</v>
      </c>
      <c r="F60">
        <f t="shared" si="1"/>
        <v>0</v>
      </c>
    </row>
    <row r="61" spans="1:6" x14ac:dyDescent="0.35">
      <c r="A61" s="9">
        <v>6050344</v>
      </c>
      <c r="B61" s="10">
        <v>42919</v>
      </c>
      <c r="C61" s="11">
        <v>0.52444444444444449</v>
      </c>
      <c r="D61" s="12">
        <v>0.52681712962962968</v>
      </c>
      <c r="E61">
        <f t="shared" si="0"/>
        <v>1</v>
      </c>
      <c r="F61">
        <f t="shared" si="1"/>
        <v>0</v>
      </c>
    </row>
    <row r="62" spans="1:6" x14ac:dyDescent="0.35">
      <c r="A62" s="5">
        <v>4546455</v>
      </c>
      <c r="B62" s="6">
        <v>42919</v>
      </c>
      <c r="C62" s="7">
        <v>0.5258680555555556</v>
      </c>
      <c r="D62" s="8">
        <v>0.53531249999999997</v>
      </c>
      <c r="E62">
        <f t="shared" si="0"/>
        <v>1</v>
      </c>
      <c r="F62">
        <f t="shared" si="1"/>
        <v>0</v>
      </c>
    </row>
    <row r="63" spans="1:6" x14ac:dyDescent="0.35">
      <c r="A63" s="9">
        <v>7727942</v>
      </c>
      <c r="B63" s="10">
        <v>42919</v>
      </c>
      <c r="C63" s="11">
        <v>0.53013888888888894</v>
      </c>
      <c r="D63" s="12">
        <v>0.53707175925925921</v>
      </c>
      <c r="E63">
        <f t="shared" si="0"/>
        <v>1</v>
      </c>
      <c r="F63">
        <f t="shared" si="1"/>
        <v>0</v>
      </c>
    </row>
    <row r="64" spans="1:6" x14ac:dyDescent="0.35">
      <c r="A64" s="5">
        <v>8249721</v>
      </c>
      <c r="B64" s="6">
        <v>42919</v>
      </c>
      <c r="C64" s="7">
        <v>0.53486111111111112</v>
      </c>
      <c r="D64" s="8">
        <v>0.53756944444444443</v>
      </c>
      <c r="E64">
        <f t="shared" si="0"/>
        <v>1</v>
      </c>
      <c r="F64">
        <f t="shared" si="1"/>
        <v>0</v>
      </c>
    </row>
    <row r="65" spans="1:6" x14ac:dyDescent="0.35">
      <c r="A65" s="9">
        <v>6894270</v>
      </c>
      <c r="B65" s="10">
        <v>42919</v>
      </c>
      <c r="C65" s="11">
        <v>0.53488425925925931</v>
      </c>
      <c r="D65" s="12">
        <v>0.53523148148148147</v>
      </c>
      <c r="E65">
        <f t="shared" si="0"/>
        <v>1</v>
      </c>
      <c r="F65">
        <f t="shared" si="1"/>
        <v>0</v>
      </c>
    </row>
    <row r="66" spans="1:6" x14ac:dyDescent="0.35">
      <c r="A66" s="5">
        <v>3095218</v>
      </c>
      <c r="B66" s="6">
        <v>42919</v>
      </c>
      <c r="C66" s="7">
        <v>0.5358680555555555</v>
      </c>
      <c r="D66" s="8">
        <v>0.54329861111111111</v>
      </c>
      <c r="E66">
        <f t="shared" si="0"/>
        <v>1</v>
      </c>
      <c r="F66">
        <f t="shared" si="1"/>
        <v>0</v>
      </c>
    </row>
    <row r="67" spans="1:6" x14ac:dyDescent="0.35">
      <c r="A67" s="9">
        <v>45081794</v>
      </c>
      <c r="B67" s="10">
        <v>42919</v>
      </c>
      <c r="C67" s="11">
        <v>0.54016203703703702</v>
      </c>
      <c r="D67" s="12">
        <v>0.54297453703703702</v>
      </c>
      <c r="E67">
        <f t="shared" ref="E67:E130" si="2">IF(LEN(A67)=7,1,0)</f>
        <v>0</v>
      </c>
      <c r="F67">
        <f t="shared" ref="F67:F130" si="3">IF(LEN(A67)=8,1,0)</f>
        <v>1</v>
      </c>
    </row>
    <row r="68" spans="1:6" x14ac:dyDescent="0.35">
      <c r="A68" s="5">
        <v>3533271</v>
      </c>
      <c r="B68" s="6">
        <v>42919</v>
      </c>
      <c r="C68" s="7">
        <v>0.54280092592592588</v>
      </c>
      <c r="D68" s="8">
        <v>0.54478009259259264</v>
      </c>
      <c r="E68">
        <f t="shared" si="2"/>
        <v>1</v>
      </c>
      <c r="F68">
        <f t="shared" si="3"/>
        <v>0</v>
      </c>
    </row>
    <row r="69" spans="1:6" x14ac:dyDescent="0.35">
      <c r="A69" s="9">
        <v>7415603</v>
      </c>
      <c r="B69" s="10">
        <v>42919</v>
      </c>
      <c r="C69" s="11">
        <v>0.54848379629629629</v>
      </c>
      <c r="D69" s="12">
        <v>0.5578819444444445</v>
      </c>
      <c r="E69">
        <f t="shared" si="2"/>
        <v>1</v>
      </c>
      <c r="F69">
        <f t="shared" si="3"/>
        <v>0</v>
      </c>
    </row>
    <row r="70" spans="1:6" x14ac:dyDescent="0.35">
      <c r="A70" s="5">
        <v>9088452</v>
      </c>
      <c r="B70" s="6">
        <v>42919</v>
      </c>
      <c r="C70" s="7">
        <v>0.55283564814814812</v>
      </c>
      <c r="D70" s="8">
        <v>0.55756944444444445</v>
      </c>
      <c r="E70">
        <f t="shared" si="2"/>
        <v>1</v>
      </c>
      <c r="F70">
        <f t="shared" si="3"/>
        <v>0</v>
      </c>
    </row>
    <row r="71" spans="1:6" x14ac:dyDescent="0.35">
      <c r="A71" s="9">
        <v>3379401</v>
      </c>
      <c r="B71" s="10">
        <v>42919</v>
      </c>
      <c r="C71" s="11">
        <v>0.55576388888888884</v>
      </c>
      <c r="D71" s="12">
        <v>0.56342592592592589</v>
      </c>
      <c r="E71">
        <f t="shared" si="2"/>
        <v>1</v>
      </c>
      <c r="F71">
        <f t="shared" si="3"/>
        <v>0</v>
      </c>
    </row>
    <row r="72" spans="1:6" x14ac:dyDescent="0.35">
      <c r="A72" s="5">
        <v>73350537</v>
      </c>
      <c r="B72" s="6">
        <v>42919</v>
      </c>
      <c r="C72" s="7">
        <v>0.55722222222222217</v>
      </c>
      <c r="D72" s="8">
        <v>0.55787037037037035</v>
      </c>
      <c r="E72">
        <f t="shared" si="2"/>
        <v>0</v>
      </c>
      <c r="F72">
        <f t="shared" si="3"/>
        <v>1</v>
      </c>
    </row>
    <row r="73" spans="1:6" x14ac:dyDescent="0.35">
      <c r="A73" s="9">
        <v>83707586</v>
      </c>
      <c r="B73" s="10">
        <v>42919</v>
      </c>
      <c r="C73" s="11">
        <v>0.55803240740740745</v>
      </c>
      <c r="D73" s="12">
        <v>0.56174768518518514</v>
      </c>
      <c r="E73">
        <f t="shared" si="2"/>
        <v>0</v>
      </c>
      <c r="F73">
        <f t="shared" si="3"/>
        <v>1</v>
      </c>
    </row>
    <row r="74" spans="1:6" x14ac:dyDescent="0.35">
      <c r="A74" s="5">
        <v>5107477025</v>
      </c>
      <c r="B74" s="6">
        <v>42919</v>
      </c>
      <c r="C74" s="7">
        <v>0.55888888888888888</v>
      </c>
      <c r="D74" s="8">
        <v>0.56745370370370374</v>
      </c>
      <c r="E74">
        <f t="shared" si="2"/>
        <v>0</v>
      </c>
      <c r="F74">
        <f t="shared" si="3"/>
        <v>0</v>
      </c>
    </row>
    <row r="75" spans="1:6" x14ac:dyDescent="0.35">
      <c r="A75" s="9">
        <v>1480206</v>
      </c>
      <c r="B75" s="10">
        <v>42919</v>
      </c>
      <c r="C75" s="11">
        <v>0.5645486111111111</v>
      </c>
      <c r="D75" s="12">
        <v>0.56458333333333333</v>
      </c>
      <c r="E75">
        <f t="shared" si="2"/>
        <v>1</v>
      </c>
      <c r="F75">
        <f t="shared" si="3"/>
        <v>0</v>
      </c>
    </row>
    <row r="76" spans="1:6" x14ac:dyDescent="0.35">
      <c r="A76" s="5">
        <v>3095218</v>
      </c>
      <c r="B76" s="6">
        <v>42919</v>
      </c>
      <c r="C76" s="7">
        <v>0.56555555555555559</v>
      </c>
      <c r="D76" s="8">
        <v>0.56557870370370367</v>
      </c>
      <c r="E76">
        <f t="shared" si="2"/>
        <v>1</v>
      </c>
      <c r="F76">
        <f t="shared" si="3"/>
        <v>0</v>
      </c>
    </row>
    <row r="77" spans="1:6" x14ac:dyDescent="0.35">
      <c r="A77" s="9">
        <v>2028923</v>
      </c>
      <c r="B77" s="10">
        <v>42919</v>
      </c>
      <c r="C77" s="11">
        <v>0.56800925925925927</v>
      </c>
      <c r="D77" s="12">
        <v>0.57093749999999999</v>
      </c>
      <c r="E77">
        <f t="shared" si="2"/>
        <v>1</v>
      </c>
      <c r="F77">
        <f t="shared" si="3"/>
        <v>0</v>
      </c>
    </row>
    <row r="78" spans="1:6" x14ac:dyDescent="0.35">
      <c r="A78" s="5">
        <v>81880891</v>
      </c>
      <c r="B78" s="6">
        <v>42919</v>
      </c>
      <c r="C78" s="7">
        <v>0.57141203703703702</v>
      </c>
      <c r="D78" s="8">
        <v>0.57547453703703699</v>
      </c>
      <c r="E78">
        <f t="shared" si="2"/>
        <v>0</v>
      </c>
      <c r="F78">
        <f t="shared" si="3"/>
        <v>1</v>
      </c>
    </row>
    <row r="79" spans="1:6" x14ac:dyDescent="0.35">
      <c r="A79" s="9">
        <v>4274149</v>
      </c>
      <c r="B79" s="10">
        <v>42919</v>
      </c>
      <c r="C79" s="11">
        <v>0.5717592592592593</v>
      </c>
      <c r="D79" s="12">
        <v>0.58065972222222217</v>
      </c>
      <c r="E79">
        <f t="shared" si="2"/>
        <v>1</v>
      </c>
      <c r="F79">
        <f t="shared" si="3"/>
        <v>0</v>
      </c>
    </row>
    <row r="80" spans="1:6" x14ac:dyDescent="0.35">
      <c r="A80" s="5">
        <v>3505978</v>
      </c>
      <c r="B80" s="6">
        <v>42919</v>
      </c>
      <c r="C80" s="7">
        <v>0.57642361111111107</v>
      </c>
      <c r="D80" s="8">
        <v>0.5799305555555555</v>
      </c>
      <c r="E80">
        <f t="shared" si="2"/>
        <v>1</v>
      </c>
      <c r="F80">
        <f t="shared" si="3"/>
        <v>0</v>
      </c>
    </row>
    <row r="81" spans="1:6" x14ac:dyDescent="0.35">
      <c r="A81" s="9">
        <v>8504601</v>
      </c>
      <c r="B81" s="10">
        <v>42919</v>
      </c>
      <c r="C81" s="11">
        <v>0.57958333333333334</v>
      </c>
      <c r="D81" s="12">
        <v>0.58056712962962964</v>
      </c>
      <c r="E81">
        <f t="shared" si="2"/>
        <v>1</v>
      </c>
      <c r="F81">
        <f t="shared" si="3"/>
        <v>0</v>
      </c>
    </row>
    <row r="82" spans="1:6" x14ac:dyDescent="0.35">
      <c r="A82" s="5">
        <v>8214927</v>
      </c>
      <c r="B82" s="6">
        <v>42919</v>
      </c>
      <c r="C82" s="7">
        <v>0.5819212962962963</v>
      </c>
      <c r="D82" s="8">
        <v>0.59106481481481477</v>
      </c>
      <c r="E82">
        <f t="shared" si="2"/>
        <v>1</v>
      </c>
      <c r="F82">
        <f t="shared" si="3"/>
        <v>0</v>
      </c>
    </row>
    <row r="83" spans="1:6" x14ac:dyDescent="0.35">
      <c r="A83" s="9">
        <v>5913547</v>
      </c>
      <c r="B83" s="10">
        <v>42919</v>
      </c>
      <c r="C83" s="11">
        <v>0.58414351851851853</v>
      </c>
      <c r="D83" s="12">
        <v>0.5861574074074074</v>
      </c>
      <c r="E83">
        <f t="shared" si="2"/>
        <v>1</v>
      </c>
      <c r="F83">
        <f t="shared" si="3"/>
        <v>0</v>
      </c>
    </row>
    <row r="84" spans="1:6" x14ac:dyDescent="0.35">
      <c r="A84" s="5">
        <v>3505978</v>
      </c>
      <c r="B84" s="6">
        <v>42919</v>
      </c>
      <c r="C84" s="7">
        <v>0.58699074074074076</v>
      </c>
      <c r="D84" s="8">
        <v>0.59060185185185188</v>
      </c>
      <c r="E84">
        <f t="shared" si="2"/>
        <v>1</v>
      </c>
      <c r="F84">
        <f t="shared" si="3"/>
        <v>0</v>
      </c>
    </row>
    <row r="85" spans="1:6" x14ac:dyDescent="0.35">
      <c r="A85" s="9">
        <v>14783929</v>
      </c>
      <c r="B85" s="10">
        <v>42919</v>
      </c>
      <c r="C85" s="11">
        <v>0.5902546296296296</v>
      </c>
      <c r="D85" s="12">
        <v>0.59516203703703707</v>
      </c>
      <c r="E85">
        <f t="shared" si="2"/>
        <v>0</v>
      </c>
      <c r="F85">
        <f t="shared" si="3"/>
        <v>1</v>
      </c>
    </row>
    <row r="86" spans="1:6" x14ac:dyDescent="0.35">
      <c r="A86" s="5">
        <v>2915745</v>
      </c>
      <c r="B86" s="6">
        <v>42919</v>
      </c>
      <c r="C86" s="7">
        <v>0.59324074074074074</v>
      </c>
      <c r="D86" s="8">
        <v>0.6029282407407407</v>
      </c>
      <c r="E86">
        <f t="shared" si="2"/>
        <v>1</v>
      </c>
      <c r="F86">
        <f t="shared" si="3"/>
        <v>0</v>
      </c>
    </row>
    <row r="87" spans="1:6" x14ac:dyDescent="0.35">
      <c r="A87" s="9">
        <v>1100142</v>
      </c>
      <c r="B87" s="10">
        <v>42919</v>
      </c>
      <c r="C87" s="11">
        <v>0.59710648148148149</v>
      </c>
      <c r="D87" s="12">
        <v>0.6003356481481481</v>
      </c>
      <c r="E87">
        <f t="shared" si="2"/>
        <v>1</v>
      </c>
      <c r="F87">
        <f t="shared" si="3"/>
        <v>0</v>
      </c>
    </row>
    <row r="88" spans="1:6" x14ac:dyDescent="0.35">
      <c r="A88" s="5">
        <v>7795911</v>
      </c>
      <c r="B88" s="6">
        <v>42919</v>
      </c>
      <c r="C88" s="7">
        <v>0.60196759259259258</v>
      </c>
      <c r="D88" s="8">
        <v>0.61259259259259258</v>
      </c>
      <c r="E88">
        <f t="shared" si="2"/>
        <v>1</v>
      </c>
      <c r="F88">
        <f t="shared" si="3"/>
        <v>0</v>
      </c>
    </row>
    <row r="89" spans="1:6" x14ac:dyDescent="0.35">
      <c r="A89" s="9">
        <v>1709455</v>
      </c>
      <c r="B89" s="10">
        <v>42919</v>
      </c>
      <c r="C89" s="11">
        <v>0.60313657407407406</v>
      </c>
      <c r="D89" s="12">
        <v>0.60765046296296299</v>
      </c>
      <c r="E89">
        <f t="shared" si="2"/>
        <v>1</v>
      </c>
      <c r="F89">
        <f t="shared" si="3"/>
        <v>0</v>
      </c>
    </row>
    <row r="90" spans="1:6" x14ac:dyDescent="0.35">
      <c r="A90" s="5">
        <v>54586484</v>
      </c>
      <c r="B90" s="6">
        <v>42919</v>
      </c>
      <c r="C90" s="7">
        <v>0.60753472222222227</v>
      </c>
      <c r="D90" s="8">
        <v>0.61120370370370369</v>
      </c>
      <c r="E90">
        <f t="shared" si="2"/>
        <v>0</v>
      </c>
      <c r="F90">
        <f t="shared" si="3"/>
        <v>1</v>
      </c>
    </row>
    <row r="91" spans="1:6" x14ac:dyDescent="0.35">
      <c r="A91" s="9">
        <v>6674505</v>
      </c>
      <c r="B91" s="10">
        <v>42919</v>
      </c>
      <c r="C91" s="11">
        <v>0.61243055555555559</v>
      </c>
      <c r="D91" s="12">
        <v>0.62267361111111108</v>
      </c>
      <c r="E91">
        <f t="shared" si="2"/>
        <v>1</v>
      </c>
      <c r="F91">
        <f t="shared" si="3"/>
        <v>0</v>
      </c>
    </row>
    <row r="92" spans="1:6" x14ac:dyDescent="0.35">
      <c r="A92" s="5">
        <v>6920814</v>
      </c>
      <c r="B92" s="6">
        <v>42919</v>
      </c>
      <c r="C92" s="7">
        <v>0.6141550925925926</v>
      </c>
      <c r="D92" s="8">
        <v>0.61440972222222223</v>
      </c>
      <c r="E92">
        <f t="shared" si="2"/>
        <v>1</v>
      </c>
      <c r="F92">
        <f t="shared" si="3"/>
        <v>0</v>
      </c>
    </row>
    <row r="93" spans="1:6" x14ac:dyDescent="0.35">
      <c r="A93" s="9">
        <v>6161675</v>
      </c>
      <c r="B93" s="10">
        <v>42919</v>
      </c>
      <c r="C93" s="11">
        <v>0.61449074074074073</v>
      </c>
      <c r="D93" s="12">
        <v>0.62415509259259261</v>
      </c>
      <c r="E93">
        <f t="shared" si="2"/>
        <v>1</v>
      </c>
      <c r="F93">
        <f t="shared" si="3"/>
        <v>0</v>
      </c>
    </row>
    <row r="94" spans="1:6" x14ac:dyDescent="0.35">
      <c r="A94" s="5">
        <v>8498076</v>
      </c>
      <c r="B94" s="6">
        <v>42919</v>
      </c>
      <c r="C94" s="7">
        <v>0.61523148148148143</v>
      </c>
      <c r="D94" s="8">
        <v>0.62223379629629627</v>
      </c>
      <c r="E94">
        <f t="shared" si="2"/>
        <v>1</v>
      </c>
      <c r="F94">
        <f t="shared" si="3"/>
        <v>0</v>
      </c>
    </row>
    <row r="95" spans="1:6" x14ac:dyDescent="0.35">
      <c r="A95" s="9">
        <v>4174785</v>
      </c>
      <c r="B95" s="10">
        <v>42919</v>
      </c>
      <c r="C95" s="11">
        <v>0.61624999999999996</v>
      </c>
      <c r="D95" s="12">
        <v>0.62702546296296291</v>
      </c>
      <c r="E95">
        <f t="shared" si="2"/>
        <v>1</v>
      </c>
      <c r="F95">
        <f t="shared" si="3"/>
        <v>0</v>
      </c>
    </row>
    <row r="96" spans="1:6" x14ac:dyDescent="0.35">
      <c r="A96" s="5">
        <v>3776937</v>
      </c>
      <c r="B96" s="6">
        <v>42919</v>
      </c>
      <c r="C96" s="7">
        <v>0.61767361111111108</v>
      </c>
      <c r="D96" s="8">
        <v>0.6234143518518519</v>
      </c>
      <c r="E96">
        <f t="shared" si="2"/>
        <v>1</v>
      </c>
      <c r="F96">
        <f t="shared" si="3"/>
        <v>0</v>
      </c>
    </row>
    <row r="97" spans="1:6" x14ac:dyDescent="0.35">
      <c r="A97" s="9">
        <v>2636055</v>
      </c>
      <c r="B97" s="10">
        <v>42919</v>
      </c>
      <c r="C97" s="11">
        <v>0.62174768518518519</v>
      </c>
      <c r="D97" s="12">
        <v>0.62206018518518513</v>
      </c>
      <c r="E97">
        <f t="shared" si="2"/>
        <v>1</v>
      </c>
      <c r="F97">
        <f t="shared" si="3"/>
        <v>0</v>
      </c>
    </row>
    <row r="98" spans="1:6" x14ac:dyDescent="0.35">
      <c r="A98" s="5">
        <v>4555937</v>
      </c>
      <c r="B98" s="6">
        <v>42919</v>
      </c>
      <c r="C98" s="7">
        <v>0.62645833333333334</v>
      </c>
      <c r="D98" s="8">
        <v>0.63792824074074073</v>
      </c>
      <c r="E98">
        <f t="shared" si="2"/>
        <v>1</v>
      </c>
      <c r="F98">
        <f t="shared" si="3"/>
        <v>0</v>
      </c>
    </row>
    <row r="99" spans="1:6" x14ac:dyDescent="0.35">
      <c r="A99" s="9">
        <v>80306197</v>
      </c>
      <c r="B99" s="10">
        <v>42920</v>
      </c>
      <c r="C99" s="11">
        <v>0.33644675925925926</v>
      </c>
      <c r="D99" s="12">
        <v>0.33884259259259258</v>
      </c>
      <c r="E99">
        <f t="shared" si="2"/>
        <v>0</v>
      </c>
      <c r="F99">
        <f t="shared" si="3"/>
        <v>1</v>
      </c>
    </row>
    <row r="100" spans="1:6" x14ac:dyDescent="0.35">
      <c r="A100" s="5">
        <v>99162491</v>
      </c>
      <c r="B100" s="6">
        <v>42920</v>
      </c>
      <c r="C100" s="7">
        <v>0.33944444444444444</v>
      </c>
      <c r="D100" s="8">
        <v>0.35085648148148146</v>
      </c>
      <c r="E100">
        <f t="shared" si="2"/>
        <v>0</v>
      </c>
      <c r="F100">
        <f t="shared" si="3"/>
        <v>1</v>
      </c>
    </row>
    <row r="101" spans="1:6" x14ac:dyDescent="0.35">
      <c r="A101" s="9">
        <v>2109147679</v>
      </c>
      <c r="B101" s="10">
        <v>42920</v>
      </c>
      <c r="C101" s="11">
        <v>0.34505787037037039</v>
      </c>
      <c r="D101" s="12">
        <v>0.35395833333333332</v>
      </c>
      <c r="E101">
        <f t="shared" si="2"/>
        <v>0</v>
      </c>
      <c r="F101">
        <f t="shared" si="3"/>
        <v>0</v>
      </c>
    </row>
    <row r="102" spans="1:6" x14ac:dyDescent="0.35">
      <c r="A102" s="5">
        <v>9422310</v>
      </c>
      <c r="B102" s="6">
        <v>42920</v>
      </c>
      <c r="C102" s="7">
        <v>0.35071759259259261</v>
      </c>
      <c r="D102" s="8">
        <v>0.36206018518518518</v>
      </c>
      <c r="E102">
        <f t="shared" si="2"/>
        <v>1</v>
      </c>
      <c r="F102">
        <f t="shared" si="3"/>
        <v>0</v>
      </c>
    </row>
    <row r="103" spans="1:6" x14ac:dyDescent="0.35">
      <c r="A103" s="9">
        <v>20679187</v>
      </c>
      <c r="B103" s="10">
        <v>42920</v>
      </c>
      <c r="C103" s="11">
        <v>0.35372685185185188</v>
      </c>
      <c r="D103" s="12">
        <v>0.3595949074074074</v>
      </c>
      <c r="E103">
        <f t="shared" si="2"/>
        <v>0</v>
      </c>
      <c r="F103">
        <f t="shared" si="3"/>
        <v>1</v>
      </c>
    </row>
    <row r="104" spans="1:6" x14ac:dyDescent="0.35">
      <c r="A104" s="5">
        <v>6087997</v>
      </c>
      <c r="B104" s="6">
        <v>42920</v>
      </c>
      <c r="C104" s="7">
        <v>0.35653935185185187</v>
      </c>
      <c r="D104" s="8">
        <v>0.36062499999999997</v>
      </c>
      <c r="E104">
        <f t="shared" si="2"/>
        <v>1</v>
      </c>
      <c r="F104">
        <f t="shared" si="3"/>
        <v>0</v>
      </c>
    </row>
    <row r="105" spans="1:6" x14ac:dyDescent="0.35">
      <c r="A105" s="9">
        <v>20679187</v>
      </c>
      <c r="B105" s="10">
        <v>42920</v>
      </c>
      <c r="C105" s="11">
        <v>0.35850694444444442</v>
      </c>
      <c r="D105" s="12">
        <v>0.36371527777777779</v>
      </c>
      <c r="E105">
        <f t="shared" si="2"/>
        <v>0</v>
      </c>
      <c r="F105">
        <f t="shared" si="3"/>
        <v>1</v>
      </c>
    </row>
    <row r="106" spans="1:6" x14ac:dyDescent="0.35">
      <c r="A106" s="5">
        <v>5253133</v>
      </c>
      <c r="B106" s="6">
        <v>42920</v>
      </c>
      <c r="C106" s="7">
        <v>0.35986111111111113</v>
      </c>
      <c r="D106" s="8">
        <v>0.36961805555555555</v>
      </c>
      <c r="E106">
        <f t="shared" si="2"/>
        <v>1</v>
      </c>
      <c r="F106">
        <f t="shared" si="3"/>
        <v>0</v>
      </c>
    </row>
    <row r="107" spans="1:6" x14ac:dyDescent="0.35">
      <c r="A107" s="9">
        <v>96949751</v>
      </c>
      <c r="B107" s="10">
        <v>42920</v>
      </c>
      <c r="C107" s="11">
        <v>0.36465277777777777</v>
      </c>
      <c r="D107" s="12">
        <v>0.36525462962962962</v>
      </c>
      <c r="E107">
        <f t="shared" si="2"/>
        <v>0</v>
      </c>
      <c r="F107">
        <f t="shared" si="3"/>
        <v>1</v>
      </c>
    </row>
    <row r="108" spans="1:6" x14ac:dyDescent="0.35">
      <c r="A108" s="5">
        <v>1508356</v>
      </c>
      <c r="B108" s="6">
        <v>42920</v>
      </c>
      <c r="C108" s="7">
        <v>0.37013888888888891</v>
      </c>
      <c r="D108" s="8">
        <v>0.38033564814814813</v>
      </c>
      <c r="E108">
        <f t="shared" si="2"/>
        <v>1</v>
      </c>
      <c r="F108">
        <f t="shared" si="3"/>
        <v>0</v>
      </c>
    </row>
    <row r="109" spans="1:6" x14ac:dyDescent="0.35">
      <c r="A109" s="9">
        <v>9171025</v>
      </c>
      <c r="B109" s="10">
        <v>42920</v>
      </c>
      <c r="C109" s="11">
        <v>0.37292824074074077</v>
      </c>
      <c r="D109" s="12">
        <v>0.38390046296296299</v>
      </c>
      <c r="E109">
        <f t="shared" si="2"/>
        <v>1</v>
      </c>
      <c r="F109">
        <f t="shared" si="3"/>
        <v>0</v>
      </c>
    </row>
    <row r="110" spans="1:6" x14ac:dyDescent="0.35">
      <c r="A110" s="5">
        <v>7191598</v>
      </c>
      <c r="B110" s="6">
        <v>42920</v>
      </c>
      <c r="C110" s="7">
        <v>0.37559027777777776</v>
      </c>
      <c r="D110" s="8">
        <v>0.37986111111111109</v>
      </c>
      <c r="E110">
        <f t="shared" si="2"/>
        <v>1</v>
      </c>
      <c r="F110">
        <f t="shared" si="3"/>
        <v>0</v>
      </c>
    </row>
    <row r="111" spans="1:6" x14ac:dyDescent="0.35">
      <c r="A111" s="9">
        <v>3505978</v>
      </c>
      <c r="B111" s="10">
        <v>42920</v>
      </c>
      <c r="C111" s="11">
        <v>0.37769675925925927</v>
      </c>
      <c r="D111" s="12">
        <v>0.38211805555555556</v>
      </c>
      <c r="E111">
        <f t="shared" si="2"/>
        <v>1</v>
      </c>
      <c r="F111">
        <f t="shared" si="3"/>
        <v>0</v>
      </c>
    </row>
    <row r="112" spans="1:6" x14ac:dyDescent="0.35">
      <c r="A112" s="5">
        <v>90533733</v>
      </c>
      <c r="B112" s="6">
        <v>42920</v>
      </c>
      <c r="C112" s="7">
        <v>0.38092592592592595</v>
      </c>
      <c r="D112" s="8">
        <v>0.38866898148148149</v>
      </c>
      <c r="E112">
        <f t="shared" si="2"/>
        <v>0</v>
      </c>
      <c r="F112">
        <f t="shared" si="3"/>
        <v>1</v>
      </c>
    </row>
    <row r="113" spans="1:6" x14ac:dyDescent="0.35">
      <c r="A113" s="9">
        <v>6859181</v>
      </c>
      <c r="B113" s="10">
        <v>42920</v>
      </c>
      <c r="C113" s="11">
        <v>0.38188657407407406</v>
      </c>
      <c r="D113" s="12">
        <v>0.38545138888888891</v>
      </c>
      <c r="E113">
        <f t="shared" si="2"/>
        <v>1</v>
      </c>
      <c r="F113">
        <f t="shared" si="3"/>
        <v>0</v>
      </c>
    </row>
    <row r="114" spans="1:6" x14ac:dyDescent="0.35">
      <c r="A114" s="5">
        <v>7207066</v>
      </c>
      <c r="B114" s="6">
        <v>42920</v>
      </c>
      <c r="C114" s="7">
        <v>0.3862962962962963</v>
      </c>
      <c r="D114" s="8">
        <v>0.3883449074074074</v>
      </c>
      <c r="E114">
        <f t="shared" si="2"/>
        <v>1</v>
      </c>
      <c r="F114">
        <f t="shared" si="3"/>
        <v>0</v>
      </c>
    </row>
    <row r="115" spans="1:6" x14ac:dyDescent="0.35">
      <c r="A115" s="9">
        <v>4230507</v>
      </c>
      <c r="B115" s="10">
        <v>42920</v>
      </c>
      <c r="C115" s="11">
        <v>0.38763888888888887</v>
      </c>
      <c r="D115" s="12">
        <v>0.39317129629629627</v>
      </c>
      <c r="E115">
        <f t="shared" si="2"/>
        <v>1</v>
      </c>
      <c r="F115">
        <f t="shared" si="3"/>
        <v>0</v>
      </c>
    </row>
    <row r="116" spans="1:6" x14ac:dyDescent="0.35">
      <c r="A116" s="5">
        <v>2915745</v>
      </c>
      <c r="B116" s="6">
        <v>42920</v>
      </c>
      <c r="C116" s="7">
        <v>0.39210648148148147</v>
      </c>
      <c r="D116" s="8">
        <v>0.39277777777777778</v>
      </c>
      <c r="E116">
        <f t="shared" si="2"/>
        <v>1</v>
      </c>
      <c r="F116">
        <f t="shared" si="3"/>
        <v>0</v>
      </c>
    </row>
    <row r="117" spans="1:6" x14ac:dyDescent="0.35">
      <c r="A117" s="9">
        <v>2235911</v>
      </c>
      <c r="B117" s="10">
        <v>42920</v>
      </c>
      <c r="C117" s="11">
        <v>0.39656249999999998</v>
      </c>
      <c r="D117" s="12">
        <v>0.40236111111111111</v>
      </c>
      <c r="E117">
        <f t="shared" si="2"/>
        <v>1</v>
      </c>
      <c r="F117">
        <f t="shared" si="3"/>
        <v>0</v>
      </c>
    </row>
    <row r="118" spans="1:6" x14ac:dyDescent="0.35">
      <c r="A118" s="5">
        <v>1611389</v>
      </c>
      <c r="B118" s="6">
        <v>42920</v>
      </c>
      <c r="C118" s="7">
        <v>0.39879629629629632</v>
      </c>
      <c r="D118" s="8">
        <v>0.41033564814814816</v>
      </c>
      <c r="E118">
        <f t="shared" si="2"/>
        <v>1</v>
      </c>
      <c r="F118">
        <f t="shared" si="3"/>
        <v>0</v>
      </c>
    </row>
    <row r="119" spans="1:6" x14ac:dyDescent="0.35">
      <c r="A119" s="9">
        <v>9052652</v>
      </c>
      <c r="B119" s="10">
        <v>42920</v>
      </c>
      <c r="C119" s="11">
        <v>0.3997337962962963</v>
      </c>
      <c r="D119" s="12">
        <v>0.40465277777777775</v>
      </c>
      <c r="E119">
        <f t="shared" si="2"/>
        <v>1</v>
      </c>
      <c r="F119">
        <f t="shared" si="3"/>
        <v>0</v>
      </c>
    </row>
    <row r="120" spans="1:6" x14ac:dyDescent="0.35">
      <c r="A120" s="5">
        <v>93611539</v>
      </c>
      <c r="B120" s="6">
        <v>42920</v>
      </c>
      <c r="C120" s="7">
        <v>0.40133101851851855</v>
      </c>
      <c r="D120" s="8">
        <v>0.40964120370370372</v>
      </c>
      <c r="E120">
        <f t="shared" si="2"/>
        <v>0</v>
      </c>
      <c r="F120">
        <f t="shared" si="3"/>
        <v>1</v>
      </c>
    </row>
    <row r="121" spans="1:6" x14ac:dyDescent="0.35">
      <c r="A121" s="9">
        <v>68966479</v>
      </c>
      <c r="B121" s="10">
        <v>42920</v>
      </c>
      <c r="C121" s="11">
        <v>0.40493055555555557</v>
      </c>
      <c r="D121" s="12">
        <v>0.40618055555555554</v>
      </c>
      <c r="E121">
        <f t="shared" si="2"/>
        <v>0</v>
      </c>
      <c r="F121">
        <f t="shared" si="3"/>
        <v>1</v>
      </c>
    </row>
    <row r="122" spans="1:6" x14ac:dyDescent="0.35">
      <c r="A122" s="5">
        <v>79381100</v>
      </c>
      <c r="B122" s="6">
        <v>42920</v>
      </c>
      <c r="C122" s="7">
        <v>0.40614583333333332</v>
      </c>
      <c r="D122" s="8">
        <v>0.41761574074074076</v>
      </c>
      <c r="E122">
        <f t="shared" si="2"/>
        <v>0</v>
      </c>
      <c r="F122">
        <f t="shared" si="3"/>
        <v>1</v>
      </c>
    </row>
    <row r="123" spans="1:6" x14ac:dyDescent="0.35">
      <c r="A123" s="9">
        <v>4697138</v>
      </c>
      <c r="B123" s="10">
        <v>42920</v>
      </c>
      <c r="C123" s="11">
        <v>0.40737268518518521</v>
      </c>
      <c r="D123" s="12">
        <v>0.4102777777777778</v>
      </c>
      <c r="E123">
        <f t="shared" si="2"/>
        <v>1</v>
      </c>
      <c r="F123">
        <f t="shared" si="3"/>
        <v>0</v>
      </c>
    </row>
    <row r="124" spans="1:6" x14ac:dyDescent="0.35">
      <c r="A124" s="5">
        <v>5786740</v>
      </c>
      <c r="B124" s="6">
        <v>42920</v>
      </c>
      <c r="C124" s="7">
        <v>0.40796296296296297</v>
      </c>
      <c r="D124" s="8">
        <v>0.41495370370370371</v>
      </c>
      <c r="E124">
        <f t="shared" si="2"/>
        <v>1</v>
      </c>
      <c r="F124">
        <f t="shared" si="3"/>
        <v>0</v>
      </c>
    </row>
    <row r="125" spans="1:6" x14ac:dyDescent="0.35">
      <c r="A125" s="9">
        <v>7727942</v>
      </c>
      <c r="B125" s="10">
        <v>42920</v>
      </c>
      <c r="C125" s="11">
        <v>0.41097222222222224</v>
      </c>
      <c r="D125" s="12">
        <v>0.41613425925925923</v>
      </c>
      <c r="E125">
        <f t="shared" si="2"/>
        <v>1</v>
      </c>
      <c r="F125">
        <f t="shared" si="3"/>
        <v>0</v>
      </c>
    </row>
    <row r="126" spans="1:6" x14ac:dyDescent="0.35">
      <c r="A126" s="5">
        <v>8384647</v>
      </c>
      <c r="B126" s="6">
        <v>42920</v>
      </c>
      <c r="C126" s="7">
        <v>0.4110300925925926</v>
      </c>
      <c r="D126" s="8">
        <v>0.42162037037037037</v>
      </c>
      <c r="E126">
        <f t="shared" si="2"/>
        <v>1</v>
      </c>
      <c r="F126">
        <f t="shared" si="3"/>
        <v>0</v>
      </c>
    </row>
    <row r="127" spans="1:6" x14ac:dyDescent="0.35">
      <c r="A127" s="9">
        <v>1858872516</v>
      </c>
      <c r="B127" s="10">
        <v>42920</v>
      </c>
      <c r="C127" s="11">
        <v>0.41510416666666666</v>
      </c>
      <c r="D127" s="12">
        <v>0.41668981481481482</v>
      </c>
      <c r="E127">
        <f t="shared" si="2"/>
        <v>0</v>
      </c>
      <c r="F127">
        <f t="shared" si="3"/>
        <v>0</v>
      </c>
    </row>
    <row r="128" spans="1:6" x14ac:dyDescent="0.35">
      <c r="A128" s="5">
        <v>4546455</v>
      </c>
      <c r="B128" s="6">
        <v>42920</v>
      </c>
      <c r="C128" s="7">
        <v>0.41912037037037037</v>
      </c>
      <c r="D128" s="8">
        <v>0.42031249999999998</v>
      </c>
      <c r="E128">
        <f t="shared" si="2"/>
        <v>1</v>
      </c>
      <c r="F128">
        <f t="shared" si="3"/>
        <v>0</v>
      </c>
    </row>
    <row r="129" spans="1:6" x14ac:dyDescent="0.35">
      <c r="A129" s="9">
        <v>2668991</v>
      </c>
      <c r="B129" s="10">
        <v>42920</v>
      </c>
      <c r="C129" s="11">
        <v>0.42249999999999999</v>
      </c>
      <c r="D129" s="12">
        <v>0.42834490740740738</v>
      </c>
      <c r="E129">
        <f t="shared" si="2"/>
        <v>1</v>
      </c>
      <c r="F129">
        <f t="shared" si="3"/>
        <v>0</v>
      </c>
    </row>
    <row r="130" spans="1:6" x14ac:dyDescent="0.35">
      <c r="A130" s="5">
        <v>5528648</v>
      </c>
      <c r="B130" s="6">
        <v>42920</v>
      </c>
      <c r="C130" s="7">
        <v>0.42591435185185184</v>
      </c>
      <c r="D130" s="8">
        <v>0.43486111111111109</v>
      </c>
      <c r="E130">
        <f t="shared" si="2"/>
        <v>1</v>
      </c>
      <c r="F130">
        <f t="shared" si="3"/>
        <v>0</v>
      </c>
    </row>
    <row r="131" spans="1:6" x14ac:dyDescent="0.35">
      <c r="A131" s="9">
        <v>2157195</v>
      </c>
      <c r="B131" s="10">
        <v>42920</v>
      </c>
      <c r="C131" s="11">
        <v>0.42942129629629627</v>
      </c>
      <c r="D131" s="12">
        <v>0.4349189814814815</v>
      </c>
      <c r="E131">
        <f t="shared" ref="E131:E194" si="4">IF(LEN(A131)=7,1,0)</f>
        <v>1</v>
      </c>
      <c r="F131">
        <f t="shared" ref="F131:F194" si="5">IF(LEN(A131)=8,1,0)</f>
        <v>0</v>
      </c>
    </row>
    <row r="132" spans="1:6" x14ac:dyDescent="0.35">
      <c r="A132" s="5">
        <v>7747085</v>
      </c>
      <c r="B132" s="6">
        <v>42920</v>
      </c>
      <c r="C132" s="7">
        <v>0.43247685185185186</v>
      </c>
      <c r="D132" s="8">
        <v>0.43613425925925925</v>
      </c>
      <c r="E132">
        <f t="shared" si="4"/>
        <v>1</v>
      </c>
      <c r="F132">
        <f t="shared" si="5"/>
        <v>0</v>
      </c>
    </row>
    <row r="133" spans="1:6" x14ac:dyDescent="0.35">
      <c r="A133" s="9">
        <v>6865106</v>
      </c>
      <c r="B133" s="10">
        <v>42920</v>
      </c>
      <c r="C133" s="11">
        <v>0.43741898148148151</v>
      </c>
      <c r="D133" s="12">
        <v>0.44848379629629631</v>
      </c>
      <c r="E133">
        <f t="shared" si="4"/>
        <v>1</v>
      </c>
      <c r="F133">
        <f t="shared" si="5"/>
        <v>0</v>
      </c>
    </row>
    <row r="134" spans="1:6" x14ac:dyDescent="0.35">
      <c r="A134" s="5">
        <v>8819206</v>
      </c>
      <c r="B134" s="6">
        <v>42920</v>
      </c>
      <c r="C134" s="7">
        <v>0.44068287037037035</v>
      </c>
      <c r="D134" s="8">
        <v>0.44912037037037039</v>
      </c>
      <c r="E134">
        <f t="shared" si="4"/>
        <v>1</v>
      </c>
      <c r="F134">
        <f t="shared" si="5"/>
        <v>0</v>
      </c>
    </row>
    <row r="135" spans="1:6" x14ac:dyDescent="0.35">
      <c r="A135" s="9">
        <v>3990337</v>
      </c>
      <c r="B135" s="10">
        <v>42920</v>
      </c>
      <c r="C135" s="11">
        <v>0.44158564814814816</v>
      </c>
      <c r="D135" s="12">
        <v>0.4470601851851852</v>
      </c>
      <c r="E135">
        <f t="shared" si="4"/>
        <v>1</v>
      </c>
      <c r="F135">
        <f t="shared" si="5"/>
        <v>0</v>
      </c>
    </row>
    <row r="136" spans="1:6" x14ac:dyDescent="0.35">
      <c r="A136" s="5">
        <v>4238684</v>
      </c>
      <c r="B136" s="6">
        <v>42920</v>
      </c>
      <c r="C136" s="7">
        <v>0.44466435185185182</v>
      </c>
      <c r="D136" s="8">
        <v>0.4535763888888889</v>
      </c>
      <c r="E136">
        <f t="shared" si="4"/>
        <v>1</v>
      </c>
      <c r="F136">
        <f t="shared" si="5"/>
        <v>0</v>
      </c>
    </row>
    <row r="137" spans="1:6" x14ac:dyDescent="0.35">
      <c r="A137" s="9">
        <v>86774913</v>
      </c>
      <c r="B137" s="10">
        <v>42920</v>
      </c>
      <c r="C137" s="11">
        <v>0.44548611111111114</v>
      </c>
      <c r="D137" s="12">
        <v>0.4541898148148148</v>
      </c>
      <c r="E137">
        <f t="shared" si="4"/>
        <v>0</v>
      </c>
      <c r="F137">
        <f t="shared" si="5"/>
        <v>1</v>
      </c>
    </row>
    <row r="138" spans="1:6" x14ac:dyDescent="0.35">
      <c r="A138" s="5">
        <v>93696449</v>
      </c>
      <c r="B138" s="6">
        <v>42920</v>
      </c>
      <c r="C138" s="7">
        <v>0.45063657407407409</v>
      </c>
      <c r="D138" s="8">
        <v>0.45581018518518518</v>
      </c>
      <c r="E138">
        <f t="shared" si="4"/>
        <v>0</v>
      </c>
      <c r="F138">
        <f t="shared" si="5"/>
        <v>1</v>
      </c>
    </row>
    <row r="139" spans="1:6" x14ac:dyDescent="0.35">
      <c r="A139" s="9">
        <v>1269611</v>
      </c>
      <c r="B139" s="10">
        <v>42920</v>
      </c>
      <c r="C139" s="11">
        <v>0.45596064814814813</v>
      </c>
      <c r="D139" s="12">
        <v>0.46010416666666665</v>
      </c>
      <c r="E139">
        <f t="shared" si="4"/>
        <v>1</v>
      </c>
      <c r="F139">
        <f t="shared" si="5"/>
        <v>0</v>
      </c>
    </row>
    <row r="140" spans="1:6" x14ac:dyDescent="0.35">
      <c r="A140" s="5">
        <v>4623731</v>
      </c>
      <c r="B140" s="6">
        <v>42920</v>
      </c>
      <c r="C140" s="7">
        <v>0.46053240740740742</v>
      </c>
      <c r="D140" s="8">
        <v>0.47131944444444446</v>
      </c>
      <c r="E140">
        <f t="shared" si="4"/>
        <v>1</v>
      </c>
      <c r="F140">
        <f t="shared" si="5"/>
        <v>0</v>
      </c>
    </row>
    <row r="141" spans="1:6" x14ac:dyDescent="0.35">
      <c r="A141" s="9">
        <v>4623731</v>
      </c>
      <c r="B141" s="10">
        <v>42920</v>
      </c>
      <c r="C141" s="11">
        <v>0.46423611111111113</v>
      </c>
      <c r="D141" s="12">
        <v>0.46842592592592591</v>
      </c>
      <c r="E141">
        <f t="shared" si="4"/>
        <v>1</v>
      </c>
      <c r="F141">
        <f t="shared" si="5"/>
        <v>0</v>
      </c>
    </row>
    <row r="142" spans="1:6" x14ac:dyDescent="0.35">
      <c r="A142" s="5">
        <v>3127402</v>
      </c>
      <c r="B142" s="6">
        <v>42920</v>
      </c>
      <c r="C142" s="7">
        <v>0.46861111111111109</v>
      </c>
      <c r="D142" s="8">
        <v>0.47747685185185185</v>
      </c>
      <c r="E142">
        <f t="shared" si="4"/>
        <v>1</v>
      </c>
      <c r="F142">
        <f t="shared" si="5"/>
        <v>0</v>
      </c>
    </row>
    <row r="143" spans="1:6" x14ac:dyDescent="0.35">
      <c r="A143" s="9">
        <v>1714791</v>
      </c>
      <c r="B143" s="10">
        <v>42920</v>
      </c>
      <c r="C143" s="11">
        <v>0.47230324074074076</v>
      </c>
      <c r="D143" s="12">
        <v>0.47288194444444442</v>
      </c>
      <c r="E143">
        <f t="shared" si="4"/>
        <v>1</v>
      </c>
      <c r="F143">
        <f t="shared" si="5"/>
        <v>0</v>
      </c>
    </row>
    <row r="144" spans="1:6" x14ac:dyDescent="0.35">
      <c r="A144" s="5">
        <v>7768277</v>
      </c>
      <c r="B144" s="6">
        <v>42920</v>
      </c>
      <c r="C144" s="7">
        <v>0.47453703703703703</v>
      </c>
      <c r="D144" s="8">
        <v>0.4800462962962963</v>
      </c>
      <c r="E144">
        <f t="shared" si="4"/>
        <v>1</v>
      </c>
      <c r="F144">
        <f t="shared" si="5"/>
        <v>0</v>
      </c>
    </row>
    <row r="145" spans="1:6" x14ac:dyDescent="0.35">
      <c r="A145" s="9">
        <v>4371394</v>
      </c>
      <c r="B145" s="10">
        <v>42920</v>
      </c>
      <c r="C145" s="11">
        <v>0.47967592592592595</v>
      </c>
      <c r="D145" s="12">
        <v>0.48236111111111113</v>
      </c>
      <c r="E145">
        <f t="shared" si="4"/>
        <v>1</v>
      </c>
      <c r="F145">
        <f t="shared" si="5"/>
        <v>0</v>
      </c>
    </row>
    <row r="146" spans="1:6" x14ac:dyDescent="0.35">
      <c r="A146" s="5">
        <v>9803545</v>
      </c>
      <c r="B146" s="6">
        <v>42920</v>
      </c>
      <c r="C146" s="7">
        <v>0.47978009259259258</v>
      </c>
      <c r="D146" s="8">
        <v>0.49125000000000002</v>
      </c>
      <c r="E146">
        <f t="shared" si="4"/>
        <v>1</v>
      </c>
      <c r="F146">
        <f t="shared" si="5"/>
        <v>0</v>
      </c>
    </row>
    <row r="147" spans="1:6" x14ac:dyDescent="0.35">
      <c r="A147" s="9">
        <v>4176704</v>
      </c>
      <c r="B147" s="10">
        <v>42920</v>
      </c>
      <c r="C147" s="11">
        <v>0.47983796296296294</v>
      </c>
      <c r="D147" s="12">
        <v>0.48949074074074073</v>
      </c>
      <c r="E147">
        <f t="shared" si="4"/>
        <v>1</v>
      </c>
      <c r="F147">
        <f t="shared" si="5"/>
        <v>0</v>
      </c>
    </row>
    <row r="148" spans="1:6" x14ac:dyDescent="0.35">
      <c r="A148" s="5">
        <v>90271112</v>
      </c>
      <c r="B148" s="6">
        <v>42920</v>
      </c>
      <c r="C148" s="7">
        <v>0.4805787037037037</v>
      </c>
      <c r="D148" s="8">
        <v>0.48696759259259259</v>
      </c>
      <c r="E148">
        <f t="shared" si="4"/>
        <v>0</v>
      </c>
      <c r="F148">
        <f t="shared" si="5"/>
        <v>1</v>
      </c>
    </row>
    <row r="149" spans="1:6" x14ac:dyDescent="0.35">
      <c r="A149" s="9">
        <v>8136309</v>
      </c>
      <c r="B149" s="10">
        <v>42920</v>
      </c>
      <c r="C149" s="11">
        <v>0.48189814814814813</v>
      </c>
      <c r="D149" s="12">
        <v>0.49115740740740743</v>
      </c>
      <c r="E149">
        <f t="shared" si="4"/>
        <v>1</v>
      </c>
      <c r="F149">
        <f t="shared" si="5"/>
        <v>0</v>
      </c>
    </row>
    <row r="150" spans="1:6" x14ac:dyDescent="0.35">
      <c r="A150" s="5">
        <v>3178616</v>
      </c>
      <c r="B150" s="6">
        <v>42920</v>
      </c>
      <c r="C150" s="7">
        <v>0.48312500000000003</v>
      </c>
      <c r="D150" s="8">
        <v>0.49138888888888888</v>
      </c>
      <c r="E150">
        <f t="shared" si="4"/>
        <v>1</v>
      </c>
      <c r="F150">
        <f t="shared" si="5"/>
        <v>0</v>
      </c>
    </row>
    <row r="151" spans="1:6" x14ac:dyDescent="0.35">
      <c r="A151" s="9">
        <v>27791497</v>
      </c>
      <c r="B151" s="10">
        <v>42920</v>
      </c>
      <c r="C151" s="11">
        <v>0.48803240740740739</v>
      </c>
      <c r="D151" s="12">
        <v>0.49682870370370369</v>
      </c>
      <c r="E151">
        <f t="shared" si="4"/>
        <v>0</v>
      </c>
      <c r="F151">
        <f t="shared" si="5"/>
        <v>1</v>
      </c>
    </row>
    <row r="152" spans="1:6" x14ac:dyDescent="0.35">
      <c r="A152" s="5">
        <v>4738129</v>
      </c>
      <c r="B152" s="6">
        <v>42920</v>
      </c>
      <c r="C152" s="7">
        <v>0.48979166666666668</v>
      </c>
      <c r="D152" s="8">
        <v>0.500462962962963</v>
      </c>
      <c r="E152">
        <f t="shared" si="4"/>
        <v>1</v>
      </c>
      <c r="F152">
        <f t="shared" si="5"/>
        <v>0</v>
      </c>
    </row>
    <row r="153" spans="1:6" x14ac:dyDescent="0.35">
      <c r="A153" s="9">
        <v>54840810</v>
      </c>
      <c r="B153" s="10">
        <v>42920</v>
      </c>
      <c r="C153" s="11">
        <v>0.49430555555555555</v>
      </c>
      <c r="D153" s="12">
        <v>0.50231481481481477</v>
      </c>
      <c r="E153">
        <f t="shared" si="4"/>
        <v>0</v>
      </c>
      <c r="F153">
        <f t="shared" si="5"/>
        <v>1</v>
      </c>
    </row>
    <row r="154" spans="1:6" x14ac:dyDescent="0.35">
      <c r="A154" s="5">
        <v>8885606</v>
      </c>
      <c r="B154" s="6">
        <v>42920</v>
      </c>
      <c r="C154" s="7">
        <v>0.49984953703703705</v>
      </c>
      <c r="D154" s="8">
        <v>0.50960648148148147</v>
      </c>
      <c r="E154">
        <f t="shared" si="4"/>
        <v>1</v>
      </c>
      <c r="F154">
        <f t="shared" si="5"/>
        <v>0</v>
      </c>
    </row>
    <row r="155" spans="1:6" x14ac:dyDescent="0.35">
      <c r="A155" s="9">
        <v>6730442</v>
      </c>
      <c r="B155" s="10">
        <v>42920</v>
      </c>
      <c r="C155" s="11">
        <v>0.50063657407407403</v>
      </c>
      <c r="D155" s="12">
        <v>0.50876157407407407</v>
      </c>
      <c r="E155">
        <f t="shared" si="4"/>
        <v>1</v>
      </c>
      <c r="F155">
        <f t="shared" si="5"/>
        <v>0</v>
      </c>
    </row>
    <row r="156" spans="1:6" x14ac:dyDescent="0.35">
      <c r="A156" s="5">
        <v>3326913</v>
      </c>
      <c r="B156" s="6">
        <v>42920</v>
      </c>
      <c r="C156" s="7">
        <v>0.50594907407407408</v>
      </c>
      <c r="D156" s="8">
        <v>0.5154050925925926</v>
      </c>
      <c r="E156">
        <f t="shared" si="4"/>
        <v>1</v>
      </c>
      <c r="F156">
        <f t="shared" si="5"/>
        <v>0</v>
      </c>
    </row>
    <row r="157" spans="1:6" x14ac:dyDescent="0.35">
      <c r="A157" s="9">
        <v>9865716</v>
      </c>
      <c r="B157" s="10">
        <v>42920</v>
      </c>
      <c r="C157" s="11">
        <v>0.51076388888888891</v>
      </c>
      <c r="D157" s="12">
        <v>0.51890046296296299</v>
      </c>
      <c r="E157">
        <f t="shared" si="4"/>
        <v>1</v>
      </c>
      <c r="F157">
        <f t="shared" si="5"/>
        <v>0</v>
      </c>
    </row>
    <row r="158" spans="1:6" x14ac:dyDescent="0.35">
      <c r="A158" s="5">
        <v>73284745</v>
      </c>
      <c r="B158" s="6">
        <v>42920</v>
      </c>
      <c r="C158" s="7">
        <v>0.51451388888888894</v>
      </c>
      <c r="D158" s="8">
        <v>0.51857638888888891</v>
      </c>
      <c r="E158">
        <f t="shared" si="4"/>
        <v>0</v>
      </c>
      <c r="F158">
        <f t="shared" si="5"/>
        <v>1</v>
      </c>
    </row>
    <row r="159" spans="1:6" x14ac:dyDescent="0.35">
      <c r="A159" s="9">
        <v>1761255</v>
      </c>
      <c r="B159" s="10">
        <v>42920</v>
      </c>
      <c r="C159" s="11">
        <v>0.51958333333333329</v>
      </c>
      <c r="D159" s="12">
        <v>0.52266203703703706</v>
      </c>
      <c r="E159">
        <f t="shared" si="4"/>
        <v>1</v>
      </c>
      <c r="F159">
        <f t="shared" si="5"/>
        <v>0</v>
      </c>
    </row>
    <row r="160" spans="1:6" x14ac:dyDescent="0.35">
      <c r="A160" s="5">
        <v>48625903</v>
      </c>
      <c r="B160" s="6">
        <v>42920</v>
      </c>
      <c r="C160" s="7">
        <v>0.52303240740740742</v>
      </c>
      <c r="D160" s="8">
        <v>0.523900462962963</v>
      </c>
      <c r="E160">
        <f t="shared" si="4"/>
        <v>0</v>
      </c>
      <c r="F160">
        <f t="shared" si="5"/>
        <v>1</v>
      </c>
    </row>
    <row r="161" spans="1:6" x14ac:dyDescent="0.35">
      <c r="A161" s="9">
        <v>2235911</v>
      </c>
      <c r="B161" s="10">
        <v>42920</v>
      </c>
      <c r="C161" s="11">
        <v>0.52454861111111106</v>
      </c>
      <c r="D161" s="12">
        <v>0.53546296296296292</v>
      </c>
      <c r="E161">
        <f t="shared" si="4"/>
        <v>1</v>
      </c>
      <c r="F161">
        <f t="shared" si="5"/>
        <v>0</v>
      </c>
    </row>
    <row r="162" spans="1:6" x14ac:dyDescent="0.35">
      <c r="A162" s="5">
        <v>18036364</v>
      </c>
      <c r="B162" s="6">
        <v>42920</v>
      </c>
      <c r="C162" s="7">
        <v>0.53015046296296298</v>
      </c>
      <c r="D162" s="8">
        <v>0.53275462962962961</v>
      </c>
      <c r="E162">
        <f t="shared" si="4"/>
        <v>0</v>
      </c>
      <c r="F162">
        <f t="shared" si="5"/>
        <v>1</v>
      </c>
    </row>
    <row r="163" spans="1:6" x14ac:dyDescent="0.35">
      <c r="A163" s="9">
        <v>38063903</v>
      </c>
      <c r="B163" s="10">
        <v>42920</v>
      </c>
      <c r="C163" s="11">
        <v>0.53465277777777775</v>
      </c>
      <c r="D163" s="12">
        <v>0.53925925925925922</v>
      </c>
      <c r="E163">
        <f t="shared" si="4"/>
        <v>0</v>
      </c>
      <c r="F163">
        <f t="shared" si="5"/>
        <v>1</v>
      </c>
    </row>
    <row r="164" spans="1:6" x14ac:dyDescent="0.35">
      <c r="A164" s="5">
        <v>4555937</v>
      </c>
      <c r="B164" s="6">
        <v>42920</v>
      </c>
      <c r="C164" s="7">
        <v>0.53748842592592594</v>
      </c>
      <c r="D164" s="8">
        <v>0.54775462962962962</v>
      </c>
      <c r="E164">
        <f t="shared" si="4"/>
        <v>1</v>
      </c>
      <c r="F164">
        <f t="shared" si="5"/>
        <v>0</v>
      </c>
    </row>
    <row r="165" spans="1:6" x14ac:dyDescent="0.35">
      <c r="A165" s="9">
        <v>9422310</v>
      </c>
      <c r="B165" s="10">
        <v>42920</v>
      </c>
      <c r="C165" s="11">
        <v>0.54137731481481477</v>
      </c>
      <c r="D165" s="12">
        <v>0.5506712962962963</v>
      </c>
      <c r="E165">
        <f t="shared" si="4"/>
        <v>1</v>
      </c>
      <c r="F165">
        <f t="shared" si="5"/>
        <v>0</v>
      </c>
    </row>
    <row r="166" spans="1:6" x14ac:dyDescent="0.35">
      <c r="A166" s="5">
        <v>16999529</v>
      </c>
      <c r="B166" s="6">
        <v>42920</v>
      </c>
      <c r="C166" s="7">
        <v>0.54395833333333332</v>
      </c>
      <c r="D166" s="8">
        <v>0.54451388888888885</v>
      </c>
      <c r="E166">
        <f t="shared" si="4"/>
        <v>0</v>
      </c>
      <c r="F166">
        <f t="shared" si="5"/>
        <v>1</v>
      </c>
    </row>
    <row r="167" spans="1:6" x14ac:dyDescent="0.35">
      <c r="A167" s="9">
        <v>8385222</v>
      </c>
      <c r="B167" s="10">
        <v>42920</v>
      </c>
      <c r="C167" s="11">
        <v>0.5455092592592593</v>
      </c>
      <c r="D167" s="12">
        <v>0.54748842592592595</v>
      </c>
      <c r="E167">
        <f t="shared" si="4"/>
        <v>1</v>
      </c>
      <c r="F167">
        <f t="shared" si="5"/>
        <v>0</v>
      </c>
    </row>
    <row r="168" spans="1:6" x14ac:dyDescent="0.35">
      <c r="A168" s="5">
        <v>8086847</v>
      </c>
      <c r="B168" s="6">
        <v>42920</v>
      </c>
      <c r="C168" s="7">
        <v>0.54909722222222224</v>
      </c>
      <c r="D168" s="8">
        <v>0.5524768518518518</v>
      </c>
      <c r="E168">
        <f t="shared" si="4"/>
        <v>1</v>
      </c>
      <c r="F168">
        <f t="shared" si="5"/>
        <v>0</v>
      </c>
    </row>
    <row r="169" spans="1:6" x14ac:dyDescent="0.35">
      <c r="A169" s="9">
        <v>5215912</v>
      </c>
      <c r="B169" s="10">
        <v>42920</v>
      </c>
      <c r="C169" s="11">
        <v>0.5512731481481481</v>
      </c>
      <c r="D169" s="12">
        <v>0.55435185185185187</v>
      </c>
      <c r="E169">
        <f t="shared" si="4"/>
        <v>1</v>
      </c>
      <c r="F169">
        <f t="shared" si="5"/>
        <v>0</v>
      </c>
    </row>
    <row r="170" spans="1:6" x14ac:dyDescent="0.35">
      <c r="A170" s="5">
        <v>1973826522</v>
      </c>
      <c r="B170" s="6">
        <v>42920</v>
      </c>
      <c r="C170" s="7">
        <v>0.5553703703703704</v>
      </c>
      <c r="D170" s="8">
        <v>0.55833333333333335</v>
      </c>
      <c r="E170">
        <f t="shared" si="4"/>
        <v>0</v>
      </c>
      <c r="F170">
        <f t="shared" si="5"/>
        <v>0</v>
      </c>
    </row>
    <row r="171" spans="1:6" x14ac:dyDescent="0.35">
      <c r="A171" s="9">
        <v>2255197</v>
      </c>
      <c r="B171" s="10">
        <v>42920</v>
      </c>
      <c r="C171" s="11">
        <v>0.55905092592592598</v>
      </c>
      <c r="D171" s="12">
        <v>0.56342592592592589</v>
      </c>
      <c r="E171">
        <f t="shared" si="4"/>
        <v>1</v>
      </c>
      <c r="F171">
        <f t="shared" si="5"/>
        <v>0</v>
      </c>
    </row>
    <row r="172" spans="1:6" x14ac:dyDescent="0.35">
      <c r="A172" s="5">
        <v>6719542</v>
      </c>
      <c r="B172" s="6">
        <v>42920</v>
      </c>
      <c r="C172" s="7">
        <v>0.5638657407407407</v>
      </c>
      <c r="D172" s="8">
        <v>0.56425925925925924</v>
      </c>
      <c r="E172">
        <f t="shared" si="4"/>
        <v>1</v>
      </c>
      <c r="F172">
        <f t="shared" si="5"/>
        <v>0</v>
      </c>
    </row>
    <row r="173" spans="1:6" x14ac:dyDescent="0.35">
      <c r="A173" s="9">
        <v>1837797</v>
      </c>
      <c r="B173" s="10">
        <v>42920</v>
      </c>
      <c r="C173" s="11">
        <v>0.5688657407407407</v>
      </c>
      <c r="D173" s="12">
        <v>0.57524305555555555</v>
      </c>
      <c r="E173">
        <f t="shared" si="4"/>
        <v>1</v>
      </c>
      <c r="F173">
        <f t="shared" si="5"/>
        <v>0</v>
      </c>
    </row>
    <row r="174" spans="1:6" x14ac:dyDescent="0.35">
      <c r="A174" s="5">
        <v>6772052</v>
      </c>
      <c r="B174" s="6">
        <v>42920</v>
      </c>
      <c r="C174" s="7">
        <v>0.57204861111111116</v>
      </c>
      <c r="D174" s="8">
        <v>0.57371527777777775</v>
      </c>
      <c r="E174">
        <f t="shared" si="4"/>
        <v>1</v>
      </c>
      <c r="F174">
        <f t="shared" si="5"/>
        <v>0</v>
      </c>
    </row>
    <row r="175" spans="1:6" x14ac:dyDescent="0.35">
      <c r="A175" s="9">
        <v>6495517</v>
      </c>
      <c r="B175" s="10">
        <v>42920</v>
      </c>
      <c r="C175" s="11">
        <v>0.57347222222222227</v>
      </c>
      <c r="D175" s="12">
        <v>0.58420138888888884</v>
      </c>
      <c r="E175">
        <f t="shared" si="4"/>
        <v>1</v>
      </c>
      <c r="F175">
        <f t="shared" si="5"/>
        <v>0</v>
      </c>
    </row>
    <row r="176" spans="1:6" x14ac:dyDescent="0.35">
      <c r="A176" s="5">
        <v>6275284312</v>
      </c>
      <c r="B176" s="6">
        <v>42920</v>
      </c>
      <c r="C176" s="7">
        <v>0.57861111111111108</v>
      </c>
      <c r="D176" s="8">
        <v>0.58296296296296302</v>
      </c>
      <c r="E176">
        <f t="shared" si="4"/>
        <v>0</v>
      </c>
      <c r="F176">
        <f t="shared" si="5"/>
        <v>0</v>
      </c>
    </row>
    <row r="177" spans="1:6" x14ac:dyDescent="0.35">
      <c r="A177" s="9">
        <v>5997385</v>
      </c>
      <c r="B177" s="10">
        <v>42920</v>
      </c>
      <c r="C177" s="11">
        <v>0.58136574074074077</v>
      </c>
      <c r="D177" s="12">
        <v>0.58156249999999998</v>
      </c>
      <c r="E177">
        <f t="shared" si="4"/>
        <v>1</v>
      </c>
      <c r="F177">
        <f t="shared" si="5"/>
        <v>0</v>
      </c>
    </row>
    <row r="178" spans="1:6" x14ac:dyDescent="0.35">
      <c r="A178" s="5">
        <v>54586484</v>
      </c>
      <c r="B178" s="6">
        <v>42920</v>
      </c>
      <c r="C178" s="7">
        <v>0.58335648148148145</v>
      </c>
      <c r="D178" s="8">
        <v>0.5841319444444445</v>
      </c>
      <c r="E178">
        <f t="shared" si="4"/>
        <v>0</v>
      </c>
      <c r="F178">
        <f t="shared" si="5"/>
        <v>1</v>
      </c>
    </row>
    <row r="179" spans="1:6" x14ac:dyDescent="0.35">
      <c r="A179" s="9">
        <v>8449157</v>
      </c>
      <c r="B179" s="10">
        <v>42920</v>
      </c>
      <c r="C179" s="11">
        <v>0.58377314814814818</v>
      </c>
      <c r="D179" s="12">
        <v>0.59186342592592589</v>
      </c>
      <c r="E179">
        <f t="shared" si="4"/>
        <v>1</v>
      </c>
      <c r="F179">
        <f t="shared" si="5"/>
        <v>0</v>
      </c>
    </row>
    <row r="180" spans="1:6" x14ac:dyDescent="0.35">
      <c r="A180" s="5">
        <v>1301099</v>
      </c>
      <c r="B180" s="6">
        <v>42920</v>
      </c>
      <c r="C180" s="7">
        <v>0.58452546296296293</v>
      </c>
      <c r="D180" s="8">
        <v>0.58862268518518523</v>
      </c>
      <c r="E180">
        <f t="shared" si="4"/>
        <v>1</v>
      </c>
      <c r="F180">
        <f t="shared" si="5"/>
        <v>0</v>
      </c>
    </row>
    <row r="181" spans="1:6" x14ac:dyDescent="0.35">
      <c r="A181" s="9">
        <v>1774304298</v>
      </c>
      <c r="B181" s="10">
        <v>42920</v>
      </c>
      <c r="C181" s="11">
        <v>0.58452546296296293</v>
      </c>
      <c r="D181" s="12">
        <v>0.59087962962962959</v>
      </c>
      <c r="E181">
        <f t="shared" si="4"/>
        <v>0</v>
      </c>
      <c r="F181">
        <f t="shared" si="5"/>
        <v>0</v>
      </c>
    </row>
    <row r="182" spans="1:6" x14ac:dyDescent="0.35">
      <c r="A182" s="5">
        <v>52165701</v>
      </c>
      <c r="B182" s="6">
        <v>42920</v>
      </c>
      <c r="C182" s="7">
        <v>0.59018518518518515</v>
      </c>
      <c r="D182" s="8">
        <v>0.60047453703703701</v>
      </c>
      <c r="E182">
        <f t="shared" si="4"/>
        <v>0</v>
      </c>
      <c r="F182">
        <f t="shared" si="5"/>
        <v>1</v>
      </c>
    </row>
    <row r="183" spans="1:6" x14ac:dyDescent="0.35">
      <c r="A183" s="9">
        <v>49158974</v>
      </c>
      <c r="B183" s="10">
        <v>42920</v>
      </c>
      <c r="C183" s="11">
        <v>0.59425925925925926</v>
      </c>
      <c r="D183" s="12">
        <v>0.59886574074074073</v>
      </c>
      <c r="E183">
        <f t="shared" si="4"/>
        <v>0</v>
      </c>
      <c r="F183">
        <f t="shared" si="5"/>
        <v>1</v>
      </c>
    </row>
    <row r="184" spans="1:6" x14ac:dyDescent="0.35">
      <c r="A184" s="5">
        <v>6231537</v>
      </c>
      <c r="B184" s="6">
        <v>42920</v>
      </c>
      <c r="C184" s="7">
        <v>0.59767361111111106</v>
      </c>
      <c r="D184" s="8">
        <v>0.6026273148148148</v>
      </c>
      <c r="E184">
        <f t="shared" si="4"/>
        <v>1</v>
      </c>
      <c r="F184">
        <f t="shared" si="5"/>
        <v>0</v>
      </c>
    </row>
    <row r="185" spans="1:6" x14ac:dyDescent="0.35">
      <c r="A185" s="9">
        <v>6965661375</v>
      </c>
      <c r="B185" s="10">
        <v>42920</v>
      </c>
      <c r="C185" s="11">
        <v>0.59995370370370371</v>
      </c>
      <c r="D185" s="12">
        <v>0.60442129629629626</v>
      </c>
      <c r="E185">
        <f t="shared" si="4"/>
        <v>0</v>
      </c>
      <c r="F185">
        <f t="shared" si="5"/>
        <v>0</v>
      </c>
    </row>
    <row r="186" spans="1:6" x14ac:dyDescent="0.35">
      <c r="A186" s="5">
        <v>4555937</v>
      </c>
      <c r="B186" s="6">
        <v>42920</v>
      </c>
      <c r="C186" s="7">
        <v>0.60509259259259263</v>
      </c>
      <c r="D186" s="8">
        <v>0.60509259259259263</v>
      </c>
      <c r="E186">
        <f t="shared" si="4"/>
        <v>1</v>
      </c>
      <c r="F186">
        <f t="shared" si="5"/>
        <v>0</v>
      </c>
    </row>
    <row r="187" spans="1:6" x14ac:dyDescent="0.35">
      <c r="A187" s="9">
        <v>8831940</v>
      </c>
      <c r="B187" s="10">
        <v>42920</v>
      </c>
      <c r="C187" s="11">
        <v>0.6066435185185185</v>
      </c>
      <c r="D187" s="12">
        <v>0.61133101851851857</v>
      </c>
      <c r="E187">
        <f t="shared" si="4"/>
        <v>1</v>
      </c>
      <c r="F187">
        <f t="shared" si="5"/>
        <v>0</v>
      </c>
    </row>
    <row r="188" spans="1:6" x14ac:dyDescent="0.35">
      <c r="A188" s="5">
        <v>7421868</v>
      </c>
      <c r="B188" s="6">
        <v>42920</v>
      </c>
      <c r="C188" s="7">
        <v>0.61136574074074079</v>
      </c>
      <c r="D188" s="8">
        <v>0.61636574074074069</v>
      </c>
      <c r="E188">
        <f t="shared" si="4"/>
        <v>1</v>
      </c>
      <c r="F188">
        <f t="shared" si="5"/>
        <v>0</v>
      </c>
    </row>
    <row r="189" spans="1:6" x14ac:dyDescent="0.35">
      <c r="A189" s="9">
        <v>5131341</v>
      </c>
      <c r="B189" s="10">
        <v>42920</v>
      </c>
      <c r="C189" s="11">
        <v>0.61186342592592591</v>
      </c>
      <c r="D189" s="12">
        <v>0.61896990740740743</v>
      </c>
      <c r="E189">
        <f t="shared" si="4"/>
        <v>1</v>
      </c>
      <c r="F189">
        <f t="shared" si="5"/>
        <v>0</v>
      </c>
    </row>
    <row r="190" spans="1:6" x14ac:dyDescent="0.35">
      <c r="A190" s="5">
        <v>3121850</v>
      </c>
      <c r="B190" s="6">
        <v>42920</v>
      </c>
      <c r="C190" s="7">
        <v>0.61410879629629633</v>
      </c>
      <c r="D190" s="8">
        <v>0.6216666666666667</v>
      </c>
      <c r="E190">
        <f t="shared" si="4"/>
        <v>1</v>
      </c>
      <c r="F190">
        <f t="shared" si="5"/>
        <v>0</v>
      </c>
    </row>
    <row r="191" spans="1:6" x14ac:dyDescent="0.35">
      <c r="A191" s="9">
        <v>6905863</v>
      </c>
      <c r="B191" s="10">
        <v>42920</v>
      </c>
      <c r="C191" s="11">
        <v>0.6186342592592593</v>
      </c>
      <c r="D191" s="12">
        <v>0.62296296296296294</v>
      </c>
      <c r="E191">
        <f t="shared" si="4"/>
        <v>1</v>
      </c>
      <c r="F191">
        <f t="shared" si="5"/>
        <v>0</v>
      </c>
    </row>
    <row r="192" spans="1:6" x14ac:dyDescent="0.35">
      <c r="A192" s="5">
        <v>2514802</v>
      </c>
      <c r="B192" s="6">
        <v>42920</v>
      </c>
      <c r="C192" s="7">
        <v>0.6186342592592593</v>
      </c>
      <c r="D192" s="8">
        <v>0.6265856481481481</v>
      </c>
      <c r="E192">
        <f t="shared" si="4"/>
        <v>1</v>
      </c>
      <c r="F192">
        <f t="shared" si="5"/>
        <v>0</v>
      </c>
    </row>
    <row r="193" spans="1:6" x14ac:dyDescent="0.35">
      <c r="A193" s="9">
        <v>93696449</v>
      </c>
      <c r="B193" s="10">
        <v>42920</v>
      </c>
      <c r="C193" s="11">
        <v>0.6227314814814815</v>
      </c>
      <c r="D193" s="12">
        <v>0.63056712962962957</v>
      </c>
      <c r="E193">
        <f t="shared" si="4"/>
        <v>0</v>
      </c>
      <c r="F193">
        <f t="shared" si="5"/>
        <v>1</v>
      </c>
    </row>
    <row r="194" spans="1:6" x14ac:dyDescent="0.35">
      <c r="A194" s="5">
        <v>3931464</v>
      </c>
      <c r="B194" s="6">
        <v>42920</v>
      </c>
      <c r="C194" s="7">
        <v>0.62381944444444448</v>
      </c>
      <c r="D194" s="8">
        <v>0.6322106481481482</v>
      </c>
      <c r="E194">
        <f t="shared" si="4"/>
        <v>1</v>
      </c>
      <c r="F194">
        <f t="shared" si="5"/>
        <v>0</v>
      </c>
    </row>
    <row r="195" spans="1:6" x14ac:dyDescent="0.35">
      <c r="A195" s="9">
        <v>1583683</v>
      </c>
      <c r="B195" s="10">
        <v>42920</v>
      </c>
      <c r="C195" s="11">
        <v>0.6275694444444444</v>
      </c>
      <c r="D195" s="12">
        <v>0.63215277777777779</v>
      </c>
      <c r="E195">
        <f t="shared" ref="E195:E258" si="6">IF(LEN(A195)=7,1,0)</f>
        <v>1</v>
      </c>
      <c r="F195">
        <f t="shared" ref="F195:F258" si="7">IF(LEN(A195)=8,1,0)</f>
        <v>0</v>
      </c>
    </row>
    <row r="196" spans="1:6" x14ac:dyDescent="0.35">
      <c r="A196" s="5">
        <v>52165701</v>
      </c>
      <c r="B196" s="6">
        <v>42921</v>
      </c>
      <c r="C196" s="7">
        <v>0.33545138888888887</v>
      </c>
      <c r="D196" s="8">
        <v>0.3435300925925926</v>
      </c>
      <c r="E196">
        <f t="shared" si="6"/>
        <v>0</v>
      </c>
      <c r="F196">
        <f t="shared" si="7"/>
        <v>1</v>
      </c>
    </row>
    <row r="197" spans="1:6" x14ac:dyDescent="0.35">
      <c r="A197" s="9">
        <v>1521041994</v>
      </c>
      <c r="B197" s="10">
        <v>42921</v>
      </c>
      <c r="C197" s="11">
        <v>0.34099537037037037</v>
      </c>
      <c r="D197" s="12">
        <v>0.34749999999999998</v>
      </c>
      <c r="E197">
        <f t="shared" si="6"/>
        <v>0</v>
      </c>
      <c r="F197">
        <f t="shared" si="7"/>
        <v>0</v>
      </c>
    </row>
    <row r="198" spans="1:6" x14ac:dyDescent="0.35">
      <c r="A198" s="5">
        <v>9187410</v>
      </c>
      <c r="B198" s="6">
        <v>42921</v>
      </c>
      <c r="C198" s="7">
        <v>0.34662037037037036</v>
      </c>
      <c r="D198" s="8">
        <v>0.34908564814814813</v>
      </c>
      <c r="E198">
        <f t="shared" si="6"/>
        <v>1</v>
      </c>
      <c r="F198">
        <f t="shared" si="7"/>
        <v>0</v>
      </c>
    </row>
    <row r="199" spans="1:6" x14ac:dyDescent="0.35">
      <c r="A199" s="9">
        <v>8228350</v>
      </c>
      <c r="B199" s="10">
        <v>42921</v>
      </c>
      <c r="C199" s="11">
        <v>0.34667824074074072</v>
      </c>
      <c r="D199" s="12">
        <v>0.3473148148148148</v>
      </c>
      <c r="E199">
        <f t="shared" si="6"/>
        <v>1</v>
      </c>
      <c r="F199">
        <f t="shared" si="7"/>
        <v>0</v>
      </c>
    </row>
    <row r="200" spans="1:6" x14ac:dyDescent="0.35">
      <c r="A200" s="5">
        <v>8313390</v>
      </c>
      <c r="B200" s="6">
        <v>42921</v>
      </c>
      <c r="C200" s="7">
        <v>0.34903935185185186</v>
      </c>
      <c r="D200" s="8">
        <v>0.35381944444444446</v>
      </c>
      <c r="E200">
        <f t="shared" si="6"/>
        <v>1</v>
      </c>
      <c r="F200">
        <f t="shared" si="7"/>
        <v>0</v>
      </c>
    </row>
    <row r="201" spans="1:6" x14ac:dyDescent="0.35">
      <c r="A201" s="9">
        <v>5508903</v>
      </c>
      <c r="B201" s="10">
        <v>42921</v>
      </c>
      <c r="C201" s="11">
        <v>0.34915509259259259</v>
      </c>
      <c r="D201" s="12">
        <v>0.3605902777777778</v>
      </c>
      <c r="E201">
        <f t="shared" si="6"/>
        <v>1</v>
      </c>
      <c r="F201">
        <f t="shared" si="7"/>
        <v>0</v>
      </c>
    </row>
    <row r="202" spans="1:6" x14ac:dyDescent="0.35">
      <c r="A202" s="5">
        <v>3102910</v>
      </c>
      <c r="B202" s="6">
        <v>42921</v>
      </c>
      <c r="C202" s="7">
        <v>0.35150462962962964</v>
      </c>
      <c r="D202" s="8">
        <v>0.35672453703703705</v>
      </c>
      <c r="E202">
        <f t="shared" si="6"/>
        <v>1</v>
      </c>
      <c r="F202">
        <f t="shared" si="7"/>
        <v>0</v>
      </c>
    </row>
    <row r="203" spans="1:6" x14ac:dyDescent="0.35">
      <c r="A203" s="9">
        <v>45948073</v>
      </c>
      <c r="B203" s="10">
        <v>42921</v>
      </c>
      <c r="C203" s="11">
        <v>0.35574074074074075</v>
      </c>
      <c r="D203" s="12">
        <v>0.36162037037037037</v>
      </c>
      <c r="E203">
        <f t="shared" si="6"/>
        <v>0</v>
      </c>
      <c r="F203">
        <f t="shared" si="7"/>
        <v>1</v>
      </c>
    </row>
    <row r="204" spans="1:6" x14ac:dyDescent="0.35">
      <c r="A204" s="5">
        <v>73690742</v>
      </c>
      <c r="B204" s="6">
        <v>42921</v>
      </c>
      <c r="C204" s="7">
        <v>0.35829861111111111</v>
      </c>
      <c r="D204" s="8">
        <v>0.36826388888888889</v>
      </c>
      <c r="E204">
        <f t="shared" si="6"/>
        <v>0</v>
      </c>
      <c r="F204">
        <f t="shared" si="7"/>
        <v>1</v>
      </c>
    </row>
    <row r="205" spans="1:6" x14ac:dyDescent="0.35">
      <c r="A205" s="9">
        <v>58037769</v>
      </c>
      <c r="B205" s="10">
        <v>42921</v>
      </c>
      <c r="C205" s="11">
        <v>0.36261574074074077</v>
      </c>
      <c r="D205" s="12">
        <v>0.36730324074074072</v>
      </c>
      <c r="E205">
        <f t="shared" si="6"/>
        <v>0</v>
      </c>
      <c r="F205">
        <f t="shared" si="7"/>
        <v>1</v>
      </c>
    </row>
    <row r="206" spans="1:6" x14ac:dyDescent="0.35">
      <c r="A206" s="5">
        <v>3434934</v>
      </c>
      <c r="B206" s="6">
        <v>42921</v>
      </c>
      <c r="C206" s="7">
        <v>0.36760416666666668</v>
      </c>
      <c r="D206" s="8">
        <v>0.37854166666666667</v>
      </c>
      <c r="E206">
        <f t="shared" si="6"/>
        <v>1</v>
      </c>
      <c r="F206">
        <f t="shared" si="7"/>
        <v>0</v>
      </c>
    </row>
    <row r="207" spans="1:6" x14ac:dyDescent="0.35">
      <c r="A207" s="9">
        <v>4963499</v>
      </c>
      <c r="B207" s="10">
        <v>42921</v>
      </c>
      <c r="C207" s="11">
        <v>0.37008101851851855</v>
      </c>
      <c r="D207" s="12">
        <v>0.37175925925925923</v>
      </c>
      <c r="E207">
        <f t="shared" si="6"/>
        <v>1</v>
      </c>
      <c r="F207">
        <f t="shared" si="7"/>
        <v>0</v>
      </c>
    </row>
    <row r="208" spans="1:6" x14ac:dyDescent="0.35">
      <c r="A208" s="5">
        <v>7904403</v>
      </c>
      <c r="B208" s="6">
        <v>42921</v>
      </c>
      <c r="C208" s="7">
        <v>0.37361111111111112</v>
      </c>
      <c r="D208" s="8">
        <v>0.3772800925925926</v>
      </c>
      <c r="E208">
        <f t="shared" si="6"/>
        <v>1</v>
      </c>
      <c r="F208">
        <f t="shared" si="7"/>
        <v>0</v>
      </c>
    </row>
    <row r="209" spans="1:6" x14ac:dyDescent="0.35">
      <c r="A209" s="9">
        <v>4389240</v>
      </c>
      <c r="B209" s="10">
        <v>42921</v>
      </c>
      <c r="C209" s="11">
        <v>0.37711805555555555</v>
      </c>
      <c r="D209" s="12">
        <v>0.37886574074074075</v>
      </c>
      <c r="E209">
        <f t="shared" si="6"/>
        <v>1</v>
      </c>
      <c r="F209">
        <f t="shared" si="7"/>
        <v>0</v>
      </c>
    </row>
    <row r="210" spans="1:6" x14ac:dyDescent="0.35">
      <c r="A210" s="5">
        <v>68647339</v>
      </c>
      <c r="B210" s="6">
        <v>42921</v>
      </c>
      <c r="C210" s="7">
        <v>0.38180555555555556</v>
      </c>
      <c r="D210" s="8">
        <v>0.39295138888888886</v>
      </c>
      <c r="E210">
        <f t="shared" si="6"/>
        <v>0</v>
      </c>
      <c r="F210">
        <f t="shared" si="7"/>
        <v>1</v>
      </c>
    </row>
    <row r="211" spans="1:6" x14ac:dyDescent="0.35">
      <c r="A211" s="9">
        <v>8461631</v>
      </c>
      <c r="B211" s="10">
        <v>42921</v>
      </c>
      <c r="C211" s="11">
        <v>0.38335648148148149</v>
      </c>
      <c r="D211" s="12">
        <v>0.38451388888888888</v>
      </c>
      <c r="E211">
        <f t="shared" si="6"/>
        <v>1</v>
      </c>
      <c r="F211">
        <f t="shared" si="7"/>
        <v>0</v>
      </c>
    </row>
    <row r="212" spans="1:6" x14ac:dyDescent="0.35">
      <c r="A212" s="5">
        <v>3087246</v>
      </c>
      <c r="B212" s="6">
        <v>42921</v>
      </c>
      <c r="C212" s="7">
        <v>0.38633101851851853</v>
      </c>
      <c r="D212" s="8">
        <v>0.39391203703703703</v>
      </c>
      <c r="E212">
        <f t="shared" si="6"/>
        <v>1</v>
      </c>
      <c r="F212">
        <f t="shared" si="7"/>
        <v>0</v>
      </c>
    </row>
    <row r="213" spans="1:6" x14ac:dyDescent="0.35">
      <c r="A213" s="9">
        <v>9321082</v>
      </c>
      <c r="B213" s="10">
        <v>42921</v>
      </c>
      <c r="C213" s="11">
        <v>0.38976851851851851</v>
      </c>
      <c r="D213" s="12">
        <v>0.40090277777777777</v>
      </c>
      <c r="E213">
        <f t="shared" si="6"/>
        <v>1</v>
      </c>
      <c r="F213">
        <f t="shared" si="7"/>
        <v>0</v>
      </c>
    </row>
    <row r="214" spans="1:6" x14ac:dyDescent="0.35">
      <c r="A214" s="5">
        <v>4941247888</v>
      </c>
      <c r="B214" s="6">
        <v>42921</v>
      </c>
      <c r="C214" s="7">
        <v>0.39114583333333336</v>
      </c>
      <c r="D214" s="8">
        <v>0.39870370370370373</v>
      </c>
      <c r="E214">
        <f t="shared" si="6"/>
        <v>0</v>
      </c>
      <c r="F214">
        <f t="shared" si="7"/>
        <v>0</v>
      </c>
    </row>
    <row r="215" spans="1:6" x14ac:dyDescent="0.35">
      <c r="A215" s="9">
        <v>13484133</v>
      </c>
      <c r="B215" s="10">
        <v>42921</v>
      </c>
      <c r="C215" s="11">
        <v>0.3959375</v>
      </c>
      <c r="D215" s="12">
        <v>0.3982060185185185</v>
      </c>
      <c r="E215">
        <f t="shared" si="6"/>
        <v>0</v>
      </c>
      <c r="F215">
        <f t="shared" si="7"/>
        <v>1</v>
      </c>
    </row>
    <row r="216" spans="1:6" x14ac:dyDescent="0.35">
      <c r="A216" s="5">
        <v>9610703</v>
      </c>
      <c r="B216" s="6">
        <v>42921</v>
      </c>
      <c r="C216" s="7">
        <v>0.40074074074074073</v>
      </c>
      <c r="D216" s="8">
        <v>0.40766203703703702</v>
      </c>
      <c r="E216">
        <f t="shared" si="6"/>
        <v>1</v>
      </c>
      <c r="F216">
        <f t="shared" si="7"/>
        <v>0</v>
      </c>
    </row>
    <row r="217" spans="1:6" x14ac:dyDescent="0.35">
      <c r="A217" s="9">
        <v>7236035</v>
      </c>
      <c r="B217" s="10">
        <v>42921</v>
      </c>
      <c r="C217" s="11">
        <v>0.40517361111111111</v>
      </c>
      <c r="D217" s="12">
        <v>0.41189814814814812</v>
      </c>
      <c r="E217">
        <f t="shared" si="6"/>
        <v>1</v>
      </c>
      <c r="F217">
        <f t="shared" si="7"/>
        <v>0</v>
      </c>
    </row>
    <row r="218" spans="1:6" x14ac:dyDescent="0.35">
      <c r="A218" s="5">
        <v>7236035</v>
      </c>
      <c r="B218" s="6">
        <v>42921</v>
      </c>
      <c r="C218" s="7">
        <v>0.4089814814814815</v>
      </c>
      <c r="D218" s="8">
        <v>0.41927083333333331</v>
      </c>
      <c r="E218">
        <f t="shared" si="6"/>
        <v>1</v>
      </c>
      <c r="F218">
        <f t="shared" si="7"/>
        <v>0</v>
      </c>
    </row>
    <row r="219" spans="1:6" x14ac:dyDescent="0.35">
      <c r="A219" s="9">
        <v>2675422</v>
      </c>
      <c r="B219" s="10">
        <v>42921</v>
      </c>
      <c r="C219" s="11">
        <v>0.41393518518518518</v>
      </c>
      <c r="D219" s="12">
        <v>0.42075231481481479</v>
      </c>
      <c r="E219">
        <f t="shared" si="6"/>
        <v>1</v>
      </c>
      <c r="F219">
        <f t="shared" si="7"/>
        <v>0</v>
      </c>
    </row>
    <row r="220" spans="1:6" x14ac:dyDescent="0.35">
      <c r="A220" s="5">
        <v>99056276</v>
      </c>
      <c r="B220" s="6">
        <v>42921</v>
      </c>
      <c r="C220" s="7">
        <v>0.41749999999999998</v>
      </c>
      <c r="D220" s="8">
        <v>0.42891203703703706</v>
      </c>
      <c r="E220">
        <f t="shared" si="6"/>
        <v>0</v>
      </c>
      <c r="F220">
        <f t="shared" si="7"/>
        <v>1</v>
      </c>
    </row>
    <row r="221" spans="1:6" x14ac:dyDescent="0.35">
      <c r="A221" s="9">
        <v>1715377</v>
      </c>
      <c r="B221" s="10">
        <v>42921</v>
      </c>
      <c r="C221" s="11">
        <v>0.41847222222222225</v>
      </c>
      <c r="D221" s="12">
        <v>0.42833333333333334</v>
      </c>
      <c r="E221">
        <f t="shared" si="6"/>
        <v>1</v>
      </c>
      <c r="F221">
        <f t="shared" si="7"/>
        <v>0</v>
      </c>
    </row>
    <row r="222" spans="1:6" x14ac:dyDescent="0.35">
      <c r="A222" s="5">
        <v>6700458395</v>
      </c>
      <c r="B222" s="6">
        <v>42921</v>
      </c>
      <c r="C222" s="7">
        <v>0.42149305555555555</v>
      </c>
      <c r="D222" s="8">
        <v>0.42678240740740742</v>
      </c>
      <c r="E222">
        <f t="shared" si="6"/>
        <v>0</v>
      </c>
      <c r="F222">
        <f t="shared" si="7"/>
        <v>0</v>
      </c>
    </row>
    <row r="223" spans="1:6" x14ac:dyDescent="0.35">
      <c r="A223" s="9">
        <v>2211277198</v>
      </c>
      <c r="B223" s="10">
        <v>42921</v>
      </c>
      <c r="C223" s="11">
        <v>0.42168981481481482</v>
      </c>
      <c r="D223" s="12">
        <v>0.42326388888888888</v>
      </c>
      <c r="E223">
        <f t="shared" si="6"/>
        <v>0</v>
      </c>
      <c r="F223">
        <f t="shared" si="7"/>
        <v>0</v>
      </c>
    </row>
    <row r="224" spans="1:6" x14ac:dyDescent="0.35">
      <c r="A224" s="5">
        <v>9866373</v>
      </c>
      <c r="B224" s="6">
        <v>42921</v>
      </c>
      <c r="C224" s="7">
        <v>0.42202546296296295</v>
      </c>
      <c r="D224" s="8">
        <v>0.42905092592592592</v>
      </c>
      <c r="E224">
        <f t="shared" si="6"/>
        <v>1</v>
      </c>
      <c r="F224">
        <f t="shared" si="7"/>
        <v>0</v>
      </c>
    </row>
    <row r="225" spans="1:6" x14ac:dyDescent="0.35">
      <c r="A225" s="9">
        <v>4526057</v>
      </c>
      <c r="B225" s="10">
        <v>42921</v>
      </c>
      <c r="C225" s="11">
        <v>0.42313657407407407</v>
      </c>
      <c r="D225" s="12">
        <v>0.42508101851851854</v>
      </c>
      <c r="E225">
        <f t="shared" si="6"/>
        <v>1</v>
      </c>
      <c r="F225">
        <f t="shared" si="7"/>
        <v>0</v>
      </c>
    </row>
    <row r="226" spans="1:6" x14ac:dyDescent="0.35">
      <c r="A226" s="5">
        <v>70786056</v>
      </c>
      <c r="B226" s="6">
        <v>42921</v>
      </c>
      <c r="C226" s="7">
        <v>0.42357638888888888</v>
      </c>
      <c r="D226" s="8">
        <v>0.4253587962962963</v>
      </c>
      <c r="E226">
        <f t="shared" si="6"/>
        <v>0</v>
      </c>
      <c r="F226">
        <f t="shared" si="7"/>
        <v>1</v>
      </c>
    </row>
    <row r="227" spans="1:6" x14ac:dyDescent="0.35">
      <c r="A227" s="9">
        <v>9874705</v>
      </c>
      <c r="B227" s="10">
        <v>42921</v>
      </c>
      <c r="C227" s="11">
        <v>0.4274074074074074</v>
      </c>
      <c r="D227" s="12">
        <v>0.43408564814814815</v>
      </c>
      <c r="E227">
        <f t="shared" si="6"/>
        <v>1</v>
      </c>
      <c r="F227">
        <f t="shared" si="7"/>
        <v>0</v>
      </c>
    </row>
    <row r="228" spans="1:6" x14ac:dyDescent="0.35">
      <c r="A228" s="5">
        <v>2506618</v>
      </c>
      <c r="B228" s="6">
        <v>42921</v>
      </c>
      <c r="C228" s="7">
        <v>0.43084490740740738</v>
      </c>
      <c r="D228" s="8">
        <v>0.43738425925925928</v>
      </c>
      <c r="E228">
        <f t="shared" si="6"/>
        <v>1</v>
      </c>
      <c r="F228">
        <f t="shared" si="7"/>
        <v>0</v>
      </c>
    </row>
    <row r="229" spans="1:6" x14ac:dyDescent="0.35">
      <c r="A229" s="9">
        <v>6312575</v>
      </c>
      <c r="B229" s="10">
        <v>42921</v>
      </c>
      <c r="C229" s="11">
        <v>0.43234953703703705</v>
      </c>
      <c r="D229" s="12">
        <v>0.44233796296296296</v>
      </c>
      <c r="E229">
        <f t="shared" si="6"/>
        <v>1</v>
      </c>
      <c r="F229">
        <f t="shared" si="7"/>
        <v>0</v>
      </c>
    </row>
    <row r="230" spans="1:6" x14ac:dyDescent="0.35">
      <c r="A230" s="5">
        <v>9620895</v>
      </c>
      <c r="B230" s="6">
        <v>42921</v>
      </c>
      <c r="C230" s="7">
        <v>0.4362847222222222</v>
      </c>
      <c r="D230" s="8">
        <v>0.44714120370370369</v>
      </c>
      <c r="E230">
        <f t="shared" si="6"/>
        <v>1</v>
      </c>
      <c r="F230">
        <f t="shared" si="7"/>
        <v>0</v>
      </c>
    </row>
    <row r="231" spans="1:6" x14ac:dyDescent="0.35">
      <c r="A231" s="9">
        <v>8187780</v>
      </c>
      <c r="B231" s="10">
        <v>42921</v>
      </c>
      <c r="C231" s="11">
        <v>0.43898148148148147</v>
      </c>
      <c r="D231" s="12">
        <v>0.44800925925925927</v>
      </c>
      <c r="E231">
        <f t="shared" si="6"/>
        <v>1</v>
      </c>
      <c r="F231">
        <f t="shared" si="7"/>
        <v>0</v>
      </c>
    </row>
    <row r="232" spans="1:6" x14ac:dyDescent="0.35">
      <c r="A232" s="5">
        <v>4176999</v>
      </c>
      <c r="B232" s="6">
        <v>42921</v>
      </c>
      <c r="C232" s="7">
        <v>0.44148148148148147</v>
      </c>
      <c r="D232" s="8">
        <v>0.45222222222222225</v>
      </c>
      <c r="E232">
        <f t="shared" si="6"/>
        <v>1</v>
      </c>
      <c r="F232">
        <f t="shared" si="7"/>
        <v>0</v>
      </c>
    </row>
    <row r="233" spans="1:6" x14ac:dyDescent="0.35">
      <c r="A233" s="9">
        <v>9937257</v>
      </c>
      <c r="B233" s="10">
        <v>42921</v>
      </c>
      <c r="C233" s="11">
        <v>0.44383101851851853</v>
      </c>
      <c r="D233" s="12">
        <v>0.44697916666666665</v>
      </c>
      <c r="E233">
        <f t="shared" si="6"/>
        <v>1</v>
      </c>
      <c r="F233">
        <f t="shared" si="7"/>
        <v>0</v>
      </c>
    </row>
    <row r="234" spans="1:6" x14ac:dyDescent="0.35">
      <c r="A234" s="5">
        <v>4363716</v>
      </c>
      <c r="B234" s="6">
        <v>42921</v>
      </c>
      <c r="C234" s="7">
        <v>0.44436342592592593</v>
      </c>
      <c r="D234" s="8">
        <v>0.45106481481481481</v>
      </c>
      <c r="E234">
        <f t="shared" si="6"/>
        <v>1</v>
      </c>
      <c r="F234">
        <f t="shared" si="7"/>
        <v>0</v>
      </c>
    </row>
    <row r="235" spans="1:6" x14ac:dyDescent="0.35">
      <c r="A235" s="9">
        <v>96323047</v>
      </c>
      <c r="B235" s="10">
        <v>42921</v>
      </c>
      <c r="C235" s="11">
        <v>0.44962962962962966</v>
      </c>
      <c r="D235" s="12">
        <v>0.45341435185185186</v>
      </c>
      <c r="E235">
        <f t="shared" si="6"/>
        <v>0</v>
      </c>
      <c r="F235">
        <f t="shared" si="7"/>
        <v>1</v>
      </c>
    </row>
    <row r="236" spans="1:6" x14ac:dyDescent="0.35">
      <c r="A236" s="5">
        <v>2750193</v>
      </c>
      <c r="B236" s="6">
        <v>42921</v>
      </c>
      <c r="C236" s="7">
        <v>0.45445601851851852</v>
      </c>
      <c r="D236" s="8">
        <v>0.455625</v>
      </c>
      <c r="E236">
        <f t="shared" si="6"/>
        <v>1</v>
      </c>
      <c r="F236">
        <f t="shared" si="7"/>
        <v>0</v>
      </c>
    </row>
    <row r="237" spans="1:6" x14ac:dyDescent="0.35">
      <c r="A237" s="9">
        <v>7973319</v>
      </c>
      <c r="B237" s="10">
        <v>42921</v>
      </c>
      <c r="C237" s="11">
        <v>0.45565972222222223</v>
      </c>
      <c r="D237" s="12">
        <v>0.46090277777777777</v>
      </c>
      <c r="E237">
        <f t="shared" si="6"/>
        <v>1</v>
      </c>
      <c r="F237">
        <f t="shared" si="7"/>
        <v>0</v>
      </c>
    </row>
    <row r="238" spans="1:6" x14ac:dyDescent="0.35">
      <c r="A238" s="5">
        <v>1908394</v>
      </c>
      <c r="B238" s="6">
        <v>42921</v>
      </c>
      <c r="C238" s="7">
        <v>0.45825231481481482</v>
      </c>
      <c r="D238" s="8">
        <v>0.46818287037037037</v>
      </c>
      <c r="E238">
        <f t="shared" si="6"/>
        <v>1</v>
      </c>
      <c r="F238">
        <f t="shared" si="7"/>
        <v>0</v>
      </c>
    </row>
    <row r="239" spans="1:6" x14ac:dyDescent="0.35">
      <c r="A239" s="9">
        <v>19116274</v>
      </c>
      <c r="B239" s="10">
        <v>42921</v>
      </c>
      <c r="C239" s="11">
        <v>0.46032407407407405</v>
      </c>
      <c r="D239" s="12">
        <v>0.46797453703703706</v>
      </c>
      <c r="E239">
        <f t="shared" si="6"/>
        <v>0</v>
      </c>
      <c r="F239">
        <f t="shared" si="7"/>
        <v>1</v>
      </c>
    </row>
    <row r="240" spans="1:6" x14ac:dyDescent="0.35">
      <c r="A240" s="5">
        <v>1235622</v>
      </c>
      <c r="B240" s="6">
        <v>42921</v>
      </c>
      <c r="C240" s="7">
        <v>0.46460648148148148</v>
      </c>
      <c r="D240" s="8">
        <v>0.47087962962962965</v>
      </c>
      <c r="E240">
        <f t="shared" si="6"/>
        <v>1</v>
      </c>
      <c r="F240">
        <f t="shared" si="7"/>
        <v>0</v>
      </c>
    </row>
    <row r="241" spans="1:6" x14ac:dyDescent="0.35">
      <c r="A241" s="9">
        <v>1926053</v>
      </c>
      <c r="B241" s="10">
        <v>42921</v>
      </c>
      <c r="C241" s="11">
        <v>0.46751157407407407</v>
      </c>
      <c r="D241" s="12">
        <v>0.46879629629629632</v>
      </c>
      <c r="E241">
        <f t="shared" si="6"/>
        <v>1</v>
      </c>
      <c r="F241">
        <f t="shared" si="7"/>
        <v>0</v>
      </c>
    </row>
    <row r="242" spans="1:6" x14ac:dyDescent="0.35">
      <c r="A242" s="5">
        <v>1458287</v>
      </c>
      <c r="B242" s="6">
        <v>42921</v>
      </c>
      <c r="C242" s="7">
        <v>0.47060185185185183</v>
      </c>
      <c r="D242" s="8">
        <v>0.47584490740740742</v>
      </c>
      <c r="E242">
        <f t="shared" si="6"/>
        <v>1</v>
      </c>
      <c r="F242">
        <f t="shared" si="7"/>
        <v>0</v>
      </c>
    </row>
    <row r="243" spans="1:6" x14ac:dyDescent="0.35">
      <c r="A243" s="9">
        <v>3758539398</v>
      </c>
      <c r="B243" s="10">
        <v>42921</v>
      </c>
      <c r="C243" s="11">
        <v>0.47296296296296297</v>
      </c>
      <c r="D243" s="12">
        <v>0.47506944444444443</v>
      </c>
      <c r="E243">
        <f t="shared" si="6"/>
        <v>0</v>
      </c>
      <c r="F243">
        <f t="shared" si="7"/>
        <v>0</v>
      </c>
    </row>
    <row r="244" spans="1:6" x14ac:dyDescent="0.35">
      <c r="A244" s="5">
        <v>8471021</v>
      </c>
      <c r="B244" s="6">
        <v>42921</v>
      </c>
      <c r="C244" s="7">
        <v>0.47431712962962963</v>
      </c>
      <c r="D244" s="8">
        <v>0.47746527777777775</v>
      </c>
      <c r="E244">
        <f t="shared" si="6"/>
        <v>1</v>
      </c>
      <c r="F244">
        <f t="shared" si="7"/>
        <v>0</v>
      </c>
    </row>
    <row r="245" spans="1:6" x14ac:dyDescent="0.35">
      <c r="A245" s="9">
        <v>4039284</v>
      </c>
      <c r="B245" s="10">
        <v>42921</v>
      </c>
      <c r="C245" s="11">
        <v>0.47684027777777777</v>
      </c>
      <c r="D245" s="12">
        <v>0.4824074074074074</v>
      </c>
      <c r="E245">
        <f t="shared" si="6"/>
        <v>1</v>
      </c>
      <c r="F245">
        <f t="shared" si="7"/>
        <v>0</v>
      </c>
    </row>
    <row r="246" spans="1:6" x14ac:dyDescent="0.35">
      <c r="A246" s="5">
        <v>3177370</v>
      </c>
      <c r="B246" s="6">
        <v>42921</v>
      </c>
      <c r="C246" s="7">
        <v>0.47972222222222222</v>
      </c>
      <c r="D246" s="8">
        <v>0.48660879629629628</v>
      </c>
      <c r="E246">
        <f t="shared" si="6"/>
        <v>1</v>
      </c>
      <c r="F246">
        <f t="shared" si="7"/>
        <v>0</v>
      </c>
    </row>
    <row r="247" spans="1:6" x14ac:dyDescent="0.35">
      <c r="A247" s="9">
        <v>7236035</v>
      </c>
      <c r="B247" s="10">
        <v>42921</v>
      </c>
      <c r="C247" s="11">
        <v>0.48149305555555555</v>
      </c>
      <c r="D247" s="12">
        <v>0.48582175925925924</v>
      </c>
      <c r="E247">
        <f t="shared" si="6"/>
        <v>1</v>
      </c>
      <c r="F247">
        <f t="shared" si="7"/>
        <v>0</v>
      </c>
    </row>
    <row r="248" spans="1:6" x14ac:dyDescent="0.35">
      <c r="A248" s="5">
        <v>6689117</v>
      </c>
      <c r="B248" s="6">
        <v>42921</v>
      </c>
      <c r="C248" s="7">
        <v>0.48554398148148148</v>
      </c>
      <c r="D248" s="8">
        <v>0.49553240740740739</v>
      </c>
      <c r="E248">
        <f t="shared" si="6"/>
        <v>1</v>
      </c>
      <c r="F248">
        <f t="shared" si="7"/>
        <v>0</v>
      </c>
    </row>
    <row r="249" spans="1:6" x14ac:dyDescent="0.35">
      <c r="A249" s="9">
        <v>4824267</v>
      </c>
      <c r="B249" s="10">
        <v>42921</v>
      </c>
      <c r="C249" s="11">
        <v>0.4871875</v>
      </c>
      <c r="D249" s="12">
        <v>0.49509259259259258</v>
      </c>
      <c r="E249">
        <f t="shared" si="6"/>
        <v>1</v>
      </c>
      <c r="F249">
        <f t="shared" si="7"/>
        <v>0</v>
      </c>
    </row>
    <row r="250" spans="1:6" x14ac:dyDescent="0.35">
      <c r="A250" s="5">
        <v>6978234</v>
      </c>
      <c r="B250" s="6">
        <v>42921</v>
      </c>
      <c r="C250" s="7">
        <v>0.48873842592592592</v>
      </c>
      <c r="D250" s="8">
        <v>0.49131944444444442</v>
      </c>
      <c r="E250">
        <f t="shared" si="6"/>
        <v>1</v>
      </c>
      <c r="F250">
        <f t="shared" si="7"/>
        <v>0</v>
      </c>
    </row>
    <row r="251" spans="1:6" x14ac:dyDescent="0.35">
      <c r="A251" s="9">
        <v>2158377</v>
      </c>
      <c r="B251" s="10">
        <v>42921</v>
      </c>
      <c r="C251" s="11">
        <v>0.49149305555555556</v>
      </c>
      <c r="D251" s="12">
        <v>0.49283564814814818</v>
      </c>
      <c r="E251">
        <f t="shared" si="6"/>
        <v>1</v>
      </c>
      <c r="F251">
        <f t="shared" si="7"/>
        <v>0</v>
      </c>
    </row>
    <row r="252" spans="1:6" x14ac:dyDescent="0.35">
      <c r="A252" s="5">
        <v>73970924</v>
      </c>
      <c r="B252" s="6">
        <v>42921</v>
      </c>
      <c r="C252" s="7">
        <v>0.49336805555555557</v>
      </c>
      <c r="D252" s="8">
        <v>0.49403935185185183</v>
      </c>
      <c r="E252">
        <f t="shared" si="6"/>
        <v>0</v>
      </c>
      <c r="F252">
        <f t="shared" si="7"/>
        <v>1</v>
      </c>
    </row>
    <row r="253" spans="1:6" x14ac:dyDescent="0.35">
      <c r="A253" s="9">
        <v>6927270</v>
      </c>
      <c r="B253" s="10">
        <v>42921</v>
      </c>
      <c r="C253" s="11">
        <v>0.49571759259259257</v>
      </c>
      <c r="D253" s="12">
        <v>0.50516203703703699</v>
      </c>
      <c r="E253">
        <f t="shared" si="6"/>
        <v>1</v>
      </c>
      <c r="F253">
        <f t="shared" si="7"/>
        <v>0</v>
      </c>
    </row>
    <row r="254" spans="1:6" x14ac:dyDescent="0.35">
      <c r="A254" s="5">
        <v>7318247385</v>
      </c>
      <c r="B254" s="6">
        <v>42921</v>
      </c>
      <c r="C254" s="7">
        <v>0.49596064814814816</v>
      </c>
      <c r="D254" s="8">
        <v>0.49886574074074075</v>
      </c>
      <c r="E254">
        <f t="shared" si="6"/>
        <v>0</v>
      </c>
      <c r="F254">
        <f t="shared" si="7"/>
        <v>0</v>
      </c>
    </row>
    <row r="255" spans="1:6" x14ac:dyDescent="0.35">
      <c r="A255" s="9">
        <v>1579531</v>
      </c>
      <c r="B255" s="10">
        <v>42921</v>
      </c>
      <c r="C255" s="11">
        <v>0.50134259259259262</v>
      </c>
      <c r="D255" s="12">
        <v>0.50873842592592589</v>
      </c>
      <c r="E255">
        <f t="shared" si="6"/>
        <v>1</v>
      </c>
      <c r="F255">
        <f t="shared" si="7"/>
        <v>0</v>
      </c>
    </row>
    <row r="256" spans="1:6" x14ac:dyDescent="0.35">
      <c r="A256" s="5">
        <v>9593481</v>
      </c>
      <c r="B256" s="6">
        <v>42921</v>
      </c>
      <c r="C256" s="7">
        <v>0.50179398148148147</v>
      </c>
      <c r="D256" s="8">
        <v>0.50248842592592591</v>
      </c>
      <c r="E256">
        <f t="shared" si="6"/>
        <v>1</v>
      </c>
      <c r="F256">
        <f t="shared" si="7"/>
        <v>0</v>
      </c>
    </row>
    <row r="257" spans="1:6" x14ac:dyDescent="0.35">
      <c r="A257" s="9">
        <v>6657074</v>
      </c>
      <c r="B257" s="10">
        <v>42921</v>
      </c>
      <c r="C257" s="11">
        <v>0.50288194444444445</v>
      </c>
      <c r="D257" s="12">
        <v>0.51248842592592592</v>
      </c>
      <c r="E257">
        <f t="shared" si="6"/>
        <v>1</v>
      </c>
      <c r="F257">
        <f t="shared" si="7"/>
        <v>0</v>
      </c>
    </row>
    <row r="258" spans="1:6" x14ac:dyDescent="0.35">
      <c r="A258" s="5">
        <v>1488369</v>
      </c>
      <c r="B258" s="6">
        <v>42921</v>
      </c>
      <c r="C258" s="7">
        <v>0.50457175925925923</v>
      </c>
      <c r="D258" s="8">
        <v>0.51533564814814814</v>
      </c>
      <c r="E258">
        <f t="shared" si="6"/>
        <v>1</v>
      </c>
      <c r="F258">
        <f t="shared" si="7"/>
        <v>0</v>
      </c>
    </row>
    <row r="259" spans="1:6" x14ac:dyDescent="0.35">
      <c r="A259" s="9">
        <v>1797960</v>
      </c>
      <c r="B259" s="10">
        <v>42921</v>
      </c>
      <c r="C259" s="11">
        <v>0.51026620370370368</v>
      </c>
      <c r="D259" s="12">
        <v>0.51557870370370373</v>
      </c>
      <c r="E259">
        <f t="shared" ref="E259:E322" si="8">IF(LEN(A259)=7,1,0)</f>
        <v>1</v>
      </c>
      <c r="F259">
        <f t="shared" ref="F259:F322" si="9">IF(LEN(A259)=8,1,0)</f>
        <v>0</v>
      </c>
    </row>
    <row r="260" spans="1:6" x14ac:dyDescent="0.35">
      <c r="A260" s="5">
        <v>65923776</v>
      </c>
      <c r="B260" s="6">
        <v>42921</v>
      </c>
      <c r="C260" s="7">
        <v>0.51388888888888884</v>
      </c>
      <c r="D260" s="8">
        <v>0.51673611111111106</v>
      </c>
      <c r="E260">
        <f t="shared" si="8"/>
        <v>0</v>
      </c>
      <c r="F260">
        <f t="shared" si="9"/>
        <v>1</v>
      </c>
    </row>
    <row r="261" spans="1:6" x14ac:dyDescent="0.35">
      <c r="A261" s="9">
        <v>3407358</v>
      </c>
      <c r="B261" s="10">
        <v>42921</v>
      </c>
      <c r="C261" s="11">
        <v>0.51827546296296301</v>
      </c>
      <c r="D261" s="12">
        <v>0.51986111111111111</v>
      </c>
      <c r="E261">
        <f t="shared" si="8"/>
        <v>1</v>
      </c>
      <c r="F261">
        <f t="shared" si="9"/>
        <v>0</v>
      </c>
    </row>
    <row r="262" spans="1:6" x14ac:dyDescent="0.35">
      <c r="A262" s="5">
        <v>1887758</v>
      </c>
      <c r="B262" s="6">
        <v>42921</v>
      </c>
      <c r="C262" s="7">
        <v>0.51884259259259258</v>
      </c>
      <c r="D262" s="8">
        <v>0.52637731481481487</v>
      </c>
      <c r="E262">
        <f t="shared" si="8"/>
        <v>1</v>
      </c>
      <c r="F262">
        <f t="shared" si="9"/>
        <v>0</v>
      </c>
    </row>
    <row r="263" spans="1:6" x14ac:dyDescent="0.35">
      <c r="A263" s="9">
        <v>9983997</v>
      </c>
      <c r="B263" s="10">
        <v>42921</v>
      </c>
      <c r="C263" s="11">
        <v>0.5242013888888889</v>
      </c>
      <c r="D263" s="12">
        <v>0.53452546296296299</v>
      </c>
      <c r="E263">
        <f t="shared" si="8"/>
        <v>1</v>
      </c>
      <c r="F263">
        <f t="shared" si="9"/>
        <v>0</v>
      </c>
    </row>
    <row r="264" spans="1:6" x14ac:dyDescent="0.35">
      <c r="A264" s="5">
        <v>3539762</v>
      </c>
      <c r="B264" s="6">
        <v>42921</v>
      </c>
      <c r="C264" s="7">
        <v>0.5250231481481481</v>
      </c>
      <c r="D264" s="8">
        <v>0.5264699074074074</v>
      </c>
      <c r="E264">
        <f t="shared" si="8"/>
        <v>1</v>
      </c>
      <c r="F264">
        <f t="shared" si="9"/>
        <v>0</v>
      </c>
    </row>
    <row r="265" spans="1:6" x14ac:dyDescent="0.35">
      <c r="A265" s="9">
        <v>58067439</v>
      </c>
      <c r="B265" s="10">
        <v>42921</v>
      </c>
      <c r="C265" s="11">
        <v>0.52607638888888886</v>
      </c>
      <c r="D265" s="12">
        <v>0.52662037037037035</v>
      </c>
      <c r="E265">
        <f t="shared" si="8"/>
        <v>0</v>
      </c>
      <c r="F265">
        <f t="shared" si="9"/>
        <v>1</v>
      </c>
    </row>
    <row r="266" spans="1:6" x14ac:dyDescent="0.35">
      <c r="A266" s="5">
        <v>6760428735</v>
      </c>
      <c r="B266" s="6">
        <v>42921</v>
      </c>
      <c r="C266" s="7">
        <v>0.52811342592592592</v>
      </c>
      <c r="D266" s="8">
        <v>0.53195601851851848</v>
      </c>
      <c r="E266">
        <f t="shared" si="8"/>
        <v>0</v>
      </c>
      <c r="F266">
        <f t="shared" si="9"/>
        <v>0</v>
      </c>
    </row>
    <row r="267" spans="1:6" x14ac:dyDescent="0.35">
      <c r="A267" s="9">
        <v>9803006</v>
      </c>
      <c r="B267" s="10">
        <v>42921</v>
      </c>
      <c r="C267" s="11">
        <v>0.53233796296296299</v>
      </c>
      <c r="D267" s="12">
        <v>0.54116898148148151</v>
      </c>
      <c r="E267">
        <f t="shared" si="8"/>
        <v>1</v>
      </c>
      <c r="F267">
        <f t="shared" si="9"/>
        <v>0</v>
      </c>
    </row>
    <row r="268" spans="1:6" x14ac:dyDescent="0.35">
      <c r="A268" s="5">
        <v>5312081</v>
      </c>
      <c r="B268" s="6">
        <v>42921</v>
      </c>
      <c r="C268" s="7">
        <v>0.53372685185185187</v>
      </c>
      <c r="D268" s="8">
        <v>0.53991898148148143</v>
      </c>
      <c r="E268">
        <f t="shared" si="8"/>
        <v>1</v>
      </c>
      <c r="F268">
        <f t="shared" si="9"/>
        <v>0</v>
      </c>
    </row>
    <row r="269" spans="1:6" x14ac:dyDescent="0.35">
      <c r="A269" s="9">
        <v>7114306</v>
      </c>
      <c r="B269" s="10">
        <v>42921</v>
      </c>
      <c r="C269" s="11">
        <v>0.53607638888888887</v>
      </c>
      <c r="D269" s="12">
        <v>0.54104166666666664</v>
      </c>
      <c r="E269">
        <f t="shared" si="8"/>
        <v>1</v>
      </c>
      <c r="F269">
        <f t="shared" si="9"/>
        <v>0</v>
      </c>
    </row>
    <row r="270" spans="1:6" x14ac:dyDescent="0.35">
      <c r="A270" s="5">
        <v>7594764</v>
      </c>
      <c r="B270" s="6">
        <v>42921</v>
      </c>
      <c r="C270" s="7">
        <v>0.53850694444444447</v>
      </c>
      <c r="D270" s="8">
        <v>0.53944444444444439</v>
      </c>
      <c r="E270">
        <f t="shared" si="8"/>
        <v>1</v>
      </c>
      <c r="F270">
        <f t="shared" si="9"/>
        <v>0</v>
      </c>
    </row>
    <row r="271" spans="1:6" x14ac:dyDescent="0.35">
      <c r="A271" s="9">
        <v>3004571</v>
      </c>
      <c r="B271" s="10">
        <v>42921</v>
      </c>
      <c r="C271" s="11">
        <v>0.54194444444444445</v>
      </c>
      <c r="D271" s="12">
        <v>0.54666666666666663</v>
      </c>
      <c r="E271">
        <f t="shared" si="8"/>
        <v>1</v>
      </c>
      <c r="F271">
        <f t="shared" si="9"/>
        <v>0</v>
      </c>
    </row>
    <row r="272" spans="1:6" x14ac:dyDescent="0.35">
      <c r="A272" s="5">
        <v>6689117</v>
      </c>
      <c r="B272" s="6">
        <v>42921</v>
      </c>
      <c r="C272" s="7">
        <v>0.54609953703703706</v>
      </c>
      <c r="D272" s="8">
        <v>0.55435185185185187</v>
      </c>
      <c r="E272">
        <f t="shared" si="8"/>
        <v>1</v>
      </c>
      <c r="F272">
        <f t="shared" si="9"/>
        <v>0</v>
      </c>
    </row>
    <row r="273" spans="1:6" x14ac:dyDescent="0.35">
      <c r="A273" s="9">
        <v>1081610</v>
      </c>
      <c r="B273" s="10">
        <v>42921</v>
      </c>
      <c r="C273" s="11">
        <v>0.54809027777777775</v>
      </c>
      <c r="D273" s="12">
        <v>0.55568287037037034</v>
      </c>
      <c r="E273">
        <f t="shared" si="8"/>
        <v>1</v>
      </c>
      <c r="F273">
        <f t="shared" si="9"/>
        <v>0</v>
      </c>
    </row>
    <row r="274" spans="1:6" x14ac:dyDescent="0.35">
      <c r="A274" s="5">
        <v>20220216</v>
      </c>
      <c r="B274" s="6">
        <v>42921</v>
      </c>
      <c r="C274" s="7">
        <v>0.54857638888888893</v>
      </c>
      <c r="D274" s="8">
        <v>0.55879629629629635</v>
      </c>
      <c r="E274">
        <f t="shared" si="8"/>
        <v>0</v>
      </c>
      <c r="F274">
        <f t="shared" si="9"/>
        <v>1</v>
      </c>
    </row>
    <row r="275" spans="1:6" x14ac:dyDescent="0.35">
      <c r="A275" s="9">
        <v>79890857</v>
      </c>
      <c r="B275" s="10">
        <v>42921</v>
      </c>
      <c r="C275" s="11">
        <v>0.54859953703703701</v>
      </c>
      <c r="D275" s="12">
        <v>0.55990740740740741</v>
      </c>
      <c r="E275">
        <f t="shared" si="8"/>
        <v>0</v>
      </c>
      <c r="F275">
        <f t="shared" si="9"/>
        <v>1</v>
      </c>
    </row>
    <row r="276" spans="1:6" x14ac:dyDescent="0.35">
      <c r="A276" s="5">
        <v>4600571814</v>
      </c>
      <c r="B276" s="6">
        <v>42921</v>
      </c>
      <c r="C276" s="7">
        <v>0.55166666666666664</v>
      </c>
      <c r="D276" s="8">
        <v>0.55865740740740744</v>
      </c>
      <c r="E276">
        <f t="shared" si="8"/>
        <v>0</v>
      </c>
      <c r="F276">
        <f t="shared" si="9"/>
        <v>0</v>
      </c>
    </row>
    <row r="277" spans="1:6" x14ac:dyDescent="0.35">
      <c r="A277" s="9">
        <v>1579531</v>
      </c>
      <c r="B277" s="10">
        <v>42921</v>
      </c>
      <c r="C277" s="11">
        <v>0.55266203703703709</v>
      </c>
      <c r="D277" s="12">
        <v>0.56405092592592587</v>
      </c>
      <c r="E277">
        <f t="shared" si="8"/>
        <v>1</v>
      </c>
      <c r="F277">
        <f t="shared" si="9"/>
        <v>0</v>
      </c>
    </row>
    <row r="278" spans="1:6" x14ac:dyDescent="0.35">
      <c r="A278" s="5">
        <v>7110850</v>
      </c>
      <c r="B278" s="6">
        <v>42921</v>
      </c>
      <c r="C278" s="7">
        <v>0.55269675925925921</v>
      </c>
      <c r="D278" s="8">
        <v>0.56355324074074076</v>
      </c>
      <c r="E278">
        <f t="shared" si="8"/>
        <v>1</v>
      </c>
      <c r="F278">
        <f t="shared" si="9"/>
        <v>0</v>
      </c>
    </row>
    <row r="279" spans="1:6" x14ac:dyDescent="0.35">
      <c r="A279" s="9">
        <v>18036364</v>
      </c>
      <c r="B279" s="10">
        <v>42921</v>
      </c>
      <c r="C279" s="11">
        <v>0.55847222222222226</v>
      </c>
      <c r="D279" s="12">
        <v>0.56166666666666665</v>
      </c>
      <c r="E279">
        <f t="shared" si="8"/>
        <v>0</v>
      </c>
      <c r="F279">
        <f t="shared" si="9"/>
        <v>1</v>
      </c>
    </row>
    <row r="280" spans="1:6" x14ac:dyDescent="0.35">
      <c r="A280" s="5">
        <v>6712006</v>
      </c>
      <c r="B280" s="6">
        <v>42921</v>
      </c>
      <c r="C280" s="7">
        <v>0.56106481481481485</v>
      </c>
      <c r="D280" s="8">
        <v>0.56716435185185188</v>
      </c>
      <c r="E280">
        <f t="shared" si="8"/>
        <v>1</v>
      </c>
      <c r="F280">
        <f t="shared" si="9"/>
        <v>0</v>
      </c>
    </row>
    <row r="281" spans="1:6" x14ac:dyDescent="0.35">
      <c r="A281" s="9">
        <v>5646830</v>
      </c>
      <c r="B281" s="10">
        <v>42921</v>
      </c>
      <c r="C281" s="11">
        <v>0.56361111111111106</v>
      </c>
      <c r="D281" s="12">
        <v>0.57469907407407406</v>
      </c>
      <c r="E281">
        <f t="shared" si="8"/>
        <v>1</v>
      </c>
      <c r="F281">
        <f t="shared" si="9"/>
        <v>0</v>
      </c>
    </row>
    <row r="282" spans="1:6" x14ac:dyDescent="0.35">
      <c r="A282" s="5">
        <v>38535407</v>
      </c>
      <c r="B282" s="6">
        <v>42921</v>
      </c>
      <c r="C282" s="7">
        <v>0.56568287037037035</v>
      </c>
      <c r="D282" s="8">
        <v>0.56981481481481477</v>
      </c>
      <c r="E282">
        <f t="shared" si="8"/>
        <v>0</v>
      </c>
      <c r="F282">
        <f t="shared" si="9"/>
        <v>1</v>
      </c>
    </row>
    <row r="283" spans="1:6" x14ac:dyDescent="0.35">
      <c r="A283" s="9">
        <v>66871690</v>
      </c>
      <c r="B283" s="10">
        <v>42921</v>
      </c>
      <c r="C283" s="11">
        <v>0.56703703703703701</v>
      </c>
      <c r="D283" s="12">
        <v>0.57664351851851847</v>
      </c>
      <c r="E283">
        <f t="shared" si="8"/>
        <v>0</v>
      </c>
      <c r="F283">
        <f t="shared" si="9"/>
        <v>1</v>
      </c>
    </row>
    <row r="284" spans="1:6" x14ac:dyDescent="0.35">
      <c r="A284" s="5">
        <v>7085993</v>
      </c>
      <c r="B284" s="6">
        <v>42921</v>
      </c>
      <c r="C284" s="7">
        <v>0.57192129629629629</v>
      </c>
      <c r="D284" s="8">
        <v>0.57506944444444441</v>
      </c>
      <c r="E284">
        <f t="shared" si="8"/>
        <v>1</v>
      </c>
      <c r="F284">
        <f t="shared" si="9"/>
        <v>0</v>
      </c>
    </row>
    <row r="285" spans="1:6" x14ac:dyDescent="0.35">
      <c r="A285" s="9">
        <v>2890720</v>
      </c>
      <c r="B285" s="10">
        <v>42921</v>
      </c>
      <c r="C285" s="11">
        <v>0.57589120370370372</v>
      </c>
      <c r="D285" s="12">
        <v>0.57648148148148148</v>
      </c>
      <c r="E285">
        <f t="shared" si="8"/>
        <v>1</v>
      </c>
      <c r="F285">
        <f t="shared" si="9"/>
        <v>0</v>
      </c>
    </row>
    <row r="286" spans="1:6" x14ac:dyDescent="0.35">
      <c r="A286" s="5">
        <v>8375968</v>
      </c>
      <c r="B286" s="6">
        <v>42921</v>
      </c>
      <c r="C286" s="7">
        <v>0.5786458333333333</v>
      </c>
      <c r="D286" s="8">
        <v>0.57954861111111111</v>
      </c>
      <c r="E286">
        <f t="shared" si="8"/>
        <v>1</v>
      </c>
      <c r="F286">
        <f t="shared" si="9"/>
        <v>0</v>
      </c>
    </row>
    <row r="287" spans="1:6" x14ac:dyDescent="0.35">
      <c r="A287" s="9">
        <v>1119740</v>
      </c>
      <c r="B287" s="10">
        <v>42921</v>
      </c>
      <c r="C287" s="11">
        <v>0.57876157407407403</v>
      </c>
      <c r="D287" s="12">
        <v>0.5811574074074074</v>
      </c>
      <c r="E287">
        <f t="shared" si="8"/>
        <v>1</v>
      </c>
      <c r="F287">
        <f t="shared" si="9"/>
        <v>0</v>
      </c>
    </row>
    <row r="288" spans="1:6" x14ac:dyDescent="0.35">
      <c r="A288" s="5">
        <v>3796958</v>
      </c>
      <c r="B288" s="6">
        <v>42921</v>
      </c>
      <c r="C288" s="7">
        <v>0.57901620370370366</v>
      </c>
      <c r="D288" s="8">
        <v>0.58940972222222221</v>
      </c>
      <c r="E288">
        <f t="shared" si="8"/>
        <v>1</v>
      </c>
      <c r="F288">
        <f t="shared" si="9"/>
        <v>0</v>
      </c>
    </row>
    <row r="289" spans="1:6" x14ac:dyDescent="0.35">
      <c r="A289" s="9">
        <v>8010775</v>
      </c>
      <c r="B289" s="10">
        <v>42921</v>
      </c>
      <c r="C289" s="11">
        <v>0.58275462962962965</v>
      </c>
      <c r="D289" s="12">
        <v>0.5852546296296296</v>
      </c>
      <c r="E289">
        <f t="shared" si="8"/>
        <v>1</v>
      </c>
      <c r="F289">
        <f t="shared" si="9"/>
        <v>0</v>
      </c>
    </row>
    <row r="290" spans="1:6" x14ac:dyDescent="0.35">
      <c r="A290" s="5">
        <v>46023878</v>
      </c>
      <c r="B290" s="6">
        <v>42921</v>
      </c>
      <c r="C290" s="7">
        <v>0.58829861111111115</v>
      </c>
      <c r="D290" s="8">
        <v>0.59641203703703705</v>
      </c>
      <c r="E290">
        <f t="shared" si="8"/>
        <v>0</v>
      </c>
      <c r="F290">
        <f t="shared" si="9"/>
        <v>1</v>
      </c>
    </row>
    <row r="291" spans="1:6" x14ac:dyDescent="0.35">
      <c r="A291" s="9">
        <v>3379007610</v>
      </c>
      <c r="B291" s="10">
        <v>42921</v>
      </c>
      <c r="C291" s="11">
        <v>0.59281249999999996</v>
      </c>
      <c r="D291" s="12">
        <v>0.59871527777777778</v>
      </c>
      <c r="E291">
        <f t="shared" si="8"/>
        <v>0</v>
      </c>
      <c r="F291">
        <f t="shared" si="9"/>
        <v>0</v>
      </c>
    </row>
    <row r="292" spans="1:6" x14ac:dyDescent="0.35">
      <c r="A292" s="5">
        <v>2890519255</v>
      </c>
      <c r="B292" s="6">
        <v>42921</v>
      </c>
      <c r="C292" s="7">
        <v>0.59557870370370369</v>
      </c>
      <c r="D292" s="8">
        <v>0.59930555555555554</v>
      </c>
      <c r="E292">
        <f t="shared" si="8"/>
        <v>0</v>
      </c>
      <c r="F292">
        <f t="shared" si="9"/>
        <v>0</v>
      </c>
    </row>
    <row r="293" spans="1:6" x14ac:dyDescent="0.35">
      <c r="A293" s="9">
        <v>27858818</v>
      </c>
      <c r="B293" s="10">
        <v>42921</v>
      </c>
      <c r="C293" s="11">
        <v>0.59718749999999998</v>
      </c>
      <c r="D293" s="12">
        <v>0.60711805555555554</v>
      </c>
      <c r="E293">
        <f t="shared" si="8"/>
        <v>0</v>
      </c>
      <c r="F293">
        <f t="shared" si="9"/>
        <v>1</v>
      </c>
    </row>
    <row r="294" spans="1:6" x14ac:dyDescent="0.35">
      <c r="A294" s="5">
        <v>5076649</v>
      </c>
      <c r="B294" s="6">
        <v>42921</v>
      </c>
      <c r="C294" s="7">
        <v>0.59803240740740737</v>
      </c>
      <c r="D294" s="8">
        <v>0.60223379629629625</v>
      </c>
      <c r="E294">
        <f t="shared" si="8"/>
        <v>1</v>
      </c>
      <c r="F294">
        <f t="shared" si="9"/>
        <v>0</v>
      </c>
    </row>
    <row r="295" spans="1:6" x14ac:dyDescent="0.35">
      <c r="A295" s="9">
        <v>70367818</v>
      </c>
      <c r="B295" s="10">
        <v>42921</v>
      </c>
      <c r="C295" s="11">
        <v>0.5982291666666667</v>
      </c>
      <c r="D295" s="12">
        <v>0.60077546296296291</v>
      </c>
      <c r="E295">
        <f t="shared" si="8"/>
        <v>0</v>
      </c>
      <c r="F295">
        <f t="shared" si="9"/>
        <v>1</v>
      </c>
    </row>
    <row r="296" spans="1:6" x14ac:dyDescent="0.35">
      <c r="A296" s="5">
        <v>9788998</v>
      </c>
      <c r="B296" s="6">
        <v>42921</v>
      </c>
      <c r="C296" s="7">
        <v>0.60070601851851857</v>
      </c>
      <c r="D296" s="8">
        <v>0.6075694444444445</v>
      </c>
      <c r="E296">
        <f t="shared" si="8"/>
        <v>1</v>
      </c>
      <c r="F296">
        <f t="shared" si="9"/>
        <v>0</v>
      </c>
    </row>
    <row r="297" spans="1:6" x14ac:dyDescent="0.35">
      <c r="A297" s="9">
        <v>1951101</v>
      </c>
      <c r="B297" s="10">
        <v>42921</v>
      </c>
      <c r="C297" s="11">
        <v>0.60379629629629628</v>
      </c>
      <c r="D297" s="12">
        <v>0.6139930555555555</v>
      </c>
      <c r="E297">
        <f t="shared" si="8"/>
        <v>1</v>
      </c>
      <c r="F297">
        <f t="shared" si="9"/>
        <v>0</v>
      </c>
    </row>
    <row r="298" spans="1:6" x14ac:dyDescent="0.35">
      <c r="A298" s="5">
        <v>4546455</v>
      </c>
      <c r="B298" s="6">
        <v>42921</v>
      </c>
      <c r="C298" s="7">
        <v>0.6040740740740741</v>
      </c>
      <c r="D298" s="8">
        <v>0.61181712962962964</v>
      </c>
      <c r="E298">
        <f t="shared" si="8"/>
        <v>1</v>
      </c>
      <c r="F298">
        <f t="shared" si="9"/>
        <v>0</v>
      </c>
    </row>
    <row r="299" spans="1:6" x14ac:dyDescent="0.35">
      <c r="A299" s="9">
        <v>12687991</v>
      </c>
      <c r="B299" s="10">
        <v>42921</v>
      </c>
      <c r="C299" s="11">
        <v>0.60660879629629627</v>
      </c>
      <c r="D299" s="12">
        <v>0.6086921296296296</v>
      </c>
      <c r="E299">
        <f t="shared" si="8"/>
        <v>0</v>
      </c>
      <c r="F299">
        <f t="shared" si="9"/>
        <v>1</v>
      </c>
    </row>
    <row r="300" spans="1:6" x14ac:dyDescent="0.35">
      <c r="A300" s="5">
        <v>4328583</v>
      </c>
      <c r="B300" s="6">
        <v>42921</v>
      </c>
      <c r="C300" s="7">
        <v>0.60927083333333332</v>
      </c>
      <c r="D300" s="8">
        <v>0.61127314814814815</v>
      </c>
      <c r="E300">
        <f t="shared" si="8"/>
        <v>1</v>
      </c>
      <c r="F300">
        <f t="shared" si="9"/>
        <v>0</v>
      </c>
    </row>
    <row r="301" spans="1:6" x14ac:dyDescent="0.35">
      <c r="A301" s="9">
        <v>2184116</v>
      </c>
      <c r="B301" s="10">
        <v>42921</v>
      </c>
      <c r="C301" s="11">
        <v>0.61251157407407408</v>
      </c>
      <c r="D301" s="12">
        <v>0.61998842592592596</v>
      </c>
      <c r="E301">
        <f t="shared" si="8"/>
        <v>1</v>
      </c>
      <c r="F301">
        <f t="shared" si="9"/>
        <v>0</v>
      </c>
    </row>
    <row r="302" spans="1:6" x14ac:dyDescent="0.35">
      <c r="A302" s="5">
        <v>24724570</v>
      </c>
      <c r="B302" s="6">
        <v>42921</v>
      </c>
      <c r="C302" s="7">
        <v>0.61430555555555555</v>
      </c>
      <c r="D302" s="8">
        <v>0.61843749999999997</v>
      </c>
      <c r="E302">
        <f t="shared" si="8"/>
        <v>0</v>
      </c>
      <c r="F302">
        <f t="shared" si="9"/>
        <v>1</v>
      </c>
    </row>
    <row r="303" spans="1:6" x14ac:dyDescent="0.35">
      <c r="A303" s="9">
        <v>4843076</v>
      </c>
      <c r="B303" s="10">
        <v>42921</v>
      </c>
      <c r="C303" s="11">
        <v>0.61957175925925922</v>
      </c>
      <c r="D303" s="12">
        <v>0.62241898148148145</v>
      </c>
      <c r="E303">
        <f t="shared" si="8"/>
        <v>1</v>
      </c>
      <c r="F303">
        <f t="shared" si="9"/>
        <v>0</v>
      </c>
    </row>
    <row r="304" spans="1:6" x14ac:dyDescent="0.35">
      <c r="A304" s="5">
        <v>7795911</v>
      </c>
      <c r="B304" s="6">
        <v>42921</v>
      </c>
      <c r="C304" s="7">
        <v>0.62047453703703703</v>
      </c>
      <c r="D304" s="8">
        <v>0.62715277777777778</v>
      </c>
      <c r="E304">
        <f t="shared" si="8"/>
        <v>1</v>
      </c>
      <c r="F304">
        <f t="shared" si="9"/>
        <v>0</v>
      </c>
    </row>
    <row r="305" spans="1:6" x14ac:dyDescent="0.35">
      <c r="A305" s="9">
        <v>42722517</v>
      </c>
      <c r="B305" s="10">
        <v>42921</v>
      </c>
      <c r="C305" s="11">
        <v>0.62094907407407407</v>
      </c>
      <c r="D305" s="12">
        <v>0.62687499999999996</v>
      </c>
      <c r="E305">
        <f t="shared" si="8"/>
        <v>0</v>
      </c>
      <c r="F305">
        <f t="shared" si="9"/>
        <v>1</v>
      </c>
    </row>
    <row r="306" spans="1:6" x14ac:dyDescent="0.35">
      <c r="A306" s="5">
        <v>9697189</v>
      </c>
      <c r="B306" s="6">
        <v>42921</v>
      </c>
      <c r="C306" s="7">
        <v>0.62251157407407409</v>
      </c>
      <c r="D306" s="8">
        <v>0.6234143518518519</v>
      </c>
      <c r="E306">
        <f t="shared" si="8"/>
        <v>1</v>
      </c>
      <c r="F306">
        <f t="shared" si="9"/>
        <v>0</v>
      </c>
    </row>
    <row r="307" spans="1:6" x14ac:dyDescent="0.35">
      <c r="A307" s="9">
        <v>4471203</v>
      </c>
      <c r="B307" s="10">
        <v>42921</v>
      </c>
      <c r="C307" s="11">
        <v>0.62403935185185189</v>
      </c>
      <c r="D307" s="12">
        <v>0.62936342592592598</v>
      </c>
      <c r="E307">
        <f t="shared" si="8"/>
        <v>1</v>
      </c>
      <c r="F307">
        <f t="shared" si="9"/>
        <v>0</v>
      </c>
    </row>
    <row r="308" spans="1:6" x14ac:dyDescent="0.35">
      <c r="A308" s="5">
        <v>1439114</v>
      </c>
      <c r="B308" s="6">
        <v>42921</v>
      </c>
      <c r="C308" s="7">
        <v>0.62589120370370366</v>
      </c>
      <c r="D308" s="8">
        <v>0.62774305555555554</v>
      </c>
      <c r="E308">
        <f t="shared" si="8"/>
        <v>1</v>
      </c>
      <c r="F308">
        <f t="shared" si="9"/>
        <v>0</v>
      </c>
    </row>
    <row r="309" spans="1:6" x14ac:dyDescent="0.35">
      <c r="A309" s="9">
        <v>5822881</v>
      </c>
      <c r="B309" s="10">
        <v>42922</v>
      </c>
      <c r="C309" s="11">
        <v>0.33555555555555555</v>
      </c>
      <c r="D309" s="12">
        <v>0.34137731481481481</v>
      </c>
      <c r="E309">
        <f t="shared" si="8"/>
        <v>1</v>
      </c>
      <c r="F309">
        <f t="shared" si="9"/>
        <v>0</v>
      </c>
    </row>
    <row r="310" spans="1:6" x14ac:dyDescent="0.35">
      <c r="A310" s="5">
        <v>6027120</v>
      </c>
      <c r="B310" s="6">
        <v>42922</v>
      </c>
      <c r="C310" s="7">
        <v>0.33814814814814814</v>
      </c>
      <c r="D310" s="8">
        <v>0.34232638888888889</v>
      </c>
      <c r="E310">
        <f t="shared" si="8"/>
        <v>1</v>
      </c>
      <c r="F310">
        <f t="shared" si="9"/>
        <v>0</v>
      </c>
    </row>
    <row r="311" spans="1:6" x14ac:dyDescent="0.35">
      <c r="A311" s="9">
        <v>2790475</v>
      </c>
      <c r="B311" s="10">
        <v>42922</v>
      </c>
      <c r="C311" s="11">
        <v>0.34349537037037037</v>
      </c>
      <c r="D311" s="12">
        <v>0.34965277777777776</v>
      </c>
      <c r="E311">
        <f t="shared" si="8"/>
        <v>1</v>
      </c>
      <c r="F311">
        <f t="shared" si="9"/>
        <v>0</v>
      </c>
    </row>
    <row r="312" spans="1:6" x14ac:dyDescent="0.35">
      <c r="A312" s="5">
        <v>30893038</v>
      </c>
      <c r="B312" s="6">
        <v>42922</v>
      </c>
      <c r="C312" s="7">
        <v>0.34708333333333335</v>
      </c>
      <c r="D312" s="8">
        <v>0.34912037037037036</v>
      </c>
      <c r="E312">
        <f t="shared" si="8"/>
        <v>0</v>
      </c>
      <c r="F312">
        <f t="shared" si="9"/>
        <v>1</v>
      </c>
    </row>
    <row r="313" spans="1:6" x14ac:dyDescent="0.35">
      <c r="A313" s="9">
        <v>5076649</v>
      </c>
      <c r="B313" s="10">
        <v>42922</v>
      </c>
      <c r="C313" s="11">
        <v>0.35163194444444446</v>
      </c>
      <c r="D313" s="12">
        <v>0.35670138888888892</v>
      </c>
      <c r="E313">
        <f t="shared" si="8"/>
        <v>1</v>
      </c>
      <c r="F313">
        <f t="shared" si="9"/>
        <v>0</v>
      </c>
    </row>
    <row r="314" spans="1:6" x14ac:dyDescent="0.35">
      <c r="A314" s="5">
        <v>5013602</v>
      </c>
      <c r="B314" s="6">
        <v>42922</v>
      </c>
      <c r="C314" s="7">
        <v>0.35531249999999998</v>
      </c>
      <c r="D314" s="8">
        <v>0.3630902777777778</v>
      </c>
      <c r="E314">
        <f t="shared" si="8"/>
        <v>1</v>
      </c>
      <c r="F314">
        <f t="shared" si="9"/>
        <v>0</v>
      </c>
    </row>
    <row r="315" spans="1:6" x14ac:dyDescent="0.35">
      <c r="A315" s="9">
        <v>5696056</v>
      </c>
      <c r="B315" s="10">
        <v>42922</v>
      </c>
      <c r="C315" s="11">
        <v>0.36097222222222225</v>
      </c>
      <c r="D315" s="12">
        <v>0.36534722222222221</v>
      </c>
      <c r="E315">
        <f t="shared" si="8"/>
        <v>1</v>
      </c>
      <c r="F315">
        <f t="shared" si="9"/>
        <v>0</v>
      </c>
    </row>
    <row r="316" spans="1:6" x14ac:dyDescent="0.35">
      <c r="A316" s="5">
        <v>11274735</v>
      </c>
      <c r="B316" s="6">
        <v>42922</v>
      </c>
      <c r="C316" s="7">
        <v>0.36618055555555556</v>
      </c>
      <c r="D316" s="8">
        <v>0.37038194444444444</v>
      </c>
      <c r="E316">
        <f t="shared" si="8"/>
        <v>0</v>
      </c>
      <c r="F316">
        <f t="shared" si="9"/>
        <v>1</v>
      </c>
    </row>
    <row r="317" spans="1:6" x14ac:dyDescent="0.35">
      <c r="A317" s="9">
        <v>1158631</v>
      </c>
      <c r="B317" s="10">
        <v>42922</v>
      </c>
      <c r="C317" s="11">
        <v>0.3664351851851852</v>
      </c>
      <c r="D317" s="12">
        <v>0.37646990740740743</v>
      </c>
      <c r="E317">
        <f t="shared" si="8"/>
        <v>1</v>
      </c>
      <c r="F317">
        <f t="shared" si="9"/>
        <v>0</v>
      </c>
    </row>
    <row r="318" spans="1:6" x14ac:dyDescent="0.35">
      <c r="A318" s="5">
        <v>6009110</v>
      </c>
      <c r="B318" s="6">
        <v>42922</v>
      </c>
      <c r="C318" s="7">
        <v>0.37092592592592594</v>
      </c>
      <c r="D318" s="8">
        <v>0.37193287037037037</v>
      </c>
      <c r="E318">
        <f t="shared" si="8"/>
        <v>1</v>
      </c>
      <c r="F318">
        <f t="shared" si="9"/>
        <v>0</v>
      </c>
    </row>
    <row r="319" spans="1:6" x14ac:dyDescent="0.35">
      <c r="A319" s="9">
        <v>6644360383</v>
      </c>
      <c r="B319" s="10">
        <v>42922</v>
      </c>
      <c r="C319" s="11">
        <v>0.37333333333333335</v>
      </c>
      <c r="D319" s="12">
        <v>0.37968750000000001</v>
      </c>
      <c r="E319">
        <f t="shared" si="8"/>
        <v>0</v>
      </c>
      <c r="F319">
        <f t="shared" si="9"/>
        <v>0</v>
      </c>
    </row>
    <row r="320" spans="1:6" x14ac:dyDescent="0.35">
      <c r="A320" s="5">
        <v>6045882</v>
      </c>
      <c r="B320" s="6">
        <v>42922</v>
      </c>
      <c r="C320" s="7">
        <v>0.37799768518518517</v>
      </c>
      <c r="D320" s="8">
        <v>0.38377314814814817</v>
      </c>
      <c r="E320">
        <f t="shared" si="8"/>
        <v>1</v>
      </c>
      <c r="F320">
        <f t="shared" si="9"/>
        <v>0</v>
      </c>
    </row>
    <row r="321" spans="1:6" x14ac:dyDescent="0.35">
      <c r="A321" s="9">
        <v>4113351</v>
      </c>
      <c r="B321" s="10">
        <v>42922</v>
      </c>
      <c r="C321" s="11">
        <v>0.37913194444444442</v>
      </c>
      <c r="D321" s="12">
        <v>0.3800115740740741</v>
      </c>
      <c r="E321">
        <f t="shared" si="8"/>
        <v>1</v>
      </c>
      <c r="F321">
        <f t="shared" si="9"/>
        <v>0</v>
      </c>
    </row>
    <row r="322" spans="1:6" x14ac:dyDescent="0.35">
      <c r="A322" s="5">
        <v>9777118</v>
      </c>
      <c r="B322" s="6">
        <v>42922</v>
      </c>
      <c r="C322" s="7">
        <v>0.38156250000000003</v>
      </c>
      <c r="D322" s="8">
        <v>0.3878240740740741</v>
      </c>
      <c r="E322">
        <f t="shared" si="8"/>
        <v>1</v>
      </c>
      <c r="F322">
        <f t="shared" si="9"/>
        <v>0</v>
      </c>
    </row>
    <row r="323" spans="1:6" x14ac:dyDescent="0.35">
      <c r="A323" s="9">
        <v>1659814</v>
      </c>
      <c r="B323" s="10">
        <v>42922</v>
      </c>
      <c r="C323" s="11">
        <v>0.38416666666666666</v>
      </c>
      <c r="D323" s="12">
        <v>0.39554398148148145</v>
      </c>
      <c r="E323">
        <f t="shared" ref="E323:E386" si="10">IF(LEN(A323)=7,1,0)</f>
        <v>1</v>
      </c>
      <c r="F323">
        <f t="shared" ref="F323:F386" si="11">IF(LEN(A323)=8,1,0)</f>
        <v>0</v>
      </c>
    </row>
    <row r="324" spans="1:6" x14ac:dyDescent="0.35">
      <c r="A324" s="5">
        <v>26204415</v>
      </c>
      <c r="B324" s="6">
        <v>42922</v>
      </c>
      <c r="C324" s="7">
        <v>0.38806712962962964</v>
      </c>
      <c r="D324" s="8">
        <v>0.39144675925925926</v>
      </c>
      <c r="E324">
        <f t="shared" si="10"/>
        <v>0</v>
      </c>
      <c r="F324">
        <f t="shared" si="11"/>
        <v>1</v>
      </c>
    </row>
    <row r="325" spans="1:6" x14ac:dyDescent="0.35">
      <c r="A325" s="9">
        <v>8471544</v>
      </c>
      <c r="B325" s="10">
        <v>42922</v>
      </c>
      <c r="C325" s="11">
        <v>0.38960648148148147</v>
      </c>
      <c r="D325" s="12">
        <v>0.39498842592592592</v>
      </c>
      <c r="E325">
        <f t="shared" si="10"/>
        <v>1</v>
      </c>
      <c r="F325">
        <f t="shared" si="11"/>
        <v>0</v>
      </c>
    </row>
    <row r="326" spans="1:6" x14ac:dyDescent="0.35">
      <c r="A326" s="5">
        <v>3379401</v>
      </c>
      <c r="B326" s="6">
        <v>42922</v>
      </c>
      <c r="C326" s="7">
        <v>0.39466435185185184</v>
      </c>
      <c r="D326" s="8">
        <v>0.40501157407407407</v>
      </c>
      <c r="E326">
        <f t="shared" si="10"/>
        <v>1</v>
      </c>
      <c r="F326">
        <f t="shared" si="11"/>
        <v>0</v>
      </c>
    </row>
    <row r="327" spans="1:6" x14ac:dyDescent="0.35">
      <c r="A327" s="9">
        <v>5912377607</v>
      </c>
      <c r="B327" s="10">
        <v>42922</v>
      </c>
      <c r="C327" s="11">
        <v>0.39613425925925927</v>
      </c>
      <c r="D327" s="12">
        <v>0.39868055555555554</v>
      </c>
      <c r="E327">
        <f t="shared" si="10"/>
        <v>0</v>
      </c>
      <c r="F327">
        <f t="shared" si="11"/>
        <v>0</v>
      </c>
    </row>
    <row r="328" spans="1:6" x14ac:dyDescent="0.35">
      <c r="A328" s="5">
        <v>77705897</v>
      </c>
      <c r="B328" s="6">
        <v>42922</v>
      </c>
      <c r="C328" s="7">
        <v>0.39956018518518521</v>
      </c>
      <c r="D328" s="8">
        <v>0.40025462962962965</v>
      </c>
      <c r="E328">
        <f t="shared" si="10"/>
        <v>0</v>
      </c>
      <c r="F328">
        <f t="shared" si="11"/>
        <v>1</v>
      </c>
    </row>
    <row r="329" spans="1:6" x14ac:dyDescent="0.35">
      <c r="A329" s="9">
        <v>5894865</v>
      </c>
      <c r="B329" s="10">
        <v>42922</v>
      </c>
      <c r="C329" s="11">
        <v>0.40255787037037039</v>
      </c>
      <c r="D329" s="12">
        <v>0.40554398148148146</v>
      </c>
      <c r="E329">
        <f t="shared" si="10"/>
        <v>1</v>
      </c>
      <c r="F329">
        <f t="shared" si="11"/>
        <v>0</v>
      </c>
    </row>
    <row r="330" spans="1:6" x14ac:dyDescent="0.35">
      <c r="A330" s="5">
        <v>7449832</v>
      </c>
      <c r="B330" s="6">
        <v>42922</v>
      </c>
      <c r="C330" s="7">
        <v>0.40559027777777779</v>
      </c>
      <c r="D330" s="8">
        <v>0.41425925925925927</v>
      </c>
      <c r="E330">
        <f t="shared" si="10"/>
        <v>1</v>
      </c>
      <c r="F330">
        <f t="shared" si="11"/>
        <v>0</v>
      </c>
    </row>
    <row r="331" spans="1:6" x14ac:dyDescent="0.35">
      <c r="A331" s="9">
        <v>49390412</v>
      </c>
      <c r="B331" s="10">
        <v>42922</v>
      </c>
      <c r="C331" s="11">
        <v>0.40645833333333331</v>
      </c>
      <c r="D331" s="12">
        <v>0.41598379629629628</v>
      </c>
      <c r="E331">
        <f t="shared" si="10"/>
        <v>0</v>
      </c>
      <c r="F331">
        <f t="shared" si="11"/>
        <v>1</v>
      </c>
    </row>
    <row r="332" spans="1:6" x14ac:dyDescent="0.35">
      <c r="A332" s="5">
        <v>6156594</v>
      </c>
      <c r="B332" s="6">
        <v>42922</v>
      </c>
      <c r="C332" s="7">
        <v>0.41142361111111109</v>
      </c>
      <c r="D332" s="8">
        <v>0.42168981481481482</v>
      </c>
      <c r="E332">
        <f t="shared" si="10"/>
        <v>1</v>
      </c>
      <c r="F332">
        <f t="shared" si="11"/>
        <v>0</v>
      </c>
    </row>
    <row r="333" spans="1:6" x14ac:dyDescent="0.35">
      <c r="A333" s="9">
        <v>5006675</v>
      </c>
      <c r="B333" s="10">
        <v>42922</v>
      </c>
      <c r="C333" s="11">
        <v>0.4129976851851852</v>
      </c>
      <c r="D333" s="12">
        <v>0.41953703703703704</v>
      </c>
      <c r="E333">
        <f t="shared" si="10"/>
        <v>1</v>
      </c>
      <c r="F333">
        <f t="shared" si="11"/>
        <v>0</v>
      </c>
    </row>
    <row r="334" spans="1:6" x14ac:dyDescent="0.35">
      <c r="A334" s="5">
        <v>2096180</v>
      </c>
      <c r="B334" s="6">
        <v>42922</v>
      </c>
      <c r="C334" s="7">
        <v>0.41351851851851851</v>
      </c>
      <c r="D334" s="8">
        <v>0.41670138888888891</v>
      </c>
      <c r="E334">
        <f t="shared" si="10"/>
        <v>1</v>
      </c>
      <c r="F334">
        <f t="shared" si="11"/>
        <v>0</v>
      </c>
    </row>
    <row r="335" spans="1:6" x14ac:dyDescent="0.35">
      <c r="A335" s="9">
        <v>8214927</v>
      </c>
      <c r="B335" s="10">
        <v>42922</v>
      </c>
      <c r="C335" s="11">
        <v>0.41638888888888886</v>
      </c>
      <c r="D335" s="12">
        <v>0.42116898148148146</v>
      </c>
      <c r="E335">
        <f t="shared" si="10"/>
        <v>1</v>
      </c>
      <c r="F335">
        <f t="shared" si="11"/>
        <v>0</v>
      </c>
    </row>
    <row r="336" spans="1:6" x14ac:dyDescent="0.35">
      <c r="A336" s="5">
        <v>5816822</v>
      </c>
      <c r="B336" s="6">
        <v>42922</v>
      </c>
      <c r="C336" s="7">
        <v>0.41684027777777777</v>
      </c>
      <c r="D336" s="8">
        <v>0.4230902777777778</v>
      </c>
      <c r="E336">
        <f t="shared" si="10"/>
        <v>1</v>
      </c>
      <c r="F336">
        <f t="shared" si="11"/>
        <v>0</v>
      </c>
    </row>
    <row r="337" spans="1:6" x14ac:dyDescent="0.35">
      <c r="A337" s="9">
        <v>9683894</v>
      </c>
      <c r="B337" s="10">
        <v>42922</v>
      </c>
      <c r="C337" s="11">
        <v>0.42046296296296298</v>
      </c>
      <c r="D337" s="12">
        <v>0.42086805555555556</v>
      </c>
      <c r="E337">
        <f t="shared" si="10"/>
        <v>1</v>
      </c>
      <c r="F337">
        <f t="shared" si="11"/>
        <v>0</v>
      </c>
    </row>
    <row r="338" spans="1:6" x14ac:dyDescent="0.35">
      <c r="A338" s="5">
        <v>2808052</v>
      </c>
      <c r="B338" s="6">
        <v>42922</v>
      </c>
      <c r="C338" s="7">
        <v>0.42144675925925928</v>
      </c>
      <c r="D338" s="8">
        <v>0.43079861111111112</v>
      </c>
      <c r="E338">
        <f t="shared" si="10"/>
        <v>1</v>
      </c>
      <c r="F338">
        <f t="shared" si="11"/>
        <v>0</v>
      </c>
    </row>
    <row r="339" spans="1:6" x14ac:dyDescent="0.35">
      <c r="A339" s="9">
        <v>18084593</v>
      </c>
      <c r="B339" s="10">
        <v>42922</v>
      </c>
      <c r="C339" s="11">
        <v>0.42482638888888891</v>
      </c>
      <c r="D339" s="12">
        <v>0.43292824074074077</v>
      </c>
      <c r="E339">
        <f t="shared" si="10"/>
        <v>0</v>
      </c>
      <c r="F339">
        <f t="shared" si="11"/>
        <v>1</v>
      </c>
    </row>
    <row r="340" spans="1:6" x14ac:dyDescent="0.35">
      <c r="A340" s="5">
        <v>1390402</v>
      </c>
      <c r="B340" s="6">
        <v>42922</v>
      </c>
      <c r="C340" s="7">
        <v>0.42880787037037038</v>
      </c>
      <c r="D340" s="8">
        <v>0.44034722222222222</v>
      </c>
      <c r="E340">
        <f t="shared" si="10"/>
        <v>1</v>
      </c>
      <c r="F340">
        <f t="shared" si="11"/>
        <v>0</v>
      </c>
    </row>
    <row r="341" spans="1:6" x14ac:dyDescent="0.35">
      <c r="A341" s="9">
        <v>44200961</v>
      </c>
      <c r="B341" s="10">
        <v>42922</v>
      </c>
      <c r="C341" s="11">
        <v>0.42920138888888887</v>
      </c>
      <c r="D341" s="12">
        <v>0.43532407407407409</v>
      </c>
      <c r="E341">
        <f t="shared" si="10"/>
        <v>0</v>
      </c>
      <c r="F341">
        <f t="shared" si="11"/>
        <v>1</v>
      </c>
    </row>
    <row r="342" spans="1:6" x14ac:dyDescent="0.35">
      <c r="A342" s="5">
        <v>5859235</v>
      </c>
      <c r="B342" s="6">
        <v>42922</v>
      </c>
      <c r="C342" s="7">
        <v>0.43037037037037035</v>
      </c>
      <c r="D342" s="8">
        <v>0.4344675925925926</v>
      </c>
      <c r="E342">
        <f t="shared" si="10"/>
        <v>1</v>
      </c>
      <c r="F342">
        <f t="shared" si="11"/>
        <v>0</v>
      </c>
    </row>
    <row r="343" spans="1:6" x14ac:dyDescent="0.35">
      <c r="A343" s="9">
        <v>51855396</v>
      </c>
      <c r="B343" s="10">
        <v>42922</v>
      </c>
      <c r="C343" s="11">
        <v>0.43266203703703704</v>
      </c>
      <c r="D343" s="12">
        <v>0.44364583333333335</v>
      </c>
      <c r="E343">
        <f t="shared" si="10"/>
        <v>0</v>
      </c>
      <c r="F343">
        <f t="shared" si="11"/>
        <v>1</v>
      </c>
    </row>
    <row r="344" spans="1:6" x14ac:dyDescent="0.35">
      <c r="A344" s="5">
        <v>8768896</v>
      </c>
      <c r="B344" s="6">
        <v>42922</v>
      </c>
      <c r="C344" s="7">
        <v>0.43590277777777775</v>
      </c>
      <c r="D344" s="8">
        <v>0.44127314814814816</v>
      </c>
      <c r="E344">
        <f t="shared" si="10"/>
        <v>1</v>
      </c>
      <c r="F344">
        <f t="shared" si="11"/>
        <v>0</v>
      </c>
    </row>
    <row r="345" spans="1:6" x14ac:dyDescent="0.35">
      <c r="A345" s="9">
        <v>9088045</v>
      </c>
      <c r="B345" s="10">
        <v>42922</v>
      </c>
      <c r="C345" s="11">
        <v>0.44063657407407408</v>
      </c>
      <c r="D345" s="12">
        <v>0.44285879629629632</v>
      </c>
      <c r="E345">
        <f t="shared" si="10"/>
        <v>1</v>
      </c>
      <c r="F345">
        <f t="shared" si="11"/>
        <v>0</v>
      </c>
    </row>
    <row r="346" spans="1:6" x14ac:dyDescent="0.35">
      <c r="A346" s="5">
        <v>9872216</v>
      </c>
      <c r="B346" s="6">
        <v>42922</v>
      </c>
      <c r="C346" s="7">
        <v>0.44200231481481483</v>
      </c>
      <c r="D346" s="8">
        <v>0.44886574074074076</v>
      </c>
      <c r="E346">
        <f t="shared" si="10"/>
        <v>1</v>
      </c>
      <c r="F346">
        <f t="shared" si="11"/>
        <v>0</v>
      </c>
    </row>
    <row r="347" spans="1:6" x14ac:dyDescent="0.35">
      <c r="A347" s="9">
        <v>8369815</v>
      </c>
      <c r="B347" s="10">
        <v>42922</v>
      </c>
      <c r="C347" s="11">
        <v>0.44350694444444444</v>
      </c>
      <c r="D347" s="12">
        <v>0.44528935185185187</v>
      </c>
      <c r="E347">
        <f t="shared" si="10"/>
        <v>1</v>
      </c>
      <c r="F347">
        <f t="shared" si="11"/>
        <v>0</v>
      </c>
    </row>
    <row r="348" spans="1:6" x14ac:dyDescent="0.35">
      <c r="A348" s="5">
        <v>3370151</v>
      </c>
      <c r="B348" s="6">
        <v>42922</v>
      </c>
      <c r="C348" s="7">
        <v>0.44452546296296297</v>
      </c>
      <c r="D348" s="8">
        <v>0.44923611111111111</v>
      </c>
      <c r="E348">
        <f t="shared" si="10"/>
        <v>1</v>
      </c>
      <c r="F348">
        <f t="shared" si="11"/>
        <v>0</v>
      </c>
    </row>
    <row r="349" spans="1:6" x14ac:dyDescent="0.35">
      <c r="A349" s="9">
        <v>1488369</v>
      </c>
      <c r="B349" s="10">
        <v>42922</v>
      </c>
      <c r="C349" s="11">
        <v>0.44871527777777775</v>
      </c>
      <c r="D349" s="12">
        <v>0.45627314814814812</v>
      </c>
      <c r="E349">
        <f t="shared" si="10"/>
        <v>1</v>
      </c>
      <c r="F349">
        <f t="shared" si="11"/>
        <v>0</v>
      </c>
    </row>
    <row r="350" spans="1:6" x14ac:dyDescent="0.35">
      <c r="A350" s="5">
        <v>4132754</v>
      </c>
      <c r="B350" s="6">
        <v>42922</v>
      </c>
      <c r="C350" s="7">
        <v>0.45281250000000001</v>
      </c>
      <c r="D350" s="8">
        <v>0.45374999999999999</v>
      </c>
      <c r="E350">
        <f t="shared" si="10"/>
        <v>1</v>
      </c>
      <c r="F350">
        <f t="shared" si="11"/>
        <v>0</v>
      </c>
    </row>
    <row r="351" spans="1:6" x14ac:dyDescent="0.35">
      <c r="A351" s="9">
        <v>66638685</v>
      </c>
      <c r="B351" s="10">
        <v>42922</v>
      </c>
      <c r="C351" s="11">
        <v>0.45401620370370371</v>
      </c>
      <c r="D351" s="12">
        <v>0.46406249999999999</v>
      </c>
      <c r="E351">
        <f t="shared" si="10"/>
        <v>0</v>
      </c>
      <c r="F351">
        <f t="shared" si="11"/>
        <v>1</v>
      </c>
    </row>
    <row r="352" spans="1:6" x14ac:dyDescent="0.35">
      <c r="A352" s="5">
        <v>6818507</v>
      </c>
      <c r="B352" s="6">
        <v>42922</v>
      </c>
      <c r="C352" s="7">
        <v>0.4584259259259259</v>
      </c>
      <c r="D352" s="8">
        <v>0.46380787037037036</v>
      </c>
      <c r="E352">
        <f t="shared" si="10"/>
        <v>1</v>
      </c>
      <c r="F352">
        <f t="shared" si="11"/>
        <v>0</v>
      </c>
    </row>
    <row r="353" spans="1:6" x14ac:dyDescent="0.35">
      <c r="A353" s="9">
        <v>93611539</v>
      </c>
      <c r="B353" s="10">
        <v>42922</v>
      </c>
      <c r="C353" s="11">
        <v>0.45853009259259259</v>
      </c>
      <c r="D353" s="12">
        <v>0.46674768518518517</v>
      </c>
      <c r="E353">
        <f t="shared" si="10"/>
        <v>0</v>
      </c>
      <c r="F353">
        <f t="shared" si="11"/>
        <v>1</v>
      </c>
    </row>
    <row r="354" spans="1:6" x14ac:dyDescent="0.35">
      <c r="A354" s="5">
        <v>2890519255</v>
      </c>
      <c r="B354" s="6">
        <v>42922</v>
      </c>
      <c r="C354" s="7">
        <v>0.4613888888888889</v>
      </c>
      <c r="D354" s="8">
        <v>0.46836805555555555</v>
      </c>
      <c r="E354">
        <f t="shared" si="10"/>
        <v>0</v>
      </c>
      <c r="F354">
        <f t="shared" si="11"/>
        <v>0</v>
      </c>
    </row>
    <row r="355" spans="1:6" x14ac:dyDescent="0.35">
      <c r="A355" s="9">
        <v>66336445</v>
      </c>
      <c r="B355" s="10">
        <v>42922</v>
      </c>
      <c r="C355" s="11">
        <v>0.46322916666666669</v>
      </c>
      <c r="D355" s="12">
        <v>0.4642013888888889</v>
      </c>
      <c r="E355">
        <f t="shared" si="10"/>
        <v>0</v>
      </c>
      <c r="F355">
        <f t="shared" si="11"/>
        <v>1</v>
      </c>
    </row>
    <row r="356" spans="1:6" x14ac:dyDescent="0.35">
      <c r="A356" s="5">
        <v>9356324</v>
      </c>
      <c r="B356" s="6">
        <v>42922</v>
      </c>
      <c r="C356" s="7">
        <v>0.46339120370370368</v>
      </c>
      <c r="D356" s="8">
        <v>0.47425925925925927</v>
      </c>
      <c r="E356">
        <f t="shared" si="10"/>
        <v>1</v>
      </c>
      <c r="F356">
        <f t="shared" si="11"/>
        <v>0</v>
      </c>
    </row>
    <row r="357" spans="1:6" x14ac:dyDescent="0.35">
      <c r="A357" s="9">
        <v>5111892302</v>
      </c>
      <c r="B357" s="10">
        <v>42922</v>
      </c>
      <c r="C357" s="11">
        <v>0.46871527777777777</v>
      </c>
      <c r="D357" s="12">
        <v>0.47319444444444442</v>
      </c>
      <c r="E357">
        <f t="shared" si="10"/>
        <v>0</v>
      </c>
      <c r="F357">
        <f t="shared" si="11"/>
        <v>0</v>
      </c>
    </row>
    <row r="358" spans="1:6" x14ac:dyDescent="0.35">
      <c r="A358" s="5">
        <v>2435007</v>
      </c>
      <c r="B358" s="6">
        <v>42922</v>
      </c>
      <c r="C358" s="7">
        <v>0.47395833333333331</v>
      </c>
      <c r="D358" s="8">
        <v>0.47423611111111114</v>
      </c>
      <c r="E358">
        <f t="shared" si="10"/>
        <v>1</v>
      </c>
      <c r="F358">
        <f t="shared" si="11"/>
        <v>0</v>
      </c>
    </row>
    <row r="359" spans="1:6" x14ac:dyDescent="0.35">
      <c r="A359" s="9">
        <v>6694568</v>
      </c>
      <c r="B359" s="10">
        <v>42922</v>
      </c>
      <c r="C359" s="11">
        <v>0.47865740740740742</v>
      </c>
      <c r="D359" s="12">
        <v>0.48923611111111109</v>
      </c>
      <c r="E359">
        <f t="shared" si="10"/>
        <v>1</v>
      </c>
      <c r="F359">
        <f t="shared" si="11"/>
        <v>0</v>
      </c>
    </row>
    <row r="360" spans="1:6" x14ac:dyDescent="0.35">
      <c r="A360" s="5">
        <v>6420583</v>
      </c>
      <c r="B360" s="6">
        <v>42922</v>
      </c>
      <c r="C360" s="7">
        <v>0.48</v>
      </c>
      <c r="D360" s="8">
        <v>0.48539351851851853</v>
      </c>
      <c r="E360">
        <f t="shared" si="10"/>
        <v>1</v>
      </c>
      <c r="F360">
        <f t="shared" si="11"/>
        <v>0</v>
      </c>
    </row>
    <row r="361" spans="1:6" x14ac:dyDescent="0.35">
      <c r="A361" s="9">
        <v>19835498</v>
      </c>
      <c r="B361" s="10">
        <v>42922</v>
      </c>
      <c r="C361" s="11">
        <v>0.48478009259259258</v>
      </c>
      <c r="D361" s="12">
        <v>0.49233796296296295</v>
      </c>
      <c r="E361">
        <f t="shared" si="10"/>
        <v>0</v>
      </c>
      <c r="F361">
        <f t="shared" si="11"/>
        <v>1</v>
      </c>
    </row>
    <row r="362" spans="1:6" x14ac:dyDescent="0.35">
      <c r="A362" s="5">
        <v>6663334</v>
      </c>
      <c r="B362" s="6">
        <v>42922</v>
      </c>
      <c r="C362" s="7">
        <v>0.48605324074074074</v>
      </c>
      <c r="D362" s="8">
        <v>0.49381944444444442</v>
      </c>
      <c r="E362">
        <f t="shared" si="10"/>
        <v>1</v>
      </c>
      <c r="F362">
        <f t="shared" si="11"/>
        <v>0</v>
      </c>
    </row>
    <row r="363" spans="1:6" x14ac:dyDescent="0.35">
      <c r="A363" s="9">
        <v>44765837</v>
      </c>
      <c r="B363" s="10">
        <v>42922</v>
      </c>
      <c r="C363" s="11">
        <v>0.4887037037037037</v>
      </c>
      <c r="D363" s="12">
        <v>0.49343749999999997</v>
      </c>
      <c r="E363">
        <f t="shared" si="10"/>
        <v>0</v>
      </c>
      <c r="F363">
        <f t="shared" si="11"/>
        <v>1</v>
      </c>
    </row>
    <row r="364" spans="1:6" x14ac:dyDescent="0.35">
      <c r="A364" s="5">
        <v>2469778</v>
      </c>
      <c r="B364" s="6">
        <v>42922</v>
      </c>
      <c r="C364" s="7">
        <v>0.49236111111111114</v>
      </c>
      <c r="D364" s="8">
        <v>0.49780092592592595</v>
      </c>
      <c r="E364">
        <f t="shared" si="10"/>
        <v>1</v>
      </c>
      <c r="F364">
        <f t="shared" si="11"/>
        <v>0</v>
      </c>
    </row>
    <row r="365" spans="1:6" x14ac:dyDescent="0.35">
      <c r="A365" s="9">
        <v>1959826</v>
      </c>
      <c r="B365" s="10">
        <v>42922</v>
      </c>
      <c r="C365" s="11">
        <v>0.49372685185185183</v>
      </c>
      <c r="D365" s="12">
        <v>0.50436342592592598</v>
      </c>
      <c r="E365">
        <f t="shared" si="10"/>
        <v>1</v>
      </c>
      <c r="F365">
        <f t="shared" si="11"/>
        <v>0</v>
      </c>
    </row>
    <row r="366" spans="1:6" x14ac:dyDescent="0.35">
      <c r="A366" s="5">
        <v>37032078</v>
      </c>
      <c r="B366" s="6">
        <v>42922</v>
      </c>
      <c r="C366" s="7">
        <v>0.49387731481481484</v>
      </c>
      <c r="D366" s="8">
        <v>0.50420138888888888</v>
      </c>
      <c r="E366">
        <f t="shared" si="10"/>
        <v>0</v>
      </c>
      <c r="F366">
        <f t="shared" si="11"/>
        <v>1</v>
      </c>
    </row>
    <row r="367" spans="1:6" x14ac:dyDescent="0.35">
      <c r="A367" s="9">
        <v>6516512</v>
      </c>
      <c r="B367" s="10">
        <v>42922</v>
      </c>
      <c r="C367" s="11">
        <v>0.49438657407407405</v>
      </c>
      <c r="D367" s="12">
        <v>0.49909722222222225</v>
      </c>
      <c r="E367">
        <f t="shared" si="10"/>
        <v>1</v>
      </c>
      <c r="F367">
        <f t="shared" si="11"/>
        <v>0</v>
      </c>
    </row>
    <row r="368" spans="1:6" x14ac:dyDescent="0.35">
      <c r="A368" s="5">
        <v>4726561</v>
      </c>
      <c r="B368" s="6">
        <v>42922</v>
      </c>
      <c r="C368" s="7">
        <v>0.49910879629629629</v>
      </c>
      <c r="D368" s="8">
        <v>0.5009837962962963</v>
      </c>
      <c r="E368">
        <f t="shared" si="10"/>
        <v>1</v>
      </c>
      <c r="F368">
        <f t="shared" si="11"/>
        <v>0</v>
      </c>
    </row>
    <row r="369" spans="1:6" x14ac:dyDescent="0.35">
      <c r="A369" s="9">
        <v>9685747</v>
      </c>
      <c r="B369" s="10">
        <v>42922</v>
      </c>
      <c r="C369" s="11">
        <v>0.50342592592592594</v>
      </c>
      <c r="D369" s="12">
        <v>0.51392361111111107</v>
      </c>
      <c r="E369">
        <f t="shared" si="10"/>
        <v>1</v>
      </c>
      <c r="F369">
        <f t="shared" si="11"/>
        <v>0</v>
      </c>
    </row>
    <row r="370" spans="1:6" x14ac:dyDescent="0.35">
      <c r="A370" s="5">
        <v>7507354</v>
      </c>
      <c r="B370" s="6">
        <v>42922</v>
      </c>
      <c r="C370" s="7">
        <v>0.50700231481481484</v>
      </c>
      <c r="D370" s="8">
        <v>0.51186342592592593</v>
      </c>
      <c r="E370">
        <f t="shared" si="10"/>
        <v>1</v>
      </c>
      <c r="F370">
        <f t="shared" si="11"/>
        <v>0</v>
      </c>
    </row>
    <row r="371" spans="1:6" x14ac:dyDescent="0.35">
      <c r="A371" s="9">
        <v>8605742</v>
      </c>
      <c r="B371" s="10">
        <v>42922</v>
      </c>
      <c r="C371" s="11">
        <v>0.5119097222222222</v>
      </c>
      <c r="D371" s="12">
        <v>0.52288194444444447</v>
      </c>
      <c r="E371">
        <f t="shared" si="10"/>
        <v>1</v>
      </c>
      <c r="F371">
        <f t="shared" si="11"/>
        <v>0</v>
      </c>
    </row>
    <row r="372" spans="1:6" x14ac:dyDescent="0.35">
      <c r="A372" s="5">
        <v>4681236</v>
      </c>
      <c r="B372" s="6">
        <v>42922</v>
      </c>
      <c r="C372" s="7">
        <v>0.51452546296296298</v>
      </c>
      <c r="D372" s="8">
        <v>0.51570601851851849</v>
      </c>
      <c r="E372">
        <f t="shared" si="10"/>
        <v>1</v>
      </c>
      <c r="F372">
        <f t="shared" si="11"/>
        <v>0</v>
      </c>
    </row>
    <row r="373" spans="1:6" x14ac:dyDescent="0.35">
      <c r="A373" s="9">
        <v>3590468</v>
      </c>
      <c r="B373" s="10">
        <v>42922</v>
      </c>
      <c r="C373" s="11">
        <v>0.51556712962962958</v>
      </c>
      <c r="D373" s="12">
        <v>0.52572916666666669</v>
      </c>
      <c r="E373">
        <f t="shared" si="10"/>
        <v>1</v>
      </c>
      <c r="F373">
        <f t="shared" si="11"/>
        <v>0</v>
      </c>
    </row>
    <row r="374" spans="1:6" x14ac:dyDescent="0.35">
      <c r="A374" s="5">
        <v>9878283</v>
      </c>
      <c r="B374" s="6">
        <v>42922</v>
      </c>
      <c r="C374" s="7">
        <v>0.51858796296296295</v>
      </c>
      <c r="D374" s="8">
        <v>0.52776620370370375</v>
      </c>
      <c r="E374">
        <f t="shared" si="10"/>
        <v>1</v>
      </c>
      <c r="F374">
        <f t="shared" si="11"/>
        <v>0</v>
      </c>
    </row>
    <row r="375" spans="1:6" x14ac:dyDescent="0.35">
      <c r="A375" s="9">
        <v>5991516</v>
      </c>
      <c r="B375" s="10">
        <v>42922</v>
      </c>
      <c r="C375" s="11">
        <v>0.52217592592592588</v>
      </c>
      <c r="D375" s="12">
        <v>0.53173611111111108</v>
      </c>
      <c r="E375">
        <f t="shared" si="10"/>
        <v>1</v>
      </c>
      <c r="F375">
        <f t="shared" si="11"/>
        <v>0</v>
      </c>
    </row>
    <row r="376" spans="1:6" x14ac:dyDescent="0.35">
      <c r="A376" s="5">
        <v>1240369</v>
      </c>
      <c r="B376" s="6">
        <v>42922</v>
      </c>
      <c r="C376" s="7">
        <v>0.52767361111111111</v>
      </c>
      <c r="D376" s="8">
        <v>0.52850694444444446</v>
      </c>
      <c r="E376">
        <f t="shared" si="10"/>
        <v>1</v>
      </c>
      <c r="F376">
        <f t="shared" si="11"/>
        <v>0</v>
      </c>
    </row>
    <row r="377" spans="1:6" x14ac:dyDescent="0.35">
      <c r="A377" s="9">
        <v>25133293</v>
      </c>
      <c r="B377" s="10">
        <v>42922</v>
      </c>
      <c r="C377" s="11">
        <v>0.528900462962963</v>
      </c>
      <c r="D377" s="12">
        <v>0.53740740740740744</v>
      </c>
      <c r="E377">
        <f t="shared" si="10"/>
        <v>0</v>
      </c>
      <c r="F377">
        <f t="shared" si="11"/>
        <v>1</v>
      </c>
    </row>
    <row r="378" spans="1:6" x14ac:dyDescent="0.35">
      <c r="A378" s="5">
        <v>5036422</v>
      </c>
      <c r="B378" s="6">
        <v>42922</v>
      </c>
      <c r="C378" s="7">
        <v>0.52986111111111112</v>
      </c>
      <c r="D378" s="8">
        <v>0.53047453703703706</v>
      </c>
      <c r="E378">
        <f t="shared" si="10"/>
        <v>1</v>
      </c>
      <c r="F378">
        <f t="shared" si="11"/>
        <v>0</v>
      </c>
    </row>
    <row r="379" spans="1:6" x14ac:dyDescent="0.35">
      <c r="A379" s="9">
        <v>4283724</v>
      </c>
      <c r="B379" s="10">
        <v>42922</v>
      </c>
      <c r="C379" s="11">
        <v>0.53134259259259264</v>
      </c>
      <c r="D379" s="12">
        <v>0.53738425925925926</v>
      </c>
      <c r="E379">
        <f t="shared" si="10"/>
        <v>1</v>
      </c>
      <c r="F379">
        <f t="shared" si="11"/>
        <v>0</v>
      </c>
    </row>
    <row r="380" spans="1:6" x14ac:dyDescent="0.35">
      <c r="A380" s="5">
        <v>5856822</v>
      </c>
      <c r="B380" s="6">
        <v>42922</v>
      </c>
      <c r="C380" s="7">
        <v>0.533599537037037</v>
      </c>
      <c r="D380" s="8">
        <v>0.53469907407407402</v>
      </c>
      <c r="E380">
        <f t="shared" si="10"/>
        <v>1</v>
      </c>
      <c r="F380">
        <f t="shared" si="11"/>
        <v>0</v>
      </c>
    </row>
    <row r="381" spans="1:6" x14ac:dyDescent="0.35">
      <c r="A381" s="9">
        <v>7880396</v>
      </c>
      <c r="B381" s="10">
        <v>42922</v>
      </c>
      <c r="C381" s="11">
        <v>0.53796296296296298</v>
      </c>
      <c r="D381" s="12">
        <v>0.54479166666666667</v>
      </c>
      <c r="E381">
        <f t="shared" si="10"/>
        <v>1</v>
      </c>
      <c r="F381">
        <f t="shared" si="11"/>
        <v>0</v>
      </c>
    </row>
    <row r="382" spans="1:6" x14ac:dyDescent="0.35">
      <c r="A382" s="5">
        <v>2201085</v>
      </c>
      <c r="B382" s="6">
        <v>42922</v>
      </c>
      <c r="C382" s="7">
        <v>0.54072916666666671</v>
      </c>
      <c r="D382" s="8">
        <v>0.544525462962963</v>
      </c>
      <c r="E382">
        <f t="shared" si="10"/>
        <v>1</v>
      </c>
      <c r="F382">
        <f t="shared" si="11"/>
        <v>0</v>
      </c>
    </row>
    <row r="383" spans="1:6" x14ac:dyDescent="0.35">
      <c r="A383" s="9">
        <v>30893038</v>
      </c>
      <c r="B383" s="10">
        <v>42922</v>
      </c>
      <c r="C383" s="11">
        <v>0.54082175925925924</v>
      </c>
      <c r="D383" s="12">
        <v>0.54995370370370367</v>
      </c>
      <c r="E383">
        <f t="shared" si="10"/>
        <v>0</v>
      </c>
      <c r="F383">
        <f t="shared" si="11"/>
        <v>1</v>
      </c>
    </row>
    <row r="384" spans="1:6" x14ac:dyDescent="0.35">
      <c r="A384" s="5">
        <v>9319894</v>
      </c>
      <c r="B384" s="6">
        <v>42922</v>
      </c>
      <c r="C384" s="7">
        <v>0.54207175925925921</v>
      </c>
      <c r="D384" s="8">
        <v>0.54953703703703705</v>
      </c>
      <c r="E384">
        <f t="shared" si="10"/>
        <v>1</v>
      </c>
      <c r="F384">
        <f t="shared" si="11"/>
        <v>0</v>
      </c>
    </row>
    <row r="385" spans="1:6" x14ac:dyDescent="0.35">
      <c r="A385" s="9">
        <v>3211876</v>
      </c>
      <c r="B385" s="10">
        <v>42922</v>
      </c>
      <c r="C385" s="11">
        <v>0.54693287037037042</v>
      </c>
      <c r="D385" s="12">
        <v>0.54781250000000004</v>
      </c>
      <c r="E385">
        <f t="shared" si="10"/>
        <v>1</v>
      </c>
      <c r="F385">
        <f t="shared" si="11"/>
        <v>0</v>
      </c>
    </row>
    <row r="386" spans="1:6" x14ac:dyDescent="0.35">
      <c r="A386" s="5">
        <v>4736016</v>
      </c>
      <c r="B386" s="6">
        <v>42922</v>
      </c>
      <c r="C386" s="7">
        <v>0.55115740740740737</v>
      </c>
      <c r="D386" s="8">
        <v>0.55248842592592595</v>
      </c>
      <c r="E386">
        <f t="shared" si="10"/>
        <v>1</v>
      </c>
      <c r="F386">
        <f t="shared" si="11"/>
        <v>0</v>
      </c>
    </row>
    <row r="387" spans="1:6" x14ac:dyDescent="0.35">
      <c r="A387" s="9">
        <v>8063487</v>
      </c>
      <c r="B387" s="10">
        <v>42922</v>
      </c>
      <c r="C387" s="11">
        <v>0.55269675925925921</v>
      </c>
      <c r="D387" s="12">
        <v>0.56017361111111108</v>
      </c>
      <c r="E387">
        <f t="shared" ref="E387:E450" si="12">IF(LEN(A387)=7,1,0)</f>
        <v>1</v>
      </c>
      <c r="F387">
        <f t="shared" ref="F387:F450" si="13">IF(LEN(A387)=8,1,0)</f>
        <v>0</v>
      </c>
    </row>
    <row r="388" spans="1:6" x14ac:dyDescent="0.35">
      <c r="A388" s="5">
        <v>1319121</v>
      </c>
      <c r="B388" s="6">
        <v>42922</v>
      </c>
      <c r="C388" s="7">
        <v>0.55652777777777773</v>
      </c>
      <c r="D388" s="8">
        <v>0.55682870370370374</v>
      </c>
      <c r="E388">
        <f t="shared" si="12"/>
        <v>1</v>
      </c>
      <c r="F388">
        <f t="shared" si="13"/>
        <v>0</v>
      </c>
    </row>
    <row r="389" spans="1:6" x14ac:dyDescent="0.35">
      <c r="A389" s="9">
        <v>5026277</v>
      </c>
      <c r="B389" s="10">
        <v>42922</v>
      </c>
      <c r="C389" s="11">
        <v>0.55969907407407404</v>
      </c>
      <c r="D389" s="12">
        <v>0.5655324074074074</v>
      </c>
      <c r="E389">
        <f t="shared" si="12"/>
        <v>1</v>
      </c>
      <c r="F389">
        <f t="shared" si="13"/>
        <v>0</v>
      </c>
    </row>
    <row r="390" spans="1:6" x14ac:dyDescent="0.35">
      <c r="A390" s="5">
        <v>8768896</v>
      </c>
      <c r="B390" s="6">
        <v>42922</v>
      </c>
      <c r="C390" s="7">
        <v>0.55982638888888892</v>
      </c>
      <c r="D390" s="8">
        <v>0.57039351851851849</v>
      </c>
      <c r="E390">
        <f t="shared" si="12"/>
        <v>1</v>
      </c>
      <c r="F390">
        <f t="shared" si="13"/>
        <v>0</v>
      </c>
    </row>
    <row r="391" spans="1:6" x14ac:dyDescent="0.35">
      <c r="A391" s="9">
        <v>48661666</v>
      </c>
      <c r="B391" s="10">
        <v>42922</v>
      </c>
      <c r="C391" s="11">
        <v>0.56123842592592588</v>
      </c>
      <c r="D391" s="12">
        <v>0.56376157407407412</v>
      </c>
      <c r="E391">
        <f t="shared" si="12"/>
        <v>0</v>
      </c>
      <c r="F391">
        <f t="shared" si="13"/>
        <v>1</v>
      </c>
    </row>
    <row r="392" spans="1:6" x14ac:dyDescent="0.35">
      <c r="A392" s="5">
        <v>9304830</v>
      </c>
      <c r="B392" s="6">
        <v>42922</v>
      </c>
      <c r="C392" s="7">
        <v>0.56671296296296292</v>
      </c>
      <c r="D392" s="8">
        <v>0.56832175925925921</v>
      </c>
      <c r="E392">
        <f t="shared" si="12"/>
        <v>1</v>
      </c>
      <c r="F392">
        <f t="shared" si="13"/>
        <v>0</v>
      </c>
    </row>
    <row r="393" spans="1:6" x14ac:dyDescent="0.35">
      <c r="A393" s="9">
        <v>3040267</v>
      </c>
      <c r="B393" s="10">
        <v>42922</v>
      </c>
      <c r="C393" s="11">
        <v>0.56738425925925928</v>
      </c>
      <c r="D393" s="12">
        <v>0.578587962962963</v>
      </c>
      <c r="E393">
        <f t="shared" si="12"/>
        <v>1</v>
      </c>
      <c r="F393">
        <f t="shared" si="13"/>
        <v>0</v>
      </c>
    </row>
    <row r="394" spans="1:6" x14ac:dyDescent="0.35">
      <c r="A394" s="5">
        <v>8405954</v>
      </c>
      <c r="B394" s="6">
        <v>42922</v>
      </c>
      <c r="C394" s="7">
        <v>0.57164351851851847</v>
      </c>
      <c r="D394" s="8">
        <v>0.57528935185185182</v>
      </c>
      <c r="E394">
        <f t="shared" si="12"/>
        <v>1</v>
      </c>
      <c r="F394">
        <f t="shared" si="13"/>
        <v>0</v>
      </c>
    </row>
    <row r="395" spans="1:6" x14ac:dyDescent="0.35">
      <c r="A395" s="9">
        <v>75873682</v>
      </c>
      <c r="B395" s="10">
        <v>42922</v>
      </c>
      <c r="C395" s="11">
        <v>0.57399305555555558</v>
      </c>
      <c r="D395" s="12">
        <v>0.58403935185185185</v>
      </c>
      <c r="E395">
        <f t="shared" si="12"/>
        <v>0</v>
      </c>
      <c r="F395">
        <f t="shared" si="13"/>
        <v>1</v>
      </c>
    </row>
    <row r="396" spans="1:6" x14ac:dyDescent="0.35">
      <c r="A396" s="5">
        <v>5984039</v>
      </c>
      <c r="B396" s="6">
        <v>42922</v>
      </c>
      <c r="C396" s="7">
        <v>0.57586805555555554</v>
      </c>
      <c r="D396" s="8">
        <v>0.57981481481481478</v>
      </c>
      <c r="E396">
        <f t="shared" si="12"/>
        <v>1</v>
      </c>
      <c r="F396">
        <f t="shared" si="13"/>
        <v>0</v>
      </c>
    </row>
    <row r="397" spans="1:6" x14ac:dyDescent="0.35">
      <c r="A397" s="9">
        <v>9807682</v>
      </c>
      <c r="B397" s="10">
        <v>42922</v>
      </c>
      <c r="C397" s="11">
        <v>0.57592592592592595</v>
      </c>
      <c r="D397" s="12">
        <v>0.57924768518518521</v>
      </c>
      <c r="E397">
        <f t="shared" si="12"/>
        <v>1</v>
      </c>
      <c r="F397">
        <f t="shared" si="13"/>
        <v>0</v>
      </c>
    </row>
    <row r="398" spans="1:6" x14ac:dyDescent="0.35">
      <c r="A398" s="5">
        <v>3029994</v>
      </c>
      <c r="B398" s="6">
        <v>42922</v>
      </c>
      <c r="C398" s="7">
        <v>0.57737268518518514</v>
      </c>
      <c r="D398" s="8">
        <v>0.58391203703703709</v>
      </c>
      <c r="E398">
        <f t="shared" si="12"/>
        <v>1</v>
      </c>
      <c r="F398">
        <f t="shared" si="13"/>
        <v>0</v>
      </c>
    </row>
    <row r="399" spans="1:6" x14ac:dyDescent="0.35">
      <c r="A399" s="9">
        <v>9415767851</v>
      </c>
      <c r="B399" s="10">
        <v>42922</v>
      </c>
      <c r="C399" s="11">
        <v>0.5827430555555555</v>
      </c>
      <c r="D399" s="12">
        <v>0.58309027777777778</v>
      </c>
      <c r="E399">
        <f t="shared" si="12"/>
        <v>0</v>
      </c>
      <c r="F399">
        <f t="shared" si="13"/>
        <v>0</v>
      </c>
    </row>
    <row r="400" spans="1:6" x14ac:dyDescent="0.35">
      <c r="A400" s="5">
        <v>2388040</v>
      </c>
      <c r="B400" s="6">
        <v>42922</v>
      </c>
      <c r="C400" s="7">
        <v>0.58496527777777774</v>
      </c>
      <c r="D400" s="8">
        <v>0.59334490740740742</v>
      </c>
      <c r="E400">
        <f t="shared" si="12"/>
        <v>1</v>
      </c>
      <c r="F400">
        <f t="shared" si="13"/>
        <v>0</v>
      </c>
    </row>
    <row r="401" spans="1:6" x14ac:dyDescent="0.35">
      <c r="A401" s="9">
        <v>41974998</v>
      </c>
      <c r="B401" s="10">
        <v>42922</v>
      </c>
      <c r="C401" s="11">
        <v>0.58890046296296295</v>
      </c>
      <c r="D401" s="12">
        <v>0.59614583333333337</v>
      </c>
      <c r="E401">
        <f t="shared" si="12"/>
        <v>0</v>
      </c>
      <c r="F401">
        <f t="shared" si="13"/>
        <v>1</v>
      </c>
    </row>
    <row r="402" spans="1:6" x14ac:dyDescent="0.35">
      <c r="A402" s="5">
        <v>8400710</v>
      </c>
      <c r="B402" s="6">
        <v>42922</v>
      </c>
      <c r="C402" s="7">
        <v>0.59182870370370366</v>
      </c>
      <c r="D402" s="8">
        <v>0.59376157407407404</v>
      </c>
      <c r="E402">
        <f t="shared" si="12"/>
        <v>1</v>
      </c>
      <c r="F402">
        <f t="shared" si="13"/>
        <v>0</v>
      </c>
    </row>
    <row r="403" spans="1:6" x14ac:dyDescent="0.35">
      <c r="A403" s="9">
        <v>1088377750</v>
      </c>
      <c r="B403" s="10">
        <v>42922</v>
      </c>
      <c r="C403" s="11">
        <v>0.59666666666666668</v>
      </c>
      <c r="D403" s="12">
        <v>0.5975462962962963</v>
      </c>
      <c r="E403">
        <f t="shared" si="12"/>
        <v>0</v>
      </c>
      <c r="F403">
        <f t="shared" si="13"/>
        <v>0</v>
      </c>
    </row>
    <row r="404" spans="1:6" x14ac:dyDescent="0.35">
      <c r="A404" s="5">
        <v>62016185</v>
      </c>
      <c r="B404" s="6">
        <v>42922</v>
      </c>
      <c r="C404" s="7">
        <v>0.60146990740740736</v>
      </c>
      <c r="D404" s="8">
        <v>0.60932870370370373</v>
      </c>
      <c r="E404">
        <f t="shared" si="12"/>
        <v>0</v>
      </c>
      <c r="F404">
        <f t="shared" si="13"/>
        <v>1</v>
      </c>
    </row>
    <row r="405" spans="1:6" x14ac:dyDescent="0.35">
      <c r="A405" s="9">
        <v>4002406</v>
      </c>
      <c r="B405" s="10">
        <v>42922</v>
      </c>
      <c r="C405" s="11">
        <v>0.60247685185185185</v>
      </c>
      <c r="D405" s="12">
        <v>0.60782407407407413</v>
      </c>
      <c r="E405">
        <f t="shared" si="12"/>
        <v>1</v>
      </c>
      <c r="F405">
        <f t="shared" si="13"/>
        <v>0</v>
      </c>
    </row>
    <row r="406" spans="1:6" x14ac:dyDescent="0.35">
      <c r="A406" s="5">
        <v>2394144</v>
      </c>
      <c r="B406" s="6">
        <v>42922</v>
      </c>
      <c r="C406" s="7">
        <v>0.60774305555555552</v>
      </c>
      <c r="D406" s="8">
        <v>0.61297453703703708</v>
      </c>
      <c r="E406">
        <f t="shared" si="12"/>
        <v>1</v>
      </c>
      <c r="F406">
        <f t="shared" si="13"/>
        <v>0</v>
      </c>
    </row>
    <row r="407" spans="1:6" x14ac:dyDescent="0.35">
      <c r="A407" s="9">
        <v>9763924</v>
      </c>
      <c r="B407" s="10">
        <v>42922</v>
      </c>
      <c r="C407" s="11">
        <v>0.611724537037037</v>
      </c>
      <c r="D407" s="12">
        <v>0.62217592592592597</v>
      </c>
      <c r="E407">
        <f t="shared" si="12"/>
        <v>1</v>
      </c>
      <c r="F407">
        <f t="shared" si="13"/>
        <v>0</v>
      </c>
    </row>
    <row r="408" spans="1:6" x14ac:dyDescent="0.35">
      <c r="A408" s="5">
        <v>7977726</v>
      </c>
      <c r="B408" s="6">
        <v>42922</v>
      </c>
      <c r="C408" s="7">
        <v>0.6139930555555555</v>
      </c>
      <c r="D408" s="8">
        <v>0.62364583333333334</v>
      </c>
      <c r="E408">
        <f t="shared" si="12"/>
        <v>1</v>
      </c>
      <c r="F408">
        <f t="shared" si="13"/>
        <v>0</v>
      </c>
    </row>
    <row r="409" spans="1:6" x14ac:dyDescent="0.35">
      <c r="A409" s="9">
        <v>7219884</v>
      </c>
      <c r="B409" s="10">
        <v>42922</v>
      </c>
      <c r="C409" s="11">
        <v>0.61871527777777779</v>
      </c>
      <c r="D409" s="12">
        <v>0.62458333333333338</v>
      </c>
      <c r="E409">
        <f t="shared" si="12"/>
        <v>1</v>
      </c>
      <c r="F409">
        <f t="shared" si="13"/>
        <v>0</v>
      </c>
    </row>
    <row r="410" spans="1:6" x14ac:dyDescent="0.35">
      <c r="A410" s="5">
        <v>8211396842</v>
      </c>
      <c r="B410" s="6">
        <v>42922</v>
      </c>
      <c r="C410" s="7">
        <v>0.6237731481481481</v>
      </c>
      <c r="D410" s="8">
        <v>0.63299768518518518</v>
      </c>
      <c r="E410">
        <f t="shared" si="12"/>
        <v>0</v>
      </c>
      <c r="F410">
        <f t="shared" si="13"/>
        <v>0</v>
      </c>
    </row>
    <row r="411" spans="1:6" x14ac:dyDescent="0.35">
      <c r="A411" s="9">
        <v>4860618</v>
      </c>
      <c r="B411" s="10">
        <v>42922</v>
      </c>
      <c r="C411" s="11">
        <v>0.62396990740740743</v>
      </c>
      <c r="D411" s="12">
        <v>0.62693287037037038</v>
      </c>
      <c r="E411">
        <f t="shared" si="12"/>
        <v>1</v>
      </c>
      <c r="F411">
        <f t="shared" si="13"/>
        <v>0</v>
      </c>
    </row>
    <row r="412" spans="1:6" x14ac:dyDescent="0.35">
      <c r="A412" s="5">
        <v>6772052</v>
      </c>
      <c r="B412" s="6">
        <v>42922</v>
      </c>
      <c r="C412" s="7">
        <v>0.62491898148148151</v>
      </c>
      <c r="D412" s="8">
        <v>0.63265046296296301</v>
      </c>
      <c r="E412">
        <f t="shared" si="12"/>
        <v>1</v>
      </c>
      <c r="F412">
        <f t="shared" si="13"/>
        <v>0</v>
      </c>
    </row>
    <row r="413" spans="1:6" x14ac:dyDescent="0.35">
      <c r="A413" s="9">
        <v>6290575</v>
      </c>
      <c r="B413" s="10">
        <v>42922</v>
      </c>
      <c r="C413" s="11">
        <v>0.62614583333333329</v>
      </c>
      <c r="D413" s="12">
        <v>0.6318287037037037</v>
      </c>
      <c r="E413">
        <f t="shared" si="12"/>
        <v>1</v>
      </c>
      <c r="F413">
        <f t="shared" si="13"/>
        <v>0</v>
      </c>
    </row>
    <row r="414" spans="1:6" x14ac:dyDescent="0.35">
      <c r="A414" s="5">
        <v>13972929</v>
      </c>
      <c r="B414" s="6">
        <v>42923</v>
      </c>
      <c r="C414" s="7">
        <v>0.33677083333333335</v>
      </c>
      <c r="D414" s="8">
        <v>0.34700231481481481</v>
      </c>
      <c r="E414">
        <f t="shared" si="12"/>
        <v>0</v>
      </c>
      <c r="F414">
        <f t="shared" si="13"/>
        <v>1</v>
      </c>
    </row>
    <row r="415" spans="1:6" x14ac:dyDescent="0.35">
      <c r="A415" s="9">
        <v>7663988</v>
      </c>
      <c r="B415" s="10">
        <v>42923</v>
      </c>
      <c r="C415" s="11">
        <v>0.34092592592592591</v>
      </c>
      <c r="D415" s="12">
        <v>0.3448148148148148</v>
      </c>
      <c r="E415">
        <f t="shared" si="12"/>
        <v>1</v>
      </c>
      <c r="F415">
        <f t="shared" si="13"/>
        <v>0</v>
      </c>
    </row>
    <row r="416" spans="1:6" x14ac:dyDescent="0.35">
      <c r="A416" s="5">
        <v>90532439</v>
      </c>
      <c r="B416" s="6">
        <v>42923</v>
      </c>
      <c r="C416" s="7">
        <v>0.34288194444444442</v>
      </c>
      <c r="D416" s="8">
        <v>0.34506944444444443</v>
      </c>
      <c r="E416">
        <f t="shared" si="12"/>
        <v>0</v>
      </c>
      <c r="F416">
        <f t="shared" si="13"/>
        <v>1</v>
      </c>
    </row>
    <row r="417" spans="1:6" x14ac:dyDescent="0.35">
      <c r="A417" s="9">
        <v>5505912</v>
      </c>
      <c r="B417" s="10">
        <v>42923</v>
      </c>
      <c r="C417" s="11">
        <v>0.34465277777777775</v>
      </c>
      <c r="D417" s="12">
        <v>0.34819444444444442</v>
      </c>
      <c r="E417">
        <f t="shared" si="12"/>
        <v>1</v>
      </c>
      <c r="F417">
        <f t="shared" si="13"/>
        <v>0</v>
      </c>
    </row>
    <row r="418" spans="1:6" x14ac:dyDescent="0.35">
      <c r="A418" s="5">
        <v>5505912</v>
      </c>
      <c r="B418" s="6">
        <v>42923</v>
      </c>
      <c r="C418" s="7">
        <v>0.34848379629629628</v>
      </c>
      <c r="D418" s="8">
        <v>0.35015046296296298</v>
      </c>
      <c r="E418">
        <f t="shared" si="12"/>
        <v>1</v>
      </c>
      <c r="F418">
        <f t="shared" si="13"/>
        <v>0</v>
      </c>
    </row>
    <row r="419" spans="1:6" x14ac:dyDescent="0.35">
      <c r="A419" s="9">
        <v>70678482</v>
      </c>
      <c r="B419" s="10">
        <v>42923</v>
      </c>
      <c r="C419" s="11">
        <v>0.35130787037037037</v>
      </c>
      <c r="D419" s="12">
        <v>0.35899305555555555</v>
      </c>
      <c r="E419">
        <f t="shared" si="12"/>
        <v>0</v>
      </c>
      <c r="F419">
        <f t="shared" si="13"/>
        <v>1</v>
      </c>
    </row>
    <row r="420" spans="1:6" x14ac:dyDescent="0.35">
      <c r="A420" s="5">
        <v>6578914</v>
      </c>
      <c r="B420" s="6">
        <v>42923</v>
      </c>
      <c r="C420" s="7">
        <v>0.35699074074074072</v>
      </c>
      <c r="D420" s="8">
        <v>0.36546296296296299</v>
      </c>
      <c r="E420">
        <f t="shared" si="12"/>
        <v>1</v>
      </c>
      <c r="F420">
        <f t="shared" si="13"/>
        <v>0</v>
      </c>
    </row>
    <row r="421" spans="1:6" x14ac:dyDescent="0.35">
      <c r="A421" s="9">
        <v>3444629</v>
      </c>
      <c r="B421" s="10">
        <v>42923</v>
      </c>
      <c r="C421" s="11">
        <v>0.36015046296296294</v>
      </c>
      <c r="D421" s="12">
        <v>0.36656250000000001</v>
      </c>
      <c r="E421">
        <f t="shared" si="12"/>
        <v>1</v>
      </c>
      <c r="F421">
        <f t="shared" si="13"/>
        <v>0</v>
      </c>
    </row>
    <row r="422" spans="1:6" x14ac:dyDescent="0.35">
      <c r="A422" s="5">
        <v>95211263</v>
      </c>
      <c r="B422" s="6">
        <v>42923</v>
      </c>
      <c r="C422" s="7">
        <v>0.36069444444444443</v>
      </c>
      <c r="D422" s="8">
        <v>0.36572916666666666</v>
      </c>
      <c r="E422">
        <f t="shared" si="12"/>
        <v>0</v>
      </c>
      <c r="F422">
        <f t="shared" si="13"/>
        <v>1</v>
      </c>
    </row>
    <row r="423" spans="1:6" x14ac:dyDescent="0.35">
      <c r="A423" s="9">
        <v>9468070</v>
      </c>
      <c r="B423" s="10">
        <v>42923</v>
      </c>
      <c r="C423" s="11">
        <v>0.36225694444444445</v>
      </c>
      <c r="D423" s="12">
        <v>0.36364583333333333</v>
      </c>
      <c r="E423">
        <f t="shared" si="12"/>
        <v>1</v>
      </c>
      <c r="F423">
        <f t="shared" si="13"/>
        <v>0</v>
      </c>
    </row>
    <row r="424" spans="1:6" x14ac:dyDescent="0.35">
      <c r="A424" s="5">
        <v>31516318</v>
      </c>
      <c r="B424" s="6">
        <v>42923</v>
      </c>
      <c r="C424" s="7">
        <v>0.36267361111111113</v>
      </c>
      <c r="D424" s="8">
        <v>0.36622685185185183</v>
      </c>
      <c r="E424">
        <f t="shared" si="12"/>
        <v>0</v>
      </c>
      <c r="F424">
        <f t="shared" si="13"/>
        <v>1</v>
      </c>
    </row>
    <row r="425" spans="1:6" x14ac:dyDescent="0.35">
      <c r="A425" s="9">
        <v>9865716</v>
      </c>
      <c r="B425" s="10">
        <v>42923</v>
      </c>
      <c r="C425" s="11">
        <v>0.36584490740740738</v>
      </c>
      <c r="D425" s="12">
        <v>0.37709490740740742</v>
      </c>
      <c r="E425">
        <f t="shared" si="12"/>
        <v>1</v>
      </c>
      <c r="F425">
        <f t="shared" si="13"/>
        <v>0</v>
      </c>
    </row>
    <row r="426" spans="1:6" x14ac:dyDescent="0.35">
      <c r="A426" s="5">
        <v>8163790</v>
      </c>
      <c r="B426" s="6">
        <v>42923</v>
      </c>
      <c r="C426" s="7">
        <v>0.36885416666666665</v>
      </c>
      <c r="D426" s="8">
        <v>0.36932870370370369</v>
      </c>
      <c r="E426">
        <f t="shared" si="12"/>
        <v>1</v>
      </c>
      <c r="F426">
        <f t="shared" si="13"/>
        <v>0</v>
      </c>
    </row>
    <row r="427" spans="1:6" x14ac:dyDescent="0.35">
      <c r="A427" s="9">
        <v>18070008</v>
      </c>
      <c r="B427" s="10">
        <v>42923</v>
      </c>
      <c r="C427" s="11">
        <v>0.36996527777777777</v>
      </c>
      <c r="D427" s="12">
        <v>0.37149305555555556</v>
      </c>
      <c r="E427">
        <f t="shared" si="12"/>
        <v>0</v>
      </c>
      <c r="F427">
        <f t="shared" si="13"/>
        <v>1</v>
      </c>
    </row>
    <row r="428" spans="1:6" x14ac:dyDescent="0.35">
      <c r="A428" s="5">
        <v>1119740</v>
      </c>
      <c r="B428" s="6">
        <v>42923</v>
      </c>
      <c r="C428" s="7">
        <v>0.37112268518518521</v>
      </c>
      <c r="D428" s="8">
        <v>0.37534722222222222</v>
      </c>
      <c r="E428">
        <f t="shared" si="12"/>
        <v>1</v>
      </c>
      <c r="F428">
        <f t="shared" si="13"/>
        <v>0</v>
      </c>
    </row>
    <row r="429" spans="1:6" x14ac:dyDescent="0.35">
      <c r="A429" s="9">
        <v>94634526</v>
      </c>
      <c r="B429" s="10">
        <v>42923</v>
      </c>
      <c r="C429" s="11">
        <v>0.3721990740740741</v>
      </c>
      <c r="D429" s="12">
        <v>0.37956018518518519</v>
      </c>
      <c r="E429">
        <f t="shared" si="12"/>
        <v>0</v>
      </c>
      <c r="F429">
        <f t="shared" si="13"/>
        <v>1</v>
      </c>
    </row>
    <row r="430" spans="1:6" x14ac:dyDescent="0.35">
      <c r="A430" s="5">
        <v>67964973</v>
      </c>
      <c r="B430" s="6">
        <v>42923</v>
      </c>
      <c r="C430" s="7">
        <v>0.37445601851851851</v>
      </c>
      <c r="D430" s="8">
        <v>0.38145833333333334</v>
      </c>
      <c r="E430">
        <f t="shared" si="12"/>
        <v>0</v>
      </c>
      <c r="F430">
        <f t="shared" si="13"/>
        <v>1</v>
      </c>
    </row>
    <row r="431" spans="1:6" x14ac:dyDescent="0.35">
      <c r="A431" s="9">
        <v>3505978</v>
      </c>
      <c r="B431" s="10">
        <v>42923</v>
      </c>
      <c r="C431" s="11">
        <v>0.3767476851851852</v>
      </c>
      <c r="D431" s="12">
        <v>0.38192129629629629</v>
      </c>
      <c r="E431">
        <f t="shared" si="12"/>
        <v>1</v>
      </c>
      <c r="F431">
        <f t="shared" si="13"/>
        <v>0</v>
      </c>
    </row>
    <row r="432" spans="1:6" x14ac:dyDescent="0.35">
      <c r="A432" s="5">
        <v>8685299481</v>
      </c>
      <c r="B432" s="6">
        <v>42923</v>
      </c>
      <c r="C432" s="7">
        <v>0.3778009259259259</v>
      </c>
      <c r="D432" s="8">
        <v>0.37927083333333333</v>
      </c>
      <c r="E432">
        <f t="shared" si="12"/>
        <v>0</v>
      </c>
      <c r="F432">
        <f t="shared" si="13"/>
        <v>0</v>
      </c>
    </row>
    <row r="433" spans="1:6" x14ac:dyDescent="0.35">
      <c r="A433" s="9">
        <v>8863988</v>
      </c>
      <c r="B433" s="10">
        <v>42923</v>
      </c>
      <c r="C433" s="11">
        <v>0.37998842592592591</v>
      </c>
      <c r="D433" s="12">
        <v>0.38434027777777779</v>
      </c>
      <c r="E433">
        <f t="shared" si="12"/>
        <v>1</v>
      </c>
      <c r="F433">
        <f t="shared" si="13"/>
        <v>0</v>
      </c>
    </row>
    <row r="434" spans="1:6" x14ac:dyDescent="0.35">
      <c r="A434" s="5">
        <v>29121099</v>
      </c>
      <c r="B434" s="6">
        <v>42923</v>
      </c>
      <c r="C434" s="7">
        <v>0.3835763888888889</v>
      </c>
      <c r="D434" s="8">
        <v>0.38965277777777779</v>
      </c>
      <c r="E434">
        <f t="shared" si="12"/>
        <v>0</v>
      </c>
      <c r="F434">
        <f t="shared" si="13"/>
        <v>1</v>
      </c>
    </row>
    <row r="435" spans="1:6" x14ac:dyDescent="0.35">
      <c r="A435" s="9">
        <v>2814524</v>
      </c>
      <c r="B435" s="10">
        <v>42923</v>
      </c>
      <c r="C435" s="11">
        <v>0.38922453703703702</v>
      </c>
      <c r="D435" s="12">
        <v>0.39096064814814813</v>
      </c>
      <c r="E435">
        <f t="shared" si="12"/>
        <v>1</v>
      </c>
      <c r="F435">
        <f t="shared" si="13"/>
        <v>0</v>
      </c>
    </row>
    <row r="436" spans="1:6" x14ac:dyDescent="0.35">
      <c r="A436" s="5">
        <v>5341697748</v>
      </c>
      <c r="B436" s="6">
        <v>42923</v>
      </c>
      <c r="C436" s="7">
        <v>0.39091435185185186</v>
      </c>
      <c r="D436" s="8">
        <v>0.39620370370370372</v>
      </c>
      <c r="E436">
        <f t="shared" si="12"/>
        <v>0</v>
      </c>
      <c r="F436">
        <f t="shared" si="13"/>
        <v>0</v>
      </c>
    </row>
    <row r="437" spans="1:6" x14ac:dyDescent="0.35">
      <c r="A437" s="9">
        <v>4102482</v>
      </c>
      <c r="B437" s="10">
        <v>42923</v>
      </c>
      <c r="C437" s="11">
        <v>0.39196759259259262</v>
      </c>
      <c r="D437" s="12">
        <v>0.39486111111111111</v>
      </c>
      <c r="E437">
        <f t="shared" si="12"/>
        <v>1</v>
      </c>
      <c r="F437">
        <f t="shared" si="13"/>
        <v>0</v>
      </c>
    </row>
    <row r="438" spans="1:6" x14ac:dyDescent="0.35">
      <c r="A438" s="5">
        <v>5636281</v>
      </c>
      <c r="B438" s="6">
        <v>42923</v>
      </c>
      <c r="C438" s="7">
        <v>0.39731481481481479</v>
      </c>
      <c r="D438" s="8">
        <v>0.40688657407407408</v>
      </c>
      <c r="E438">
        <f t="shared" si="12"/>
        <v>1</v>
      </c>
      <c r="F438">
        <f t="shared" si="13"/>
        <v>0</v>
      </c>
    </row>
    <row r="439" spans="1:6" x14ac:dyDescent="0.35">
      <c r="A439" s="9">
        <v>7715424</v>
      </c>
      <c r="B439" s="10">
        <v>42923</v>
      </c>
      <c r="C439" s="11">
        <v>0.40283564814814815</v>
      </c>
      <c r="D439" s="12">
        <v>0.41091435185185188</v>
      </c>
      <c r="E439">
        <f t="shared" si="12"/>
        <v>1</v>
      </c>
      <c r="F439">
        <f t="shared" si="13"/>
        <v>0</v>
      </c>
    </row>
    <row r="440" spans="1:6" x14ac:dyDescent="0.35">
      <c r="A440" s="5">
        <v>3811342</v>
      </c>
      <c r="B440" s="6">
        <v>42923</v>
      </c>
      <c r="C440" s="7">
        <v>0.4039814814814815</v>
      </c>
      <c r="D440" s="8">
        <v>0.41211805555555553</v>
      </c>
      <c r="E440">
        <f t="shared" si="12"/>
        <v>1</v>
      </c>
      <c r="F440">
        <f t="shared" si="13"/>
        <v>0</v>
      </c>
    </row>
    <row r="441" spans="1:6" x14ac:dyDescent="0.35">
      <c r="A441" s="9">
        <v>8177683</v>
      </c>
      <c r="B441" s="10">
        <v>42923</v>
      </c>
      <c r="C441" s="11">
        <v>0.40534722222222225</v>
      </c>
      <c r="D441" s="12">
        <v>0.40887731481481482</v>
      </c>
      <c r="E441">
        <f t="shared" si="12"/>
        <v>1</v>
      </c>
      <c r="F441">
        <f t="shared" si="13"/>
        <v>0</v>
      </c>
    </row>
    <row r="442" spans="1:6" x14ac:dyDescent="0.35">
      <c r="A442" s="5">
        <v>51367705</v>
      </c>
      <c r="B442" s="6">
        <v>42923</v>
      </c>
      <c r="C442" s="7">
        <v>0.41025462962962961</v>
      </c>
      <c r="D442" s="8">
        <v>0.41064814814814815</v>
      </c>
      <c r="E442">
        <f t="shared" si="12"/>
        <v>0</v>
      </c>
      <c r="F442">
        <f t="shared" si="13"/>
        <v>1</v>
      </c>
    </row>
    <row r="443" spans="1:6" x14ac:dyDescent="0.35">
      <c r="A443" s="9">
        <v>7646265</v>
      </c>
      <c r="B443" s="10">
        <v>42923</v>
      </c>
      <c r="C443" s="11">
        <v>0.4103472222222222</v>
      </c>
      <c r="D443" s="12">
        <v>0.41578703703703701</v>
      </c>
      <c r="E443">
        <f t="shared" si="12"/>
        <v>1</v>
      </c>
      <c r="F443">
        <f t="shared" si="13"/>
        <v>0</v>
      </c>
    </row>
    <row r="444" spans="1:6" x14ac:dyDescent="0.35">
      <c r="A444" s="5">
        <v>37906881</v>
      </c>
      <c r="B444" s="6">
        <v>42923</v>
      </c>
      <c r="C444" s="7">
        <v>0.41248842592592594</v>
      </c>
      <c r="D444" s="8">
        <v>0.41328703703703706</v>
      </c>
      <c r="E444">
        <f t="shared" si="12"/>
        <v>0</v>
      </c>
      <c r="F444">
        <f t="shared" si="13"/>
        <v>1</v>
      </c>
    </row>
    <row r="445" spans="1:6" x14ac:dyDescent="0.35">
      <c r="A445" s="9">
        <v>9740908</v>
      </c>
      <c r="B445" s="10">
        <v>42923</v>
      </c>
      <c r="C445" s="11">
        <v>0.41260416666666666</v>
      </c>
      <c r="D445" s="12">
        <v>0.41520833333333335</v>
      </c>
      <c r="E445">
        <f t="shared" si="12"/>
        <v>1</v>
      </c>
      <c r="F445">
        <f t="shared" si="13"/>
        <v>0</v>
      </c>
    </row>
    <row r="446" spans="1:6" x14ac:dyDescent="0.35">
      <c r="A446" s="5">
        <v>45948073</v>
      </c>
      <c r="B446" s="6">
        <v>42923</v>
      </c>
      <c r="C446" s="7">
        <v>0.41680555555555554</v>
      </c>
      <c r="D446" s="8">
        <v>0.4243865740740741</v>
      </c>
      <c r="E446">
        <f t="shared" si="12"/>
        <v>0</v>
      </c>
      <c r="F446">
        <f t="shared" si="13"/>
        <v>1</v>
      </c>
    </row>
    <row r="447" spans="1:6" x14ac:dyDescent="0.35">
      <c r="A447" s="9">
        <v>8070345</v>
      </c>
      <c r="B447" s="10">
        <v>42923</v>
      </c>
      <c r="C447" s="11">
        <v>0.41829861111111111</v>
      </c>
      <c r="D447" s="12">
        <v>0.42706018518518518</v>
      </c>
      <c r="E447">
        <f t="shared" si="12"/>
        <v>1</v>
      </c>
      <c r="F447">
        <f t="shared" si="13"/>
        <v>0</v>
      </c>
    </row>
    <row r="448" spans="1:6" x14ac:dyDescent="0.35">
      <c r="A448" s="5">
        <v>52214055</v>
      </c>
      <c r="B448" s="6">
        <v>42923</v>
      </c>
      <c r="C448" s="7">
        <v>0.4199074074074074</v>
      </c>
      <c r="D448" s="8">
        <v>0.42357638888888888</v>
      </c>
      <c r="E448">
        <f t="shared" si="12"/>
        <v>0</v>
      </c>
      <c r="F448">
        <f t="shared" si="13"/>
        <v>1</v>
      </c>
    </row>
    <row r="449" spans="1:6" x14ac:dyDescent="0.35">
      <c r="A449" s="9">
        <v>8434044</v>
      </c>
      <c r="B449" s="10">
        <v>42923</v>
      </c>
      <c r="C449" s="11">
        <v>0.42149305555555555</v>
      </c>
      <c r="D449" s="12">
        <v>0.42736111111111114</v>
      </c>
      <c r="E449">
        <f t="shared" si="12"/>
        <v>1</v>
      </c>
      <c r="F449">
        <f t="shared" si="13"/>
        <v>0</v>
      </c>
    </row>
    <row r="450" spans="1:6" x14ac:dyDescent="0.35">
      <c r="A450" s="5">
        <v>4702334</v>
      </c>
      <c r="B450" s="6">
        <v>42923</v>
      </c>
      <c r="C450" s="7">
        <v>0.4255902777777778</v>
      </c>
      <c r="D450" s="8">
        <v>0.43464120370370368</v>
      </c>
      <c r="E450">
        <f t="shared" si="12"/>
        <v>1</v>
      </c>
      <c r="F450">
        <f t="shared" si="13"/>
        <v>0</v>
      </c>
    </row>
    <row r="451" spans="1:6" x14ac:dyDescent="0.35">
      <c r="A451" s="9">
        <v>1308483040</v>
      </c>
      <c r="B451" s="10">
        <v>42923</v>
      </c>
      <c r="C451" s="11">
        <v>0.43016203703703704</v>
      </c>
      <c r="D451" s="12">
        <v>0.44123842592592594</v>
      </c>
      <c r="E451">
        <f t="shared" ref="E451:E514" si="14">IF(LEN(A451)=7,1,0)</f>
        <v>0</v>
      </c>
      <c r="F451">
        <f t="shared" ref="F451:F514" si="15">IF(LEN(A451)=8,1,0)</f>
        <v>0</v>
      </c>
    </row>
    <row r="452" spans="1:6" x14ac:dyDescent="0.35">
      <c r="A452" s="5">
        <v>34556399</v>
      </c>
      <c r="B452" s="6">
        <v>42923</v>
      </c>
      <c r="C452" s="7">
        <v>0.43146990740740743</v>
      </c>
      <c r="D452" s="8">
        <v>0.43192129629629628</v>
      </c>
      <c r="E452">
        <f t="shared" si="14"/>
        <v>0</v>
      </c>
      <c r="F452">
        <f t="shared" si="15"/>
        <v>1</v>
      </c>
    </row>
    <row r="453" spans="1:6" x14ac:dyDescent="0.35">
      <c r="A453" s="9">
        <v>48676568</v>
      </c>
      <c r="B453" s="10">
        <v>42923</v>
      </c>
      <c r="C453" s="11">
        <v>0.43313657407407408</v>
      </c>
      <c r="D453" s="12">
        <v>0.43811342592592595</v>
      </c>
      <c r="E453">
        <f t="shared" si="14"/>
        <v>0</v>
      </c>
      <c r="F453">
        <f t="shared" si="15"/>
        <v>1</v>
      </c>
    </row>
    <row r="454" spans="1:6" x14ac:dyDescent="0.35">
      <c r="A454" s="5">
        <v>1887758</v>
      </c>
      <c r="B454" s="6">
        <v>42923</v>
      </c>
      <c r="C454" s="7">
        <v>0.43752314814814813</v>
      </c>
      <c r="D454" s="8">
        <v>0.44806712962962963</v>
      </c>
      <c r="E454">
        <f t="shared" si="14"/>
        <v>1</v>
      </c>
      <c r="F454">
        <f t="shared" si="15"/>
        <v>0</v>
      </c>
    </row>
    <row r="455" spans="1:6" x14ac:dyDescent="0.35">
      <c r="A455" s="9">
        <v>3505978</v>
      </c>
      <c r="B455" s="10">
        <v>42923</v>
      </c>
      <c r="C455" s="11">
        <v>0.44184027777777779</v>
      </c>
      <c r="D455" s="12">
        <v>0.44582175925925926</v>
      </c>
      <c r="E455">
        <f t="shared" si="14"/>
        <v>1</v>
      </c>
      <c r="F455">
        <f t="shared" si="15"/>
        <v>0</v>
      </c>
    </row>
    <row r="456" spans="1:6" x14ac:dyDescent="0.35">
      <c r="A456" s="5">
        <v>4405604</v>
      </c>
      <c r="B456" s="6">
        <v>42923</v>
      </c>
      <c r="C456" s="7">
        <v>0.44543981481481482</v>
      </c>
      <c r="D456" s="8">
        <v>0.45271990740740742</v>
      </c>
      <c r="E456">
        <f t="shared" si="14"/>
        <v>1</v>
      </c>
      <c r="F456">
        <f t="shared" si="15"/>
        <v>0</v>
      </c>
    </row>
    <row r="457" spans="1:6" x14ac:dyDescent="0.35">
      <c r="A457" s="9">
        <v>2327418</v>
      </c>
      <c r="B457" s="10">
        <v>42923</v>
      </c>
      <c r="C457" s="11">
        <v>0.44775462962962964</v>
      </c>
      <c r="D457" s="12">
        <v>0.45450231481481479</v>
      </c>
      <c r="E457">
        <f t="shared" si="14"/>
        <v>1</v>
      </c>
      <c r="F457">
        <f t="shared" si="15"/>
        <v>0</v>
      </c>
    </row>
    <row r="458" spans="1:6" x14ac:dyDescent="0.35">
      <c r="A458" s="5">
        <v>5205087</v>
      </c>
      <c r="B458" s="6">
        <v>42923</v>
      </c>
      <c r="C458" s="7">
        <v>0.44927083333333334</v>
      </c>
      <c r="D458" s="8">
        <v>0.45666666666666667</v>
      </c>
      <c r="E458">
        <f t="shared" si="14"/>
        <v>1</v>
      </c>
      <c r="F458">
        <f t="shared" si="15"/>
        <v>0</v>
      </c>
    </row>
    <row r="459" spans="1:6" x14ac:dyDescent="0.35">
      <c r="A459" s="9">
        <v>1936989939</v>
      </c>
      <c r="B459" s="10">
        <v>42923</v>
      </c>
      <c r="C459" s="11">
        <v>0.45091435185185186</v>
      </c>
      <c r="D459" s="12">
        <v>0.4586574074074074</v>
      </c>
      <c r="E459">
        <f t="shared" si="14"/>
        <v>0</v>
      </c>
      <c r="F459">
        <f t="shared" si="15"/>
        <v>0</v>
      </c>
    </row>
    <row r="460" spans="1:6" x14ac:dyDescent="0.35">
      <c r="A460" s="5">
        <v>2722706</v>
      </c>
      <c r="B460" s="6">
        <v>42923</v>
      </c>
      <c r="C460" s="7">
        <v>0.45416666666666666</v>
      </c>
      <c r="D460" s="8">
        <v>0.46155092592592595</v>
      </c>
      <c r="E460">
        <f t="shared" si="14"/>
        <v>1</v>
      </c>
      <c r="F460">
        <f t="shared" si="15"/>
        <v>0</v>
      </c>
    </row>
    <row r="461" spans="1:6" x14ac:dyDescent="0.35">
      <c r="A461" s="9">
        <v>3018218</v>
      </c>
      <c r="B461" s="10">
        <v>42923</v>
      </c>
      <c r="C461" s="11">
        <v>0.45950231481481479</v>
      </c>
      <c r="D461" s="12">
        <v>0.46091435185185187</v>
      </c>
      <c r="E461">
        <f t="shared" si="14"/>
        <v>1</v>
      </c>
      <c r="F461">
        <f t="shared" si="15"/>
        <v>0</v>
      </c>
    </row>
    <row r="462" spans="1:6" x14ac:dyDescent="0.35">
      <c r="A462" s="5">
        <v>3765658</v>
      </c>
      <c r="B462" s="6">
        <v>42923</v>
      </c>
      <c r="C462" s="7">
        <v>0.45981481481481479</v>
      </c>
      <c r="D462" s="8">
        <v>0.46148148148148149</v>
      </c>
      <c r="E462">
        <f t="shared" si="14"/>
        <v>1</v>
      </c>
      <c r="F462">
        <f t="shared" si="15"/>
        <v>0</v>
      </c>
    </row>
    <row r="463" spans="1:6" x14ac:dyDescent="0.35">
      <c r="A463" s="9">
        <v>43109897</v>
      </c>
      <c r="B463" s="10">
        <v>42923</v>
      </c>
      <c r="C463" s="11">
        <v>0.46357638888888891</v>
      </c>
      <c r="D463" s="12">
        <v>0.46807870370370369</v>
      </c>
      <c r="E463">
        <f t="shared" si="14"/>
        <v>0</v>
      </c>
      <c r="F463">
        <f t="shared" si="15"/>
        <v>1</v>
      </c>
    </row>
    <row r="464" spans="1:6" x14ac:dyDescent="0.35">
      <c r="A464" s="5">
        <v>3178616</v>
      </c>
      <c r="B464" s="6">
        <v>42923</v>
      </c>
      <c r="C464" s="7">
        <v>0.46891203703703704</v>
      </c>
      <c r="D464" s="8">
        <v>0.47209490740740739</v>
      </c>
      <c r="E464">
        <f t="shared" si="14"/>
        <v>1</v>
      </c>
      <c r="F464">
        <f t="shared" si="15"/>
        <v>0</v>
      </c>
    </row>
    <row r="465" spans="1:6" x14ac:dyDescent="0.35">
      <c r="A465" s="9">
        <v>71207090</v>
      </c>
      <c r="B465" s="10">
        <v>42923</v>
      </c>
      <c r="C465" s="11">
        <v>0.47127314814814814</v>
      </c>
      <c r="D465" s="12">
        <v>0.47475694444444444</v>
      </c>
      <c r="E465">
        <f t="shared" si="14"/>
        <v>0</v>
      </c>
      <c r="F465">
        <f t="shared" si="15"/>
        <v>1</v>
      </c>
    </row>
    <row r="466" spans="1:6" x14ac:dyDescent="0.35">
      <c r="A466" s="5">
        <v>3465997</v>
      </c>
      <c r="B466" s="6">
        <v>42923</v>
      </c>
      <c r="C466" s="7">
        <v>0.47285879629629629</v>
      </c>
      <c r="D466" s="8">
        <v>0.47479166666666667</v>
      </c>
      <c r="E466">
        <f t="shared" si="14"/>
        <v>1</v>
      </c>
      <c r="F466">
        <f t="shared" si="15"/>
        <v>0</v>
      </c>
    </row>
    <row r="467" spans="1:6" x14ac:dyDescent="0.35">
      <c r="A467" s="9">
        <v>17490780</v>
      </c>
      <c r="B467" s="10">
        <v>42923</v>
      </c>
      <c r="C467" s="11">
        <v>0.47409722222222223</v>
      </c>
      <c r="D467" s="12">
        <v>0.48534722222222221</v>
      </c>
      <c r="E467">
        <f t="shared" si="14"/>
        <v>0</v>
      </c>
      <c r="F467">
        <f t="shared" si="15"/>
        <v>1</v>
      </c>
    </row>
    <row r="468" spans="1:6" x14ac:dyDescent="0.35">
      <c r="A468" s="5">
        <v>9805082</v>
      </c>
      <c r="B468" s="6">
        <v>42923</v>
      </c>
      <c r="C468" s="7">
        <v>0.47561342592592593</v>
      </c>
      <c r="D468" s="8">
        <v>0.47950231481481481</v>
      </c>
      <c r="E468">
        <f t="shared" si="14"/>
        <v>1</v>
      </c>
      <c r="F468">
        <f t="shared" si="15"/>
        <v>0</v>
      </c>
    </row>
    <row r="469" spans="1:6" x14ac:dyDescent="0.35">
      <c r="A469" s="9">
        <v>6333547</v>
      </c>
      <c r="B469" s="10">
        <v>42923</v>
      </c>
      <c r="C469" s="11">
        <v>0.4788425925925926</v>
      </c>
      <c r="D469" s="12">
        <v>0.48685185185185187</v>
      </c>
      <c r="E469">
        <f t="shared" si="14"/>
        <v>1</v>
      </c>
      <c r="F469">
        <f t="shared" si="15"/>
        <v>0</v>
      </c>
    </row>
    <row r="470" spans="1:6" x14ac:dyDescent="0.35">
      <c r="A470" s="5">
        <v>8424969</v>
      </c>
      <c r="B470" s="6">
        <v>42923</v>
      </c>
      <c r="C470" s="7">
        <v>0.48380787037037037</v>
      </c>
      <c r="D470" s="8">
        <v>0.49267361111111113</v>
      </c>
      <c r="E470">
        <f t="shared" si="14"/>
        <v>1</v>
      </c>
      <c r="F470">
        <f t="shared" si="15"/>
        <v>0</v>
      </c>
    </row>
    <row r="471" spans="1:6" x14ac:dyDescent="0.35">
      <c r="A471" s="9">
        <v>41210751</v>
      </c>
      <c r="B471" s="10">
        <v>42923</v>
      </c>
      <c r="C471" s="11">
        <v>0.48699074074074072</v>
      </c>
      <c r="D471" s="12">
        <v>0.48884259259259261</v>
      </c>
      <c r="E471">
        <f t="shared" si="14"/>
        <v>0</v>
      </c>
      <c r="F471">
        <f t="shared" si="15"/>
        <v>1</v>
      </c>
    </row>
    <row r="472" spans="1:6" x14ac:dyDescent="0.35">
      <c r="A472" s="5">
        <v>9321082</v>
      </c>
      <c r="B472" s="6">
        <v>42923</v>
      </c>
      <c r="C472" s="7">
        <v>0.49206018518518518</v>
      </c>
      <c r="D472" s="8">
        <v>0.50086805555555558</v>
      </c>
      <c r="E472">
        <f t="shared" si="14"/>
        <v>1</v>
      </c>
      <c r="F472">
        <f t="shared" si="15"/>
        <v>0</v>
      </c>
    </row>
    <row r="473" spans="1:6" x14ac:dyDescent="0.35">
      <c r="A473" s="9">
        <v>80907155</v>
      </c>
      <c r="B473" s="10">
        <v>42923</v>
      </c>
      <c r="C473" s="11">
        <v>0.49668981481481483</v>
      </c>
      <c r="D473" s="12">
        <v>0.50266203703703705</v>
      </c>
      <c r="E473">
        <f t="shared" si="14"/>
        <v>0</v>
      </c>
      <c r="F473">
        <f t="shared" si="15"/>
        <v>1</v>
      </c>
    </row>
    <row r="474" spans="1:6" x14ac:dyDescent="0.35">
      <c r="A474" s="5">
        <v>16303399</v>
      </c>
      <c r="B474" s="6">
        <v>42923</v>
      </c>
      <c r="C474" s="7">
        <v>0.50232638888888892</v>
      </c>
      <c r="D474" s="8">
        <v>0.50351851851851848</v>
      </c>
      <c r="E474">
        <f t="shared" si="14"/>
        <v>0</v>
      </c>
      <c r="F474">
        <f t="shared" si="15"/>
        <v>1</v>
      </c>
    </row>
    <row r="475" spans="1:6" x14ac:dyDescent="0.35">
      <c r="A475" s="9">
        <v>7841442</v>
      </c>
      <c r="B475" s="10">
        <v>42923</v>
      </c>
      <c r="C475" s="11">
        <v>0.50498842592592597</v>
      </c>
      <c r="D475" s="12">
        <v>0.50807870370370367</v>
      </c>
      <c r="E475">
        <f t="shared" si="14"/>
        <v>1</v>
      </c>
      <c r="F475">
        <f t="shared" si="15"/>
        <v>0</v>
      </c>
    </row>
    <row r="476" spans="1:6" x14ac:dyDescent="0.35">
      <c r="A476" s="5">
        <v>5512237</v>
      </c>
      <c r="B476" s="6">
        <v>42923</v>
      </c>
      <c r="C476" s="7">
        <v>0.50883101851851853</v>
      </c>
      <c r="D476" s="8">
        <v>0.50998842592592597</v>
      </c>
      <c r="E476">
        <f t="shared" si="14"/>
        <v>1</v>
      </c>
      <c r="F476">
        <f t="shared" si="15"/>
        <v>0</v>
      </c>
    </row>
    <row r="477" spans="1:6" x14ac:dyDescent="0.35">
      <c r="A477" s="9">
        <v>2557668</v>
      </c>
      <c r="B477" s="10">
        <v>42923</v>
      </c>
      <c r="C477" s="11">
        <v>0.51253472222222218</v>
      </c>
      <c r="D477" s="12">
        <v>0.51974537037037039</v>
      </c>
      <c r="E477">
        <f t="shared" si="14"/>
        <v>1</v>
      </c>
      <c r="F477">
        <f t="shared" si="15"/>
        <v>0</v>
      </c>
    </row>
    <row r="478" spans="1:6" x14ac:dyDescent="0.35">
      <c r="A478" s="5">
        <v>4469748</v>
      </c>
      <c r="B478" s="6">
        <v>42923</v>
      </c>
      <c r="C478" s="7">
        <v>0.51744212962962965</v>
      </c>
      <c r="D478" s="8">
        <v>0.52157407407407408</v>
      </c>
      <c r="E478">
        <f t="shared" si="14"/>
        <v>1</v>
      </c>
      <c r="F478">
        <f t="shared" si="15"/>
        <v>0</v>
      </c>
    </row>
    <row r="479" spans="1:6" x14ac:dyDescent="0.35">
      <c r="A479" s="9">
        <v>7773546</v>
      </c>
      <c r="B479" s="10">
        <v>42923</v>
      </c>
      <c r="C479" s="11">
        <v>0.51883101851851854</v>
      </c>
      <c r="D479" s="12">
        <v>0.52545138888888887</v>
      </c>
      <c r="E479">
        <f t="shared" si="14"/>
        <v>1</v>
      </c>
      <c r="F479">
        <f t="shared" si="15"/>
        <v>0</v>
      </c>
    </row>
    <row r="480" spans="1:6" x14ac:dyDescent="0.35">
      <c r="A480" s="5">
        <v>9521805</v>
      </c>
      <c r="B480" s="6">
        <v>42923</v>
      </c>
      <c r="C480" s="7">
        <v>0.52357638888888891</v>
      </c>
      <c r="D480" s="8">
        <v>0.53096064814814814</v>
      </c>
      <c r="E480">
        <f t="shared" si="14"/>
        <v>1</v>
      </c>
      <c r="F480">
        <f t="shared" si="15"/>
        <v>0</v>
      </c>
    </row>
    <row r="481" spans="1:6" x14ac:dyDescent="0.35">
      <c r="A481" s="9">
        <v>1640140</v>
      </c>
      <c r="B481" s="10">
        <v>42923</v>
      </c>
      <c r="C481" s="11">
        <v>0.52484953703703707</v>
      </c>
      <c r="D481" s="12">
        <v>0.53331018518518514</v>
      </c>
      <c r="E481">
        <f t="shared" si="14"/>
        <v>1</v>
      </c>
      <c r="F481">
        <f t="shared" si="15"/>
        <v>0</v>
      </c>
    </row>
    <row r="482" spans="1:6" x14ac:dyDescent="0.35">
      <c r="A482" s="5">
        <v>5415372</v>
      </c>
      <c r="B482" s="6">
        <v>42923</v>
      </c>
      <c r="C482" s="7">
        <v>0.52690972222222221</v>
      </c>
      <c r="D482" s="8">
        <v>0.53266203703703707</v>
      </c>
      <c r="E482">
        <f t="shared" si="14"/>
        <v>1</v>
      </c>
      <c r="F482">
        <f t="shared" si="15"/>
        <v>0</v>
      </c>
    </row>
    <row r="483" spans="1:6" x14ac:dyDescent="0.35">
      <c r="A483" s="9">
        <v>23504109</v>
      </c>
      <c r="B483" s="10">
        <v>42923</v>
      </c>
      <c r="C483" s="11">
        <v>0.52921296296296294</v>
      </c>
      <c r="D483" s="12">
        <v>0.53706018518518517</v>
      </c>
      <c r="E483">
        <f t="shared" si="14"/>
        <v>0</v>
      </c>
      <c r="F483">
        <f t="shared" si="15"/>
        <v>1</v>
      </c>
    </row>
    <row r="484" spans="1:6" x14ac:dyDescent="0.35">
      <c r="A484" s="5">
        <v>7914439</v>
      </c>
      <c r="B484" s="6">
        <v>42923</v>
      </c>
      <c r="C484" s="7">
        <v>0.52964120370370371</v>
      </c>
      <c r="D484" s="8">
        <v>0.53607638888888887</v>
      </c>
      <c r="E484">
        <f t="shared" si="14"/>
        <v>1</v>
      </c>
      <c r="F484">
        <f t="shared" si="15"/>
        <v>0</v>
      </c>
    </row>
    <row r="485" spans="1:6" x14ac:dyDescent="0.35">
      <c r="A485" s="9">
        <v>3900921</v>
      </c>
      <c r="B485" s="10">
        <v>42923</v>
      </c>
      <c r="C485" s="11">
        <v>0.52968749999999998</v>
      </c>
      <c r="D485" s="12">
        <v>0.53865740740740742</v>
      </c>
      <c r="E485">
        <f t="shared" si="14"/>
        <v>1</v>
      </c>
      <c r="F485">
        <f t="shared" si="15"/>
        <v>0</v>
      </c>
    </row>
    <row r="486" spans="1:6" x14ac:dyDescent="0.35">
      <c r="A486" s="5">
        <v>1081610</v>
      </c>
      <c r="B486" s="6">
        <v>42923</v>
      </c>
      <c r="C486" s="7">
        <v>0.53372685185185187</v>
      </c>
      <c r="D486" s="8">
        <v>0.54082175925925924</v>
      </c>
      <c r="E486">
        <f t="shared" si="14"/>
        <v>1</v>
      </c>
      <c r="F486">
        <f t="shared" si="15"/>
        <v>0</v>
      </c>
    </row>
    <row r="487" spans="1:6" x14ac:dyDescent="0.35">
      <c r="A487" s="9">
        <v>9176754</v>
      </c>
      <c r="B487" s="10">
        <v>42923</v>
      </c>
      <c r="C487" s="11">
        <v>0.5345833333333333</v>
      </c>
      <c r="D487" s="12">
        <v>0.54532407407407413</v>
      </c>
      <c r="E487">
        <f t="shared" si="14"/>
        <v>1</v>
      </c>
      <c r="F487">
        <f t="shared" si="15"/>
        <v>0</v>
      </c>
    </row>
    <row r="488" spans="1:6" x14ac:dyDescent="0.35">
      <c r="A488" s="5">
        <v>1814327</v>
      </c>
      <c r="B488" s="6">
        <v>42923</v>
      </c>
      <c r="C488" s="7">
        <v>0.5385416666666667</v>
      </c>
      <c r="D488" s="8">
        <v>0.53870370370370368</v>
      </c>
      <c r="E488">
        <f t="shared" si="14"/>
        <v>1</v>
      </c>
      <c r="F488">
        <f t="shared" si="15"/>
        <v>0</v>
      </c>
    </row>
    <row r="489" spans="1:6" x14ac:dyDescent="0.35">
      <c r="A489" s="9">
        <v>87702896</v>
      </c>
      <c r="B489" s="10">
        <v>42923</v>
      </c>
      <c r="C489" s="11">
        <v>0.54137731481481477</v>
      </c>
      <c r="D489" s="12">
        <v>0.55253472222222222</v>
      </c>
      <c r="E489">
        <f t="shared" si="14"/>
        <v>0</v>
      </c>
      <c r="F489">
        <f t="shared" si="15"/>
        <v>1</v>
      </c>
    </row>
    <row r="490" spans="1:6" x14ac:dyDescent="0.35">
      <c r="A490" s="5">
        <v>4131448</v>
      </c>
      <c r="B490" s="6">
        <v>42923</v>
      </c>
      <c r="C490" s="7">
        <v>0.54305555555555551</v>
      </c>
      <c r="D490" s="8">
        <v>0.5444444444444444</v>
      </c>
      <c r="E490">
        <f t="shared" si="14"/>
        <v>1</v>
      </c>
      <c r="F490">
        <f t="shared" si="15"/>
        <v>0</v>
      </c>
    </row>
    <row r="491" spans="1:6" x14ac:dyDescent="0.35">
      <c r="A491" s="9">
        <v>97798921</v>
      </c>
      <c r="B491" s="10">
        <v>42923</v>
      </c>
      <c r="C491" s="11">
        <v>0.5434606481481481</v>
      </c>
      <c r="D491" s="12">
        <v>0.55003472222222227</v>
      </c>
      <c r="E491">
        <f t="shared" si="14"/>
        <v>0</v>
      </c>
      <c r="F491">
        <f t="shared" si="15"/>
        <v>1</v>
      </c>
    </row>
    <row r="492" spans="1:6" x14ac:dyDescent="0.35">
      <c r="A492" s="5">
        <v>97798921</v>
      </c>
      <c r="B492" s="6">
        <v>42923</v>
      </c>
      <c r="C492" s="7">
        <v>0.54372685185185188</v>
      </c>
      <c r="D492" s="8">
        <v>0.54856481481481478</v>
      </c>
      <c r="E492">
        <f t="shared" si="14"/>
        <v>0</v>
      </c>
      <c r="F492">
        <f t="shared" si="15"/>
        <v>1</v>
      </c>
    </row>
    <row r="493" spans="1:6" x14ac:dyDescent="0.35">
      <c r="A493" s="9">
        <v>3919087</v>
      </c>
      <c r="B493" s="10">
        <v>42923</v>
      </c>
      <c r="C493" s="11">
        <v>0.54379629629629633</v>
      </c>
      <c r="D493" s="12">
        <v>0.54679398148148151</v>
      </c>
      <c r="E493">
        <f t="shared" si="14"/>
        <v>1</v>
      </c>
      <c r="F493">
        <f t="shared" si="15"/>
        <v>0</v>
      </c>
    </row>
    <row r="494" spans="1:6" x14ac:dyDescent="0.35">
      <c r="A494" s="5">
        <v>2619219</v>
      </c>
      <c r="B494" s="6">
        <v>42923</v>
      </c>
      <c r="C494" s="7">
        <v>0.54752314814814818</v>
      </c>
      <c r="D494" s="8">
        <v>0.5486805555555555</v>
      </c>
      <c r="E494">
        <f t="shared" si="14"/>
        <v>1</v>
      </c>
      <c r="F494">
        <f t="shared" si="15"/>
        <v>0</v>
      </c>
    </row>
    <row r="495" spans="1:6" x14ac:dyDescent="0.35">
      <c r="A495" s="9">
        <v>54536153</v>
      </c>
      <c r="B495" s="10">
        <v>42923</v>
      </c>
      <c r="C495" s="11">
        <v>0.54858796296296297</v>
      </c>
      <c r="D495" s="12">
        <v>0.55723379629629632</v>
      </c>
      <c r="E495">
        <f t="shared" si="14"/>
        <v>0</v>
      </c>
      <c r="F495">
        <f t="shared" si="15"/>
        <v>1</v>
      </c>
    </row>
    <row r="496" spans="1:6" x14ac:dyDescent="0.35">
      <c r="A496" s="5">
        <v>6813775</v>
      </c>
      <c r="B496" s="6">
        <v>42923</v>
      </c>
      <c r="C496" s="7">
        <v>0.55363425925925924</v>
      </c>
      <c r="D496" s="8">
        <v>0.55819444444444444</v>
      </c>
      <c r="E496">
        <f t="shared" si="14"/>
        <v>1</v>
      </c>
      <c r="F496">
        <f t="shared" si="15"/>
        <v>0</v>
      </c>
    </row>
    <row r="497" spans="1:6" x14ac:dyDescent="0.35">
      <c r="A497" s="9">
        <v>72312196</v>
      </c>
      <c r="B497" s="10">
        <v>42923</v>
      </c>
      <c r="C497" s="11">
        <v>0.55532407407407403</v>
      </c>
      <c r="D497" s="12">
        <v>0.56598379629629625</v>
      </c>
      <c r="E497">
        <f t="shared" si="14"/>
        <v>0</v>
      </c>
      <c r="F497">
        <f t="shared" si="15"/>
        <v>1</v>
      </c>
    </row>
    <row r="498" spans="1:6" x14ac:dyDescent="0.35">
      <c r="A498" s="5">
        <v>2235911</v>
      </c>
      <c r="B498" s="6">
        <v>42923</v>
      </c>
      <c r="C498" s="7">
        <v>0.56019675925925927</v>
      </c>
      <c r="D498" s="8">
        <v>0.56783564814814813</v>
      </c>
      <c r="E498">
        <f t="shared" si="14"/>
        <v>1</v>
      </c>
      <c r="F498">
        <f t="shared" si="15"/>
        <v>0</v>
      </c>
    </row>
    <row r="499" spans="1:6" x14ac:dyDescent="0.35">
      <c r="A499" s="9">
        <v>9532678004</v>
      </c>
      <c r="B499" s="10">
        <v>42923</v>
      </c>
      <c r="C499" s="11">
        <v>0.56347222222222226</v>
      </c>
      <c r="D499" s="12">
        <v>0.57157407407407412</v>
      </c>
      <c r="E499">
        <f t="shared" si="14"/>
        <v>0</v>
      </c>
      <c r="F499">
        <f t="shared" si="15"/>
        <v>0</v>
      </c>
    </row>
    <row r="500" spans="1:6" x14ac:dyDescent="0.35">
      <c r="A500" s="5">
        <v>4653709</v>
      </c>
      <c r="B500" s="6">
        <v>42923</v>
      </c>
      <c r="C500" s="7">
        <v>0.56795138888888885</v>
      </c>
      <c r="D500" s="8">
        <v>0.57596064814814818</v>
      </c>
      <c r="E500">
        <f t="shared" si="14"/>
        <v>1</v>
      </c>
      <c r="F500">
        <f t="shared" si="15"/>
        <v>0</v>
      </c>
    </row>
    <row r="501" spans="1:6" x14ac:dyDescent="0.35">
      <c r="A501" s="9">
        <v>1734512</v>
      </c>
      <c r="B501" s="10">
        <v>42923</v>
      </c>
      <c r="C501" s="11">
        <v>0.57093749999999999</v>
      </c>
      <c r="D501" s="12">
        <v>0.5765393518518519</v>
      </c>
      <c r="E501">
        <f t="shared" si="14"/>
        <v>1</v>
      </c>
      <c r="F501">
        <f t="shared" si="15"/>
        <v>0</v>
      </c>
    </row>
    <row r="502" spans="1:6" x14ac:dyDescent="0.35">
      <c r="A502" s="5">
        <v>6741642</v>
      </c>
      <c r="B502" s="6">
        <v>42923</v>
      </c>
      <c r="C502" s="7">
        <v>0.57523148148148151</v>
      </c>
      <c r="D502" s="8">
        <v>0.57535879629629627</v>
      </c>
      <c r="E502">
        <f t="shared" si="14"/>
        <v>1</v>
      </c>
      <c r="F502">
        <f t="shared" si="15"/>
        <v>0</v>
      </c>
    </row>
    <row r="503" spans="1:6" x14ac:dyDescent="0.35">
      <c r="A503" s="9">
        <v>45862784</v>
      </c>
      <c r="B503" s="10">
        <v>42923</v>
      </c>
      <c r="C503" s="11">
        <v>0.57768518518518519</v>
      </c>
      <c r="D503" s="12">
        <v>0.58636574074074077</v>
      </c>
      <c r="E503">
        <f t="shared" si="14"/>
        <v>0</v>
      </c>
      <c r="F503">
        <f t="shared" si="15"/>
        <v>1</v>
      </c>
    </row>
    <row r="504" spans="1:6" x14ac:dyDescent="0.35">
      <c r="A504" s="5">
        <v>25147401</v>
      </c>
      <c r="B504" s="6">
        <v>42923</v>
      </c>
      <c r="C504" s="7">
        <v>0.57922453703703702</v>
      </c>
      <c r="D504" s="8">
        <v>0.58821759259259254</v>
      </c>
      <c r="E504">
        <f t="shared" si="14"/>
        <v>0</v>
      </c>
      <c r="F504">
        <f t="shared" si="15"/>
        <v>1</v>
      </c>
    </row>
    <row r="505" spans="1:6" x14ac:dyDescent="0.35">
      <c r="A505" s="9">
        <v>4963499</v>
      </c>
      <c r="B505" s="10">
        <v>42923</v>
      </c>
      <c r="C505" s="11">
        <v>0.58484953703703701</v>
      </c>
      <c r="D505" s="12">
        <v>0.5869212962962963</v>
      </c>
      <c r="E505">
        <f t="shared" si="14"/>
        <v>1</v>
      </c>
      <c r="F505">
        <f t="shared" si="15"/>
        <v>0</v>
      </c>
    </row>
    <row r="506" spans="1:6" x14ac:dyDescent="0.35">
      <c r="A506" s="5">
        <v>7432767</v>
      </c>
      <c r="B506" s="6">
        <v>42923</v>
      </c>
      <c r="C506" s="7">
        <v>0.58508101851851857</v>
      </c>
      <c r="D506" s="8">
        <v>0.58635416666666662</v>
      </c>
      <c r="E506">
        <f t="shared" si="14"/>
        <v>1</v>
      </c>
      <c r="F506">
        <f t="shared" si="15"/>
        <v>0</v>
      </c>
    </row>
    <row r="507" spans="1:6" x14ac:dyDescent="0.35">
      <c r="A507" s="9">
        <v>3599100</v>
      </c>
      <c r="B507" s="10">
        <v>42923</v>
      </c>
      <c r="C507" s="11">
        <v>0.58832175925925922</v>
      </c>
      <c r="D507" s="12">
        <v>0.59277777777777774</v>
      </c>
      <c r="E507">
        <f t="shared" si="14"/>
        <v>1</v>
      </c>
      <c r="F507">
        <f t="shared" si="15"/>
        <v>0</v>
      </c>
    </row>
    <row r="508" spans="1:6" x14ac:dyDescent="0.35">
      <c r="A508" s="5">
        <v>8251878</v>
      </c>
      <c r="B508" s="6">
        <v>42923</v>
      </c>
      <c r="C508" s="7">
        <v>0.59281249999999996</v>
      </c>
      <c r="D508" s="8">
        <v>0.59375</v>
      </c>
      <c r="E508">
        <f t="shared" si="14"/>
        <v>1</v>
      </c>
      <c r="F508">
        <f t="shared" si="15"/>
        <v>0</v>
      </c>
    </row>
    <row r="509" spans="1:6" x14ac:dyDescent="0.35">
      <c r="A509" s="9">
        <v>2826868</v>
      </c>
      <c r="B509" s="10">
        <v>42923</v>
      </c>
      <c r="C509" s="11">
        <v>0.59672453703703698</v>
      </c>
      <c r="D509" s="12">
        <v>0.60435185185185181</v>
      </c>
      <c r="E509">
        <f t="shared" si="14"/>
        <v>1</v>
      </c>
      <c r="F509">
        <f t="shared" si="15"/>
        <v>0</v>
      </c>
    </row>
    <row r="510" spans="1:6" x14ac:dyDescent="0.35">
      <c r="A510" s="5">
        <v>76099906</v>
      </c>
      <c r="B510" s="6">
        <v>42923</v>
      </c>
      <c r="C510" s="7">
        <v>0.6004976851851852</v>
      </c>
      <c r="D510" s="8">
        <v>0.61106481481481478</v>
      </c>
      <c r="E510">
        <f t="shared" si="14"/>
        <v>0</v>
      </c>
      <c r="F510">
        <f t="shared" si="15"/>
        <v>1</v>
      </c>
    </row>
    <row r="511" spans="1:6" x14ac:dyDescent="0.35">
      <c r="A511" s="9">
        <v>5147242</v>
      </c>
      <c r="B511" s="10">
        <v>42923</v>
      </c>
      <c r="C511" s="11">
        <v>0.60381944444444446</v>
      </c>
      <c r="D511" s="12">
        <v>0.60589120370370375</v>
      </c>
      <c r="E511">
        <f t="shared" si="14"/>
        <v>1</v>
      </c>
      <c r="F511">
        <f t="shared" si="15"/>
        <v>0</v>
      </c>
    </row>
    <row r="512" spans="1:6" x14ac:dyDescent="0.35">
      <c r="A512" s="5">
        <v>9600226</v>
      </c>
      <c r="B512" s="6">
        <v>42923</v>
      </c>
      <c r="C512" s="7">
        <v>0.60758101851851853</v>
      </c>
      <c r="D512" s="8">
        <v>0.61008101851851848</v>
      </c>
      <c r="E512">
        <f t="shared" si="14"/>
        <v>1</v>
      </c>
      <c r="F512">
        <f t="shared" si="15"/>
        <v>0</v>
      </c>
    </row>
    <row r="513" spans="1:6" x14ac:dyDescent="0.35">
      <c r="A513" s="9">
        <v>1337042</v>
      </c>
      <c r="B513" s="10">
        <v>42923</v>
      </c>
      <c r="C513" s="11">
        <v>0.60930555555555554</v>
      </c>
      <c r="D513" s="12">
        <v>0.62085648148148154</v>
      </c>
      <c r="E513">
        <f t="shared" si="14"/>
        <v>1</v>
      </c>
      <c r="F513">
        <f t="shared" si="15"/>
        <v>0</v>
      </c>
    </row>
    <row r="514" spans="1:6" x14ac:dyDescent="0.35">
      <c r="A514" s="5">
        <v>1223943</v>
      </c>
      <c r="B514" s="6">
        <v>42923</v>
      </c>
      <c r="C514" s="7">
        <v>0.61412037037037037</v>
      </c>
      <c r="D514" s="8">
        <v>0.62342592592592594</v>
      </c>
      <c r="E514">
        <f t="shared" si="14"/>
        <v>1</v>
      </c>
      <c r="F514">
        <f t="shared" si="15"/>
        <v>0</v>
      </c>
    </row>
    <row r="515" spans="1:6" x14ac:dyDescent="0.35">
      <c r="A515" s="9">
        <v>3525921</v>
      </c>
      <c r="B515" s="10">
        <v>42923</v>
      </c>
      <c r="C515" s="11">
        <v>0.61557870370370371</v>
      </c>
      <c r="D515" s="12">
        <v>0.61946759259259254</v>
      </c>
      <c r="E515">
        <f t="shared" ref="E515:E578" si="16">IF(LEN(A515)=7,1,0)</f>
        <v>1</v>
      </c>
      <c r="F515">
        <f t="shared" ref="F515:F578" si="17">IF(LEN(A515)=8,1,0)</f>
        <v>0</v>
      </c>
    </row>
    <row r="516" spans="1:6" x14ac:dyDescent="0.35">
      <c r="A516" s="5">
        <v>5094248</v>
      </c>
      <c r="B516" s="6">
        <v>42923</v>
      </c>
      <c r="C516" s="7">
        <v>0.61901620370370369</v>
      </c>
      <c r="D516" s="8">
        <v>0.62861111111111112</v>
      </c>
      <c r="E516">
        <f t="shared" si="16"/>
        <v>1</v>
      </c>
      <c r="F516">
        <f t="shared" si="17"/>
        <v>0</v>
      </c>
    </row>
    <row r="517" spans="1:6" x14ac:dyDescent="0.35">
      <c r="A517" s="9">
        <v>7275091</v>
      </c>
      <c r="B517" s="10">
        <v>42923</v>
      </c>
      <c r="C517" s="11">
        <v>0.62306712962962962</v>
      </c>
      <c r="D517" s="12">
        <v>0.63328703703703704</v>
      </c>
      <c r="E517">
        <f t="shared" si="16"/>
        <v>1</v>
      </c>
      <c r="F517">
        <f t="shared" si="17"/>
        <v>0</v>
      </c>
    </row>
    <row r="518" spans="1:6" x14ac:dyDescent="0.35">
      <c r="A518" s="5">
        <v>73042148</v>
      </c>
      <c r="B518" s="6">
        <v>42923</v>
      </c>
      <c r="C518" s="7">
        <v>0.62537037037037035</v>
      </c>
      <c r="D518" s="8">
        <v>0.63498842592592597</v>
      </c>
      <c r="E518">
        <f t="shared" si="16"/>
        <v>0</v>
      </c>
      <c r="F518">
        <f t="shared" si="17"/>
        <v>1</v>
      </c>
    </row>
    <row r="519" spans="1:6" x14ac:dyDescent="0.35">
      <c r="A519" s="9">
        <v>8570276</v>
      </c>
      <c r="B519" s="10">
        <v>42926</v>
      </c>
      <c r="C519" s="11">
        <v>0.33759259259259261</v>
      </c>
      <c r="D519" s="12">
        <v>0.34880787037037037</v>
      </c>
      <c r="E519">
        <f t="shared" si="16"/>
        <v>1</v>
      </c>
      <c r="F519">
        <f t="shared" si="17"/>
        <v>0</v>
      </c>
    </row>
    <row r="520" spans="1:6" x14ac:dyDescent="0.35">
      <c r="A520" s="5">
        <v>1775586</v>
      </c>
      <c r="B520" s="6">
        <v>42926</v>
      </c>
      <c r="C520" s="7">
        <v>0.34016203703703701</v>
      </c>
      <c r="D520" s="8">
        <v>0.3495138888888889</v>
      </c>
      <c r="E520">
        <f t="shared" si="16"/>
        <v>1</v>
      </c>
      <c r="F520">
        <f t="shared" si="17"/>
        <v>0</v>
      </c>
    </row>
    <row r="521" spans="1:6" x14ac:dyDescent="0.35">
      <c r="A521" s="9">
        <v>27791497</v>
      </c>
      <c r="B521" s="10">
        <v>42926</v>
      </c>
      <c r="C521" s="11">
        <v>0.34312500000000001</v>
      </c>
      <c r="D521" s="12">
        <v>0.34373842592592591</v>
      </c>
      <c r="E521">
        <f t="shared" si="16"/>
        <v>0</v>
      </c>
      <c r="F521">
        <f t="shared" si="17"/>
        <v>1</v>
      </c>
    </row>
    <row r="522" spans="1:6" x14ac:dyDescent="0.35">
      <c r="A522" s="5">
        <v>5162775</v>
      </c>
      <c r="B522" s="6">
        <v>42926</v>
      </c>
      <c r="C522" s="7">
        <v>0.34364583333333332</v>
      </c>
      <c r="D522" s="8">
        <v>0.3492824074074074</v>
      </c>
      <c r="E522">
        <f t="shared" si="16"/>
        <v>1</v>
      </c>
      <c r="F522">
        <f t="shared" si="17"/>
        <v>0</v>
      </c>
    </row>
    <row r="523" spans="1:6" x14ac:dyDescent="0.35">
      <c r="A523" s="9">
        <v>56115408</v>
      </c>
      <c r="B523" s="10">
        <v>42926</v>
      </c>
      <c r="C523" s="11">
        <v>0.34796296296296297</v>
      </c>
      <c r="D523" s="12">
        <v>0.35728009259259258</v>
      </c>
      <c r="E523">
        <f t="shared" si="16"/>
        <v>0</v>
      </c>
      <c r="F523">
        <f t="shared" si="17"/>
        <v>1</v>
      </c>
    </row>
    <row r="524" spans="1:6" x14ac:dyDescent="0.35">
      <c r="A524" s="5">
        <v>6766881</v>
      </c>
      <c r="B524" s="6">
        <v>42926</v>
      </c>
      <c r="C524" s="7">
        <v>0.35249999999999998</v>
      </c>
      <c r="D524" s="8">
        <v>0.35278935185185184</v>
      </c>
      <c r="E524">
        <f t="shared" si="16"/>
        <v>1</v>
      </c>
      <c r="F524">
        <f t="shared" si="17"/>
        <v>0</v>
      </c>
    </row>
    <row r="525" spans="1:6" x14ac:dyDescent="0.35">
      <c r="A525" s="9">
        <v>9502975</v>
      </c>
      <c r="B525" s="10">
        <v>42926</v>
      </c>
      <c r="C525" s="11">
        <v>0.35483796296296294</v>
      </c>
      <c r="D525" s="12">
        <v>0.35699074074074072</v>
      </c>
      <c r="E525">
        <f t="shared" si="16"/>
        <v>1</v>
      </c>
      <c r="F525">
        <f t="shared" si="17"/>
        <v>0</v>
      </c>
    </row>
    <row r="526" spans="1:6" x14ac:dyDescent="0.35">
      <c r="A526" s="5">
        <v>4212838</v>
      </c>
      <c r="B526" s="6">
        <v>42926</v>
      </c>
      <c r="C526" s="7">
        <v>0.35760416666666667</v>
      </c>
      <c r="D526" s="8">
        <v>0.35951388888888891</v>
      </c>
      <c r="E526">
        <f t="shared" si="16"/>
        <v>1</v>
      </c>
      <c r="F526">
        <f t="shared" si="17"/>
        <v>0</v>
      </c>
    </row>
    <row r="527" spans="1:6" x14ac:dyDescent="0.35">
      <c r="A527" s="9">
        <v>6952061</v>
      </c>
      <c r="B527" s="10">
        <v>42926</v>
      </c>
      <c r="C527" s="11">
        <v>0.36282407407407408</v>
      </c>
      <c r="D527" s="12">
        <v>0.37093749999999998</v>
      </c>
      <c r="E527">
        <f t="shared" si="16"/>
        <v>1</v>
      </c>
      <c r="F527">
        <f t="shared" si="17"/>
        <v>0</v>
      </c>
    </row>
    <row r="528" spans="1:6" x14ac:dyDescent="0.35">
      <c r="A528" s="5">
        <v>56127547</v>
      </c>
      <c r="B528" s="6">
        <v>42926</v>
      </c>
      <c r="C528" s="7">
        <v>0.36803240740740739</v>
      </c>
      <c r="D528" s="8">
        <v>0.37565972222222221</v>
      </c>
      <c r="E528">
        <f t="shared" si="16"/>
        <v>0</v>
      </c>
      <c r="F528">
        <f t="shared" si="17"/>
        <v>1</v>
      </c>
    </row>
    <row r="529" spans="1:6" x14ac:dyDescent="0.35">
      <c r="A529" s="9">
        <v>4952685</v>
      </c>
      <c r="B529" s="10">
        <v>42926</v>
      </c>
      <c r="C529" s="11">
        <v>0.36895833333333333</v>
      </c>
      <c r="D529" s="12">
        <v>0.37655092592592593</v>
      </c>
      <c r="E529">
        <f t="shared" si="16"/>
        <v>1</v>
      </c>
      <c r="F529">
        <f t="shared" si="17"/>
        <v>0</v>
      </c>
    </row>
    <row r="530" spans="1:6" x14ac:dyDescent="0.35">
      <c r="A530" s="5">
        <v>8632893</v>
      </c>
      <c r="B530" s="6">
        <v>42926</v>
      </c>
      <c r="C530" s="7">
        <v>0.36996527777777777</v>
      </c>
      <c r="D530" s="8">
        <v>0.37988425925925928</v>
      </c>
      <c r="E530">
        <f t="shared" si="16"/>
        <v>1</v>
      </c>
      <c r="F530">
        <f t="shared" si="17"/>
        <v>0</v>
      </c>
    </row>
    <row r="531" spans="1:6" x14ac:dyDescent="0.35">
      <c r="A531" s="9">
        <v>7320123</v>
      </c>
      <c r="B531" s="10">
        <v>42926</v>
      </c>
      <c r="C531" s="11">
        <v>0.37015046296296295</v>
      </c>
      <c r="D531" s="12">
        <v>0.37528935185185186</v>
      </c>
      <c r="E531">
        <f t="shared" si="16"/>
        <v>1</v>
      </c>
      <c r="F531">
        <f t="shared" si="17"/>
        <v>0</v>
      </c>
    </row>
    <row r="532" spans="1:6" x14ac:dyDescent="0.35">
      <c r="A532" s="5">
        <v>4600571814</v>
      </c>
      <c r="B532" s="6">
        <v>42926</v>
      </c>
      <c r="C532" s="7">
        <v>0.3706712962962963</v>
      </c>
      <c r="D532" s="8">
        <v>0.37572916666666667</v>
      </c>
      <c r="E532">
        <f t="shared" si="16"/>
        <v>0</v>
      </c>
      <c r="F532">
        <f t="shared" si="17"/>
        <v>0</v>
      </c>
    </row>
    <row r="533" spans="1:6" x14ac:dyDescent="0.35">
      <c r="A533" s="9">
        <v>38063903</v>
      </c>
      <c r="B533" s="10">
        <v>42926</v>
      </c>
      <c r="C533" s="11">
        <v>0.37207175925925928</v>
      </c>
      <c r="D533" s="12">
        <v>0.37332175925925926</v>
      </c>
      <c r="E533">
        <f t="shared" si="16"/>
        <v>0</v>
      </c>
      <c r="F533">
        <f t="shared" si="17"/>
        <v>1</v>
      </c>
    </row>
    <row r="534" spans="1:6" x14ac:dyDescent="0.35">
      <c r="A534" s="5">
        <v>4901642</v>
      </c>
      <c r="B534" s="6">
        <v>42926</v>
      </c>
      <c r="C534" s="7">
        <v>0.37747685185185187</v>
      </c>
      <c r="D534" s="8">
        <v>0.38609953703703703</v>
      </c>
      <c r="E534">
        <f t="shared" si="16"/>
        <v>1</v>
      </c>
      <c r="F534">
        <f t="shared" si="17"/>
        <v>0</v>
      </c>
    </row>
    <row r="535" spans="1:6" x14ac:dyDescent="0.35">
      <c r="A535" s="9">
        <v>39669014</v>
      </c>
      <c r="B535" s="10">
        <v>42926</v>
      </c>
      <c r="C535" s="11">
        <v>0.37930555555555556</v>
      </c>
      <c r="D535" s="12">
        <v>0.38686342592592593</v>
      </c>
      <c r="E535">
        <f t="shared" si="16"/>
        <v>0</v>
      </c>
      <c r="F535">
        <f t="shared" si="17"/>
        <v>1</v>
      </c>
    </row>
    <row r="536" spans="1:6" x14ac:dyDescent="0.35">
      <c r="A536" s="5">
        <v>48919339</v>
      </c>
      <c r="B536" s="6">
        <v>42926</v>
      </c>
      <c r="C536" s="7">
        <v>0.38040509259259259</v>
      </c>
      <c r="D536" s="8">
        <v>0.38484953703703706</v>
      </c>
      <c r="E536">
        <f t="shared" si="16"/>
        <v>0</v>
      </c>
      <c r="F536">
        <f t="shared" si="17"/>
        <v>1</v>
      </c>
    </row>
    <row r="537" spans="1:6" x14ac:dyDescent="0.35">
      <c r="A537" s="9">
        <v>4960687</v>
      </c>
      <c r="B537" s="10">
        <v>42926</v>
      </c>
      <c r="C537" s="11">
        <v>0.3835648148148148</v>
      </c>
      <c r="D537" s="12">
        <v>0.3941087962962963</v>
      </c>
      <c r="E537">
        <f t="shared" si="16"/>
        <v>1</v>
      </c>
      <c r="F537">
        <f t="shared" si="17"/>
        <v>0</v>
      </c>
    </row>
    <row r="538" spans="1:6" x14ac:dyDescent="0.35">
      <c r="A538" s="5">
        <v>41156424</v>
      </c>
      <c r="B538" s="6">
        <v>42926</v>
      </c>
      <c r="C538" s="7">
        <v>0.38715277777777779</v>
      </c>
      <c r="D538" s="8">
        <v>0.39293981481481483</v>
      </c>
      <c r="E538">
        <f t="shared" si="16"/>
        <v>0</v>
      </c>
      <c r="F538">
        <f t="shared" si="17"/>
        <v>1</v>
      </c>
    </row>
    <row r="539" spans="1:6" x14ac:dyDescent="0.35">
      <c r="A539" s="9">
        <v>5087066</v>
      </c>
      <c r="B539" s="10">
        <v>42926</v>
      </c>
      <c r="C539" s="11">
        <v>0.3894097222222222</v>
      </c>
      <c r="D539" s="12">
        <v>0.39869212962962963</v>
      </c>
      <c r="E539">
        <f t="shared" si="16"/>
        <v>1</v>
      </c>
      <c r="F539">
        <f t="shared" si="17"/>
        <v>0</v>
      </c>
    </row>
    <row r="540" spans="1:6" x14ac:dyDescent="0.35">
      <c r="A540" s="5">
        <v>4636713</v>
      </c>
      <c r="B540" s="6">
        <v>42926</v>
      </c>
      <c r="C540" s="7">
        <v>0.39193287037037039</v>
      </c>
      <c r="D540" s="8">
        <v>0.39712962962962961</v>
      </c>
      <c r="E540">
        <f t="shared" si="16"/>
        <v>1</v>
      </c>
      <c r="F540">
        <f t="shared" si="17"/>
        <v>0</v>
      </c>
    </row>
    <row r="541" spans="1:6" x14ac:dyDescent="0.35">
      <c r="A541" s="9">
        <v>3944120</v>
      </c>
      <c r="B541" s="10">
        <v>42926</v>
      </c>
      <c r="C541" s="11">
        <v>0.39307870370370368</v>
      </c>
      <c r="D541" s="12">
        <v>0.39380787037037035</v>
      </c>
      <c r="E541">
        <f t="shared" si="16"/>
        <v>1</v>
      </c>
      <c r="F541">
        <f t="shared" si="17"/>
        <v>0</v>
      </c>
    </row>
    <row r="542" spans="1:6" x14ac:dyDescent="0.35">
      <c r="A542" s="5">
        <v>5960122</v>
      </c>
      <c r="B542" s="6">
        <v>42926</v>
      </c>
      <c r="C542" s="7">
        <v>0.3984375</v>
      </c>
      <c r="D542" s="8">
        <v>0.40802083333333333</v>
      </c>
      <c r="E542">
        <f t="shared" si="16"/>
        <v>1</v>
      </c>
      <c r="F542">
        <f t="shared" si="17"/>
        <v>0</v>
      </c>
    </row>
    <row r="543" spans="1:6" x14ac:dyDescent="0.35">
      <c r="A543" s="9">
        <v>6795454</v>
      </c>
      <c r="B543" s="10">
        <v>42926</v>
      </c>
      <c r="C543" s="11">
        <v>0.40265046296296297</v>
      </c>
      <c r="D543" s="12">
        <v>0.40284722222222225</v>
      </c>
      <c r="E543">
        <f t="shared" si="16"/>
        <v>1</v>
      </c>
      <c r="F543">
        <f t="shared" si="17"/>
        <v>0</v>
      </c>
    </row>
    <row r="544" spans="1:6" x14ac:dyDescent="0.35">
      <c r="A544" s="5">
        <v>5013688</v>
      </c>
      <c r="B544" s="6">
        <v>42926</v>
      </c>
      <c r="C544" s="7">
        <v>0.40662037037037035</v>
      </c>
      <c r="D544" s="8">
        <v>0.41171296296296295</v>
      </c>
      <c r="E544">
        <f t="shared" si="16"/>
        <v>1</v>
      </c>
      <c r="F544">
        <f t="shared" si="17"/>
        <v>0</v>
      </c>
    </row>
    <row r="545" spans="1:6" x14ac:dyDescent="0.35">
      <c r="A545" s="9">
        <v>9487255</v>
      </c>
      <c r="B545" s="10">
        <v>42926</v>
      </c>
      <c r="C545" s="11">
        <v>0.40997685185185184</v>
      </c>
      <c r="D545" s="12">
        <v>0.41947916666666668</v>
      </c>
      <c r="E545">
        <f t="shared" si="16"/>
        <v>1</v>
      </c>
      <c r="F545">
        <f t="shared" si="17"/>
        <v>0</v>
      </c>
    </row>
    <row r="546" spans="1:6" x14ac:dyDescent="0.35">
      <c r="A546" s="5">
        <v>1592822</v>
      </c>
      <c r="B546" s="6">
        <v>42926</v>
      </c>
      <c r="C546" s="7">
        <v>0.41422453703703704</v>
      </c>
      <c r="D546" s="8">
        <v>0.42549768518518516</v>
      </c>
      <c r="E546">
        <f t="shared" si="16"/>
        <v>1</v>
      </c>
      <c r="F546">
        <f t="shared" si="17"/>
        <v>0</v>
      </c>
    </row>
    <row r="547" spans="1:6" x14ac:dyDescent="0.35">
      <c r="A547" s="9">
        <v>9084978</v>
      </c>
      <c r="B547" s="10">
        <v>42926</v>
      </c>
      <c r="C547" s="11">
        <v>0.41553240740740743</v>
      </c>
      <c r="D547" s="12">
        <v>0.42593750000000002</v>
      </c>
      <c r="E547">
        <f t="shared" si="16"/>
        <v>1</v>
      </c>
      <c r="F547">
        <f t="shared" si="17"/>
        <v>0</v>
      </c>
    </row>
    <row r="548" spans="1:6" x14ac:dyDescent="0.35">
      <c r="A548" s="5">
        <v>80038636</v>
      </c>
      <c r="B548" s="6">
        <v>42926</v>
      </c>
      <c r="C548" s="7">
        <v>0.41734953703703703</v>
      </c>
      <c r="D548" s="8">
        <v>0.42822916666666666</v>
      </c>
      <c r="E548">
        <f t="shared" si="16"/>
        <v>0</v>
      </c>
      <c r="F548">
        <f t="shared" si="17"/>
        <v>1</v>
      </c>
    </row>
    <row r="549" spans="1:6" x14ac:dyDescent="0.35">
      <c r="A549" s="9">
        <v>2021941339</v>
      </c>
      <c r="B549" s="10">
        <v>42926</v>
      </c>
      <c r="C549" s="11">
        <v>0.41863425925925923</v>
      </c>
      <c r="D549" s="12">
        <v>0.42877314814814815</v>
      </c>
      <c r="E549">
        <f t="shared" si="16"/>
        <v>0</v>
      </c>
      <c r="F549">
        <f t="shared" si="17"/>
        <v>0</v>
      </c>
    </row>
    <row r="550" spans="1:6" x14ac:dyDescent="0.35">
      <c r="A550" s="5">
        <v>7718350</v>
      </c>
      <c r="B550" s="6">
        <v>42926</v>
      </c>
      <c r="C550" s="7">
        <v>0.42002314814814817</v>
      </c>
      <c r="D550" s="8">
        <v>0.42700231481481482</v>
      </c>
      <c r="E550">
        <f t="shared" si="16"/>
        <v>1</v>
      </c>
      <c r="F550">
        <f t="shared" si="17"/>
        <v>0</v>
      </c>
    </row>
    <row r="551" spans="1:6" x14ac:dyDescent="0.35">
      <c r="A551" s="9">
        <v>3153283</v>
      </c>
      <c r="B551" s="10">
        <v>42926</v>
      </c>
      <c r="C551" s="11">
        <v>0.42396990740740742</v>
      </c>
      <c r="D551" s="12">
        <v>0.43335648148148148</v>
      </c>
      <c r="E551">
        <f t="shared" si="16"/>
        <v>1</v>
      </c>
      <c r="F551">
        <f t="shared" si="17"/>
        <v>0</v>
      </c>
    </row>
    <row r="552" spans="1:6" x14ac:dyDescent="0.35">
      <c r="A552" s="5">
        <v>6341482</v>
      </c>
      <c r="B552" s="6">
        <v>42926</v>
      </c>
      <c r="C552" s="7">
        <v>0.42922453703703706</v>
      </c>
      <c r="D552" s="8">
        <v>0.43947916666666664</v>
      </c>
      <c r="E552">
        <f t="shared" si="16"/>
        <v>1</v>
      </c>
      <c r="F552">
        <f t="shared" si="17"/>
        <v>0</v>
      </c>
    </row>
    <row r="553" spans="1:6" x14ac:dyDescent="0.35">
      <c r="A553" s="9">
        <v>67964973</v>
      </c>
      <c r="B553" s="10">
        <v>42926</v>
      </c>
      <c r="C553" s="11">
        <v>0.43475694444444446</v>
      </c>
      <c r="D553" s="12">
        <v>0.43590277777777775</v>
      </c>
      <c r="E553">
        <f t="shared" si="16"/>
        <v>0</v>
      </c>
      <c r="F553">
        <f t="shared" si="17"/>
        <v>1</v>
      </c>
    </row>
    <row r="554" spans="1:6" x14ac:dyDescent="0.35">
      <c r="A554" s="5">
        <v>1223943</v>
      </c>
      <c r="B554" s="6">
        <v>42926</v>
      </c>
      <c r="C554" s="7">
        <v>0.43961805555555555</v>
      </c>
      <c r="D554" s="8">
        <v>0.45087962962962963</v>
      </c>
      <c r="E554">
        <f t="shared" si="16"/>
        <v>1</v>
      </c>
      <c r="F554">
        <f t="shared" si="17"/>
        <v>0</v>
      </c>
    </row>
    <row r="555" spans="1:6" x14ac:dyDescent="0.35">
      <c r="A555" s="9">
        <v>8049834</v>
      </c>
      <c r="B555" s="10">
        <v>42926</v>
      </c>
      <c r="C555" s="11">
        <v>0.44210648148148146</v>
      </c>
      <c r="D555" s="12">
        <v>0.44369212962962962</v>
      </c>
      <c r="E555">
        <f t="shared" si="16"/>
        <v>1</v>
      </c>
      <c r="F555">
        <f t="shared" si="17"/>
        <v>0</v>
      </c>
    </row>
    <row r="556" spans="1:6" x14ac:dyDescent="0.35">
      <c r="A556" s="5">
        <v>6374704</v>
      </c>
      <c r="B556" s="6">
        <v>42926</v>
      </c>
      <c r="C556" s="7">
        <v>0.44572916666666668</v>
      </c>
      <c r="D556" s="8">
        <v>0.4548726851851852</v>
      </c>
      <c r="E556">
        <f t="shared" si="16"/>
        <v>1</v>
      </c>
      <c r="F556">
        <f t="shared" si="17"/>
        <v>0</v>
      </c>
    </row>
    <row r="557" spans="1:6" x14ac:dyDescent="0.35">
      <c r="A557" s="9">
        <v>99625315</v>
      </c>
      <c r="B557" s="10">
        <v>42926</v>
      </c>
      <c r="C557" s="11">
        <v>0.44592592592592595</v>
      </c>
      <c r="D557" s="12">
        <v>0.45026620370370368</v>
      </c>
      <c r="E557">
        <f t="shared" si="16"/>
        <v>0</v>
      </c>
      <c r="F557">
        <f t="shared" si="17"/>
        <v>1</v>
      </c>
    </row>
    <row r="558" spans="1:6" x14ac:dyDescent="0.35">
      <c r="A558" s="5">
        <v>9728932</v>
      </c>
      <c r="B558" s="6">
        <v>42926</v>
      </c>
      <c r="C558" s="7">
        <v>0.44641203703703702</v>
      </c>
      <c r="D558" s="8">
        <v>0.45089120370370372</v>
      </c>
      <c r="E558">
        <f t="shared" si="16"/>
        <v>1</v>
      </c>
      <c r="F558">
        <f t="shared" si="17"/>
        <v>0</v>
      </c>
    </row>
    <row r="559" spans="1:6" x14ac:dyDescent="0.35">
      <c r="A559" s="9">
        <v>9121149</v>
      </c>
      <c r="B559" s="10">
        <v>42926</v>
      </c>
      <c r="C559" s="11">
        <v>0.45106481481481481</v>
      </c>
      <c r="D559" s="12">
        <v>0.45603009259259258</v>
      </c>
      <c r="E559">
        <f t="shared" si="16"/>
        <v>1</v>
      </c>
      <c r="F559">
        <f t="shared" si="17"/>
        <v>0</v>
      </c>
    </row>
    <row r="560" spans="1:6" x14ac:dyDescent="0.35">
      <c r="A560" s="5">
        <v>2790475</v>
      </c>
      <c r="B560" s="6">
        <v>42926</v>
      </c>
      <c r="C560" s="7">
        <v>0.45663194444444444</v>
      </c>
      <c r="D560" s="8">
        <v>0.46517361111111111</v>
      </c>
      <c r="E560">
        <f t="shared" si="16"/>
        <v>1</v>
      </c>
      <c r="F560">
        <f t="shared" si="17"/>
        <v>0</v>
      </c>
    </row>
    <row r="561" spans="1:6" x14ac:dyDescent="0.35">
      <c r="A561" s="9">
        <v>4148520</v>
      </c>
      <c r="B561" s="10">
        <v>42926</v>
      </c>
      <c r="C561" s="11">
        <v>0.46108796296296295</v>
      </c>
      <c r="D561" s="12">
        <v>0.46989583333333335</v>
      </c>
      <c r="E561">
        <f t="shared" si="16"/>
        <v>1</v>
      </c>
      <c r="F561">
        <f t="shared" si="17"/>
        <v>0</v>
      </c>
    </row>
    <row r="562" spans="1:6" x14ac:dyDescent="0.35">
      <c r="A562" s="5">
        <v>55462392</v>
      </c>
      <c r="B562" s="6">
        <v>42926</v>
      </c>
      <c r="C562" s="7">
        <v>0.46597222222222223</v>
      </c>
      <c r="D562" s="8">
        <v>0.46732638888888889</v>
      </c>
      <c r="E562">
        <f t="shared" si="16"/>
        <v>0</v>
      </c>
      <c r="F562">
        <f t="shared" si="17"/>
        <v>1</v>
      </c>
    </row>
    <row r="563" spans="1:6" x14ac:dyDescent="0.35">
      <c r="A563" s="9">
        <v>8130722</v>
      </c>
      <c r="B563" s="10">
        <v>42926</v>
      </c>
      <c r="C563" s="11">
        <v>0.46649305555555554</v>
      </c>
      <c r="D563" s="12">
        <v>0.47717592592592595</v>
      </c>
      <c r="E563">
        <f t="shared" si="16"/>
        <v>1</v>
      </c>
      <c r="F563">
        <f t="shared" si="17"/>
        <v>0</v>
      </c>
    </row>
    <row r="564" spans="1:6" x14ac:dyDescent="0.35">
      <c r="A564" s="5">
        <v>5448890</v>
      </c>
      <c r="B564" s="6">
        <v>42926</v>
      </c>
      <c r="C564" s="7">
        <v>0.46957175925925926</v>
      </c>
      <c r="D564" s="8">
        <v>0.47247685185185184</v>
      </c>
      <c r="E564">
        <f t="shared" si="16"/>
        <v>1</v>
      </c>
      <c r="F564">
        <f t="shared" si="17"/>
        <v>0</v>
      </c>
    </row>
    <row r="565" spans="1:6" x14ac:dyDescent="0.35">
      <c r="A565" s="9">
        <v>6118241</v>
      </c>
      <c r="B565" s="10">
        <v>42926</v>
      </c>
      <c r="C565" s="11">
        <v>0.47462962962962962</v>
      </c>
      <c r="D565" s="12">
        <v>0.47839120370370369</v>
      </c>
      <c r="E565">
        <f t="shared" si="16"/>
        <v>1</v>
      </c>
      <c r="F565">
        <f t="shared" si="17"/>
        <v>0</v>
      </c>
    </row>
    <row r="566" spans="1:6" x14ac:dyDescent="0.35">
      <c r="A566" s="5">
        <v>1088377750</v>
      </c>
      <c r="B566" s="6">
        <v>42926</v>
      </c>
      <c r="C566" s="7">
        <v>0.47535879629629629</v>
      </c>
      <c r="D566" s="8">
        <v>0.48454861111111114</v>
      </c>
      <c r="E566">
        <f t="shared" si="16"/>
        <v>0</v>
      </c>
      <c r="F566">
        <f t="shared" si="17"/>
        <v>0</v>
      </c>
    </row>
    <row r="567" spans="1:6" x14ac:dyDescent="0.35">
      <c r="A567" s="9">
        <v>98238772</v>
      </c>
      <c r="B567" s="10">
        <v>42926</v>
      </c>
      <c r="C567" s="11">
        <v>0.47989583333333335</v>
      </c>
      <c r="D567" s="12">
        <v>0.48138888888888887</v>
      </c>
      <c r="E567">
        <f t="shared" si="16"/>
        <v>0</v>
      </c>
      <c r="F567">
        <f t="shared" si="17"/>
        <v>1</v>
      </c>
    </row>
    <row r="568" spans="1:6" x14ac:dyDescent="0.35">
      <c r="A568" s="5">
        <v>9524588</v>
      </c>
      <c r="B568" s="6">
        <v>42926</v>
      </c>
      <c r="C568" s="7">
        <v>0.4846759259259259</v>
      </c>
      <c r="D568" s="8">
        <v>0.49550925925925926</v>
      </c>
      <c r="E568">
        <f t="shared" si="16"/>
        <v>1</v>
      </c>
      <c r="F568">
        <f t="shared" si="17"/>
        <v>0</v>
      </c>
    </row>
    <row r="569" spans="1:6" x14ac:dyDescent="0.35">
      <c r="A569" s="9">
        <v>96375379</v>
      </c>
      <c r="B569" s="10">
        <v>42926</v>
      </c>
      <c r="C569" s="11">
        <v>0.4881712962962963</v>
      </c>
      <c r="D569" s="12">
        <v>0.49769675925925927</v>
      </c>
      <c r="E569">
        <f t="shared" si="16"/>
        <v>0</v>
      </c>
      <c r="F569">
        <f t="shared" si="17"/>
        <v>1</v>
      </c>
    </row>
    <row r="570" spans="1:6" x14ac:dyDescent="0.35">
      <c r="A570" s="5">
        <v>4759206</v>
      </c>
      <c r="B570" s="6">
        <v>42926</v>
      </c>
      <c r="C570" s="7">
        <v>0.49055555555555558</v>
      </c>
      <c r="D570" s="8">
        <v>0.49449074074074073</v>
      </c>
      <c r="E570">
        <f t="shared" si="16"/>
        <v>1</v>
      </c>
      <c r="F570">
        <f t="shared" si="17"/>
        <v>0</v>
      </c>
    </row>
    <row r="571" spans="1:6" x14ac:dyDescent="0.35">
      <c r="A571" s="9">
        <v>9197309</v>
      </c>
      <c r="B571" s="10">
        <v>42926</v>
      </c>
      <c r="C571" s="11">
        <v>0.49488425925925927</v>
      </c>
      <c r="D571" s="12">
        <v>0.50590277777777781</v>
      </c>
      <c r="E571">
        <f t="shared" si="16"/>
        <v>1</v>
      </c>
      <c r="F571">
        <f t="shared" si="17"/>
        <v>0</v>
      </c>
    </row>
    <row r="572" spans="1:6" x14ac:dyDescent="0.35">
      <c r="A572" s="5">
        <v>8322522</v>
      </c>
      <c r="B572" s="6">
        <v>42926</v>
      </c>
      <c r="C572" s="7">
        <v>0.49674768518518519</v>
      </c>
      <c r="D572" s="8">
        <v>0.50796296296296295</v>
      </c>
      <c r="E572">
        <f t="shared" si="16"/>
        <v>1</v>
      </c>
      <c r="F572">
        <f t="shared" si="17"/>
        <v>0</v>
      </c>
    </row>
    <row r="573" spans="1:6" x14ac:dyDescent="0.35">
      <c r="A573" s="9">
        <v>4264808</v>
      </c>
      <c r="B573" s="10">
        <v>42926</v>
      </c>
      <c r="C573" s="11">
        <v>0.50089120370370366</v>
      </c>
      <c r="D573" s="12">
        <v>0.50109953703703702</v>
      </c>
      <c r="E573">
        <f t="shared" si="16"/>
        <v>1</v>
      </c>
      <c r="F573">
        <f t="shared" si="17"/>
        <v>0</v>
      </c>
    </row>
    <row r="574" spans="1:6" x14ac:dyDescent="0.35">
      <c r="A574" s="5">
        <v>3095218</v>
      </c>
      <c r="B574" s="6">
        <v>42926</v>
      </c>
      <c r="C574" s="7">
        <v>0.50635416666666666</v>
      </c>
      <c r="D574" s="8">
        <v>0.51716435185185183</v>
      </c>
      <c r="E574">
        <f t="shared" si="16"/>
        <v>1</v>
      </c>
      <c r="F574">
        <f t="shared" si="17"/>
        <v>0</v>
      </c>
    </row>
    <row r="575" spans="1:6" x14ac:dyDescent="0.35">
      <c r="A575" s="9">
        <v>5820632164</v>
      </c>
      <c r="B575" s="10">
        <v>42926</v>
      </c>
      <c r="C575" s="11">
        <v>0.51010416666666669</v>
      </c>
      <c r="D575" s="12">
        <v>0.51879629629629631</v>
      </c>
      <c r="E575">
        <f t="shared" si="16"/>
        <v>0</v>
      </c>
      <c r="F575">
        <f t="shared" si="17"/>
        <v>0</v>
      </c>
    </row>
    <row r="576" spans="1:6" x14ac:dyDescent="0.35">
      <c r="A576" s="5">
        <v>89814525</v>
      </c>
      <c r="B576" s="6">
        <v>42926</v>
      </c>
      <c r="C576" s="7">
        <v>0.51090277777777782</v>
      </c>
      <c r="D576" s="8">
        <v>0.51175925925925925</v>
      </c>
      <c r="E576">
        <f t="shared" si="16"/>
        <v>0</v>
      </c>
      <c r="F576">
        <f t="shared" si="17"/>
        <v>1</v>
      </c>
    </row>
    <row r="577" spans="1:6" x14ac:dyDescent="0.35">
      <c r="A577" s="9">
        <v>1223816</v>
      </c>
      <c r="B577" s="10">
        <v>42926</v>
      </c>
      <c r="C577" s="11">
        <v>0.51116898148148149</v>
      </c>
      <c r="D577" s="12">
        <v>0.51718750000000002</v>
      </c>
      <c r="E577">
        <f t="shared" si="16"/>
        <v>1</v>
      </c>
      <c r="F577">
        <f t="shared" si="17"/>
        <v>0</v>
      </c>
    </row>
    <row r="578" spans="1:6" x14ac:dyDescent="0.35">
      <c r="A578" s="5">
        <v>18503160</v>
      </c>
      <c r="B578" s="6">
        <v>42926</v>
      </c>
      <c r="C578" s="7">
        <v>0.51157407407407407</v>
      </c>
      <c r="D578" s="8">
        <v>0.51663194444444449</v>
      </c>
      <c r="E578">
        <f t="shared" si="16"/>
        <v>0</v>
      </c>
      <c r="F578">
        <f t="shared" si="17"/>
        <v>1</v>
      </c>
    </row>
    <row r="579" spans="1:6" x14ac:dyDescent="0.35">
      <c r="A579" s="9">
        <v>21677804</v>
      </c>
      <c r="B579" s="10">
        <v>42926</v>
      </c>
      <c r="C579" s="11">
        <v>0.51328703703703704</v>
      </c>
      <c r="D579" s="12">
        <v>0.51821759259259259</v>
      </c>
      <c r="E579">
        <f t="shared" ref="E579:E642" si="18">IF(LEN(A579)=7,1,0)</f>
        <v>0</v>
      </c>
      <c r="F579">
        <f t="shared" ref="F579:F642" si="19">IF(LEN(A579)=8,1,0)</f>
        <v>1</v>
      </c>
    </row>
    <row r="580" spans="1:6" x14ac:dyDescent="0.35">
      <c r="A580" s="5">
        <v>5087066</v>
      </c>
      <c r="B580" s="6">
        <v>42926</v>
      </c>
      <c r="C580" s="7">
        <v>0.51603009259259258</v>
      </c>
      <c r="D580" s="8">
        <v>0.5269907407407407</v>
      </c>
      <c r="E580">
        <f t="shared" si="18"/>
        <v>1</v>
      </c>
      <c r="F580">
        <f t="shared" si="19"/>
        <v>0</v>
      </c>
    </row>
    <row r="581" spans="1:6" x14ac:dyDescent="0.35">
      <c r="A581" s="9">
        <v>6905863</v>
      </c>
      <c r="B581" s="10">
        <v>42926</v>
      </c>
      <c r="C581" s="11">
        <v>0.52123842592592595</v>
      </c>
      <c r="D581" s="12">
        <v>0.53008101851851852</v>
      </c>
      <c r="E581">
        <f t="shared" si="18"/>
        <v>1</v>
      </c>
      <c r="F581">
        <f t="shared" si="19"/>
        <v>0</v>
      </c>
    </row>
    <row r="582" spans="1:6" x14ac:dyDescent="0.35">
      <c r="A582" s="5">
        <v>4144248</v>
      </c>
      <c r="B582" s="6">
        <v>42926</v>
      </c>
      <c r="C582" s="7">
        <v>0.52134259259259264</v>
      </c>
      <c r="D582" s="8">
        <v>0.53226851851851853</v>
      </c>
      <c r="E582">
        <f t="shared" si="18"/>
        <v>1</v>
      </c>
      <c r="F582">
        <f t="shared" si="19"/>
        <v>0</v>
      </c>
    </row>
    <row r="583" spans="1:6" x14ac:dyDescent="0.35">
      <c r="A583" s="9">
        <v>16392077</v>
      </c>
      <c r="B583" s="10">
        <v>42926</v>
      </c>
      <c r="C583" s="11">
        <v>0.52254629629629634</v>
      </c>
      <c r="D583" s="12">
        <v>0.52263888888888888</v>
      </c>
      <c r="E583">
        <f t="shared" si="18"/>
        <v>0</v>
      </c>
      <c r="F583">
        <f t="shared" si="19"/>
        <v>1</v>
      </c>
    </row>
    <row r="584" spans="1:6" x14ac:dyDescent="0.35">
      <c r="A584" s="5">
        <v>8865092</v>
      </c>
      <c r="B584" s="6">
        <v>42926</v>
      </c>
      <c r="C584" s="7">
        <v>0.52392361111111108</v>
      </c>
      <c r="D584" s="8">
        <v>0.53378472222222217</v>
      </c>
      <c r="E584">
        <f t="shared" si="18"/>
        <v>1</v>
      </c>
      <c r="F584">
        <f t="shared" si="19"/>
        <v>0</v>
      </c>
    </row>
    <row r="585" spans="1:6" x14ac:dyDescent="0.35">
      <c r="A585" s="9">
        <v>92597723</v>
      </c>
      <c r="B585" s="10">
        <v>42926</v>
      </c>
      <c r="C585" s="11">
        <v>0.52837962962962959</v>
      </c>
      <c r="D585" s="12">
        <v>0.53084490740740742</v>
      </c>
      <c r="E585">
        <f t="shared" si="18"/>
        <v>0</v>
      </c>
      <c r="F585">
        <f t="shared" si="19"/>
        <v>1</v>
      </c>
    </row>
    <row r="586" spans="1:6" x14ac:dyDescent="0.35">
      <c r="A586" s="5">
        <v>49840829</v>
      </c>
      <c r="B586" s="6">
        <v>42926</v>
      </c>
      <c r="C586" s="7">
        <v>0.53204861111111112</v>
      </c>
      <c r="D586" s="8">
        <v>0.53737268518518522</v>
      </c>
      <c r="E586">
        <f t="shared" si="18"/>
        <v>0</v>
      </c>
      <c r="F586">
        <f t="shared" si="19"/>
        <v>1</v>
      </c>
    </row>
    <row r="587" spans="1:6" x14ac:dyDescent="0.35">
      <c r="A587" s="9">
        <v>20354301</v>
      </c>
      <c r="B587" s="10">
        <v>42926</v>
      </c>
      <c r="C587" s="11">
        <v>0.53291666666666671</v>
      </c>
      <c r="D587" s="12">
        <v>0.53758101851851847</v>
      </c>
      <c r="E587">
        <f t="shared" si="18"/>
        <v>0</v>
      </c>
      <c r="F587">
        <f t="shared" si="19"/>
        <v>1</v>
      </c>
    </row>
    <row r="588" spans="1:6" x14ac:dyDescent="0.35">
      <c r="A588" s="5">
        <v>2731955</v>
      </c>
      <c r="B588" s="6">
        <v>42926</v>
      </c>
      <c r="C588" s="7">
        <v>0.53843750000000001</v>
      </c>
      <c r="D588" s="8">
        <v>0.54283564814814811</v>
      </c>
      <c r="E588">
        <f t="shared" si="18"/>
        <v>1</v>
      </c>
      <c r="F588">
        <f t="shared" si="19"/>
        <v>0</v>
      </c>
    </row>
    <row r="589" spans="1:6" x14ac:dyDescent="0.35">
      <c r="A589" s="9">
        <v>2304726</v>
      </c>
      <c r="B589" s="10">
        <v>42926</v>
      </c>
      <c r="C589" s="11">
        <v>0.54197916666666668</v>
      </c>
      <c r="D589" s="12">
        <v>0.54866898148148147</v>
      </c>
      <c r="E589">
        <f t="shared" si="18"/>
        <v>1</v>
      </c>
      <c r="F589">
        <f t="shared" si="19"/>
        <v>0</v>
      </c>
    </row>
    <row r="590" spans="1:6" x14ac:dyDescent="0.35">
      <c r="A590" s="5">
        <v>4653709</v>
      </c>
      <c r="B590" s="6">
        <v>42926</v>
      </c>
      <c r="C590" s="7">
        <v>0.54292824074074075</v>
      </c>
      <c r="D590" s="8">
        <v>0.5444444444444444</v>
      </c>
      <c r="E590">
        <f t="shared" si="18"/>
        <v>1</v>
      </c>
      <c r="F590">
        <f t="shared" si="19"/>
        <v>0</v>
      </c>
    </row>
    <row r="591" spans="1:6" x14ac:dyDescent="0.35">
      <c r="A591" s="9">
        <v>4848864</v>
      </c>
      <c r="B591" s="10">
        <v>42926</v>
      </c>
      <c r="C591" s="11">
        <v>0.54432870370370368</v>
      </c>
      <c r="D591" s="12">
        <v>0.55090277777777774</v>
      </c>
      <c r="E591">
        <f t="shared" si="18"/>
        <v>1</v>
      </c>
      <c r="F591">
        <f t="shared" si="19"/>
        <v>0</v>
      </c>
    </row>
    <row r="592" spans="1:6" x14ac:dyDescent="0.35">
      <c r="A592" s="5">
        <v>6709939</v>
      </c>
      <c r="B592" s="6">
        <v>42926</v>
      </c>
      <c r="C592" s="7">
        <v>0.54692129629629627</v>
      </c>
      <c r="D592" s="8">
        <v>0.55000000000000004</v>
      </c>
      <c r="E592">
        <f t="shared" si="18"/>
        <v>1</v>
      </c>
      <c r="F592">
        <f t="shared" si="19"/>
        <v>0</v>
      </c>
    </row>
    <row r="593" spans="1:6" x14ac:dyDescent="0.35">
      <c r="A593" s="9">
        <v>8870498</v>
      </c>
      <c r="B593" s="10">
        <v>42926</v>
      </c>
      <c r="C593" s="11">
        <v>0.55046296296296293</v>
      </c>
      <c r="D593" s="12">
        <v>0.55986111111111114</v>
      </c>
      <c r="E593">
        <f t="shared" si="18"/>
        <v>1</v>
      </c>
      <c r="F593">
        <f t="shared" si="19"/>
        <v>0</v>
      </c>
    </row>
    <row r="594" spans="1:6" x14ac:dyDescent="0.35">
      <c r="A594" s="5">
        <v>2947889</v>
      </c>
      <c r="B594" s="6">
        <v>42926</v>
      </c>
      <c r="C594" s="7">
        <v>0.55246527777777776</v>
      </c>
      <c r="D594" s="8">
        <v>0.56334490740740739</v>
      </c>
      <c r="E594">
        <f t="shared" si="18"/>
        <v>1</v>
      </c>
      <c r="F594">
        <f t="shared" si="19"/>
        <v>0</v>
      </c>
    </row>
    <row r="595" spans="1:6" x14ac:dyDescent="0.35">
      <c r="A595" s="9">
        <v>8270097</v>
      </c>
      <c r="B595" s="10">
        <v>42926</v>
      </c>
      <c r="C595" s="11">
        <v>0.55650462962962965</v>
      </c>
      <c r="D595" s="12">
        <v>0.55850694444444449</v>
      </c>
      <c r="E595">
        <f t="shared" si="18"/>
        <v>1</v>
      </c>
      <c r="F595">
        <f t="shared" si="19"/>
        <v>0</v>
      </c>
    </row>
    <row r="596" spans="1:6" x14ac:dyDescent="0.35">
      <c r="A596" s="5">
        <v>8183468</v>
      </c>
      <c r="B596" s="6">
        <v>42926</v>
      </c>
      <c r="C596" s="7">
        <v>0.55832175925925931</v>
      </c>
      <c r="D596" s="8">
        <v>0.56265046296296295</v>
      </c>
      <c r="E596">
        <f t="shared" si="18"/>
        <v>1</v>
      </c>
      <c r="F596">
        <f t="shared" si="19"/>
        <v>0</v>
      </c>
    </row>
    <row r="597" spans="1:6" x14ac:dyDescent="0.35">
      <c r="A597" s="9">
        <v>3263806</v>
      </c>
      <c r="B597" s="10">
        <v>42926</v>
      </c>
      <c r="C597" s="11">
        <v>0.55864583333333329</v>
      </c>
      <c r="D597" s="12">
        <v>0.56383101851851847</v>
      </c>
      <c r="E597">
        <f t="shared" si="18"/>
        <v>1</v>
      </c>
      <c r="F597">
        <f t="shared" si="19"/>
        <v>0</v>
      </c>
    </row>
    <row r="598" spans="1:6" x14ac:dyDescent="0.35">
      <c r="A598" s="5">
        <v>7792980</v>
      </c>
      <c r="B598" s="6">
        <v>42926</v>
      </c>
      <c r="C598" s="7">
        <v>0.56234953703703705</v>
      </c>
      <c r="D598" s="8">
        <v>0.57378472222222221</v>
      </c>
      <c r="E598">
        <f t="shared" si="18"/>
        <v>1</v>
      </c>
      <c r="F598">
        <f t="shared" si="19"/>
        <v>0</v>
      </c>
    </row>
    <row r="599" spans="1:6" x14ac:dyDescent="0.35">
      <c r="A599" s="9">
        <v>88929925</v>
      </c>
      <c r="B599" s="10">
        <v>42926</v>
      </c>
      <c r="C599" s="11">
        <v>0.56688657407407406</v>
      </c>
      <c r="D599" s="12">
        <v>0.57342592592592589</v>
      </c>
      <c r="E599">
        <f t="shared" si="18"/>
        <v>0</v>
      </c>
      <c r="F599">
        <f t="shared" si="19"/>
        <v>1</v>
      </c>
    </row>
    <row r="600" spans="1:6" x14ac:dyDescent="0.35">
      <c r="A600" s="5">
        <v>2478461</v>
      </c>
      <c r="B600" s="6">
        <v>42926</v>
      </c>
      <c r="C600" s="7">
        <v>0.56980324074074074</v>
      </c>
      <c r="D600" s="8">
        <v>0.575775462962963</v>
      </c>
      <c r="E600">
        <f t="shared" si="18"/>
        <v>1</v>
      </c>
      <c r="F600">
        <f t="shared" si="19"/>
        <v>0</v>
      </c>
    </row>
    <row r="601" spans="1:6" x14ac:dyDescent="0.35">
      <c r="A601" s="9">
        <v>2838216</v>
      </c>
      <c r="B601" s="10">
        <v>42926</v>
      </c>
      <c r="C601" s="11">
        <v>0.5755555555555556</v>
      </c>
      <c r="D601" s="12">
        <v>0.57737268518518514</v>
      </c>
      <c r="E601">
        <f t="shared" si="18"/>
        <v>1</v>
      </c>
      <c r="F601">
        <f t="shared" si="19"/>
        <v>0</v>
      </c>
    </row>
    <row r="602" spans="1:6" x14ac:dyDescent="0.35">
      <c r="A602" s="5">
        <v>4853153</v>
      </c>
      <c r="B602" s="6">
        <v>42926</v>
      </c>
      <c r="C602" s="7">
        <v>0.5803935185185185</v>
      </c>
      <c r="D602" s="8">
        <v>0.58190972222222226</v>
      </c>
      <c r="E602">
        <f t="shared" si="18"/>
        <v>1</v>
      </c>
      <c r="F602">
        <f t="shared" si="19"/>
        <v>0</v>
      </c>
    </row>
    <row r="603" spans="1:6" x14ac:dyDescent="0.35">
      <c r="A603" s="9">
        <v>2985743</v>
      </c>
      <c r="B603" s="10">
        <v>42926</v>
      </c>
      <c r="C603" s="11">
        <v>0.58189814814814811</v>
      </c>
      <c r="D603" s="12">
        <v>0.59070601851851856</v>
      </c>
      <c r="E603">
        <f t="shared" si="18"/>
        <v>1</v>
      </c>
      <c r="F603">
        <f t="shared" si="19"/>
        <v>0</v>
      </c>
    </row>
    <row r="604" spans="1:6" x14ac:dyDescent="0.35">
      <c r="A604" s="5">
        <v>3434934</v>
      </c>
      <c r="B604" s="6">
        <v>42926</v>
      </c>
      <c r="C604" s="7">
        <v>0.58254629629629628</v>
      </c>
      <c r="D604" s="8">
        <v>0.58601851851851849</v>
      </c>
      <c r="E604">
        <f t="shared" si="18"/>
        <v>1</v>
      </c>
      <c r="F604">
        <f t="shared" si="19"/>
        <v>0</v>
      </c>
    </row>
    <row r="605" spans="1:6" x14ac:dyDescent="0.35">
      <c r="A605" s="9">
        <v>97596112</v>
      </c>
      <c r="B605" s="10">
        <v>42926</v>
      </c>
      <c r="C605" s="11">
        <v>0.58351851851851855</v>
      </c>
      <c r="D605" s="12">
        <v>0.59368055555555554</v>
      </c>
      <c r="E605">
        <f t="shared" si="18"/>
        <v>0</v>
      </c>
      <c r="F605">
        <f t="shared" si="19"/>
        <v>1</v>
      </c>
    </row>
    <row r="606" spans="1:6" x14ac:dyDescent="0.35">
      <c r="A606" s="5">
        <v>1247125</v>
      </c>
      <c r="B606" s="6">
        <v>42926</v>
      </c>
      <c r="C606" s="7">
        <v>0.58575231481481482</v>
      </c>
      <c r="D606" s="8">
        <v>0.5935300925925926</v>
      </c>
      <c r="E606">
        <f t="shared" si="18"/>
        <v>1</v>
      </c>
      <c r="F606">
        <f t="shared" si="19"/>
        <v>0</v>
      </c>
    </row>
    <row r="607" spans="1:6" x14ac:dyDescent="0.35">
      <c r="A607" s="9">
        <v>6982652</v>
      </c>
      <c r="B607" s="10">
        <v>42926</v>
      </c>
      <c r="C607" s="11">
        <v>0.58677083333333335</v>
      </c>
      <c r="D607" s="12">
        <v>0.58759259259259256</v>
      </c>
      <c r="E607">
        <f t="shared" si="18"/>
        <v>1</v>
      </c>
      <c r="F607">
        <f t="shared" si="19"/>
        <v>0</v>
      </c>
    </row>
    <row r="608" spans="1:6" x14ac:dyDescent="0.35">
      <c r="A608" s="5">
        <v>11209967</v>
      </c>
      <c r="B608" s="6">
        <v>42926</v>
      </c>
      <c r="C608" s="7">
        <v>0.58877314814814818</v>
      </c>
      <c r="D608" s="8">
        <v>0.59027777777777779</v>
      </c>
      <c r="E608">
        <f t="shared" si="18"/>
        <v>0</v>
      </c>
      <c r="F608">
        <f t="shared" si="19"/>
        <v>1</v>
      </c>
    </row>
    <row r="609" spans="1:6" x14ac:dyDescent="0.35">
      <c r="A609" s="9">
        <v>6251788</v>
      </c>
      <c r="B609" s="10">
        <v>42926</v>
      </c>
      <c r="C609" s="11">
        <v>0.58910879629629631</v>
      </c>
      <c r="D609" s="12">
        <v>0.59431712962962968</v>
      </c>
      <c r="E609">
        <f t="shared" si="18"/>
        <v>1</v>
      </c>
      <c r="F609">
        <f t="shared" si="19"/>
        <v>0</v>
      </c>
    </row>
    <row r="610" spans="1:6" x14ac:dyDescent="0.35">
      <c r="A610" s="5">
        <v>8679036</v>
      </c>
      <c r="B610" s="6">
        <v>42926</v>
      </c>
      <c r="C610" s="7">
        <v>0.58976851851851853</v>
      </c>
      <c r="D610" s="8">
        <v>0.60074074074074069</v>
      </c>
      <c r="E610">
        <f t="shared" si="18"/>
        <v>1</v>
      </c>
      <c r="F610">
        <f t="shared" si="19"/>
        <v>0</v>
      </c>
    </row>
    <row r="611" spans="1:6" x14ac:dyDescent="0.35">
      <c r="A611" s="9">
        <v>1288637</v>
      </c>
      <c r="B611" s="10">
        <v>42926</v>
      </c>
      <c r="C611" s="11">
        <v>0.59277777777777774</v>
      </c>
      <c r="D611" s="12">
        <v>0.59365740740740736</v>
      </c>
      <c r="E611">
        <f t="shared" si="18"/>
        <v>1</v>
      </c>
      <c r="F611">
        <f t="shared" si="19"/>
        <v>0</v>
      </c>
    </row>
    <row r="612" spans="1:6" x14ac:dyDescent="0.35">
      <c r="A612" s="5">
        <v>4825302</v>
      </c>
      <c r="B612" s="6">
        <v>42926</v>
      </c>
      <c r="C612" s="7">
        <v>0.59670138888888891</v>
      </c>
      <c r="D612" s="8">
        <v>0.59701388888888884</v>
      </c>
      <c r="E612">
        <f t="shared" si="18"/>
        <v>1</v>
      </c>
      <c r="F612">
        <f t="shared" si="19"/>
        <v>0</v>
      </c>
    </row>
    <row r="613" spans="1:6" x14ac:dyDescent="0.35">
      <c r="A613" s="9">
        <v>5349562</v>
      </c>
      <c r="B613" s="10">
        <v>42926</v>
      </c>
      <c r="C613" s="11">
        <v>0.60041666666666671</v>
      </c>
      <c r="D613" s="12">
        <v>0.6095949074074074</v>
      </c>
      <c r="E613">
        <f t="shared" si="18"/>
        <v>1</v>
      </c>
      <c r="F613">
        <f t="shared" si="19"/>
        <v>0</v>
      </c>
    </row>
    <row r="614" spans="1:6" x14ac:dyDescent="0.35">
      <c r="A614" s="5">
        <v>5893512</v>
      </c>
      <c r="B614" s="6">
        <v>42926</v>
      </c>
      <c r="C614" s="7">
        <v>0.60517361111111112</v>
      </c>
      <c r="D614" s="8">
        <v>0.61063657407407412</v>
      </c>
      <c r="E614">
        <f t="shared" si="18"/>
        <v>1</v>
      </c>
      <c r="F614">
        <f t="shared" si="19"/>
        <v>0</v>
      </c>
    </row>
    <row r="615" spans="1:6" x14ac:dyDescent="0.35">
      <c r="A615" s="9">
        <v>7138804596</v>
      </c>
      <c r="B615" s="10">
        <v>42926</v>
      </c>
      <c r="C615" s="11">
        <v>0.60578703703703707</v>
      </c>
      <c r="D615" s="12">
        <v>0.61459490740740741</v>
      </c>
      <c r="E615">
        <f t="shared" si="18"/>
        <v>0</v>
      </c>
      <c r="F615">
        <f t="shared" si="19"/>
        <v>0</v>
      </c>
    </row>
    <row r="616" spans="1:6" x14ac:dyDescent="0.35">
      <c r="A616" s="5">
        <v>6468376</v>
      </c>
      <c r="B616" s="6">
        <v>42926</v>
      </c>
      <c r="C616" s="7">
        <v>0.61140046296296291</v>
      </c>
      <c r="D616" s="8">
        <v>0.61952546296296296</v>
      </c>
      <c r="E616">
        <f t="shared" si="18"/>
        <v>1</v>
      </c>
      <c r="F616">
        <f t="shared" si="19"/>
        <v>0</v>
      </c>
    </row>
    <row r="617" spans="1:6" x14ac:dyDescent="0.35">
      <c r="A617" s="9">
        <v>5076649</v>
      </c>
      <c r="B617" s="10">
        <v>42926</v>
      </c>
      <c r="C617" s="11">
        <v>0.61699074074074078</v>
      </c>
      <c r="D617" s="12">
        <v>0.62163194444444447</v>
      </c>
      <c r="E617">
        <f t="shared" si="18"/>
        <v>1</v>
      </c>
      <c r="F617">
        <f t="shared" si="19"/>
        <v>0</v>
      </c>
    </row>
    <row r="618" spans="1:6" x14ac:dyDescent="0.35">
      <c r="A618" s="5">
        <v>3494192</v>
      </c>
      <c r="B618" s="6">
        <v>42926</v>
      </c>
      <c r="C618" s="7">
        <v>0.62216435185185182</v>
      </c>
      <c r="D618" s="8">
        <v>0.62291666666666667</v>
      </c>
      <c r="E618">
        <f t="shared" si="18"/>
        <v>1</v>
      </c>
      <c r="F618">
        <f t="shared" si="19"/>
        <v>0</v>
      </c>
    </row>
    <row r="619" spans="1:6" x14ac:dyDescent="0.35">
      <c r="A619" s="9">
        <v>8150086</v>
      </c>
      <c r="B619" s="10">
        <v>42926</v>
      </c>
      <c r="C619" s="11">
        <v>0.6272685185185185</v>
      </c>
      <c r="D619" s="12">
        <v>0.63475694444444442</v>
      </c>
      <c r="E619">
        <f t="shared" si="18"/>
        <v>1</v>
      </c>
      <c r="F619">
        <f t="shared" si="19"/>
        <v>0</v>
      </c>
    </row>
    <row r="620" spans="1:6" x14ac:dyDescent="0.35">
      <c r="A620" s="5">
        <v>3934931</v>
      </c>
      <c r="B620" s="6">
        <v>42927</v>
      </c>
      <c r="C620" s="7">
        <v>0.3349537037037037</v>
      </c>
      <c r="D620" s="8">
        <v>0.3379861111111111</v>
      </c>
      <c r="E620">
        <f t="shared" si="18"/>
        <v>1</v>
      </c>
      <c r="F620">
        <f t="shared" si="19"/>
        <v>0</v>
      </c>
    </row>
    <row r="621" spans="1:6" x14ac:dyDescent="0.35">
      <c r="A621" s="9">
        <v>2111996</v>
      </c>
      <c r="B621" s="10">
        <v>42927</v>
      </c>
      <c r="C621" s="11">
        <v>0.33706018518518521</v>
      </c>
      <c r="D621" s="12">
        <v>0.33875</v>
      </c>
      <c r="E621">
        <f t="shared" si="18"/>
        <v>1</v>
      </c>
      <c r="F621">
        <f t="shared" si="19"/>
        <v>0</v>
      </c>
    </row>
    <row r="622" spans="1:6" x14ac:dyDescent="0.35">
      <c r="A622" s="5">
        <v>6484436</v>
      </c>
      <c r="B622" s="6">
        <v>42927</v>
      </c>
      <c r="C622" s="7">
        <v>0.34006944444444442</v>
      </c>
      <c r="D622" s="8">
        <v>0.3427546296296296</v>
      </c>
      <c r="E622">
        <f t="shared" si="18"/>
        <v>1</v>
      </c>
      <c r="F622">
        <f t="shared" si="19"/>
        <v>0</v>
      </c>
    </row>
    <row r="623" spans="1:6" x14ac:dyDescent="0.35">
      <c r="A623" s="9">
        <v>97646706</v>
      </c>
      <c r="B623" s="10">
        <v>42927</v>
      </c>
      <c r="C623" s="11">
        <v>0.34304398148148146</v>
      </c>
      <c r="D623" s="12">
        <v>0.34310185185185182</v>
      </c>
      <c r="E623">
        <f t="shared" si="18"/>
        <v>0</v>
      </c>
      <c r="F623">
        <f t="shared" si="19"/>
        <v>1</v>
      </c>
    </row>
    <row r="624" spans="1:6" x14ac:dyDescent="0.35">
      <c r="A624" s="5">
        <v>9932676</v>
      </c>
      <c r="B624" s="6">
        <v>42927</v>
      </c>
      <c r="C624" s="7">
        <v>0.34778935185185184</v>
      </c>
      <c r="D624" s="8">
        <v>0.35474537037037035</v>
      </c>
      <c r="E624">
        <f t="shared" si="18"/>
        <v>1</v>
      </c>
      <c r="F624">
        <f t="shared" si="19"/>
        <v>0</v>
      </c>
    </row>
    <row r="625" spans="1:6" x14ac:dyDescent="0.35">
      <c r="A625" s="9">
        <v>6062869</v>
      </c>
      <c r="B625" s="10">
        <v>42927</v>
      </c>
      <c r="C625" s="11">
        <v>0.3513425925925926</v>
      </c>
      <c r="D625" s="12">
        <v>0.35505787037037034</v>
      </c>
      <c r="E625">
        <f t="shared" si="18"/>
        <v>1</v>
      </c>
      <c r="F625">
        <f t="shared" si="19"/>
        <v>0</v>
      </c>
    </row>
    <row r="626" spans="1:6" x14ac:dyDescent="0.35">
      <c r="A626" s="5">
        <v>2828759</v>
      </c>
      <c r="B626" s="6">
        <v>42927</v>
      </c>
      <c r="C626" s="7">
        <v>0.35575231481481484</v>
      </c>
      <c r="D626" s="8">
        <v>0.35851851851851851</v>
      </c>
      <c r="E626">
        <f t="shared" si="18"/>
        <v>1</v>
      </c>
      <c r="F626">
        <f t="shared" si="19"/>
        <v>0</v>
      </c>
    </row>
    <row r="627" spans="1:6" x14ac:dyDescent="0.35">
      <c r="A627" s="9">
        <v>7215284</v>
      </c>
      <c r="B627" s="10">
        <v>42927</v>
      </c>
      <c r="C627" s="11">
        <v>0.3596759259259259</v>
      </c>
      <c r="D627" s="12">
        <v>0.36363425925925924</v>
      </c>
      <c r="E627">
        <f t="shared" si="18"/>
        <v>1</v>
      </c>
      <c r="F627">
        <f t="shared" si="19"/>
        <v>0</v>
      </c>
    </row>
    <row r="628" spans="1:6" x14ac:dyDescent="0.35">
      <c r="A628" s="5">
        <v>1384299</v>
      </c>
      <c r="B628" s="6">
        <v>42927</v>
      </c>
      <c r="C628" s="7">
        <v>0.36203703703703705</v>
      </c>
      <c r="D628" s="8">
        <v>0.37155092592592592</v>
      </c>
      <c r="E628">
        <f t="shared" si="18"/>
        <v>1</v>
      </c>
      <c r="F628">
        <f t="shared" si="19"/>
        <v>0</v>
      </c>
    </row>
    <row r="629" spans="1:6" x14ac:dyDescent="0.35">
      <c r="A629" s="9">
        <v>2486941</v>
      </c>
      <c r="B629" s="10">
        <v>42927</v>
      </c>
      <c r="C629" s="11">
        <v>0.36394675925925923</v>
      </c>
      <c r="D629" s="12">
        <v>0.36422453703703705</v>
      </c>
      <c r="E629">
        <f t="shared" si="18"/>
        <v>1</v>
      </c>
      <c r="F629">
        <f t="shared" si="19"/>
        <v>0</v>
      </c>
    </row>
    <row r="630" spans="1:6" x14ac:dyDescent="0.35">
      <c r="A630" s="5">
        <v>6561564994</v>
      </c>
      <c r="B630" s="6">
        <v>42927</v>
      </c>
      <c r="C630" s="7">
        <v>0.36930555555555555</v>
      </c>
      <c r="D630" s="8">
        <v>0.37052083333333335</v>
      </c>
      <c r="E630">
        <f t="shared" si="18"/>
        <v>0</v>
      </c>
      <c r="F630">
        <f t="shared" si="19"/>
        <v>0</v>
      </c>
    </row>
    <row r="631" spans="1:6" x14ac:dyDescent="0.35">
      <c r="A631" s="9">
        <v>1207918</v>
      </c>
      <c r="B631" s="10">
        <v>42927</v>
      </c>
      <c r="C631" s="11">
        <v>0.37410879629629629</v>
      </c>
      <c r="D631" s="12">
        <v>0.3767361111111111</v>
      </c>
      <c r="E631">
        <f t="shared" si="18"/>
        <v>1</v>
      </c>
      <c r="F631">
        <f t="shared" si="19"/>
        <v>0</v>
      </c>
    </row>
    <row r="632" spans="1:6" x14ac:dyDescent="0.35">
      <c r="A632" s="5">
        <v>66800387</v>
      </c>
      <c r="B632" s="6">
        <v>42927</v>
      </c>
      <c r="C632" s="7">
        <v>0.37684027777777779</v>
      </c>
      <c r="D632" s="8">
        <v>0.38072916666666667</v>
      </c>
      <c r="E632">
        <f t="shared" si="18"/>
        <v>0</v>
      </c>
      <c r="F632">
        <f t="shared" si="19"/>
        <v>1</v>
      </c>
    </row>
    <row r="633" spans="1:6" x14ac:dyDescent="0.35">
      <c r="A633" s="9">
        <v>49093359</v>
      </c>
      <c r="B633" s="10">
        <v>42927</v>
      </c>
      <c r="C633" s="11">
        <v>0.37695601851851851</v>
      </c>
      <c r="D633" s="12">
        <v>0.38138888888888889</v>
      </c>
      <c r="E633">
        <f t="shared" si="18"/>
        <v>0</v>
      </c>
      <c r="F633">
        <f t="shared" si="19"/>
        <v>1</v>
      </c>
    </row>
    <row r="634" spans="1:6" x14ac:dyDescent="0.35">
      <c r="A634" s="5">
        <v>2252239</v>
      </c>
      <c r="B634" s="6">
        <v>42927</v>
      </c>
      <c r="C634" s="7">
        <v>0.38233796296296296</v>
      </c>
      <c r="D634" s="8">
        <v>0.39034722222222223</v>
      </c>
      <c r="E634">
        <f t="shared" si="18"/>
        <v>1</v>
      </c>
      <c r="F634">
        <f t="shared" si="19"/>
        <v>0</v>
      </c>
    </row>
    <row r="635" spans="1:6" x14ac:dyDescent="0.35">
      <c r="A635" s="9">
        <v>4925279</v>
      </c>
      <c r="B635" s="10">
        <v>42927</v>
      </c>
      <c r="C635" s="11">
        <v>0.3850925925925926</v>
      </c>
      <c r="D635" s="12">
        <v>0.38929398148148148</v>
      </c>
      <c r="E635">
        <f t="shared" si="18"/>
        <v>1</v>
      </c>
      <c r="F635">
        <f t="shared" si="19"/>
        <v>0</v>
      </c>
    </row>
    <row r="636" spans="1:6" x14ac:dyDescent="0.35">
      <c r="A636" s="5">
        <v>25459710</v>
      </c>
      <c r="B636" s="6">
        <v>42927</v>
      </c>
      <c r="C636" s="7">
        <v>0.38797453703703705</v>
      </c>
      <c r="D636" s="8">
        <v>0.39458333333333334</v>
      </c>
      <c r="E636">
        <f t="shared" si="18"/>
        <v>0</v>
      </c>
      <c r="F636">
        <f t="shared" si="19"/>
        <v>1</v>
      </c>
    </row>
    <row r="637" spans="1:6" x14ac:dyDescent="0.35">
      <c r="A637" s="9">
        <v>3943994</v>
      </c>
      <c r="B637" s="10">
        <v>42927</v>
      </c>
      <c r="C637" s="11">
        <v>0.39199074074074075</v>
      </c>
      <c r="D637" s="12">
        <v>0.39934027777777775</v>
      </c>
      <c r="E637">
        <f t="shared" si="18"/>
        <v>1</v>
      </c>
      <c r="F637">
        <f t="shared" si="19"/>
        <v>0</v>
      </c>
    </row>
    <row r="638" spans="1:6" x14ac:dyDescent="0.35">
      <c r="A638" s="5">
        <v>2109147679</v>
      </c>
      <c r="B638" s="6">
        <v>42927</v>
      </c>
      <c r="C638" s="7">
        <v>0.39260416666666664</v>
      </c>
      <c r="D638" s="8">
        <v>0.40322916666666669</v>
      </c>
      <c r="E638">
        <f t="shared" si="18"/>
        <v>0</v>
      </c>
      <c r="F638">
        <f t="shared" si="19"/>
        <v>0</v>
      </c>
    </row>
    <row r="639" spans="1:6" x14ac:dyDescent="0.35">
      <c r="A639" s="9">
        <v>9967649</v>
      </c>
      <c r="B639" s="10">
        <v>42927</v>
      </c>
      <c r="C639" s="11">
        <v>0.39659722222222221</v>
      </c>
      <c r="D639" s="12">
        <v>0.4042824074074074</v>
      </c>
      <c r="E639">
        <f t="shared" si="18"/>
        <v>1</v>
      </c>
      <c r="F639">
        <f t="shared" si="19"/>
        <v>0</v>
      </c>
    </row>
    <row r="640" spans="1:6" x14ac:dyDescent="0.35">
      <c r="A640" s="5">
        <v>2947660</v>
      </c>
      <c r="B640" s="6">
        <v>42927</v>
      </c>
      <c r="C640" s="7">
        <v>0.39817129629629627</v>
      </c>
      <c r="D640" s="8">
        <v>0.4045023148148148</v>
      </c>
      <c r="E640">
        <f t="shared" si="18"/>
        <v>1</v>
      </c>
      <c r="F640">
        <f t="shared" si="19"/>
        <v>0</v>
      </c>
    </row>
    <row r="641" spans="1:6" x14ac:dyDescent="0.35">
      <c r="A641" s="9">
        <v>6492842</v>
      </c>
      <c r="B641" s="10">
        <v>42927</v>
      </c>
      <c r="C641" s="11">
        <v>0.40379629629629632</v>
      </c>
      <c r="D641" s="12">
        <v>0.4100462962962963</v>
      </c>
      <c r="E641">
        <f t="shared" si="18"/>
        <v>1</v>
      </c>
      <c r="F641">
        <f t="shared" si="19"/>
        <v>0</v>
      </c>
    </row>
    <row r="642" spans="1:6" x14ac:dyDescent="0.35">
      <c r="A642" s="5">
        <v>70730125</v>
      </c>
      <c r="B642" s="6">
        <v>42927</v>
      </c>
      <c r="C642" s="7">
        <v>0.40777777777777779</v>
      </c>
      <c r="D642" s="8">
        <v>0.4181597222222222</v>
      </c>
      <c r="E642">
        <f t="shared" si="18"/>
        <v>0</v>
      </c>
      <c r="F642">
        <f t="shared" si="19"/>
        <v>1</v>
      </c>
    </row>
    <row r="643" spans="1:6" x14ac:dyDescent="0.35">
      <c r="A643" s="9">
        <v>4056361</v>
      </c>
      <c r="B643" s="10">
        <v>42927</v>
      </c>
      <c r="C643" s="11">
        <v>0.41239583333333335</v>
      </c>
      <c r="D643" s="12">
        <v>0.41844907407407406</v>
      </c>
      <c r="E643">
        <f t="shared" ref="E643:E706" si="20">IF(LEN(A643)=7,1,0)</f>
        <v>1</v>
      </c>
      <c r="F643">
        <f t="shared" ref="F643:F706" si="21">IF(LEN(A643)=8,1,0)</f>
        <v>0</v>
      </c>
    </row>
    <row r="644" spans="1:6" x14ac:dyDescent="0.35">
      <c r="A644" s="5">
        <v>12721215</v>
      </c>
      <c r="B644" s="6">
        <v>42927</v>
      </c>
      <c r="C644" s="7">
        <v>0.41431712962962963</v>
      </c>
      <c r="D644" s="8">
        <v>0.41986111111111113</v>
      </c>
      <c r="E644">
        <f t="shared" si="20"/>
        <v>0</v>
      </c>
      <c r="F644">
        <f t="shared" si="21"/>
        <v>1</v>
      </c>
    </row>
    <row r="645" spans="1:6" x14ac:dyDescent="0.35">
      <c r="A645" s="9">
        <v>4566750</v>
      </c>
      <c r="B645" s="10">
        <v>42927</v>
      </c>
      <c r="C645" s="11">
        <v>0.41666666666666669</v>
      </c>
      <c r="D645" s="12">
        <v>0.42190972222222223</v>
      </c>
      <c r="E645">
        <f t="shared" si="20"/>
        <v>1</v>
      </c>
      <c r="F645">
        <f t="shared" si="21"/>
        <v>0</v>
      </c>
    </row>
    <row r="646" spans="1:6" x14ac:dyDescent="0.35">
      <c r="A646" s="5">
        <v>7279106</v>
      </c>
      <c r="B646" s="6">
        <v>42927</v>
      </c>
      <c r="C646" s="7">
        <v>0.41935185185185186</v>
      </c>
      <c r="D646" s="8">
        <v>0.43002314814814813</v>
      </c>
      <c r="E646">
        <f t="shared" si="20"/>
        <v>1</v>
      </c>
      <c r="F646">
        <f t="shared" si="21"/>
        <v>0</v>
      </c>
    </row>
    <row r="647" spans="1:6" x14ac:dyDescent="0.35">
      <c r="A647" s="9">
        <v>3824660</v>
      </c>
      <c r="B647" s="10">
        <v>42927</v>
      </c>
      <c r="C647" s="11">
        <v>0.4238425925925926</v>
      </c>
      <c r="D647" s="12">
        <v>0.4321875</v>
      </c>
      <c r="E647">
        <f t="shared" si="20"/>
        <v>1</v>
      </c>
      <c r="F647">
        <f t="shared" si="21"/>
        <v>0</v>
      </c>
    </row>
    <row r="648" spans="1:6" x14ac:dyDescent="0.35">
      <c r="A648" s="5">
        <v>5815339</v>
      </c>
      <c r="B648" s="6">
        <v>42927</v>
      </c>
      <c r="C648" s="7">
        <v>0.42818287037037039</v>
      </c>
      <c r="D648" s="8">
        <v>0.43273148148148149</v>
      </c>
      <c r="E648">
        <f t="shared" si="20"/>
        <v>1</v>
      </c>
      <c r="F648">
        <f t="shared" si="21"/>
        <v>0</v>
      </c>
    </row>
    <row r="649" spans="1:6" x14ac:dyDescent="0.35">
      <c r="A649" s="9">
        <v>77946476</v>
      </c>
      <c r="B649" s="10">
        <v>42927</v>
      </c>
      <c r="C649" s="11">
        <v>0.42995370370370373</v>
      </c>
      <c r="D649" s="12">
        <v>0.43024305555555553</v>
      </c>
      <c r="E649">
        <f t="shared" si="20"/>
        <v>0</v>
      </c>
      <c r="F649">
        <f t="shared" si="21"/>
        <v>1</v>
      </c>
    </row>
    <row r="650" spans="1:6" x14ac:dyDescent="0.35">
      <c r="A650" s="5">
        <v>84589848</v>
      </c>
      <c r="B650" s="6">
        <v>42927</v>
      </c>
      <c r="C650" s="7">
        <v>0.43539351851851854</v>
      </c>
      <c r="D650" s="8">
        <v>0.43763888888888891</v>
      </c>
      <c r="E650">
        <f t="shared" si="20"/>
        <v>0</v>
      </c>
      <c r="F650">
        <f t="shared" si="21"/>
        <v>1</v>
      </c>
    </row>
    <row r="651" spans="1:6" x14ac:dyDescent="0.35">
      <c r="A651" s="9">
        <v>4501823</v>
      </c>
      <c r="B651" s="10">
        <v>42927</v>
      </c>
      <c r="C651" s="11">
        <v>0.44013888888888891</v>
      </c>
      <c r="D651" s="12">
        <v>0.44690972222222225</v>
      </c>
      <c r="E651">
        <f t="shared" si="20"/>
        <v>1</v>
      </c>
      <c r="F651">
        <f t="shared" si="21"/>
        <v>0</v>
      </c>
    </row>
    <row r="652" spans="1:6" x14ac:dyDescent="0.35">
      <c r="A652" s="5">
        <v>38244568</v>
      </c>
      <c r="B652" s="6">
        <v>42927</v>
      </c>
      <c r="C652" s="7">
        <v>0.44381944444444443</v>
      </c>
      <c r="D652" s="8">
        <v>0.45199074074074075</v>
      </c>
      <c r="E652">
        <f t="shared" si="20"/>
        <v>0</v>
      </c>
      <c r="F652">
        <f t="shared" si="21"/>
        <v>1</v>
      </c>
    </row>
    <row r="653" spans="1:6" x14ac:dyDescent="0.35">
      <c r="A653" s="9">
        <v>3613950</v>
      </c>
      <c r="B653" s="10">
        <v>42927</v>
      </c>
      <c r="C653" s="11">
        <v>0.44657407407407407</v>
      </c>
      <c r="D653" s="12">
        <v>0.44774305555555555</v>
      </c>
      <c r="E653">
        <f t="shared" si="20"/>
        <v>1</v>
      </c>
      <c r="F653">
        <f t="shared" si="21"/>
        <v>0</v>
      </c>
    </row>
    <row r="654" spans="1:6" x14ac:dyDescent="0.35">
      <c r="A654" s="5">
        <v>5750819</v>
      </c>
      <c r="B654" s="6">
        <v>42927</v>
      </c>
      <c r="C654" s="7">
        <v>0.44751157407407405</v>
      </c>
      <c r="D654" s="8">
        <v>0.45284722222222223</v>
      </c>
      <c r="E654">
        <f t="shared" si="20"/>
        <v>1</v>
      </c>
      <c r="F654">
        <f t="shared" si="21"/>
        <v>0</v>
      </c>
    </row>
    <row r="655" spans="1:6" x14ac:dyDescent="0.35">
      <c r="A655" s="9">
        <v>63291235</v>
      </c>
      <c r="B655" s="10">
        <v>42927</v>
      </c>
      <c r="C655" s="11">
        <v>0.45091435185185186</v>
      </c>
      <c r="D655" s="12">
        <v>0.45429398148148148</v>
      </c>
      <c r="E655">
        <f t="shared" si="20"/>
        <v>0</v>
      </c>
      <c r="F655">
        <f t="shared" si="21"/>
        <v>1</v>
      </c>
    </row>
    <row r="656" spans="1:6" x14ac:dyDescent="0.35">
      <c r="A656" s="5">
        <v>3198725</v>
      </c>
      <c r="B656" s="6">
        <v>42927</v>
      </c>
      <c r="C656" s="7">
        <v>0.45157407407407407</v>
      </c>
      <c r="D656" s="8">
        <v>0.45738425925925924</v>
      </c>
      <c r="E656">
        <f t="shared" si="20"/>
        <v>1</v>
      </c>
      <c r="F656">
        <f t="shared" si="21"/>
        <v>0</v>
      </c>
    </row>
    <row r="657" spans="1:6" x14ac:dyDescent="0.35">
      <c r="A657" s="9">
        <v>6248157784</v>
      </c>
      <c r="B657" s="10">
        <v>42927</v>
      </c>
      <c r="C657" s="11">
        <v>0.45475694444444442</v>
      </c>
      <c r="D657" s="12">
        <v>0.4566898148148148</v>
      </c>
      <c r="E657">
        <f t="shared" si="20"/>
        <v>0</v>
      </c>
      <c r="F657">
        <f t="shared" si="21"/>
        <v>0</v>
      </c>
    </row>
    <row r="658" spans="1:6" x14ac:dyDescent="0.35">
      <c r="A658" s="5">
        <v>6607648</v>
      </c>
      <c r="B658" s="6">
        <v>42927</v>
      </c>
      <c r="C658" s="7">
        <v>0.45873842592592595</v>
      </c>
      <c r="D658" s="8">
        <v>0.46986111111111112</v>
      </c>
      <c r="E658">
        <f t="shared" si="20"/>
        <v>1</v>
      </c>
      <c r="F658">
        <f t="shared" si="21"/>
        <v>0</v>
      </c>
    </row>
    <row r="659" spans="1:6" x14ac:dyDescent="0.35">
      <c r="A659" s="9">
        <v>5340881</v>
      </c>
      <c r="B659" s="10">
        <v>42927</v>
      </c>
      <c r="C659" s="11">
        <v>0.46413194444444444</v>
      </c>
      <c r="D659" s="12">
        <v>0.46585648148148145</v>
      </c>
      <c r="E659">
        <f t="shared" si="20"/>
        <v>1</v>
      </c>
      <c r="F659">
        <f t="shared" si="21"/>
        <v>0</v>
      </c>
    </row>
    <row r="660" spans="1:6" x14ac:dyDescent="0.35">
      <c r="A660" s="5">
        <v>99162491</v>
      </c>
      <c r="B660" s="6">
        <v>42927</v>
      </c>
      <c r="C660" s="7">
        <v>0.46738425925925925</v>
      </c>
      <c r="D660" s="8">
        <v>0.46800925925925924</v>
      </c>
      <c r="E660">
        <f t="shared" si="20"/>
        <v>0</v>
      </c>
      <c r="F660">
        <f t="shared" si="21"/>
        <v>1</v>
      </c>
    </row>
    <row r="661" spans="1:6" x14ac:dyDescent="0.35">
      <c r="A661" s="9">
        <v>3072421</v>
      </c>
      <c r="B661" s="10">
        <v>42927</v>
      </c>
      <c r="C661" s="11">
        <v>0.46942129629629631</v>
      </c>
      <c r="D661" s="12">
        <v>0.47766203703703702</v>
      </c>
      <c r="E661">
        <f t="shared" si="20"/>
        <v>1</v>
      </c>
      <c r="F661">
        <f t="shared" si="21"/>
        <v>0</v>
      </c>
    </row>
    <row r="662" spans="1:6" x14ac:dyDescent="0.35">
      <c r="A662" s="5">
        <v>1909553</v>
      </c>
      <c r="B662" s="6">
        <v>42927</v>
      </c>
      <c r="C662" s="7">
        <v>0.47193287037037035</v>
      </c>
      <c r="D662" s="8">
        <v>0.47763888888888889</v>
      </c>
      <c r="E662">
        <f t="shared" si="20"/>
        <v>1</v>
      </c>
      <c r="F662">
        <f t="shared" si="21"/>
        <v>0</v>
      </c>
    </row>
    <row r="663" spans="1:6" x14ac:dyDescent="0.35">
      <c r="A663" s="9">
        <v>62836073</v>
      </c>
      <c r="B663" s="10">
        <v>42927</v>
      </c>
      <c r="C663" s="11">
        <v>0.47739583333333335</v>
      </c>
      <c r="D663" s="12">
        <v>0.48168981481481482</v>
      </c>
      <c r="E663">
        <f t="shared" si="20"/>
        <v>0</v>
      </c>
      <c r="F663">
        <f t="shared" si="21"/>
        <v>1</v>
      </c>
    </row>
    <row r="664" spans="1:6" x14ac:dyDescent="0.35">
      <c r="A664" s="5">
        <v>9566647</v>
      </c>
      <c r="B664" s="6">
        <v>42927</v>
      </c>
      <c r="C664" s="7">
        <v>0.48005787037037034</v>
      </c>
      <c r="D664" s="8">
        <v>0.48971064814814813</v>
      </c>
      <c r="E664">
        <f t="shared" si="20"/>
        <v>1</v>
      </c>
      <c r="F664">
        <f t="shared" si="21"/>
        <v>0</v>
      </c>
    </row>
    <row r="665" spans="1:6" x14ac:dyDescent="0.35">
      <c r="A665" s="9">
        <v>5833452</v>
      </c>
      <c r="B665" s="10">
        <v>42927</v>
      </c>
      <c r="C665" s="11">
        <v>0.48511574074074076</v>
      </c>
      <c r="D665" s="12">
        <v>0.49502314814814813</v>
      </c>
      <c r="E665">
        <f t="shared" si="20"/>
        <v>1</v>
      </c>
      <c r="F665">
        <f t="shared" si="21"/>
        <v>0</v>
      </c>
    </row>
    <row r="666" spans="1:6" x14ac:dyDescent="0.35">
      <c r="A666" s="5">
        <v>10760583</v>
      </c>
      <c r="B666" s="6">
        <v>42927</v>
      </c>
      <c r="C666" s="7">
        <v>0.48994212962962963</v>
      </c>
      <c r="D666" s="8">
        <v>0.4914351851851852</v>
      </c>
      <c r="E666">
        <f t="shared" si="20"/>
        <v>0</v>
      </c>
      <c r="F666">
        <f t="shared" si="21"/>
        <v>1</v>
      </c>
    </row>
    <row r="667" spans="1:6" x14ac:dyDescent="0.35">
      <c r="A667" s="9">
        <v>39669014</v>
      </c>
      <c r="B667" s="10">
        <v>42927</v>
      </c>
      <c r="C667" s="11">
        <v>0.49035879629629631</v>
      </c>
      <c r="D667" s="12">
        <v>0.49082175925925925</v>
      </c>
      <c r="E667">
        <f t="shared" si="20"/>
        <v>0</v>
      </c>
      <c r="F667">
        <f t="shared" si="21"/>
        <v>1</v>
      </c>
    </row>
    <row r="668" spans="1:6" x14ac:dyDescent="0.35">
      <c r="A668" s="5">
        <v>5147651</v>
      </c>
      <c r="B668" s="6">
        <v>42927</v>
      </c>
      <c r="C668" s="7">
        <v>0.49399305555555556</v>
      </c>
      <c r="D668" s="8">
        <v>0.4959027777777778</v>
      </c>
      <c r="E668">
        <f t="shared" si="20"/>
        <v>1</v>
      </c>
      <c r="F668">
        <f t="shared" si="21"/>
        <v>0</v>
      </c>
    </row>
    <row r="669" spans="1:6" x14ac:dyDescent="0.35">
      <c r="A669" s="9">
        <v>41144838</v>
      </c>
      <c r="B669" s="10">
        <v>42927</v>
      </c>
      <c r="C669" s="11">
        <v>0.49949074074074074</v>
      </c>
      <c r="D669" s="12">
        <v>0.50931712962962961</v>
      </c>
      <c r="E669">
        <f t="shared" si="20"/>
        <v>0</v>
      </c>
      <c r="F669">
        <f t="shared" si="21"/>
        <v>1</v>
      </c>
    </row>
    <row r="670" spans="1:6" x14ac:dyDescent="0.35">
      <c r="A670" s="5">
        <v>1332513</v>
      </c>
      <c r="B670" s="6">
        <v>42927</v>
      </c>
      <c r="C670" s="7">
        <v>0.50326388888888884</v>
      </c>
      <c r="D670" s="8">
        <v>0.50407407407407412</v>
      </c>
      <c r="E670">
        <f t="shared" si="20"/>
        <v>1</v>
      </c>
      <c r="F670">
        <f t="shared" si="21"/>
        <v>0</v>
      </c>
    </row>
    <row r="671" spans="1:6" x14ac:dyDescent="0.35">
      <c r="A671" s="9">
        <v>7743548</v>
      </c>
      <c r="B671" s="10">
        <v>42927</v>
      </c>
      <c r="C671" s="11">
        <v>0.50376157407407407</v>
      </c>
      <c r="D671" s="12">
        <v>0.50907407407407412</v>
      </c>
      <c r="E671">
        <f t="shared" si="20"/>
        <v>1</v>
      </c>
      <c r="F671">
        <f t="shared" si="21"/>
        <v>0</v>
      </c>
    </row>
    <row r="672" spans="1:6" x14ac:dyDescent="0.35">
      <c r="A672" s="5">
        <v>7451541965</v>
      </c>
      <c r="B672" s="6">
        <v>42927</v>
      </c>
      <c r="C672" s="7">
        <v>0.50866898148148143</v>
      </c>
      <c r="D672" s="8">
        <v>0.51324074074074078</v>
      </c>
      <c r="E672">
        <f t="shared" si="20"/>
        <v>0</v>
      </c>
      <c r="F672">
        <f t="shared" si="21"/>
        <v>0</v>
      </c>
    </row>
    <row r="673" spans="1:6" x14ac:dyDescent="0.35">
      <c r="A673" s="9">
        <v>2109147679</v>
      </c>
      <c r="B673" s="10">
        <v>42927</v>
      </c>
      <c r="C673" s="11">
        <v>0.51282407407407404</v>
      </c>
      <c r="D673" s="12">
        <v>0.51666666666666672</v>
      </c>
      <c r="E673">
        <f t="shared" si="20"/>
        <v>0</v>
      </c>
      <c r="F673">
        <f t="shared" si="21"/>
        <v>0</v>
      </c>
    </row>
    <row r="674" spans="1:6" x14ac:dyDescent="0.35">
      <c r="A674" s="5">
        <v>5022247</v>
      </c>
      <c r="B674" s="6">
        <v>42927</v>
      </c>
      <c r="C674" s="7">
        <v>0.51854166666666668</v>
      </c>
      <c r="D674" s="8">
        <v>0.52810185185185188</v>
      </c>
      <c r="E674">
        <f t="shared" si="20"/>
        <v>1</v>
      </c>
      <c r="F674">
        <f t="shared" si="21"/>
        <v>0</v>
      </c>
    </row>
    <row r="675" spans="1:6" x14ac:dyDescent="0.35">
      <c r="A675" s="9">
        <v>2920581</v>
      </c>
      <c r="B675" s="10">
        <v>42927</v>
      </c>
      <c r="C675" s="11">
        <v>0.52399305555555553</v>
      </c>
      <c r="D675" s="12">
        <v>0.53120370370370373</v>
      </c>
      <c r="E675">
        <f t="shared" si="20"/>
        <v>1</v>
      </c>
      <c r="F675">
        <f t="shared" si="21"/>
        <v>0</v>
      </c>
    </row>
    <row r="676" spans="1:6" x14ac:dyDescent="0.35">
      <c r="A676" s="5">
        <v>7126980</v>
      </c>
      <c r="B676" s="6">
        <v>42927</v>
      </c>
      <c r="C676" s="7">
        <v>0.52592592592592591</v>
      </c>
      <c r="D676" s="8">
        <v>0.53515046296296298</v>
      </c>
      <c r="E676">
        <f t="shared" si="20"/>
        <v>1</v>
      </c>
      <c r="F676">
        <f t="shared" si="21"/>
        <v>0</v>
      </c>
    </row>
    <row r="677" spans="1:6" x14ac:dyDescent="0.35">
      <c r="A677" s="9">
        <v>54006070</v>
      </c>
      <c r="B677" s="10">
        <v>42927</v>
      </c>
      <c r="C677" s="11">
        <v>0.53164351851851854</v>
      </c>
      <c r="D677" s="12">
        <v>0.53324074074074079</v>
      </c>
      <c r="E677">
        <f t="shared" si="20"/>
        <v>0</v>
      </c>
      <c r="F677">
        <f t="shared" si="21"/>
        <v>1</v>
      </c>
    </row>
    <row r="678" spans="1:6" x14ac:dyDescent="0.35">
      <c r="A678" s="5">
        <v>8672651</v>
      </c>
      <c r="B678" s="6">
        <v>42927</v>
      </c>
      <c r="C678" s="7">
        <v>0.53401620370370373</v>
      </c>
      <c r="D678" s="8">
        <v>0.54462962962962957</v>
      </c>
      <c r="E678">
        <f t="shared" si="20"/>
        <v>1</v>
      </c>
      <c r="F678">
        <f t="shared" si="21"/>
        <v>0</v>
      </c>
    </row>
    <row r="679" spans="1:6" x14ac:dyDescent="0.35">
      <c r="A679" s="9">
        <v>54136845</v>
      </c>
      <c r="B679" s="10">
        <v>42927</v>
      </c>
      <c r="C679" s="11">
        <v>0.53920138888888891</v>
      </c>
      <c r="D679" s="12">
        <v>0.54092592592592592</v>
      </c>
      <c r="E679">
        <f t="shared" si="20"/>
        <v>0</v>
      </c>
      <c r="F679">
        <f t="shared" si="21"/>
        <v>1</v>
      </c>
    </row>
    <row r="680" spans="1:6" x14ac:dyDescent="0.35">
      <c r="A680" s="5">
        <v>5223970</v>
      </c>
      <c r="B680" s="6">
        <v>42927</v>
      </c>
      <c r="C680" s="7">
        <v>0.53920138888888891</v>
      </c>
      <c r="D680" s="8">
        <v>0.55046296296296293</v>
      </c>
      <c r="E680">
        <f t="shared" si="20"/>
        <v>1</v>
      </c>
      <c r="F680">
        <f t="shared" si="21"/>
        <v>0</v>
      </c>
    </row>
    <row r="681" spans="1:6" x14ac:dyDescent="0.35">
      <c r="A681" s="9">
        <v>4264808</v>
      </c>
      <c r="B681" s="10">
        <v>42927</v>
      </c>
      <c r="C681" s="11">
        <v>0.53950231481481481</v>
      </c>
      <c r="D681" s="12">
        <v>0.55071759259259256</v>
      </c>
      <c r="E681">
        <f t="shared" si="20"/>
        <v>1</v>
      </c>
      <c r="F681">
        <f t="shared" si="21"/>
        <v>0</v>
      </c>
    </row>
    <row r="682" spans="1:6" x14ac:dyDescent="0.35">
      <c r="A682" s="5">
        <v>5790304</v>
      </c>
      <c r="B682" s="6">
        <v>42927</v>
      </c>
      <c r="C682" s="7">
        <v>0.539525462962963</v>
      </c>
      <c r="D682" s="8">
        <v>0.54025462962962967</v>
      </c>
      <c r="E682">
        <f t="shared" si="20"/>
        <v>1</v>
      </c>
      <c r="F682">
        <f t="shared" si="21"/>
        <v>0</v>
      </c>
    </row>
    <row r="683" spans="1:6" x14ac:dyDescent="0.35">
      <c r="A683" s="9">
        <v>13484133</v>
      </c>
      <c r="B683" s="10">
        <v>42927</v>
      </c>
      <c r="C683" s="11">
        <v>0.54137731481481477</v>
      </c>
      <c r="D683" s="12">
        <v>0.54577546296296298</v>
      </c>
      <c r="E683">
        <f t="shared" si="20"/>
        <v>0</v>
      </c>
      <c r="F683">
        <f t="shared" si="21"/>
        <v>1</v>
      </c>
    </row>
    <row r="684" spans="1:6" x14ac:dyDescent="0.35">
      <c r="A684" s="5">
        <v>6269166</v>
      </c>
      <c r="B684" s="6">
        <v>42927</v>
      </c>
      <c r="C684" s="7">
        <v>0.54408564814814819</v>
      </c>
      <c r="D684" s="8">
        <v>0.55355324074074075</v>
      </c>
      <c r="E684">
        <f t="shared" si="20"/>
        <v>1</v>
      </c>
      <c r="F684">
        <f t="shared" si="21"/>
        <v>0</v>
      </c>
    </row>
    <row r="685" spans="1:6" x14ac:dyDescent="0.35">
      <c r="A685" s="9">
        <v>5089019</v>
      </c>
      <c r="B685" s="10">
        <v>42927</v>
      </c>
      <c r="C685" s="11">
        <v>0.54431712962962964</v>
      </c>
      <c r="D685" s="12">
        <v>0.54921296296296296</v>
      </c>
      <c r="E685">
        <f t="shared" si="20"/>
        <v>1</v>
      </c>
      <c r="F685">
        <f t="shared" si="21"/>
        <v>0</v>
      </c>
    </row>
    <row r="686" spans="1:6" x14ac:dyDescent="0.35">
      <c r="A686" s="5">
        <v>6994188</v>
      </c>
      <c r="B686" s="6">
        <v>42927</v>
      </c>
      <c r="C686" s="7">
        <v>0.54797453703703702</v>
      </c>
      <c r="D686" s="8">
        <v>0.55550925925925931</v>
      </c>
      <c r="E686">
        <f t="shared" si="20"/>
        <v>1</v>
      </c>
      <c r="F686">
        <f t="shared" si="21"/>
        <v>0</v>
      </c>
    </row>
    <row r="687" spans="1:6" x14ac:dyDescent="0.35">
      <c r="A687" s="9">
        <v>16883712</v>
      </c>
      <c r="B687" s="10">
        <v>42927</v>
      </c>
      <c r="C687" s="11">
        <v>0.55070601851851853</v>
      </c>
      <c r="D687" s="12">
        <v>0.55662037037037038</v>
      </c>
      <c r="E687">
        <f t="shared" si="20"/>
        <v>0</v>
      </c>
      <c r="F687">
        <f t="shared" si="21"/>
        <v>1</v>
      </c>
    </row>
    <row r="688" spans="1:6" x14ac:dyDescent="0.35">
      <c r="A688" s="5">
        <v>2781512</v>
      </c>
      <c r="B688" s="6">
        <v>42927</v>
      </c>
      <c r="C688" s="7">
        <v>0.55374999999999996</v>
      </c>
      <c r="D688" s="8">
        <v>0.56312499999999999</v>
      </c>
      <c r="E688">
        <f t="shared" si="20"/>
        <v>1</v>
      </c>
      <c r="F688">
        <f t="shared" si="21"/>
        <v>0</v>
      </c>
    </row>
    <row r="689" spans="1:6" x14ac:dyDescent="0.35">
      <c r="A689" s="9">
        <v>4273704</v>
      </c>
      <c r="B689" s="10">
        <v>42927</v>
      </c>
      <c r="C689" s="11">
        <v>0.554224537037037</v>
      </c>
      <c r="D689" s="12">
        <v>0.56221064814814814</v>
      </c>
      <c r="E689">
        <f t="shared" si="20"/>
        <v>1</v>
      </c>
      <c r="F689">
        <f t="shared" si="21"/>
        <v>0</v>
      </c>
    </row>
    <row r="690" spans="1:6" x14ac:dyDescent="0.35">
      <c r="A690" s="5">
        <v>3707498</v>
      </c>
      <c r="B690" s="6">
        <v>42927</v>
      </c>
      <c r="C690" s="7">
        <v>0.55982638888888892</v>
      </c>
      <c r="D690" s="8">
        <v>0.56802083333333331</v>
      </c>
      <c r="E690">
        <f t="shared" si="20"/>
        <v>1</v>
      </c>
      <c r="F690">
        <f t="shared" si="21"/>
        <v>0</v>
      </c>
    </row>
    <row r="691" spans="1:6" x14ac:dyDescent="0.35">
      <c r="A691" s="9">
        <v>3407358</v>
      </c>
      <c r="B691" s="10">
        <v>42927</v>
      </c>
      <c r="C691" s="11">
        <v>0.56560185185185186</v>
      </c>
      <c r="D691" s="12">
        <v>0.56677083333333333</v>
      </c>
      <c r="E691">
        <f t="shared" si="20"/>
        <v>1</v>
      </c>
      <c r="F691">
        <f t="shared" si="21"/>
        <v>0</v>
      </c>
    </row>
    <row r="692" spans="1:6" x14ac:dyDescent="0.35">
      <c r="A692" s="5">
        <v>5251861</v>
      </c>
      <c r="B692" s="6">
        <v>42927</v>
      </c>
      <c r="C692" s="7">
        <v>0.56940972222222219</v>
      </c>
      <c r="D692" s="8">
        <v>0.57149305555555552</v>
      </c>
      <c r="E692">
        <f t="shared" si="20"/>
        <v>1</v>
      </c>
      <c r="F692">
        <f t="shared" si="21"/>
        <v>0</v>
      </c>
    </row>
    <row r="693" spans="1:6" x14ac:dyDescent="0.35">
      <c r="A693" s="9">
        <v>7473070</v>
      </c>
      <c r="B693" s="10">
        <v>42927</v>
      </c>
      <c r="C693" s="11">
        <v>0.57185185185185183</v>
      </c>
      <c r="D693" s="12">
        <v>0.58304398148148151</v>
      </c>
      <c r="E693">
        <f t="shared" si="20"/>
        <v>1</v>
      </c>
      <c r="F693">
        <f t="shared" si="21"/>
        <v>0</v>
      </c>
    </row>
    <row r="694" spans="1:6" x14ac:dyDescent="0.35">
      <c r="A694" s="5">
        <v>3596504</v>
      </c>
      <c r="B694" s="6">
        <v>42927</v>
      </c>
      <c r="C694" s="7">
        <v>0.57592592592592595</v>
      </c>
      <c r="D694" s="8">
        <v>0.58302083333333332</v>
      </c>
      <c r="E694">
        <f t="shared" si="20"/>
        <v>1</v>
      </c>
      <c r="F694">
        <f t="shared" si="21"/>
        <v>0</v>
      </c>
    </row>
    <row r="695" spans="1:6" x14ac:dyDescent="0.35">
      <c r="A695" s="9">
        <v>9620982</v>
      </c>
      <c r="B695" s="10">
        <v>42927</v>
      </c>
      <c r="C695" s="11">
        <v>0.57593749999999999</v>
      </c>
      <c r="D695" s="12">
        <v>0.58310185185185182</v>
      </c>
      <c r="E695">
        <f t="shared" si="20"/>
        <v>1</v>
      </c>
      <c r="F695">
        <f t="shared" si="21"/>
        <v>0</v>
      </c>
    </row>
    <row r="696" spans="1:6" x14ac:dyDescent="0.35">
      <c r="A696" s="5">
        <v>93696449</v>
      </c>
      <c r="B696" s="6">
        <v>42927</v>
      </c>
      <c r="C696" s="7">
        <v>0.57939814814814816</v>
      </c>
      <c r="D696" s="8">
        <v>0.5795717592592593</v>
      </c>
      <c r="E696">
        <f t="shared" si="20"/>
        <v>0</v>
      </c>
      <c r="F696">
        <f t="shared" si="21"/>
        <v>1</v>
      </c>
    </row>
    <row r="697" spans="1:6" x14ac:dyDescent="0.35">
      <c r="A697" s="9">
        <v>6833658</v>
      </c>
      <c r="B697" s="10">
        <v>42927</v>
      </c>
      <c r="C697" s="11">
        <v>0.5823842592592593</v>
      </c>
      <c r="D697" s="12">
        <v>0.58479166666666671</v>
      </c>
      <c r="E697">
        <f t="shared" si="20"/>
        <v>1</v>
      </c>
      <c r="F697">
        <f t="shared" si="21"/>
        <v>0</v>
      </c>
    </row>
    <row r="698" spans="1:6" x14ac:dyDescent="0.35">
      <c r="A698" s="5">
        <v>85422307</v>
      </c>
      <c r="B698" s="6">
        <v>42927</v>
      </c>
      <c r="C698" s="7">
        <v>0.58656249999999999</v>
      </c>
      <c r="D698" s="8">
        <v>0.59008101851851846</v>
      </c>
      <c r="E698">
        <f t="shared" si="20"/>
        <v>0</v>
      </c>
      <c r="F698">
        <f t="shared" si="21"/>
        <v>1</v>
      </c>
    </row>
    <row r="699" spans="1:6" x14ac:dyDescent="0.35">
      <c r="A699" s="9">
        <v>6191682</v>
      </c>
      <c r="B699" s="10">
        <v>42927</v>
      </c>
      <c r="C699" s="11">
        <v>0.58711805555555552</v>
      </c>
      <c r="D699" s="12">
        <v>0.59739583333333335</v>
      </c>
      <c r="E699">
        <f t="shared" si="20"/>
        <v>1</v>
      </c>
      <c r="F699">
        <f t="shared" si="21"/>
        <v>0</v>
      </c>
    </row>
    <row r="700" spans="1:6" x14ac:dyDescent="0.35">
      <c r="A700" s="5">
        <v>6461167</v>
      </c>
      <c r="B700" s="6">
        <v>42927</v>
      </c>
      <c r="C700" s="7">
        <v>0.5889699074074074</v>
      </c>
      <c r="D700" s="8">
        <v>0.59409722222222228</v>
      </c>
      <c r="E700">
        <f t="shared" si="20"/>
        <v>1</v>
      </c>
      <c r="F700">
        <f t="shared" si="21"/>
        <v>0</v>
      </c>
    </row>
    <row r="701" spans="1:6" x14ac:dyDescent="0.35">
      <c r="A701" s="9">
        <v>8270097</v>
      </c>
      <c r="B701" s="10">
        <v>42927</v>
      </c>
      <c r="C701" s="11">
        <v>0.5900347222222222</v>
      </c>
      <c r="D701" s="12">
        <v>0.59217592592592594</v>
      </c>
      <c r="E701">
        <f t="shared" si="20"/>
        <v>1</v>
      </c>
      <c r="F701">
        <f t="shared" si="21"/>
        <v>0</v>
      </c>
    </row>
    <row r="702" spans="1:6" x14ac:dyDescent="0.35">
      <c r="A702" s="5">
        <v>8982137</v>
      </c>
      <c r="B702" s="6">
        <v>42927</v>
      </c>
      <c r="C702" s="7">
        <v>0.59010416666666665</v>
      </c>
      <c r="D702" s="8">
        <v>0.59864583333333332</v>
      </c>
      <c r="E702">
        <f t="shared" si="20"/>
        <v>1</v>
      </c>
      <c r="F702">
        <f t="shared" si="21"/>
        <v>0</v>
      </c>
    </row>
    <row r="703" spans="1:6" x14ac:dyDescent="0.35">
      <c r="A703" s="9">
        <v>47677051</v>
      </c>
      <c r="B703" s="10">
        <v>42927</v>
      </c>
      <c r="C703" s="11">
        <v>0.59370370370370373</v>
      </c>
      <c r="D703" s="12">
        <v>0.60396990740740741</v>
      </c>
      <c r="E703">
        <f t="shared" si="20"/>
        <v>0</v>
      </c>
      <c r="F703">
        <f t="shared" si="21"/>
        <v>1</v>
      </c>
    </row>
    <row r="704" spans="1:6" x14ac:dyDescent="0.35">
      <c r="A704" s="5">
        <v>76139570</v>
      </c>
      <c r="B704" s="6">
        <v>42927</v>
      </c>
      <c r="C704" s="7">
        <v>0.59593750000000001</v>
      </c>
      <c r="D704" s="8">
        <v>0.6004976851851852</v>
      </c>
      <c r="E704">
        <f t="shared" si="20"/>
        <v>0</v>
      </c>
      <c r="F704">
        <f t="shared" si="21"/>
        <v>1</v>
      </c>
    </row>
    <row r="705" spans="1:6" x14ac:dyDescent="0.35">
      <c r="A705" s="9">
        <v>62016185</v>
      </c>
      <c r="B705" s="10">
        <v>42927</v>
      </c>
      <c r="C705" s="11">
        <v>0.60037037037037033</v>
      </c>
      <c r="D705" s="12">
        <v>0.60719907407407403</v>
      </c>
      <c r="E705">
        <f t="shared" si="20"/>
        <v>0</v>
      </c>
      <c r="F705">
        <f t="shared" si="21"/>
        <v>1</v>
      </c>
    </row>
    <row r="706" spans="1:6" x14ac:dyDescent="0.35">
      <c r="A706" s="5">
        <v>93696449</v>
      </c>
      <c r="B706" s="6">
        <v>42927</v>
      </c>
      <c r="C706" s="7">
        <v>0.60077546296296291</v>
      </c>
      <c r="D706" s="8">
        <v>0.60853009259259261</v>
      </c>
      <c r="E706">
        <f t="shared" si="20"/>
        <v>0</v>
      </c>
      <c r="F706">
        <f t="shared" si="21"/>
        <v>1</v>
      </c>
    </row>
    <row r="707" spans="1:6" x14ac:dyDescent="0.35">
      <c r="A707" s="9">
        <v>7914439</v>
      </c>
      <c r="B707" s="10">
        <v>42927</v>
      </c>
      <c r="C707" s="11">
        <v>0.60320601851851852</v>
      </c>
      <c r="D707" s="12">
        <v>0.61459490740740741</v>
      </c>
      <c r="E707">
        <f t="shared" ref="E707:E770" si="22">IF(LEN(A707)=7,1,0)</f>
        <v>1</v>
      </c>
      <c r="F707">
        <f t="shared" ref="F707:F770" si="23">IF(LEN(A707)=8,1,0)</f>
        <v>0</v>
      </c>
    </row>
    <row r="708" spans="1:6" x14ac:dyDescent="0.35">
      <c r="A708" s="5">
        <v>38047574</v>
      </c>
      <c r="B708" s="6">
        <v>42927</v>
      </c>
      <c r="C708" s="7">
        <v>0.60721064814814818</v>
      </c>
      <c r="D708" s="8">
        <v>0.61490740740740746</v>
      </c>
      <c r="E708">
        <f t="shared" si="22"/>
        <v>0</v>
      </c>
      <c r="F708">
        <f t="shared" si="23"/>
        <v>1</v>
      </c>
    </row>
    <row r="709" spans="1:6" x14ac:dyDescent="0.35">
      <c r="A709" s="9">
        <v>3184339</v>
      </c>
      <c r="B709" s="10">
        <v>42927</v>
      </c>
      <c r="C709" s="11">
        <v>0.61179398148148145</v>
      </c>
      <c r="D709" s="12">
        <v>0.61260416666666662</v>
      </c>
      <c r="E709">
        <f t="shared" si="22"/>
        <v>1</v>
      </c>
      <c r="F709">
        <f t="shared" si="23"/>
        <v>0</v>
      </c>
    </row>
    <row r="710" spans="1:6" x14ac:dyDescent="0.35">
      <c r="A710" s="5">
        <v>8126744698</v>
      </c>
      <c r="B710" s="6">
        <v>42927</v>
      </c>
      <c r="C710" s="7">
        <v>0.61664351851851851</v>
      </c>
      <c r="D710" s="8">
        <v>0.61856481481481485</v>
      </c>
      <c r="E710">
        <f t="shared" si="22"/>
        <v>0</v>
      </c>
      <c r="F710">
        <f t="shared" si="23"/>
        <v>0</v>
      </c>
    </row>
    <row r="711" spans="1:6" x14ac:dyDescent="0.35">
      <c r="A711" s="9">
        <v>52391912</v>
      </c>
      <c r="B711" s="10">
        <v>42927</v>
      </c>
      <c r="C711" s="11">
        <v>0.62067129629629625</v>
      </c>
      <c r="D711" s="12">
        <v>0.62475694444444441</v>
      </c>
      <c r="E711">
        <f t="shared" si="22"/>
        <v>0</v>
      </c>
      <c r="F711">
        <f t="shared" si="23"/>
        <v>1</v>
      </c>
    </row>
    <row r="712" spans="1:6" x14ac:dyDescent="0.35">
      <c r="A712" s="5">
        <v>1223943</v>
      </c>
      <c r="B712" s="6">
        <v>42927</v>
      </c>
      <c r="C712" s="7">
        <v>0.6252199074074074</v>
      </c>
      <c r="D712" s="8">
        <v>0.63226851851851851</v>
      </c>
      <c r="E712">
        <f t="shared" si="22"/>
        <v>1</v>
      </c>
      <c r="F712">
        <f t="shared" si="23"/>
        <v>0</v>
      </c>
    </row>
    <row r="713" spans="1:6" x14ac:dyDescent="0.35">
      <c r="A713" s="9">
        <v>14201334</v>
      </c>
      <c r="B713" s="10">
        <v>42928</v>
      </c>
      <c r="C713" s="11">
        <v>0.33568287037037037</v>
      </c>
      <c r="D713" s="12">
        <v>0.34125</v>
      </c>
      <c r="E713">
        <f t="shared" si="22"/>
        <v>0</v>
      </c>
      <c r="F713">
        <f t="shared" si="23"/>
        <v>1</v>
      </c>
    </row>
    <row r="714" spans="1:6" x14ac:dyDescent="0.35">
      <c r="A714" s="5">
        <v>1972250241</v>
      </c>
      <c r="B714" s="6">
        <v>42928</v>
      </c>
      <c r="C714" s="7">
        <v>0.33716435185185184</v>
      </c>
      <c r="D714" s="8">
        <v>0.33778935185185183</v>
      </c>
      <c r="E714">
        <f t="shared" si="22"/>
        <v>0</v>
      </c>
      <c r="F714">
        <f t="shared" si="23"/>
        <v>0</v>
      </c>
    </row>
    <row r="715" spans="1:6" x14ac:dyDescent="0.35">
      <c r="A715" s="9">
        <v>3028093</v>
      </c>
      <c r="B715" s="10">
        <v>42928</v>
      </c>
      <c r="C715" s="11">
        <v>0.34185185185185185</v>
      </c>
      <c r="D715" s="12">
        <v>0.34375</v>
      </c>
      <c r="E715">
        <f t="shared" si="22"/>
        <v>1</v>
      </c>
      <c r="F715">
        <f t="shared" si="23"/>
        <v>0</v>
      </c>
    </row>
    <row r="716" spans="1:6" x14ac:dyDescent="0.35">
      <c r="A716" s="5">
        <v>27487200</v>
      </c>
      <c r="B716" s="6">
        <v>42928</v>
      </c>
      <c r="C716" s="7">
        <v>0.34646990740740741</v>
      </c>
      <c r="D716" s="8">
        <v>0.3550462962962963</v>
      </c>
      <c r="E716">
        <f t="shared" si="22"/>
        <v>0</v>
      </c>
      <c r="F716">
        <f t="shared" si="23"/>
        <v>1</v>
      </c>
    </row>
    <row r="717" spans="1:6" x14ac:dyDescent="0.35">
      <c r="A717" s="9">
        <v>7377702</v>
      </c>
      <c r="B717" s="10">
        <v>42928</v>
      </c>
      <c r="C717" s="11">
        <v>0.34722222222222221</v>
      </c>
      <c r="D717" s="12">
        <v>0.3532986111111111</v>
      </c>
      <c r="E717">
        <f t="shared" si="22"/>
        <v>1</v>
      </c>
      <c r="F717">
        <f t="shared" si="23"/>
        <v>0</v>
      </c>
    </row>
    <row r="718" spans="1:6" x14ac:dyDescent="0.35">
      <c r="A718" s="5">
        <v>9294571</v>
      </c>
      <c r="B718" s="6">
        <v>42928</v>
      </c>
      <c r="C718" s="7">
        <v>0.35115740740740742</v>
      </c>
      <c r="D718" s="8">
        <v>0.35447916666666668</v>
      </c>
      <c r="E718">
        <f t="shared" si="22"/>
        <v>1</v>
      </c>
      <c r="F718">
        <f t="shared" si="23"/>
        <v>0</v>
      </c>
    </row>
    <row r="719" spans="1:6" x14ac:dyDescent="0.35">
      <c r="A719" s="9">
        <v>6865106</v>
      </c>
      <c r="B719" s="10">
        <v>42928</v>
      </c>
      <c r="C719" s="11">
        <v>0.35636574074074073</v>
      </c>
      <c r="D719" s="12">
        <v>0.36511574074074077</v>
      </c>
      <c r="E719">
        <f t="shared" si="22"/>
        <v>1</v>
      </c>
      <c r="F719">
        <f t="shared" si="23"/>
        <v>0</v>
      </c>
    </row>
    <row r="720" spans="1:6" x14ac:dyDescent="0.35">
      <c r="A720" s="5">
        <v>62086163</v>
      </c>
      <c r="B720" s="6">
        <v>42928</v>
      </c>
      <c r="C720" s="7">
        <v>0.36060185185185184</v>
      </c>
      <c r="D720" s="8">
        <v>0.36312499999999998</v>
      </c>
      <c r="E720">
        <f t="shared" si="22"/>
        <v>0</v>
      </c>
      <c r="F720">
        <f t="shared" si="23"/>
        <v>1</v>
      </c>
    </row>
    <row r="721" spans="1:6" x14ac:dyDescent="0.35">
      <c r="A721" s="9">
        <v>6367284</v>
      </c>
      <c r="B721" s="10">
        <v>42928</v>
      </c>
      <c r="C721" s="11">
        <v>0.36519675925925926</v>
      </c>
      <c r="D721" s="12">
        <v>0.36751157407407409</v>
      </c>
      <c r="E721">
        <f t="shared" si="22"/>
        <v>1</v>
      </c>
      <c r="F721">
        <f t="shared" si="23"/>
        <v>0</v>
      </c>
    </row>
    <row r="722" spans="1:6" x14ac:dyDescent="0.35">
      <c r="A722" s="5">
        <v>1811630</v>
      </c>
      <c r="B722" s="6">
        <v>42928</v>
      </c>
      <c r="C722" s="7">
        <v>0.36787037037037035</v>
      </c>
      <c r="D722" s="8">
        <v>0.36855324074074075</v>
      </c>
      <c r="E722">
        <f t="shared" si="22"/>
        <v>1</v>
      </c>
      <c r="F722">
        <f t="shared" si="23"/>
        <v>0</v>
      </c>
    </row>
    <row r="723" spans="1:6" x14ac:dyDescent="0.35">
      <c r="A723" s="9">
        <v>9346036178</v>
      </c>
      <c r="B723" s="10">
        <v>42928</v>
      </c>
      <c r="C723" s="11">
        <v>0.37017361111111113</v>
      </c>
      <c r="D723" s="12">
        <v>0.38035879629629632</v>
      </c>
      <c r="E723">
        <f t="shared" si="22"/>
        <v>0</v>
      </c>
      <c r="F723">
        <f t="shared" si="23"/>
        <v>0</v>
      </c>
    </row>
    <row r="724" spans="1:6" x14ac:dyDescent="0.35">
      <c r="A724" s="5">
        <v>1138033</v>
      </c>
      <c r="B724" s="6">
        <v>42928</v>
      </c>
      <c r="C724" s="7">
        <v>0.37504629629629632</v>
      </c>
      <c r="D724" s="8">
        <v>0.37731481481481483</v>
      </c>
      <c r="E724">
        <f t="shared" si="22"/>
        <v>1</v>
      </c>
      <c r="F724">
        <f t="shared" si="23"/>
        <v>0</v>
      </c>
    </row>
    <row r="725" spans="1:6" x14ac:dyDescent="0.35">
      <c r="A725" s="9">
        <v>2114812</v>
      </c>
      <c r="B725" s="10">
        <v>42928</v>
      </c>
      <c r="C725" s="11">
        <v>0.37615740740740738</v>
      </c>
      <c r="D725" s="12">
        <v>0.38158564814814816</v>
      </c>
      <c r="E725">
        <f t="shared" si="22"/>
        <v>1</v>
      </c>
      <c r="F725">
        <f t="shared" si="23"/>
        <v>0</v>
      </c>
    </row>
    <row r="726" spans="1:6" x14ac:dyDescent="0.35">
      <c r="A726" s="5">
        <v>4195677</v>
      </c>
      <c r="B726" s="6">
        <v>42928</v>
      </c>
      <c r="C726" s="7">
        <v>0.37644675925925924</v>
      </c>
      <c r="D726" s="8">
        <v>0.38192129629629629</v>
      </c>
      <c r="E726">
        <f t="shared" si="22"/>
        <v>1</v>
      </c>
      <c r="F726">
        <f t="shared" si="23"/>
        <v>0</v>
      </c>
    </row>
    <row r="727" spans="1:6" x14ac:dyDescent="0.35">
      <c r="A727" s="9">
        <v>3493348</v>
      </c>
      <c r="B727" s="10">
        <v>42928</v>
      </c>
      <c r="C727" s="11">
        <v>0.37934027777777779</v>
      </c>
      <c r="D727" s="12">
        <v>0.38925925925925925</v>
      </c>
      <c r="E727">
        <f t="shared" si="22"/>
        <v>1</v>
      </c>
      <c r="F727">
        <f t="shared" si="23"/>
        <v>0</v>
      </c>
    </row>
    <row r="728" spans="1:6" x14ac:dyDescent="0.35">
      <c r="A728" s="5">
        <v>6005020</v>
      </c>
      <c r="B728" s="6">
        <v>42928</v>
      </c>
      <c r="C728" s="7">
        <v>0.38046296296296295</v>
      </c>
      <c r="D728" s="8">
        <v>0.38739583333333333</v>
      </c>
      <c r="E728">
        <f t="shared" si="22"/>
        <v>1</v>
      </c>
      <c r="F728">
        <f t="shared" si="23"/>
        <v>0</v>
      </c>
    </row>
    <row r="729" spans="1:6" x14ac:dyDescent="0.35">
      <c r="A729" s="9">
        <v>7421868</v>
      </c>
      <c r="B729" s="10">
        <v>42928</v>
      </c>
      <c r="C729" s="11">
        <v>0.38292824074074072</v>
      </c>
      <c r="D729" s="12">
        <v>0.38613425925925926</v>
      </c>
      <c r="E729">
        <f t="shared" si="22"/>
        <v>1</v>
      </c>
      <c r="F729">
        <f t="shared" si="23"/>
        <v>0</v>
      </c>
    </row>
    <row r="730" spans="1:6" x14ac:dyDescent="0.35">
      <c r="A730" s="5">
        <v>2227803</v>
      </c>
      <c r="B730" s="6">
        <v>42928</v>
      </c>
      <c r="C730" s="7">
        <v>0.38317129629629632</v>
      </c>
      <c r="D730" s="8">
        <v>0.39157407407407407</v>
      </c>
      <c r="E730">
        <f t="shared" si="22"/>
        <v>1</v>
      </c>
      <c r="F730">
        <f t="shared" si="23"/>
        <v>0</v>
      </c>
    </row>
    <row r="731" spans="1:6" x14ac:dyDescent="0.35">
      <c r="A731" s="9">
        <v>4007464</v>
      </c>
      <c r="B731" s="10">
        <v>42928</v>
      </c>
      <c r="C731" s="11">
        <v>0.38767361111111109</v>
      </c>
      <c r="D731" s="12">
        <v>0.38848379629629631</v>
      </c>
      <c r="E731">
        <f t="shared" si="22"/>
        <v>1</v>
      </c>
      <c r="F731">
        <f t="shared" si="23"/>
        <v>0</v>
      </c>
    </row>
    <row r="732" spans="1:6" x14ac:dyDescent="0.35">
      <c r="A732" s="5">
        <v>54713807</v>
      </c>
      <c r="B732" s="6">
        <v>42928</v>
      </c>
      <c r="C732" s="7">
        <v>0.38968750000000002</v>
      </c>
      <c r="D732" s="8">
        <v>0.39152777777777775</v>
      </c>
      <c r="E732">
        <f t="shared" si="22"/>
        <v>0</v>
      </c>
      <c r="F732">
        <f t="shared" si="23"/>
        <v>1</v>
      </c>
    </row>
    <row r="733" spans="1:6" x14ac:dyDescent="0.35">
      <c r="A733" s="9">
        <v>7097883</v>
      </c>
      <c r="B733" s="10">
        <v>42928</v>
      </c>
      <c r="C733" s="11">
        <v>0.39206018518518521</v>
      </c>
      <c r="D733" s="12">
        <v>0.39436342592592594</v>
      </c>
      <c r="E733">
        <f t="shared" si="22"/>
        <v>1</v>
      </c>
      <c r="F733">
        <f t="shared" si="23"/>
        <v>0</v>
      </c>
    </row>
    <row r="734" spans="1:6" x14ac:dyDescent="0.35">
      <c r="A734" s="5">
        <v>48630026</v>
      </c>
      <c r="B734" s="6">
        <v>42928</v>
      </c>
      <c r="C734" s="7">
        <v>0.39709490740740738</v>
      </c>
      <c r="D734" s="8">
        <v>0.40651620370370373</v>
      </c>
      <c r="E734">
        <f t="shared" si="22"/>
        <v>0</v>
      </c>
      <c r="F734">
        <f t="shared" si="23"/>
        <v>1</v>
      </c>
    </row>
    <row r="735" spans="1:6" x14ac:dyDescent="0.35">
      <c r="A735" s="9">
        <v>1279245</v>
      </c>
      <c r="B735" s="10">
        <v>42928</v>
      </c>
      <c r="C735" s="11">
        <v>0.40247685185185184</v>
      </c>
      <c r="D735" s="12">
        <v>0.40831018518518519</v>
      </c>
      <c r="E735">
        <f t="shared" si="22"/>
        <v>1</v>
      </c>
      <c r="F735">
        <f t="shared" si="23"/>
        <v>0</v>
      </c>
    </row>
    <row r="736" spans="1:6" x14ac:dyDescent="0.35">
      <c r="A736" s="5">
        <v>2571251</v>
      </c>
      <c r="B736" s="6">
        <v>42928</v>
      </c>
      <c r="C736" s="7">
        <v>0.40822916666666664</v>
      </c>
      <c r="D736" s="8">
        <v>0.41586805555555556</v>
      </c>
      <c r="E736">
        <f t="shared" si="22"/>
        <v>1</v>
      </c>
      <c r="F736">
        <f t="shared" si="23"/>
        <v>0</v>
      </c>
    </row>
    <row r="737" spans="1:6" x14ac:dyDescent="0.35">
      <c r="A737" s="9">
        <v>9566647</v>
      </c>
      <c r="B737" s="10">
        <v>42928</v>
      </c>
      <c r="C737" s="11">
        <v>0.40881944444444446</v>
      </c>
      <c r="D737" s="12">
        <v>0.40950231481481481</v>
      </c>
      <c r="E737">
        <f t="shared" si="22"/>
        <v>1</v>
      </c>
      <c r="F737">
        <f t="shared" si="23"/>
        <v>0</v>
      </c>
    </row>
    <row r="738" spans="1:6" x14ac:dyDescent="0.35">
      <c r="A738" s="5">
        <v>1454555</v>
      </c>
      <c r="B738" s="6">
        <v>42928</v>
      </c>
      <c r="C738" s="7">
        <v>0.41078703703703706</v>
      </c>
      <c r="D738" s="8">
        <v>0.41078703703703706</v>
      </c>
      <c r="E738">
        <f t="shared" si="22"/>
        <v>1</v>
      </c>
      <c r="F738">
        <f t="shared" si="23"/>
        <v>0</v>
      </c>
    </row>
    <row r="739" spans="1:6" x14ac:dyDescent="0.35">
      <c r="A739" s="9">
        <v>21996267</v>
      </c>
      <c r="B739" s="10">
        <v>42928</v>
      </c>
      <c r="C739" s="11">
        <v>0.41218749999999998</v>
      </c>
      <c r="D739" s="12">
        <v>0.41280092592592593</v>
      </c>
      <c r="E739">
        <f t="shared" si="22"/>
        <v>0</v>
      </c>
      <c r="F739">
        <f t="shared" si="23"/>
        <v>1</v>
      </c>
    </row>
    <row r="740" spans="1:6" x14ac:dyDescent="0.35">
      <c r="A740" s="5">
        <v>8429072</v>
      </c>
      <c r="B740" s="6">
        <v>42928</v>
      </c>
      <c r="C740" s="7">
        <v>0.41414351851851849</v>
      </c>
      <c r="D740" s="8">
        <v>0.42015046296296299</v>
      </c>
      <c r="E740">
        <f t="shared" si="22"/>
        <v>1</v>
      </c>
      <c r="F740">
        <f t="shared" si="23"/>
        <v>0</v>
      </c>
    </row>
    <row r="741" spans="1:6" x14ac:dyDescent="0.35">
      <c r="A741" s="9">
        <v>9815754</v>
      </c>
      <c r="B741" s="10">
        <v>42928</v>
      </c>
      <c r="C741" s="11">
        <v>0.41853009259259261</v>
      </c>
      <c r="D741" s="12">
        <v>0.42037037037037039</v>
      </c>
      <c r="E741">
        <f t="shared" si="22"/>
        <v>1</v>
      </c>
      <c r="F741">
        <f t="shared" si="23"/>
        <v>0</v>
      </c>
    </row>
    <row r="742" spans="1:6" x14ac:dyDescent="0.35">
      <c r="A742" s="5">
        <v>2434652</v>
      </c>
      <c r="B742" s="6">
        <v>42928</v>
      </c>
      <c r="C742" s="7">
        <v>0.42370370370370369</v>
      </c>
      <c r="D742" s="8">
        <v>0.43412037037037038</v>
      </c>
      <c r="E742">
        <f t="shared" si="22"/>
        <v>1</v>
      </c>
      <c r="F742">
        <f t="shared" si="23"/>
        <v>0</v>
      </c>
    </row>
    <row r="743" spans="1:6" x14ac:dyDescent="0.35">
      <c r="A743" s="9">
        <v>4939683</v>
      </c>
      <c r="B743" s="10">
        <v>42928</v>
      </c>
      <c r="C743" s="11">
        <v>0.42650462962962965</v>
      </c>
      <c r="D743" s="12">
        <v>0.43417824074074074</v>
      </c>
      <c r="E743">
        <f t="shared" si="22"/>
        <v>1</v>
      </c>
      <c r="F743">
        <f t="shared" si="23"/>
        <v>0</v>
      </c>
    </row>
    <row r="744" spans="1:6" x14ac:dyDescent="0.35">
      <c r="A744" s="5">
        <v>6821027</v>
      </c>
      <c r="B744" s="6">
        <v>42928</v>
      </c>
      <c r="C744" s="7">
        <v>0.42766203703703703</v>
      </c>
      <c r="D744" s="8">
        <v>0.43533564814814812</v>
      </c>
      <c r="E744">
        <f t="shared" si="22"/>
        <v>1</v>
      </c>
      <c r="F744">
        <f t="shared" si="23"/>
        <v>0</v>
      </c>
    </row>
    <row r="745" spans="1:6" x14ac:dyDescent="0.35">
      <c r="A745" s="9">
        <v>3253368</v>
      </c>
      <c r="B745" s="10">
        <v>42928</v>
      </c>
      <c r="C745" s="11">
        <v>0.43041666666666667</v>
      </c>
      <c r="D745" s="12">
        <v>0.43164351851851851</v>
      </c>
      <c r="E745">
        <f t="shared" si="22"/>
        <v>1</v>
      </c>
      <c r="F745">
        <f t="shared" si="23"/>
        <v>0</v>
      </c>
    </row>
    <row r="746" spans="1:6" x14ac:dyDescent="0.35">
      <c r="A746" s="5">
        <v>3505978</v>
      </c>
      <c r="B746" s="6">
        <v>42928</v>
      </c>
      <c r="C746" s="7">
        <v>0.43381944444444442</v>
      </c>
      <c r="D746" s="8">
        <v>0.44515046296296296</v>
      </c>
      <c r="E746">
        <f t="shared" si="22"/>
        <v>1</v>
      </c>
      <c r="F746">
        <f t="shared" si="23"/>
        <v>0</v>
      </c>
    </row>
    <row r="747" spans="1:6" x14ac:dyDescent="0.35">
      <c r="A747" s="9">
        <v>91743317</v>
      </c>
      <c r="B747" s="10">
        <v>42928</v>
      </c>
      <c r="C747" s="11">
        <v>0.43717592592592591</v>
      </c>
      <c r="D747" s="12">
        <v>0.44695601851851852</v>
      </c>
      <c r="E747">
        <f t="shared" si="22"/>
        <v>0</v>
      </c>
      <c r="F747">
        <f t="shared" si="23"/>
        <v>1</v>
      </c>
    </row>
    <row r="748" spans="1:6" x14ac:dyDescent="0.35">
      <c r="A748" s="5">
        <v>5104536</v>
      </c>
      <c r="B748" s="6">
        <v>42928</v>
      </c>
      <c r="C748" s="7">
        <v>0.44146990740740738</v>
      </c>
      <c r="D748" s="8">
        <v>0.44412037037037039</v>
      </c>
      <c r="E748">
        <f t="shared" si="22"/>
        <v>1</v>
      </c>
      <c r="F748">
        <f t="shared" si="23"/>
        <v>0</v>
      </c>
    </row>
    <row r="749" spans="1:6" x14ac:dyDescent="0.35">
      <c r="A749" s="9">
        <v>7353916</v>
      </c>
      <c r="B749" s="10">
        <v>42928</v>
      </c>
      <c r="C749" s="11">
        <v>0.44663194444444443</v>
      </c>
      <c r="D749" s="12">
        <v>0.45378472222222221</v>
      </c>
      <c r="E749">
        <f t="shared" si="22"/>
        <v>1</v>
      </c>
      <c r="F749">
        <f t="shared" si="23"/>
        <v>0</v>
      </c>
    </row>
    <row r="750" spans="1:6" x14ac:dyDescent="0.35">
      <c r="A750" s="5">
        <v>4412771</v>
      </c>
      <c r="B750" s="6">
        <v>42928</v>
      </c>
      <c r="C750" s="7">
        <v>0.44809027777777777</v>
      </c>
      <c r="D750" s="8">
        <v>0.45256944444444447</v>
      </c>
      <c r="E750">
        <f t="shared" si="22"/>
        <v>1</v>
      </c>
      <c r="F750">
        <f t="shared" si="23"/>
        <v>0</v>
      </c>
    </row>
    <row r="751" spans="1:6" x14ac:dyDescent="0.35">
      <c r="A751" s="9">
        <v>6709939</v>
      </c>
      <c r="B751" s="10">
        <v>42928</v>
      </c>
      <c r="C751" s="11">
        <v>0.44817129629629632</v>
      </c>
      <c r="D751" s="12">
        <v>0.4506134259259259</v>
      </c>
      <c r="E751">
        <f t="shared" si="22"/>
        <v>1</v>
      </c>
      <c r="F751">
        <f t="shared" si="23"/>
        <v>0</v>
      </c>
    </row>
    <row r="752" spans="1:6" x14ac:dyDescent="0.35">
      <c r="A752" s="5">
        <v>7891185</v>
      </c>
      <c r="B752" s="6">
        <v>42928</v>
      </c>
      <c r="C752" s="7">
        <v>0.45010416666666669</v>
      </c>
      <c r="D752" s="8">
        <v>0.46153935185185185</v>
      </c>
      <c r="E752">
        <f t="shared" si="22"/>
        <v>1</v>
      </c>
      <c r="F752">
        <f t="shared" si="23"/>
        <v>0</v>
      </c>
    </row>
    <row r="753" spans="1:6" x14ac:dyDescent="0.35">
      <c r="A753" s="9">
        <v>90417363</v>
      </c>
      <c r="B753" s="10">
        <v>42928</v>
      </c>
      <c r="C753" s="11">
        <v>0.45504629629629628</v>
      </c>
      <c r="D753" s="12">
        <v>0.4607175925925926</v>
      </c>
      <c r="E753">
        <f t="shared" si="22"/>
        <v>0</v>
      </c>
      <c r="F753">
        <f t="shared" si="23"/>
        <v>1</v>
      </c>
    </row>
    <row r="754" spans="1:6" x14ac:dyDescent="0.35">
      <c r="A754" s="5">
        <v>4929499</v>
      </c>
      <c r="B754" s="6">
        <v>42928</v>
      </c>
      <c r="C754" s="7">
        <v>0.45673611111111112</v>
      </c>
      <c r="D754" s="8">
        <v>0.4586574074074074</v>
      </c>
      <c r="E754">
        <f t="shared" si="22"/>
        <v>1</v>
      </c>
      <c r="F754">
        <f t="shared" si="23"/>
        <v>0</v>
      </c>
    </row>
    <row r="755" spans="1:6" x14ac:dyDescent="0.35">
      <c r="A755" s="9">
        <v>3824371</v>
      </c>
      <c r="B755" s="10">
        <v>42928</v>
      </c>
      <c r="C755" s="11">
        <v>0.46217592592592593</v>
      </c>
      <c r="D755" s="12">
        <v>0.47150462962962963</v>
      </c>
      <c r="E755">
        <f t="shared" si="22"/>
        <v>1</v>
      </c>
      <c r="F755">
        <f t="shared" si="23"/>
        <v>0</v>
      </c>
    </row>
    <row r="756" spans="1:6" x14ac:dyDescent="0.35">
      <c r="A756" s="5">
        <v>1119740</v>
      </c>
      <c r="B756" s="6">
        <v>42928</v>
      </c>
      <c r="C756" s="7">
        <v>0.46663194444444445</v>
      </c>
      <c r="D756" s="8">
        <v>0.47532407407407407</v>
      </c>
      <c r="E756">
        <f t="shared" si="22"/>
        <v>1</v>
      </c>
      <c r="F756">
        <f t="shared" si="23"/>
        <v>0</v>
      </c>
    </row>
    <row r="757" spans="1:6" x14ac:dyDescent="0.35">
      <c r="A757" s="9">
        <v>1219073</v>
      </c>
      <c r="B757" s="10">
        <v>42928</v>
      </c>
      <c r="C757" s="11">
        <v>0.46870370370370368</v>
      </c>
      <c r="D757" s="12">
        <v>0.47320601851851851</v>
      </c>
      <c r="E757">
        <f t="shared" si="22"/>
        <v>1</v>
      </c>
      <c r="F757">
        <f t="shared" si="23"/>
        <v>0</v>
      </c>
    </row>
    <row r="758" spans="1:6" x14ac:dyDescent="0.35">
      <c r="A758" s="5">
        <v>87702896</v>
      </c>
      <c r="B758" s="6">
        <v>42928</v>
      </c>
      <c r="C758" s="7">
        <v>0.47358796296296296</v>
      </c>
      <c r="D758" s="8">
        <v>0.47878472222222224</v>
      </c>
      <c r="E758">
        <f t="shared" si="22"/>
        <v>0</v>
      </c>
      <c r="F758">
        <f t="shared" si="23"/>
        <v>1</v>
      </c>
    </row>
    <row r="759" spans="1:6" x14ac:dyDescent="0.35">
      <c r="A759" s="9">
        <v>94197168</v>
      </c>
      <c r="B759" s="10">
        <v>42928</v>
      </c>
      <c r="C759" s="11">
        <v>0.47819444444444442</v>
      </c>
      <c r="D759" s="12">
        <v>0.48442129629629632</v>
      </c>
      <c r="E759">
        <f t="shared" si="22"/>
        <v>0</v>
      </c>
      <c r="F759">
        <f t="shared" si="23"/>
        <v>1</v>
      </c>
    </row>
    <row r="760" spans="1:6" x14ac:dyDescent="0.35">
      <c r="A760" s="5">
        <v>8655825</v>
      </c>
      <c r="B760" s="6">
        <v>42928</v>
      </c>
      <c r="C760" s="7">
        <v>0.48251157407407408</v>
      </c>
      <c r="D760" s="8">
        <v>0.48732638888888891</v>
      </c>
      <c r="E760">
        <f t="shared" si="22"/>
        <v>1</v>
      </c>
      <c r="F760">
        <f t="shared" si="23"/>
        <v>0</v>
      </c>
    </row>
    <row r="761" spans="1:6" x14ac:dyDescent="0.35">
      <c r="A761" s="9">
        <v>47707639</v>
      </c>
      <c r="B761" s="10">
        <v>42928</v>
      </c>
      <c r="C761" s="11">
        <v>0.48827546296296298</v>
      </c>
      <c r="D761" s="12">
        <v>0.49432870370370369</v>
      </c>
      <c r="E761">
        <f t="shared" si="22"/>
        <v>0</v>
      </c>
      <c r="F761">
        <f t="shared" si="23"/>
        <v>1</v>
      </c>
    </row>
    <row r="762" spans="1:6" x14ac:dyDescent="0.35">
      <c r="A762" s="5">
        <v>5029329</v>
      </c>
      <c r="B762" s="6">
        <v>42928</v>
      </c>
      <c r="C762" s="7">
        <v>0.49062499999999998</v>
      </c>
      <c r="D762" s="8">
        <v>0.49535879629629631</v>
      </c>
      <c r="E762">
        <f t="shared" si="22"/>
        <v>1</v>
      </c>
      <c r="F762">
        <f t="shared" si="23"/>
        <v>0</v>
      </c>
    </row>
    <row r="763" spans="1:6" x14ac:dyDescent="0.35">
      <c r="A763" s="9">
        <v>8825868</v>
      </c>
      <c r="B763" s="10">
        <v>42928</v>
      </c>
      <c r="C763" s="11">
        <v>0.49552083333333335</v>
      </c>
      <c r="D763" s="12">
        <v>0.50263888888888886</v>
      </c>
      <c r="E763">
        <f t="shared" si="22"/>
        <v>1</v>
      </c>
      <c r="F763">
        <f t="shared" si="23"/>
        <v>0</v>
      </c>
    </row>
    <row r="764" spans="1:6" x14ac:dyDescent="0.35">
      <c r="A764" s="5">
        <v>8461631</v>
      </c>
      <c r="B764" s="6">
        <v>42928</v>
      </c>
      <c r="C764" s="7">
        <v>0.50025462962962963</v>
      </c>
      <c r="D764" s="8">
        <v>0.50344907407407402</v>
      </c>
      <c r="E764">
        <f t="shared" si="22"/>
        <v>1</v>
      </c>
      <c r="F764">
        <f t="shared" si="23"/>
        <v>0</v>
      </c>
    </row>
    <row r="765" spans="1:6" x14ac:dyDescent="0.35">
      <c r="A765" s="9">
        <v>76777492</v>
      </c>
      <c r="B765" s="10">
        <v>42928</v>
      </c>
      <c r="C765" s="11">
        <v>0.50071759259259263</v>
      </c>
      <c r="D765" s="12">
        <v>0.5085763888888889</v>
      </c>
      <c r="E765">
        <f t="shared" si="22"/>
        <v>0</v>
      </c>
      <c r="F765">
        <f t="shared" si="23"/>
        <v>1</v>
      </c>
    </row>
    <row r="766" spans="1:6" x14ac:dyDescent="0.35">
      <c r="A766" s="5">
        <v>71036125</v>
      </c>
      <c r="B766" s="6">
        <v>42928</v>
      </c>
      <c r="C766" s="7">
        <v>0.50597222222222227</v>
      </c>
      <c r="D766" s="8">
        <v>0.51633101851851848</v>
      </c>
      <c r="E766">
        <f t="shared" si="22"/>
        <v>0</v>
      </c>
      <c r="F766">
        <f t="shared" si="23"/>
        <v>1</v>
      </c>
    </row>
    <row r="767" spans="1:6" x14ac:dyDescent="0.35">
      <c r="A767" s="9">
        <v>2989192</v>
      </c>
      <c r="B767" s="10">
        <v>42928</v>
      </c>
      <c r="C767" s="11">
        <v>0.5087962962962963</v>
      </c>
      <c r="D767" s="12">
        <v>0.51349537037037041</v>
      </c>
      <c r="E767">
        <f t="shared" si="22"/>
        <v>1</v>
      </c>
      <c r="F767">
        <f t="shared" si="23"/>
        <v>0</v>
      </c>
    </row>
    <row r="768" spans="1:6" x14ac:dyDescent="0.35">
      <c r="A768" s="5">
        <v>5131341</v>
      </c>
      <c r="B768" s="6">
        <v>42928</v>
      </c>
      <c r="C768" s="7">
        <v>0.50974537037037038</v>
      </c>
      <c r="D768" s="8">
        <v>0.51072916666666668</v>
      </c>
      <c r="E768">
        <f t="shared" si="22"/>
        <v>1</v>
      </c>
      <c r="F768">
        <f t="shared" si="23"/>
        <v>0</v>
      </c>
    </row>
    <row r="769" spans="1:6" x14ac:dyDescent="0.35">
      <c r="A769" s="9">
        <v>2826868</v>
      </c>
      <c r="B769" s="10">
        <v>42928</v>
      </c>
      <c r="C769" s="11">
        <v>0.51549768518518524</v>
      </c>
      <c r="D769" s="12">
        <v>0.51550925925925928</v>
      </c>
      <c r="E769">
        <f t="shared" si="22"/>
        <v>1</v>
      </c>
      <c r="F769">
        <f t="shared" si="23"/>
        <v>0</v>
      </c>
    </row>
    <row r="770" spans="1:6" x14ac:dyDescent="0.35">
      <c r="A770" s="5">
        <v>9849071</v>
      </c>
      <c r="B770" s="6">
        <v>42928</v>
      </c>
      <c r="C770" s="7">
        <v>0.51561342592592596</v>
      </c>
      <c r="D770" s="8">
        <v>0.52171296296296299</v>
      </c>
      <c r="E770">
        <f t="shared" si="22"/>
        <v>1</v>
      </c>
      <c r="F770">
        <f t="shared" si="23"/>
        <v>0</v>
      </c>
    </row>
    <row r="771" spans="1:6" x14ac:dyDescent="0.35">
      <c r="A771" s="9">
        <v>47025160</v>
      </c>
      <c r="B771" s="10">
        <v>42928</v>
      </c>
      <c r="C771" s="11">
        <v>0.52009259259259255</v>
      </c>
      <c r="D771" s="12">
        <v>0.52987268518518515</v>
      </c>
      <c r="E771">
        <f t="shared" ref="E771:E834" si="24">IF(LEN(A771)=7,1,0)</f>
        <v>0</v>
      </c>
      <c r="F771">
        <f t="shared" ref="F771:F834" si="25">IF(LEN(A771)=8,1,0)</f>
        <v>1</v>
      </c>
    </row>
    <row r="772" spans="1:6" x14ac:dyDescent="0.35">
      <c r="A772" s="5">
        <v>97798921</v>
      </c>
      <c r="B772" s="6">
        <v>42928</v>
      </c>
      <c r="C772" s="7">
        <v>0.52172453703703703</v>
      </c>
      <c r="D772" s="8">
        <v>0.52606481481481482</v>
      </c>
      <c r="E772">
        <f t="shared" si="24"/>
        <v>0</v>
      </c>
      <c r="F772">
        <f t="shared" si="25"/>
        <v>1</v>
      </c>
    </row>
    <row r="773" spans="1:6" x14ac:dyDescent="0.35">
      <c r="A773" s="9">
        <v>2248131</v>
      </c>
      <c r="B773" s="10">
        <v>42928</v>
      </c>
      <c r="C773" s="11">
        <v>0.52298611111111115</v>
      </c>
      <c r="D773" s="12">
        <v>0.53249999999999997</v>
      </c>
      <c r="E773">
        <f t="shared" si="24"/>
        <v>1</v>
      </c>
      <c r="F773">
        <f t="shared" si="25"/>
        <v>0</v>
      </c>
    </row>
    <row r="774" spans="1:6" x14ac:dyDescent="0.35">
      <c r="A774" s="5">
        <v>1973826522</v>
      </c>
      <c r="B774" s="6">
        <v>42928</v>
      </c>
      <c r="C774" s="7">
        <v>0.52342592592592596</v>
      </c>
      <c r="D774" s="8">
        <v>0.52350694444444446</v>
      </c>
      <c r="E774">
        <f t="shared" si="24"/>
        <v>0</v>
      </c>
      <c r="F774">
        <f t="shared" si="25"/>
        <v>0</v>
      </c>
    </row>
    <row r="775" spans="1:6" x14ac:dyDescent="0.35">
      <c r="A775" s="9">
        <v>6293367175</v>
      </c>
      <c r="B775" s="10">
        <v>42928</v>
      </c>
      <c r="C775" s="11">
        <v>0.52649305555555559</v>
      </c>
      <c r="D775" s="12">
        <v>0.53123842592592596</v>
      </c>
      <c r="E775">
        <f t="shared" si="24"/>
        <v>0</v>
      </c>
      <c r="F775">
        <f t="shared" si="25"/>
        <v>0</v>
      </c>
    </row>
    <row r="776" spans="1:6" x14ac:dyDescent="0.35">
      <c r="A776" s="5">
        <v>5092577</v>
      </c>
      <c r="B776" s="6">
        <v>42928</v>
      </c>
      <c r="C776" s="7">
        <v>0.52834490740740736</v>
      </c>
      <c r="D776" s="8">
        <v>0.53267361111111111</v>
      </c>
      <c r="E776">
        <f t="shared" si="24"/>
        <v>1</v>
      </c>
      <c r="F776">
        <f t="shared" si="25"/>
        <v>0</v>
      </c>
    </row>
    <row r="777" spans="1:6" x14ac:dyDescent="0.35">
      <c r="A777" s="9">
        <v>62086163</v>
      </c>
      <c r="B777" s="10">
        <v>42928</v>
      </c>
      <c r="C777" s="11">
        <v>0.53126157407407404</v>
      </c>
      <c r="D777" s="12">
        <v>0.5326157407407407</v>
      </c>
      <c r="E777">
        <f t="shared" si="24"/>
        <v>0</v>
      </c>
      <c r="F777">
        <f t="shared" si="25"/>
        <v>1</v>
      </c>
    </row>
    <row r="778" spans="1:6" x14ac:dyDescent="0.35">
      <c r="A778" s="5">
        <v>4657345</v>
      </c>
      <c r="B778" s="6">
        <v>42928</v>
      </c>
      <c r="C778" s="7">
        <v>0.53608796296296302</v>
      </c>
      <c r="D778" s="8">
        <v>0.53631944444444446</v>
      </c>
      <c r="E778">
        <f t="shared" si="24"/>
        <v>1</v>
      </c>
      <c r="F778">
        <f t="shared" si="25"/>
        <v>0</v>
      </c>
    </row>
    <row r="779" spans="1:6" x14ac:dyDescent="0.35">
      <c r="A779" s="9">
        <v>7937998</v>
      </c>
      <c r="B779" s="10">
        <v>42928</v>
      </c>
      <c r="C779" s="11">
        <v>0.53798611111111116</v>
      </c>
      <c r="D779" s="12">
        <v>0.54011574074074076</v>
      </c>
      <c r="E779">
        <f t="shared" si="24"/>
        <v>1</v>
      </c>
      <c r="F779">
        <f t="shared" si="25"/>
        <v>0</v>
      </c>
    </row>
    <row r="780" spans="1:6" x14ac:dyDescent="0.35">
      <c r="A780" s="5">
        <v>7269536</v>
      </c>
      <c r="B780" s="6">
        <v>42928</v>
      </c>
      <c r="C780" s="7">
        <v>0.53827546296296291</v>
      </c>
      <c r="D780" s="8">
        <v>0.54309027777777774</v>
      </c>
      <c r="E780">
        <f t="shared" si="24"/>
        <v>1</v>
      </c>
      <c r="F780">
        <f t="shared" si="25"/>
        <v>0</v>
      </c>
    </row>
    <row r="781" spans="1:6" x14ac:dyDescent="0.35">
      <c r="A781" s="9">
        <v>98939809</v>
      </c>
      <c r="B781" s="10">
        <v>42928</v>
      </c>
      <c r="C781" s="11">
        <v>0.53873842592592591</v>
      </c>
      <c r="D781" s="12">
        <v>0.54084490740740743</v>
      </c>
      <c r="E781">
        <f t="shared" si="24"/>
        <v>0</v>
      </c>
      <c r="F781">
        <f t="shared" si="25"/>
        <v>1</v>
      </c>
    </row>
    <row r="782" spans="1:6" x14ac:dyDescent="0.35">
      <c r="A782" s="5">
        <v>7766265</v>
      </c>
      <c r="B782" s="6">
        <v>42928</v>
      </c>
      <c r="C782" s="7">
        <v>0.54391203703703705</v>
      </c>
      <c r="D782" s="8">
        <v>0.54538194444444443</v>
      </c>
      <c r="E782">
        <f t="shared" si="24"/>
        <v>1</v>
      </c>
      <c r="F782">
        <f t="shared" si="25"/>
        <v>0</v>
      </c>
    </row>
    <row r="783" spans="1:6" x14ac:dyDescent="0.35">
      <c r="A783" s="9">
        <v>7377702</v>
      </c>
      <c r="B783" s="10">
        <v>42928</v>
      </c>
      <c r="C783" s="11">
        <v>0.54689814814814819</v>
      </c>
      <c r="D783" s="12">
        <v>0.54949074074074078</v>
      </c>
      <c r="E783">
        <f t="shared" si="24"/>
        <v>1</v>
      </c>
      <c r="F783">
        <f t="shared" si="25"/>
        <v>0</v>
      </c>
    </row>
    <row r="784" spans="1:6" x14ac:dyDescent="0.35">
      <c r="A784" s="5">
        <v>38244568</v>
      </c>
      <c r="B784" s="6">
        <v>42928</v>
      </c>
      <c r="C784" s="7">
        <v>0.54826388888888888</v>
      </c>
      <c r="D784" s="8">
        <v>0.54920138888888892</v>
      </c>
      <c r="E784">
        <f t="shared" si="24"/>
        <v>0</v>
      </c>
      <c r="F784">
        <f t="shared" si="25"/>
        <v>1</v>
      </c>
    </row>
    <row r="785" spans="1:6" x14ac:dyDescent="0.35">
      <c r="A785" s="9">
        <v>5094248</v>
      </c>
      <c r="B785" s="10">
        <v>42928</v>
      </c>
      <c r="C785" s="11">
        <v>0.55118055555555556</v>
      </c>
      <c r="D785" s="12">
        <v>0.56003472222222217</v>
      </c>
      <c r="E785">
        <f t="shared" si="24"/>
        <v>1</v>
      </c>
      <c r="F785">
        <f t="shared" si="25"/>
        <v>0</v>
      </c>
    </row>
    <row r="786" spans="1:6" x14ac:dyDescent="0.35">
      <c r="A786" s="5">
        <v>1233459</v>
      </c>
      <c r="B786" s="6">
        <v>42928</v>
      </c>
      <c r="C786" s="7">
        <v>0.55565972222222226</v>
      </c>
      <c r="D786" s="8">
        <v>0.55674768518518514</v>
      </c>
      <c r="E786">
        <f t="shared" si="24"/>
        <v>1</v>
      </c>
      <c r="F786">
        <f t="shared" si="25"/>
        <v>0</v>
      </c>
    </row>
    <row r="787" spans="1:6" x14ac:dyDescent="0.35">
      <c r="A787" s="9">
        <v>9398644</v>
      </c>
      <c r="B787" s="10">
        <v>42928</v>
      </c>
      <c r="C787" s="11">
        <v>0.55717592592592591</v>
      </c>
      <c r="D787" s="12">
        <v>0.56753472222222223</v>
      </c>
      <c r="E787">
        <f t="shared" si="24"/>
        <v>1</v>
      </c>
      <c r="F787">
        <f t="shared" si="25"/>
        <v>0</v>
      </c>
    </row>
    <row r="788" spans="1:6" x14ac:dyDescent="0.35">
      <c r="A788" s="5">
        <v>3390459</v>
      </c>
      <c r="B788" s="6">
        <v>42928</v>
      </c>
      <c r="C788" s="7">
        <v>0.55869212962962966</v>
      </c>
      <c r="D788" s="8">
        <v>0.55922453703703701</v>
      </c>
      <c r="E788">
        <f t="shared" si="24"/>
        <v>1</v>
      </c>
      <c r="F788">
        <f t="shared" si="25"/>
        <v>0</v>
      </c>
    </row>
    <row r="789" spans="1:6" x14ac:dyDescent="0.35">
      <c r="A789" s="9">
        <v>5252835</v>
      </c>
      <c r="B789" s="10">
        <v>42928</v>
      </c>
      <c r="C789" s="11">
        <v>0.55907407407407406</v>
      </c>
      <c r="D789" s="12">
        <v>0.56937499999999996</v>
      </c>
      <c r="E789">
        <f t="shared" si="24"/>
        <v>1</v>
      </c>
      <c r="F789">
        <f t="shared" si="25"/>
        <v>0</v>
      </c>
    </row>
    <row r="790" spans="1:6" x14ac:dyDescent="0.35">
      <c r="A790" s="5">
        <v>15643568</v>
      </c>
      <c r="B790" s="6">
        <v>42928</v>
      </c>
      <c r="C790" s="7">
        <v>0.56074074074074076</v>
      </c>
      <c r="D790" s="8">
        <v>0.56283564814814813</v>
      </c>
      <c r="E790">
        <f t="shared" si="24"/>
        <v>0</v>
      </c>
      <c r="F790">
        <f t="shared" si="25"/>
        <v>1</v>
      </c>
    </row>
    <row r="791" spans="1:6" x14ac:dyDescent="0.35">
      <c r="A791" s="9">
        <v>39921944</v>
      </c>
      <c r="B791" s="10">
        <v>42928</v>
      </c>
      <c r="C791" s="11">
        <v>0.56398148148148153</v>
      </c>
      <c r="D791" s="12">
        <v>0.57387731481481485</v>
      </c>
      <c r="E791">
        <f t="shared" si="24"/>
        <v>0</v>
      </c>
      <c r="F791">
        <f t="shared" si="25"/>
        <v>1</v>
      </c>
    </row>
    <row r="792" spans="1:6" x14ac:dyDescent="0.35">
      <c r="A792" s="5">
        <v>66800387</v>
      </c>
      <c r="B792" s="6">
        <v>42928</v>
      </c>
      <c r="C792" s="7">
        <v>0.56509259259259259</v>
      </c>
      <c r="D792" s="8">
        <v>0.56554398148148144</v>
      </c>
      <c r="E792">
        <f t="shared" si="24"/>
        <v>0</v>
      </c>
      <c r="F792">
        <f t="shared" si="25"/>
        <v>1</v>
      </c>
    </row>
    <row r="793" spans="1:6" x14ac:dyDescent="0.35">
      <c r="A793" s="9">
        <v>88664428</v>
      </c>
      <c r="B793" s="10">
        <v>42928</v>
      </c>
      <c r="C793" s="11">
        <v>0.56527777777777777</v>
      </c>
      <c r="D793" s="12">
        <v>0.56814814814814818</v>
      </c>
      <c r="E793">
        <f t="shared" si="24"/>
        <v>0</v>
      </c>
      <c r="F793">
        <f t="shared" si="25"/>
        <v>1</v>
      </c>
    </row>
    <row r="794" spans="1:6" x14ac:dyDescent="0.35">
      <c r="A794" s="5">
        <v>4111617</v>
      </c>
      <c r="B794" s="6">
        <v>42928</v>
      </c>
      <c r="C794" s="7">
        <v>0.56555555555555559</v>
      </c>
      <c r="D794" s="8">
        <v>0.5697106481481482</v>
      </c>
      <c r="E794">
        <f t="shared" si="24"/>
        <v>1</v>
      </c>
      <c r="F794">
        <f t="shared" si="25"/>
        <v>0</v>
      </c>
    </row>
    <row r="795" spans="1:6" x14ac:dyDescent="0.35">
      <c r="A795" s="9">
        <v>9804309</v>
      </c>
      <c r="B795" s="10">
        <v>42928</v>
      </c>
      <c r="C795" s="11">
        <v>0.56918981481481479</v>
      </c>
      <c r="D795" s="12">
        <v>0.5784259259259259</v>
      </c>
      <c r="E795">
        <f t="shared" si="24"/>
        <v>1</v>
      </c>
      <c r="F795">
        <f t="shared" si="25"/>
        <v>0</v>
      </c>
    </row>
    <row r="796" spans="1:6" x14ac:dyDescent="0.35">
      <c r="A796" s="5">
        <v>3382728</v>
      </c>
      <c r="B796" s="6">
        <v>42928</v>
      </c>
      <c r="C796" s="7">
        <v>0.56953703703703706</v>
      </c>
      <c r="D796" s="8">
        <v>0.57401620370370365</v>
      </c>
      <c r="E796">
        <f t="shared" si="24"/>
        <v>1</v>
      </c>
      <c r="F796">
        <f t="shared" si="25"/>
        <v>0</v>
      </c>
    </row>
    <row r="797" spans="1:6" x14ac:dyDescent="0.35">
      <c r="A797" s="9">
        <v>9091369</v>
      </c>
      <c r="B797" s="10">
        <v>42928</v>
      </c>
      <c r="C797" s="11">
        <v>0.57231481481481483</v>
      </c>
      <c r="D797" s="12">
        <v>0.57403935185185184</v>
      </c>
      <c r="E797">
        <f t="shared" si="24"/>
        <v>1</v>
      </c>
      <c r="F797">
        <f t="shared" si="25"/>
        <v>0</v>
      </c>
    </row>
    <row r="798" spans="1:6" x14ac:dyDescent="0.35">
      <c r="A798" s="5">
        <v>3981821518</v>
      </c>
      <c r="B798" s="6">
        <v>42928</v>
      </c>
      <c r="C798" s="7">
        <v>0.57445601851851846</v>
      </c>
      <c r="D798" s="8">
        <v>0.57703703703703701</v>
      </c>
      <c r="E798">
        <f t="shared" si="24"/>
        <v>0</v>
      </c>
      <c r="F798">
        <f t="shared" si="25"/>
        <v>0</v>
      </c>
    </row>
    <row r="799" spans="1:6" x14ac:dyDescent="0.35">
      <c r="A799" s="9">
        <v>6304174</v>
      </c>
      <c r="B799" s="10">
        <v>42928</v>
      </c>
      <c r="C799" s="11">
        <v>0.57445601851851846</v>
      </c>
      <c r="D799" s="12">
        <v>0.58512731481481484</v>
      </c>
      <c r="E799">
        <f t="shared" si="24"/>
        <v>1</v>
      </c>
      <c r="F799">
        <f t="shared" si="25"/>
        <v>0</v>
      </c>
    </row>
    <row r="800" spans="1:6" x14ac:dyDescent="0.35">
      <c r="A800" s="5">
        <v>8233999</v>
      </c>
      <c r="B800" s="6">
        <v>42928</v>
      </c>
      <c r="C800" s="7">
        <v>0.57828703703703699</v>
      </c>
      <c r="D800" s="8">
        <v>0.58834490740740741</v>
      </c>
      <c r="E800">
        <f t="shared" si="24"/>
        <v>1</v>
      </c>
      <c r="F800">
        <f t="shared" si="25"/>
        <v>0</v>
      </c>
    </row>
    <row r="801" spans="1:6" x14ac:dyDescent="0.35">
      <c r="A801" s="9">
        <v>97782375</v>
      </c>
      <c r="B801" s="10">
        <v>42928</v>
      </c>
      <c r="C801" s="11">
        <v>0.58054398148148145</v>
      </c>
      <c r="D801" s="12">
        <v>0.58196759259259256</v>
      </c>
      <c r="E801">
        <f t="shared" si="24"/>
        <v>0</v>
      </c>
      <c r="F801">
        <f t="shared" si="25"/>
        <v>1</v>
      </c>
    </row>
    <row r="802" spans="1:6" x14ac:dyDescent="0.35">
      <c r="A802" s="5">
        <v>2826868</v>
      </c>
      <c r="B802" s="6">
        <v>42928</v>
      </c>
      <c r="C802" s="7">
        <v>0.58266203703703701</v>
      </c>
      <c r="D802" s="8">
        <v>0.59348379629629633</v>
      </c>
      <c r="E802">
        <f t="shared" si="24"/>
        <v>1</v>
      </c>
      <c r="F802">
        <f t="shared" si="25"/>
        <v>0</v>
      </c>
    </row>
    <row r="803" spans="1:6" x14ac:dyDescent="0.35">
      <c r="A803" s="9">
        <v>93794133</v>
      </c>
      <c r="B803" s="10">
        <v>42928</v>
      </c>
      <c r="C803" s="11">
        <v>0.58592592592592596</v>
      </c>
      <c r="D803" s="12">
        <v>0.59038194444444447</v>
      </c>
      <c r="E803">
        <f t="shared" si="24"/>
        <v>0</v>
      </c>
      <c r="F803">
        <f t="shared" si="25"/>
        <v>1</v>
      </c>
    </row>
    <row r="804" spans="1:6" x14ac:dyDescent="0.35">
      <c r="A804" s="5">
        <v>85838361</v>
      </c>
      <c r="B804" s="6">
        <v>42928</v>
      </c>
      <c r="C804" s="7">
        <v>0.58909722222222227</v>
      </c>
      <c r="D804" s="8">
        <v>0.5993518518518518</v>
      </c>
      <c r="E804">
        <f t="shared" si="24"/>
        <v>0</v>
      </c>
      <c r="F804">
        <f t="shared" si="25"/>
        <v>1</v>
      </c>
    </row>
    <row r="805" spans="1:6" x14ac:dyDescent="0.35">
      <c r="A805" s="9">
        <v>1616328</v>
      </c>
      <c r="B805" s="10">
        <v>42928</v>
      </c>
      <c r="C805" s="11">
        <v>0.59354166666666663</v>
      </c>
      <c r="D805" s="12">
        <v>0.59888888888888892</v>
      </c>
      <c r="E805">
        <f t="shared" si="24"/>
        <v>1</v>
      </c>
      <c r="F805">
        <f t="shared" si="25"/>
        <v>0</v>
      </c>
    </row>
    <row r="806" spans="1:6" x14ac:dyDescent="0.35">
      <c r="A806" s="5">
        <v>9773176</v>
      </c>
      <c r="B806" s="6">
        <v>42928</v>
      </c>
      <c r="C806" s="7">
        <v>0.59873842592592597</v>
      </c>
      <c r="D806" s="8">
        <v>0.60127314814814814</v>
      </c>
      <c r="E806">
        <f t="shared" si="24"/>
        <v>1</v>
      </c>
      <c r="F806">
        <f t="shared" si="25"/>
        <v>0</v>
      </c>
    </row>
    <row r="807" spans="1:6" x14ac:dyDescent="0.35">
      <c r="A807" s="9">
        <v>8246306</v>
      </c>
      <c r="B807" s="10">
        <v>42928</v>
      </c>
      <c r="C807" s="11">
        <v>0.59928240740740746</v>
      </c>
      <c r="D807" s="12">
        <v>0.60182870370370367</v>
      </c>
      <c r="E807">
        <f t="shared" si="24"/>
        <v>1</v>
      </c>
      <c r="F807">
        <f t="shared" si="25"/>
        <v>0</v>
      </c>
    </row>
    <row r="808" spans="1:6" x14ac:dyDescent="0.35">
      <c r="A808" s="5">
        <v>2412611</v>
      </c>
      <c r="B808" s="6">
        <v>42928</v>
      </c>
      <c r="C808" s="7">
        <v>0.60065972222222219</v>
      </c>
      <c r="D808" s="8">
        <v>0.60902777777777772</v>
      </c>
      <c r="E808">
        <f t="shared" si="24"/>
        <v>1</v>
      </c>
      <c r="F808">
        <f t="shared" si="25"/>
        <v>0</v>
      </c>
    </row>
    <row r="809" spans="1:6" x14ac:dyDescent="0.35">
      <c r="A809" s="9">
        <v>7795911</v>
      </c>
      <c r="B809" s="10">
        <v>42928</v>
      </c>
      <c r="C809" s="11">
        <v>0.60528935185185184</v>
      </c>
      <c r="D809" s="12">
        <v>0.60805555555555557</v>
      </c>
      <c r="E809">
        <f t="shared" si="24"/>
        <v>1</v>
      </c>
      <c r="F809">
        <f t="shared" si="25"/>
        <v>0</v>
      </c>
    </row>
    <row r="810" spans="1:6" x14ac:dyDescent="0.35">
      <c r="A810" s="5">
        <v>8063487</v>
      </c>
      <c r="B810" s="6">
        <v>42928</v>
      </c>
      <c r="C810" s="7">
        <v>0.61028935185185185</v>
      </c>
      <c r="D810" s="8">
        <v>0.61681712962962965</v>
      </c>
      <c r="E810">
        <f t="shared" si="24"/>
        <v>1</v>
      </c>
      <c r="F810">
        <f t="shared" si="25"/>
        <v>0</v>
      </c>
    </row>
    <row r="811" spans="1:6" x14ac:dyDescent="0.35">
      <c r="A811" s="9">
        <v>68677362</v>
      </c>
      <c r="B811" s="10">
        <v>42928</v>
      </c>
      <c r="C811" s="11">
        <v>0.61534722222222227</v>
      </c>
      <c r="D811" s="12">
        <v>0.61554398148148148</v>
      </c>
      <c r="E811">
        <f t="shared" si="24"/>
        <v>0</v>
      </c>
      <c r="F811">
        <f t="shared" si="25"/>
        <v>1</v>
      </c>
    </row>
    <row r="812" spans="1:6" x14ac:dyDescent="0.35">
      <c r="A812" s="5">
        <v>6766787935</v>
      </c>
      <c r="B812" s="6">
        <v>42928</v>
      </c>
      <c r="C812" s="7">
        <v>0.62077546296296293</v>
      </c>
      <c r="D812" s="8">
        <v>0.62708333333333333</v>
      </c>
      <c r="E812">
        <f t="shared" si="24"/>
        <v>0</v>
      </c>
      <c r="F812">
        <f t="shared" si="25"/>
        <v>0</v>
      </c>
    </row>
    <row r="813" spans="1:6" x14ac:dyDescent="0.35">
      <c r="A813" s="9">
        <v>27791497</v>
      </c>
      <c r="B813" s="10">
        <v>42928</v>
      </c>
      <c r="C813" s="11">
        <v>0.62372685185185184</v>
      </c>
      <c r="D813" s="12">
        <v>0.63241898148148146</v>
      </c>
      <c r="E813">
        <f t="shared" si="24"/>
        <v>0</v>
      </c>
      <c r="F813">
        <f t="shared" si="25"/>
        <v>1</v>
      </c>
    </row>
    <row r="814" spans="1:6" x14ac:dyDescent="0.35">
      <c r="A814" s="5">
        <v>6158527</v>
      </c>
      <c r="B814" s="6">
        <v>42928</v>
      </c>
      <c r="C814" s="7">
        <v>0.62449074074074074</v>
      </c>
      <c r="D814" s="8">
        <v>0.62653935185185183</v>
      </c>
      <c r="E814">
        <f t="shared" si="24"/>
        <v>1</v>
      </c>
      <c r="F814">
        <f t="shared" si="25"/>
        <v>0</v>
      </c>
    </row>
    <row r="815" spans="1:6" x14ac:dyDescent="0.35">
      <c r="A815" s="9">
        <v>3456554</v>
      </c>
      <c r="B815" s="10">
        <v>42928</v>
      </c>
      <c r="C815" s="11">
        <v>0.62615740740740744</v>
      </c>
      <c r="D815" s="12">
        <v>0.63491898148148151</v>
      </c>
      <c r="E815">
        <f t="shared" si="24"/>
        <v>1</v>
      </c>
      <c r="F815">
        <f t="shared" si="25"/>
        <v>0</v>
      </c>
    </row>
    <row r="816" spans="1:6" x14ac:dyDescent="0.35">
      <c r="A816" s="5">
        <v>3437033</v>
      </c>
      <c r="B816" s="6">
        <v>42929</v>
      </c>
      <c r="C816" s="7">
        <v>0.33812500000000001</v>
      </c>
      <c r="D816" s="8">
        <v>0.34457175925925926</v>
      </c>
      <c r="E816">
        <f t="shared" si="24"/>
        <v>1</v>
      </c>
      <c r="F816">
        <f t="shared" si="25"/>
        <v>0</v>
      </c>
    </row>
    <row r="817" spans="1:6" x14ac:dyDescent="0.35">
      <c r="A817" s="9">
        <v>2128068</v>
      </c>
      <c r="B817" s="10">
        <v>42929</v>
      </c>
      <c r="C817" s="11">
        <v>0.34258101851851852</v>
      </c>
      <c r="D817" s="12">
        <v>0.34574074074074074</v>
      </c>
      <c r="E817">
        <f t="shared" si="24"/>
        <v>1</v>
      </c>
      <c r="F817">
        <f t="shared" si="25"/>
        <v>0</v>
      </c>
    </row>
    <row r="818" spans="1:6" x14ac:dyDescent="0.35">
      <c r="A818" s="5">
        <v>20679187</v>
      </c>
      <c r="B818" s="6">
        <v>42929</v>
      </c>
      <c r="C818" s="7">
        <v>0.34833333333333333</v>
      </c>
      <c r="D818" s="8">
        <v>0.35206018518518517</v>
      </c>
      <c r="E818">
        <f t="shared" si="24"/>
        <v>0</v>
      </c>
      <c r="F818">
        <f t="shared" si="25"/>
        <v>1</v>
      </c>
    </row>
    <row r="819" spans="1:6" x14ac:dyDescent="0.35">
      <c r="A819" s="9">
        <v>9259392564</v>
      </c>
      <c r="B819" s="10">
        <v>42929</v>
      </c>
      <c r="C819" s="11">
        <v>0.35311342592592593</v>
      </c>
      <c r="D819" s="12">
        <v>0.35888888888888887</v>
      </c>
      <c r="E819">
        <f t="shared" si="24"/>
        <v>0</v>
      </c>
      <c r="F819">
        <f t="shared" si="25"/>
        <v>0</v>
      </c>
    </row>
    <row r="820" spans="1:6" x14ac:dyDescent="0.35">
      <c r="A820" s="5">
        <v>7852624</v>
      </c>
      <c r="B820" s="6">
        <v>42929</v>
      </c>
      <c r="C820" s="7">
        <v>0.35885416666666664</v>
      </c>
      <c r="D820" s="8">
        <v>0.36913194444444447</v>
      </c>
      <c r="E820">
        <f t="shared" si="24"/>
        <v>1</v>
      </c>
      <c r="F820">
        <f t="shared" si="25"/>
        <v>0</v>
      </c>
    </row>
    <row r="821" spans="1:6" x14ac:dyDescent="0.35">
      <c r="A821" s="9">
        <v>8838584</v>
      </c>
      <c r="B821" s="10">
        <v>42929</v>
      </c>
      <c r="C821" s="11">
        <v>0.36204861111111108</v>
      </c>
      <c r="D821" s="12">
        <v>0.37230324074074073</v>
      </c>
      <c r="E821">
        <f t="shared" si="24"/>
        <v>1</v>
      </c>
      <c r="F821">
        <f t="shared" si="25"/>
        <v>0</v>
      </c>
    </row>
    <row r="822" spans="1:6" x14ac:dyDescent="0.35">
      <c r="A822" s="5">
        <v>2492731</v>
      </c>
      <c r="B822" s="6">
        <v>42929</v>
      </c>
      <c r="C822" s="7">
        <v>0.36341435185185184</v>
      </c>
      <c r="D822" s="8">
        <v>0.36506944444444445</v>
      </c>
      <c r="E822">
        <f t="shared" si="24"/>
        <v>1</v>
      </c>
      <c r="F822">
        <f t="shared" si="25"/>
        <v>0</v>
      </c>
    </row>
    <row r="823" spans="1:6" x14ac:dyDescent="0.35">
      <c r="A823" s="9">
        <v>8028777</v>
      </c>
      <c r="B823" s="10">
        <v>42929</v>
      </c>
      <c r="C823" s="11">
        <v>0.36505787037037035</v>
      </c>
      <c r="D823" s="12">
        <v>0.37204861111111109</v>
      </c>
      <c r="E823">
        <f t="shared" si="24"/>
        <v>1</v>
      </c>
      <c r="F823">
        <f t="shared" si="25"/>
        <v>0</v>
      </c>
    </row>
    <row r="824" spans="1:6" x14ac:dyDescent="0.35">
      <c r="A824" s="5">
        <v>2619219</v>
      </c>
      <c r="B824" s="6">
        <v>42929</v>
      </c>
      <c r="C824" s="7">
        <v>0.36586805555555557</v>
      </c>
      <c r="D824" s="8">
        <v>0.36783564814814818</v>
      </c>
      <c r="E824">
        <f t="shared" si="24"/>
        <v>1</v>
      </c>
      <c r="F824">
        <f t="shared" si="25"/>
        <v>0</v>
      </c>
    </row>
    <row r="825" spans="1:6" x14ac:dyDescent="0.35">
      <c r="A825" s="9">
        <v>2506618</v>
      </c>
      <c r="B825" s="10">
        <v>42929</v>
      </c>
      <c r="C825" s="11">
        <v>0.36704861111111109</v>
      </c>
      <c r="D825" s="12">
        <v>0.37783564814814813</v>
      </c>
      <c r="E825">
        <f t="shared" si="24"/>
        <v>1</v>
      </c>
      <c r="F825">
        <f t="shared" si="25"/>
        <v>0</v>
      </c>
    </row>
    <row r="826" spans="1:6" x14ac:dyDescent="0.35">
      <c r="A826" s="5">
        <v>7979313</v>
      </c>
      <c r="B826" s="6">
        <v>42929</v>
      </c>
      <c r="C826" s="7">
        <v>0.37074074074074076</v>
      </c>
      <c r="D826" s="8">
        <v>0.37601851851851853</v>
      </c>
      <c r="E826">
        <f t="shared" si="24"/>
        <v>1</v>
      </c>
      <c r="F826">
        <f t="shared" si="25"/>
        <v>0</v>
      </c>
    </row>
    <row r="827" spans="1:6" x14ac:dyDescent="0.35">
      <c r="A827" s="9">
        <v>23123600</v>
      </c>
      <c r="B827" s="10">
        <v>42929</v>
      </c>
      <c r="C827" s="11">
        <v>0.37334490740740739</v>
      </c>
      <c r="D827" s="12">
        <v>0.37408564814814815</v>
      </c>
      <c r="E827">
        <f t="shared" si="24"/>
        <v>0</v>
      </c>
      <c r="F827">
        <f t="shared" si="25"/>
        <v>1</v>
      </c>
    </row>
    <row r="828" spans="1:6" x14ac:dyDescent="0.35">
      <c r="A828" s="5">
        <v>9849476</v>
      </c>
      <c r="B828" s="6">
        <v>42929</v>
      </c>
      <c r="C828" s="7">
        <v>0.37653935185185183</v>
      </c>
      <c r="D828" s="8">
        <v>0.37709490740740742</v>
      </c>
      <c r="E828">
        <f t="shared" si="24"/>
        <v>1</v>
      </c>
      <c r="F828">
        <f t="shared" si="25"/>
        <v>0</v>
      </c>
    </row>
    <row r="829" spans="1:6" x14ac:dyDescent="0.35">
      <c r="A829" s="9">
        <v>27410048</v>
      </c>
      <c r="B829" s="10">
        <v>42929</v>
      </c>
      <c r="C829" s="11">
        <v>0.37748842592592591</v>
      </c>
      <c r="D829" s="12">
        <v>0.37763888888888891</v>
      </c>
      <c r="E829">
        <f t="shared" si="24"/>
        <v>0</v>
      </c>
      <c r="F829">
        <f t="shared" si="25"/>
        <v>1</v>
      </c>
    </row>
    <row r="830" spans="1:6" x14ac:dyDescent="0.35">
      <c r="A830" s="5">
        <v>6746757</v>
      </c>
      <c r="B830" s="6">
        <v>42929</v>
      </c>
      <c r="C830" s="7">
        <v>0.3790162037037037</v>
      </c>
      <c r="D830" s="8">
        <v>0.38123842592592594</v>
      </c>
      <c r="E830">
        <f t="shared" si="24"/>
        <v>1</v>
      </c>
      <c r="F830">
        <f t="shared" si="25"/>
        <v>0</v>
      </c>
    </row>
    <row r="831" spans="1:6" x14ac:dyDescent="0.35">
      <c r="A831" s="9">
        <v>5087066</v>
      </c>
      <c r="B831" s="10">
        <v>42929</v>
      </c>
      <c r="C831" s="11">
        <v>0.38018518518518518</v>
      </c>
      <c r="D831" s="12">
        <v>0.38339120370370372</v>
      </c>
      <c r="E831">
        <f t="shared" si="24"/>
        <v>1</v>
      </c>
      <c r="F831">
        <f t="shared" si="25"/>
        <v>0</v>
      </c>
    </row>
    <row r="832" spans="1:6" x14ac:dyDescent="0.35">
      <c r="A832" s="5">
        <v>9680416</v>
      </c>
      <c r="B832" s="6">
        <v>42929</v>
      </c>
      <c r="C832" s="7">
        <v>0.38480324074074074</v>
      </c>
      <c r="D832" s="8">
        <v>0.39057870370370368</v>
      </c>
      <c r="E832">
        <f t="shared" si="24"/>
        <v>1</v>
      </c>
      <c r="F832">
        <f t="shared" si="25"/>
        <v>0</v>
      </c>
    </row>
    <row r="833" spans="1:6" x14ac:dyDescent="0.35">
      <c r="A833" s="9">
        <v>9356216</v>
      </c>
      <c r="B833" s="10">
        <v>42929</v>
      </c>
      <c r="C833" s="11">
        <v>0.38966435185185183</v>
      </c>
      <c r="D833" s="12">
        <v>0.40104166666666669</v>
      </c>
      <c r="E833">
        <f t="shared" si="24"/>
        <v>1</v>
      </c>
      <c r="F833">
        <f t="shared" si="25"/>
        <v>0</v>
      </c>
    </row>
    <row r="834" spans="1:6" x14ac:dyDescent="0.35">
      <c r="A834" s="5">
        <v>7415603</v>
      </c>
      <c r="B834" s="6">
        <v>42929</v>
      </c>
      <c r="C834" s="7">
        <v>0.39194444444444443</v>
      </c>
      <c r="D834" s="8">
        <v>0.39535879629629628</v>
      </c>
      <c r="E834">
        <f t="shared" si="24"/>
        <v>1</v>
      </c>
      <c r="F834">
        <f t="shared" si="25"/>
        <v>0</v>
      </c>
    </row>
    <row r="835" spans="1:6" x14ac:dyDescent="0.35">
      <c r="A835" s="9">
        <v>28145499</v>
      </c>
      <c r="B835" s="10">
        <v>42929</v>
      </c>
      <c r="C835" s="11">
        <v>0.3972222222222222</v>
      </c>
      <c r="D835" s="12">
        <v>0.40084490740740741</v>
      </c>
      <c r="E835">
        <f t="shared" ref="E835:E898" si="26">IF(LEN(A835)=7,1,0)</f>
        <v>0</v>
      </c>
      <c r="F835">
        <f t="shared" ref="F835:F898" si="27">IF(LEN(A835)=8,1,0)</f>
        <v>1</v>
      </c>
    </row>
    <row r="836" spans="1:6" x14ac:dyDescent="0.35">
      <c r="A836" s="5">
        <v>61527800</v>
      </c>
      <c r="B836" s="6">
        <v>42929</v>
      </c>
      <c r="C836" s="7">
        <v>0.39988425925925924</v>
      </c>
      <c r="D836" s="8">
        <v>0.4100462962962963</v>
      </c>
      <c r="E836">
        <f t="shared" si="26"/>
        <v>0</v>
      </c>
      <c r="F836">
        <f t="shared" si="27"/>
        <v>1</v>
      </c>
    </row>
    <row r="837" spans="1:6" x14ac:dyDescent="0.35">
      <c r="A837" s="9">
        <v>4873703</v>
      </c>
      <c r="B837" s="10">
        <v>42929</v>
      </c>
      <c r="C837" s="11">
        <v>0.40539351851851851</v>
      </c>
      <c r="D837" s="12">
        <v>0.4143634259259259</v>
      </c>
      <c r="E837">
        <f t="shared" si="26"/>
        <v>1</v>
      </c>
      <c r="F837">
        <f t="shared" si="27"/>
        <v>0</v>
      </c>
    </row>
    <row r="838" spans="1:6" x14ac:dyDescent="0.35">
      <c r="A838" s="5">
        <v>43019885</v>
      </c>
      <c r="B838" s="6">
        <v>42929</v>
      </c>
      <c r="C838" s="7">
        <v>0.4064814814814815</v>
      </c>
      <c r="D838" s="8">
        <v>0.41630787037037037</v>
      </c>
      <c r="E838">
        <f t="shared" si="26"/>
        <v>0</v>
      </c>
      <c r="F838">
        <f t="shared" si="27"/>
        <v>1</v>
      </c>
    </row>
    <row r="839" spans="1:6" x14ac:dyDescent="0.35">
      <c r="A839" s="9">
        <v>7388260</v>
      </c>
      <c r="B839" s="10">
        <v>42929</v>
      </c>
      <c r="C839" s="11">
        <v>0.41149305555555554</v>
      </c>
      <c r="D839" s="12">
        <v>0.41928240740740741</v>
      </c>
      <c r="E839">
        <f t="shared" si="26"/>
        <v>1</v>
      </c>
      <c r="F839">
        <f t="shared" si="27"/>
        <v>0</v>
      </c>
    </row>
    <row r="840" spans="1:6" x14ac:dyDescent="0.35">
      <c r="A840" s="5">
        <v>4581715</v>
      </c>
      <c r="B840" s="6">
        <v>42929</v>
      </c>
      <c r="C840" s="7">
        <v>0.41172453703703704</v>
      </c>
      <c r="D840" s="8">
        <v>0.42146990740740742</v>
      </c>
      <c r="E840">
        <f t="shared" si="26"/>
        <v>1</v>
      </c>
      <c r="F840">
        <f t="shared" si="27"/>
        <v>0</v>
      </c>
    </row>
    <row r="841" spans="1:6" x14ac:dyDescent="0.35">
      <c r="A841" s="9">
        <v>58420185</v>
      </c>
      <c r="B841" s="10">
        <v>42929</v>
      </c>
      <c r="C841" s="11">
        <v>0.41729166666666667</v>
      </c>
      <c r="D841" s="12">
        <v>0.42122685185185182</v>
      </c>
      <c r="E841">
        <f t="shared" si="26"/>
        <v>0</v>
      </c>
      <c r="F841">
        <f t="shared" si="27"/>
        <v>1</v>
      </c>
    </row>
    <row r="842" spans="1:6" x14ac:dyDescent="0.35">
      <c r="A842" s="5">
        <v>45948073</v>
      </c>
      <c r="B842" s="6">
        <v>42929</v>
      </c>
      <c r="C842" s="7">
        <v>0.41979166666666667</v>
      </c>
      <c r="D842" s="8">
        <v>0.42586805555555557</v>
      </c>
      <c r="E842">
        <f t="shared" si="26"/>
        <v>0</v>
      </c>
      <c r="F842">
        <f t="shared" si="27"/>
        <v>1</v>
      </c>
    </row>
    <row r="843" spans="1:6" x14ac:dyDescent="0.35">
      <c r="A843" s="9">
        <v>4473835</v>
      </c>
      <c r="B843" s="10">
        <v>42929</v>
      </c>
      <c r="C843" s="11">
        <v>0.42091435185185183</v>
      </c>
      <c r="D843" s="12">
        <v>0.42609953703703701</v>
      </c>
      <c r="E843">
        <f t="shared" si="26"/>
        <v>1</v>
      </c>
      <c r="F843">
        <f t="shared" si="27"/>
        <v>0</v>
      </c>
    </row>
    <row r="844" spans="1:6" x14ac:dyDescent="0.35">
      <c r="A844" s="5">
        <v>7739841</v>
      </c>
      <c r="B844" s="6">
        <v>42929</v>
      </c>
      <c r="C844" s="7">
        <v>0.42418981481481483</v>
      </c>
      <c r="D844" s="8">
        <v>0.42598379629629629</v>
      </c>
      <c r="E844">
        <f t="shared" si="26"/>
        <v>1</v>
      </c>
      <c r="F844">
        <f t="shared" si="27"/>
        <v>0</v>
      </c>
    </row>
    <row r="845" spans="1:6" x14ac:dyDescent="0.35">
      <c r="A845" s="9">
        <v>6275284312</v>
      </c>
      <c r="B845" s="10">
        <v>42929</v>
      </c>
      <c r="C845" s="11">
        <v>0.4291550925925926</v>
      </c>
      <c r="D845" s="12">
        <v>0.4339351851851852</v>
      </c>
      <c r="E845">
        <f t="shared" si="26"/>
        <v>0</v>
      </c>
      <c r="F845">
        <f t="shared" si="27"/>
        <v>0</v>
      </c>
    </row>
    <row r="846" spans="1:6" x14ac:dyDescent="0.35">
      <c r="A846" s="5">
        <v>1692981</v>
      </c>
      <c r="B846" s="6">
        <v>42929</v>
      </c>
      <c r="C846" s="7">
        <v>0.43297453703703703</v>
      </c>
      <c r="D846" s="8">
        <v>0.43424768518518519</v>
      </c>
      <c r="E846">
        <f t="shared" si="26"/>
        <v>1</v>
      </c>
      <c r="F846">
        <f t="shared" si="27"/>
        <v>0</v>
      </c>
    </row>
    <row r="847" spans="1:6" x14ac:dyDescent="0.35">
      <c r="A847" s="9">
        <v>9270571</v>
      </c>
      <c r="B847" s="10">
        <v>42929</v>
      </c>
      <c r="C847" s="11">
        <v>0.43782407407407409</v>
      </c>
      <c r="D847" s="12">
        <v>0.44560185185185186</v>
      </c>
      <c r="E847">
        <f t="shared" si="26"/>
        <v>1</v>
      </c>
      <c r="F847">
        <f t="shared" si="27"/>
        <v>0</v>
      </c>
    </row>
    <row r="848" spans="1:6" x14ac:dyDescent="0.35">
      <c r="A848" s="5">
        <v>6299545</v>
      </c>
      <c r="B848" s="6">
        <v>42929</v>
      </c>
      <c r="C848" s="7">
        <v>0.43986111111111109</v>
      </c>
      <c r="D848" s="8">
        <v>0.44298611111111114</v>
      </c>
      <c r="E848">
        <f t="shared" si="26"/>
        <v>1</v>
      </c>
      <c r="F848">
        <f t="shared" si="27"/>
        <v>0</v>
      </c>
    </row>
    <row r="849" spans="1:6" x14ac:dyDescent="0.35">
      <c r="A849" s="9">
        <v>67064385</v>
      </c>
      <c r="B849" s="10">
        <v>42929</v>
      </c>
      <c r="C849" s="11">
        <v>0.44278935185185186</v>
      </c>
      <c r="D849" s="12">
        <v>0.44480324074074074</v>
      </c>
      <c r="E849">
        <f t="shared" si="26"/>
        <v>0</v>
      </c>
      <c r="F849">
        <f t="shared" si="27"/>
        <v>1</v>
      </c>
    </row>
    <row r="850" spans="1:6" x14ac:dyDescent="0.35">
      <c r="A850" s="5">
        <v>4062215</v>
      </c>
      <c r="B850" s="6">
        <v>42929</v>
      </c>
      <c r="C850" s="7">
        <v>0.44732638888888887</v>
      </c>
      <c r="D850" s="8">
        <v>0.45466435185185183</v>
      </c>
      <c r="E850">
        <f t="shared" si="26"/>
        <v>1</v>
      </c>
      <c r="F850">
        <f t="shared" si="27"/>
        <v>0</v>
      </c>
    </row>
    <row r="851" spans="1:6" x14ac:dyDescent="0.35">
      <c r="A851" s="9">
        <v>2835355</v>
      </c>
      <c r="B851" s="10">
        <v>42929</v>
      </c>
      <c r="C851" s="11">
        <v>0.45131944444444444</v>
      </c>
      <c r="D851" s="12">
        <v>0.45689814814814816</v>
      </c>
      <c r="E851">
        <f t="shared" si="26"/>
        <v>1</v>
      </c>
      <c r="F851">
        <f t="shared" si="27"/>
        <v>0</v>
      </c>
    </row>
    <row r="852" spans="1:6" x14ac:dyDescent="0.35">
      <c r="A852" s="5">
        <v>9283739</v>
      </c>
      <c r="B852" s="6">
        <v>42929</v>
      </c>
      <c r="C852" s="7">
        <v>0.45489583333333333</v>
      </c>
      <c r="D852" s="8">
        <v>0.46451388888888889</v>
      </c>
      <c r="E852">
        <f t="shared" si="26"/>
        <v>1</v>
      </c>
      <c r="F852">
        <f t="shared" si="27"/>
        <v>0</v>
      </c>
    </row>
    <row r="853" spans="1:6" x14ac:dyDescent="0.35">
      <c r="A853" s="9">
        <v>7118082</v>
      </c>
      <c r="B853" s="10">
        <v>42929</v>
      </c>
      <c r="C853" s="11">
        <v>0.45682870370370371</v>
      </c>
      <c r="D853" s="12">
        <v>0.4664699074074074</v>
      </c>
      <c r="E853">
        <f t="shared" si="26"/>
        <v>1</v>
      </c>
      <c r="F853">
        <f t="shared" si="27"/>
        <v>0</v>
      </c>
    </row>
    <row r="854" spans="1:6" x14ac:dyDescent="0.35">
      <c r="A854" s="5">
        <v>30178521</v>
      </c>
      <c r="B854" s="6">
        <v>42929</v>
      </c>
      <c r="C854" s="7">
        <v>0.45968750000000003</v>
      </c>
      <c r="D854" s="8">
        <v>0.46520833333333333</v>
      </c>
      <c r="E854">
        <f t="shared" si="26"/>
        <v>0</v>
      </c>
      <c r="F854">
        <f t="shared" si="27"/>
        <v>1</v>
      </c>
    </row>
    <row r="855" spans="1:6" x14ac:dyDescent="0.35">
      <c r="A855" s="9">
        <v>5014399</v>
      </c>
      <c r="B855" s="10">
        <v>42929</v>
      </c>
      <c r="C855" s="11">
        <v>0.46444444444444444</v>
      </c>
      <c r="D855" s="12">
        <v>0.46787037037037038</v>
      </c>
      <c r="E855">
        <f t="shared" si="26"/>
        <v>1</v>
      </c>
      <c r="F855">
        <f t="shared" si="27"/>
        <v>0</v>
      </c>
    </row>
    <row r="856" spans="1:6" x14ac:dyDescent="0.35">
      <c r="A856" s="5">
        <v>3984696</v>
      </c>
      <c r="B856" s="6">
        <v>42929</v>
      </c>
      <c r="C856" s="7">
        <v>0.46581018518518519</v>
      </c>
      <c r="D856" s="8">
        <v>0.46589120370370368</v>
      </c>
      <c r="E856">
        <f t="shared" si="26"/>
        <v>1</v>
      </c>
      <c r="F856">
        <f t="shared" si="27"/>
        <v>0</v>
      </c>
    </row>
    <row r="857" spans="1:6" x14ac:dyDescent="0.35">
      <c r="A857" s="9">
        <v>53386383</v>
      </c>
      <c r="B857" s="10">
        <v>42929</v>
      </c>
      <c r="C857" s="11">
        <v>0.47099537037037037</v>
      </c>
      <c r="D857" s="12">
        <v>0.47175925925925927</v>
      </c>
      <c r="E857">
        <f t="shared" si="26"/>
        <v>0</v>
      </c>
      <c r="F857">
        <f t="shared" si="27"/>
        <v>1</v>
      </c>
    </row>
    <row r="858" spans="1:6" x14ac:dyDescent="0.35">
      <c r="A858" s="5">
        <v>8733120283</v>
      </c>
      <c r="B858" s="6">
        <v>42929</v>
      </c>
      <c r="C858" s="7">
        <v>0.47134259259259259</v>
      </c>
      <c r="D858" s="8">
        <v>0.47659722222222223</v>
      </c>
      <c r="E858">
        <f t="shared" si="26"/>
        <v>0</v>
      </c>
      <c r="F858">
        <f t="shared" si="27"/>
        <v>0</v>
      </c>
    </row>
    <row r="859" spans="1:6" x14ac:dyDescent="0.35">
      <c r="A859" s="9">
        <v>6934405</v>
      </c>
      <c r="B859" s="10">
        <v>42929</v>
      </c>
      <c r="C859" s="11">
        <v>0.47321759259259261</v>
      </c>
      <c r="D859" s="12">
        <v>0.48008101851851853</v>
      </c>
      <c r="E859">
        <f t="shared" si="26"/>
        <v>1</v>
      </c>
      <c r="F859">
        <f t="shared" si="27"/>
        <v>0</v>
      </c>
    </row>
    <row r="860" spans="1:6" x14ac:dyDescent="0.35">
      <c r="A860" s="5">
        <v>54136845</v>
      </c>
      <c r="B860" s="6">
        <v>42929</v>
      </c>
      <c r="C860" s="7">
        <v>0.47890046296296296</v>
      </c>
      <c r="D860" s="8">
        <v>0.48042824074074075</v>
      </c>
      <c r="E860">
        <f t="shared" si="26"/>
        <v>0</v>
      </c>
      <c r="F860">
        <f t="shared" si="27"/>
        <v>1</v>
      </c>
    </row>
    <row r="861" spans="1:6" x14ac:dyDescent="0.35">
      <c r="A861" s="9">
        <v>76310343</v>
      </c>
      <c r="B861" s="10">
        <v>42929</v>
      </c>
      <c r="C861" s="11">
        <v>0.48312500000000003</v>
      </c>
      <c r="D861" s="12">
        <v>0.4889236111111111</v>
      </c>
      <c r="E861">
        <f t="shared" si="26"/>
        <v>0</v>
      </c>
      <c r="F861">
        <f t="shared" si="27"/>
        <v>1</v>
      </c>
    </row>
    <row r="862" spans="1:6" x14ac:dyDescent="0.35">
      <c r="A862" s="5">
        <v>9005999</v>
      </c>
      <c r="B862" s="6">
        <v>42929</v>
      </c>
      <c r="C862" s="7">
        <v>0.4878587962962963</v>
      </c>
      <c r="D862" s="8">
        <v>0.49609953703703702</v>
      </c>
      <c r="E862">
        <f t="shared" si="26"/>
        <v>1</v>
      </c>
      <c r="F862">
        <f t="shared" si="27"/>
        <v>0</v>
      </c>
    </row>
    <row r="863" spans="1:6" x14ac:dyDescent="0.35">
      <c r="A863" s="9">
        <v>7763451</v>
      </c>
      <c r="B863" s="10">
        <v>42929</v>
      </c>
      <c r="C863" s="11">
        <v>0.4911226851851852</v>
      </c>
      <c r="D863" s="12">
        <v>0.49859953703703702</v>
      </c>
      <c r="E863">
        <f t="shared" si="26"/>
        <v>1</v>
      </c>
      <c r="F863">
        <f t="shared" si="27"/>
        <v>0</v>
      </c>
    </row>
    <row r="864" spans="1:6" x14ac:dyDescent="0.35">
      <c r="A864" s="5">
        <v>3765001</v>
      </c>
      <c r="B864" s="6">
        <v>42929</v>
      </c>
      <c r="C864" s="7">
        <v>0.49283564814814818</v>
      </c>
      <c r="D864" s="8">
        <v>0.50396990740740744</v>
      </c>
      <c r="E864">
        <f t="shared" si="26"/>
        <v>1</v>
      </c>
      <c r="F864">
        <f t="shared" si="27"/>
        <v>0</v>
      </c>
    </row>
    <row r="865" spans="1:6" x14ac:dyDescent="0.35">
      <c r="A865" s="9">
        <v>8498076</v>
      </c>
      <c r="B865" s="10">
        <v>42929</v>
      </c>
      <c r="C865" s="11">
        <v>0.49493055555555554</v>
      </c>
      <c r="D865" s="12">
        <v>0.49898148148148147</v>
      </c>
      <c r="E865">
        <f t="shared" si="26"/>
        <v>1</v>
      </c>
      <c r="F865">
        <f t="shared" si="27"/>
        <v>0</v>
      </c>
    </row>
    <row r="866" spans="1:6" x14ac:dyDescent="0.35">
      <c r="A866" s="5">
        <v>4995171</v>
      </c>
      <c r="B866" s="6">
        <v>42929</v>
      </c>
      <c r="C866" s="7">
        <v>0.5006018518518518</v>
      </c>
      <c r="D866" s="8">
        <v>0.50388888888888894</v>
      </c>
      <c r="E866">
        <f t="shared" si="26"/>
        <v>1</v>
      </c>
      <c r="F866">
        <f t="shared" si="27"/>
        <v>0</v>
      </c>
    </row>
    <row r="867" spans="1:6" x14ac:dyDescent="0.35">
      <c r="A867" s="9">
        <v>8929993</v>
      </c>
      <c r="B867" s="10">
        <v>42929</v>
      </c>
      <c r="C867" s="11">
        <v>0.50173611111111116</v>
      </c>
      <c r="D867" s="12">
        <v>0.50722222222222224</v>
      </c>
      <c r="E867">
        <f t="shared" si="26"/>
        <v>1</v>
      </c>
      <c r="F867">
        <f t="shared" si="27"/>
        <v>0</v>
      </c>
    </row>
    <row r="868" spans="1:6" x14ac:dyDescent="0.35">
      <c r="A868" s="5">
        <v>7473804</v>
      </c>
      <c r="B868" s="6">
        <v>42929</v>
      </c>
      <c r="C868" s="7">
        <v>0.50675925925925924</v>
      </c>
      <c r="D868" s="8">
        <v>0.5138194444444445</v>
      </c>
      <c r="E868">
        <f t="shared" si="26"/>
        <v>1</v>
      </c>
      <c r="F868">
        <f t="shared" si="27"/>
        <v>0</v>
      </c>
    </row>
    <row r="869" spans="1:6" x14ac:dyDescent="0.35">
      <c r="A869" s="9">
        <v>1816002</v>
      </c>
      <c r="B869" s="10">
        <v>42929</v>
      </c>
      <c r="C869" s="11">
        <v>0.50732638888888892</v>
      </c>
      <c r="D869" s="12">
        <v>0.51005787037037043</v>
      </c>
      <c r="E869">
        <f t="shared" si="26"/>
        <v>1</v>
      </c>
      <c r="F869">
        <f t="shared" si="27"/>
        <v>0</v>
      </c>
    </row>
    <row r="870" spans="1:6" x14ac:dyDescent="0.35">
      <c r="A870" s="5">
        <v>4133182</v>
      </c>
      <c r="B870" s="6">
        <v>42929</v>
      </c>
      <c r="C870" s="7">
        <v>0.51061342592592596</v>
      </c>
      <c r="D870" s="8">
        <v>0.5118287037037037</v>
      </c>
      <c r="E870">
        <f t="shared" si="26"/>
        <v>1</v>
      </c>
      <c r="F870">
        <f t="shared" si="27"/>
        <v>0</v>
      </c>
    </row>
    <row r="871" spans="1:6" x14ac:dyDescent="0.35">
      <c r="A871" s="9">
        <v>63141248</v>
      </c>
      <c r="B871" s="10">
        <v>42929</v>
      </c>
      <c r="C871" s="11">
        <v>0.51224537037037032</v>
      </c>
      <c r="D871" s="12">
        <v>0.51730324074074074</v>
      </c>
      <c r="E871">
        <f t="shared" si="26"/>
        <v>0</v>
      </c>
      <c r="F871">
        <f t="shared" si="27"/>
        <v>1</v>
      </c>
    </row>
    <row r="872" spans="1:6" x14ac:dyDescent="0.35">
      <c r="A872" s="5">
        <v>7384686</v>
      </c>
      <c r="B872" s="6">
        <v>42929</v>
      </c>
      <c r="C872" s="7">
        <v>0.51616898148148149</v>
      </c>
      <c r="D872" s="8">
        <v>0.52461805555555552</v>
      </c>
      <c r="E872">
        <f t="shared" si="26"/>
        <v>1</v>
      </c>
      <c r="F872">
        <f t="shared" si="27"/>
        <v>0</v>
      </c>
    </row>
    <row r="873" spans="1:6" x14ac:dyDescent="0.35">
      <c r="A873" s="9">
        <v>3150344</v>
      </c>
      <c r="B873" s="10">
        <v>42929</v>
      </c>
      <c r="C873" s="11">
        <v>0.51709490740740738</v>
      </c>
      <c r="D873" s="12">
        <v>0.52684027777777775</v>
      </c>
      <c r="E873">
        <f t="shared" si="26"/>
        <v>1</v>
      </c>
      <c r="F873">
        <f t="shared" si="27"/>
        <v>0</v>
      </c>
    </row>
    <row r="874" spans="1:6" x14ac:dyDescent="0.35">
      <c r="A874" s="5">
        <v>6786847</v>
      </c>
      <c r="B874" s="6">
        <v>42929</v>
      </c>
      <c r="C874" s="7">
        <v>0.51986111111111111</v>
      </c>
      <c r="D874" s="8">
        <v>0.52924768518518517</v>
      </c>
      <c r="E874">
        <f t="shared" si="26"/>
        <v>1</v>
      </c>
      <c r="F874">
        <f t="shared" si="27"/>
        <v>0</v>
      </c>
    </row>
    <row r="875" spans="1:6" x14ac:dyDescent="0.35">
      <c r="A875" s="9">
        <v>2947889</v>
      </c>
      <c r="B875" s="10">
        <v>42929</v>
      </c>
      <c r="C875" s="11">
        <v>0.5232175925925926</v>
      </c>
      <c r="D875" s="12">
        <v>0.52965277777777775</v>
      </c>
      <c r="E875">
        <f t="shared" si="26"/>
        <v>1</v>
      </c>
      <c r="F875">
        <f t="shared" si="27"/>
        <v>0</v>
      </c>
    </row>
    <row r="876" spans="1:6" x14ac:dyDescent="0.35">
      <c r="A876" s="5">
        <v>28961250</v>
      </c>
      <c r="B876" s="6">
        <v>42929</v>
      </c>
      <c r="C876" s="7">
        <v>0.52353009259259264</v>
      </c>
      <c r="D876" s="8">
        <v>0.53097222222222218</v>
      </c>
      <c r="E876">
        <f t="shared" si="26"/>
        <v>0</v>
      </c>
      <c r="F876">
        <f t="shared" si="27"/>
        <v>1</v>
      </c>
    </row>
    <row r="877" spans="1:6" x14ac:dyDescent="0.35">
      <c r="A877" s="9">
        <v>3328479</v>
      </c>
      <c r="B877" s="10">
        <v>42929</v>
      </c>
      <c r="C877" s="11">
        <v>0.52668981481481481</v>
      </c>
      <c r="D877" s="12">
        <v>0.53594907407407411</v>
      </c>
      <c r="E877">
        <f t="shared" si="26"/>
        <v>1</v>
      </c>
      <c r="F877">
        <f t="shared" si="27"/>
        <v>0</v>
      </c>
    </row>
    <row r="878" spans="1:6" x14ac:dyDescent="0.35">
      <c r="A878" s="5">
        <v>61322035</v>
      </c>
      <c r="B878" s="6">
        <v>42929</v>
      </c>
      <c r="C878" s="7">
        <v>0.52906249999999999</v>
      </c>
      <c r="D878" s="8">
        <v>0.5294444444444445</v>
      </c>
      <c r="E878">
        <f t="shared" si="26"/>
        <v>0</v>
      </c>
      <c r="F878">
        <f t="shared" si="27"/>
        <v>1</v>
      </c>
    </row>
    <row r="879" spans="1:6" x14ac:dyDescent="0.35">
      <c r="A879" s="9">
        <v>40308049</v>
      </c>
      <c r="B879" s="10">
        <v>42929</v>
      </c>
      <c r="C879" s="11">
        <v>0.53047453703703706</v>
      </c>
      <c r="D879" s="12">
        <v>0.53797453703703701</v>
      </c>
      <c r="E879">
        <f t="shared" si="26"/>
        <v>0</v>
      </c>
      <c r="F879">
        <f t="shared" si="27"/>
        <v>1</v>
      </c>
    </row>
    <row r="880" spans="1:6" x14ac:dyDescent="0.35">
      <c r="A880" s="5">
        <v>7066778</v>
      </c>
      <c r="B880" s="6">
        <v>42929</v>
      </c>
      <c r="C880" s="7">
        <v>0.53484953703703708</v>
      </c>
      <c r="D880" s="8">
        <v>0.538599537037037</v>
      </c>
      <c r="E880">
        <f t="shared" si="26"/>
        <v>1</v>
      </c>
      <c r="F880">
        <f t="shared" si="27"/>
        <v>0</v>
      </c>
    </row>
    <row r="881" spans="1:6" x14ac:dyDescent="0.35">
      <c r="A881" s="9">
        <v>3434934</v>
      </c>
      <c r="B881" s="10">
        <v>42929</v>
      </c>
      <c r="C881" s="11">
        <v>0.54039351851851847</v>
      </c>
      <c r="D881" s="12">
        <v>0.55039351851851848</v>
      </c>
      <c r="E881">
        <f t="shared" si="26"/>
        <v>1</v>
      </c>
      <c r="F881">
        <f t="shared" si="27"/>
        <v>0</v>
      </c>
    </row>
    <row r="882" spans="1:6" x14ac:dyDescent="0.35">
      <c r="A882" s="5">
        <v>3017523</v>
      </c>
      <c r="B882" s="6">
        <v>42929</v>
      </c>
      <c r="C882" s="7">
        <v>0.54342592592592598</v>
      </c>
      <c r="D882" s="8">
        <v>0.54971064814814818</v>
      </c>
      <c r="E882">
        <f t="shared" si="26"/>
        <v>1</v>
      </c>
      <c r="F882">
        <f t="shared" si="27"/>
        <v>0</v>
      </c>
    </row>
    <row r="883" spans="1:6" x14ac:dyDescent="0.35">
      <c r="A883" s="9">
        <v>26699217</v>
      </c>
      <c r="B883" s="10">
        <v>42929</v>
      </c>
      <c r="C883" s="11">
        <v>0.5471759259259259</v>
      </c>
      <c r="D883" s="12">
        <v>0.55871527777777774</v>
      </c>
      <c r="E883">
        <f t="shared" si="26"/>
        <v>0</v>
      </c>
      <c r="F883">
        <f t="shared" si="27"/>
        <v>1</v>
      </c>
    </row>
    <row r="884" spans="1:6" x14ac:dyDescent="0.35">
      <c r="A884" s="5">
        <v>3192836</v>
      </c>
      <c r="B884" s="6">
        <v>42929</v>
      </c>
      <c r="C884" s="7">
        <v>0.54806712962962967</v>
      </c>
      <c r="D884" s="8">
        <v>0.54826388888888888</v>
      </c>
      <c r="E884">
        <f t="shared" si="26"/>
        <v>1</v>
      </c>
      <c r="F884">
        <f t="shared" si="27"/>
        <v>0</v>
      </c>
    </row>
    <row r="885" spans="1:6" x14ac:dyDescent="0.35">
      <c r="A885" s="9">
        <v>6979384</v>
      </c>
      <c r="B885" s="10">
        <v>42929</v>
      </c>
      <c r="C885" s="11">
        <v>0.55315972222222221</v>
      </c>
      <c r="D885" s="12">
        <v>0.56252314814814819</v>
      </c>
      <c r="E885">
        <f t="shared" si="26"/>
        <v>1</v>
      </c>
      <c r="F885">
        <f t="shared" si="27"/>
        <v>0</v>
      </c>
    </row>
    <row r="886" spans="1:6" x14ac:dyDescent="0.35">
      <c r="A886" s="5">
        <v>5277660</v>
      </c>
      <c r="B886" s="6">
        <v>42929</v>
      </c>
      <c r="C886" s="7">
        <v>0.55543981481481486</v>
      </c>
      <c r="D886" s="8">
        <v>0.56340277777777781</v>
      </c>
      <c r="E886">
        <f t="shared" si="26"/>
        <v>1</v>
      </c>
      <c r="F886">
        <f t="shared" si="27"/>
        <v>0</v>
      </c>
    </row>
    <row r="887" spans="1:6" x14ac:dyDescent="0.35">
      <c r="A887" s="9">
        <v>9543572</v>
      </c>
      <c r="B887" s="10">
        <v>42929</v>
      </c>
      <c r="C887" s="11">
        <v>0.55556712962962962</v>
      </c>
      <c r="D887" s="12">
        <v>0.56344907407407407</v>
      </c>
      <c r="E887">
        <f t="shared" si="26"/>
        <v>1</v>
      </c>
      <c r="F887">
        <f t="shared" si="27"/>
        <v>0</v>
      </c>
    </row>
    <row r="888" spans="1:6" x14ac:dyDescent="0.35">
      <c r="A888" s="5">
        <v>3984696</v>
      </c>
      <c r="B888" s="6">
        <v>42929</v>
      </c>
      <c r="C888" s="7">
        <v>0.55923611111111116</v>
      </c>
      <c r="D888" s="8">
        <v>0.5665162037037037</v>
      </c>
      <c r="E888">
        <f t="shared" si="26"/>
        <v>1</v>
      </c>
      <c r="F888">
        <f t="shared" si="27"/>
        <v>0</v>
      </c>
    </row>
    <row r="889" spans="1:6" x14ac:dyDescent="0.35">
      <c r="A889" s="9">
        <v>47855743</v>
      </c>
      <c r="B889" s="10">
        <v>42929</v>
      </c>
      <c r="C889" s="11">
        <v>0.56371527777777775</v>
      </c>
      <c r="D889" s="12">
        <v>0.57344907407407408</v>
      </c>
      <c r="E889">
        <f t="shared" si="26"/>
        <v>0</v>
      </c>
      <c r="F889">
        <f t="shared" si="27"/>
        <v>1</v>
      </c>
    </row>
    <row r="890" spans="1:6" x14ac:dyDescent="0.35">
      <c r="A890" s="5">
        <v>3095218</v>
      </c>
      <c r="B890" s="6">
        <v>42929</v>
      </c>
      <c r="C890" s="7">
        <v>0.56581018518518522</v>
      </c>
      <c r="D890" s="8">
        <v>0.57694444444444448</v>
      </c>
      <c r="E890">
        <f t="shared" si="26"/>
        <v>1</v>
      </c>
      <c r="F890">
        <f t="shared" si="27"/>
        <v>0</v>
      </c>
    </row>
    <row r="891" spans="1:6" x14ac:dyDescent="0.35">
      <c r="A891" s="9">
        <v>7933399</v>
      </c>
      <c r="B891" s="10">
        <v>42929</v>
      </c>
      <c r="C891" s="11">
        <v>0.57054398148148144</v>
      </c>
      <c r="D891" s="12">
        <v>0.57388888888888889</v>
      </c>
      <c r="E891">
        <f t="shared" si="26"/>
        <v>1</v>
      </c>
      <c r="F891">
        <f t="shared" si="27"/>
        <v>0</v>
      </c>
    </row>
    <row r="892" spans="1:6" x14ac:dyDescent="0.35">
      <c r="A892" s="5">
        <v>54821549</v>
      </c>
      <c r="B892" s="6">
        <v>42929</v>
      </c>
      <c r="C892" s="7">
        <v>0.57287037037037036</v>
      </c>
      <c r="D892" s="8">
        <v>0.57663194444444443</v>
      </c>
      <c r="E892">
        <f t="shared" si="26"/>
        <v>0</v>
      </c>
      <c r="F892">
        <f t="shared" si="27"/>
        <v>1</v>
      </c>
    </row>
    <row r="893" spans="1:6" x14ac:dyDescent="0.35">
      <c r="A893" s="9">
        <v>14919021</v>
      </c>
      <c r="B893" s="10">
        <v>42929</v>
      </c>
      <c r="C893" s="11">
        <v>0.57331018518518517</v>
      </c>
      <c r="D893" s="12">
        <v>0.57547453703703699</v>
      </c>
      <c r="E893">
        <f t="shared" si="26"/>
        <v>0</v>
      </c>
      <c r="F893">
        <f t="shared" si="27"/>
        <v>1</v>
      </c>
    </row>
    <row r="894" spans="1:6" x14ac:dyDescent="0.35">
      <c r="A894" s="5">
        <v>9175377</v>
      </c>
      <c r="B894" s="6">
        <v>42929</v>
      </c>
      <c r="C894" s="7">
        <v>0.57648148148148148</v>
      </c>
      <c r="D894" s="8">
        <v>0.57916666666666672</v>
      </c>
      <c r="E894">
        <f t="shared" si="26"/>
        <v>1</v>
      </c>
      <c r="F894">
        <f t="shared" si="27"/>
        <v>0</v>
      </c>
    </row>
    <row r="895" spans="1:6" x14ac:dyDescent="0.35">
      <c r="A895" s="9">
        <v>3656681</v>
      </c>
      <c r="B895" s="10">
        <v>42929</v>
      </c>
      <c r="C895" s="11">
        <v>0.58067129629629632</v>
      </c>
      <c r="D895" s="12">
        <v>0.59149305555555554</v>
      </c>
      <c r="E895">
        <f t="shared" si="26"/>
        <v>1</v>
      </c>
      <c r="F895">
        <f t="shared" si="27"/>
        <v>0</v>
      </c>
    </row>
    <row r="896" spans="1:6" x14ac:dyDescent="0.35">
      <c r="A896" s="5">
        <v>5741700</v>
      </c>
      <c r="B896" s="6">
        <v>42929</v>
      </c>
      <c r="C896" s="7">
        <v>0.58644675925925926</v>
      </c>
      <c r="D896" s="8">
        <v>0.5978472222222222</v>
      </c>
      <c r="E896">
        <f t="shared" si="26"/>
        <v>1</v>
      </c>
      <c r="F896">
        <f t="shared" si="27"/>
        <v>0</v>
      </c>
    </row>
    <row r="897" spans="1:6" x14ac:dyDescent="0.35">
      <c r="A897" s="9">
        <v>18816694</v>
      </c>
      <c r="B897" s="10">
        <v>42929</v>
      </c>
      <c r="C897" s="11">
        <v>0.59179398148148143</v>
      </c>
      <c r="D897" s="12">
        <v>0.60054398148148147</v>
      </c>
      <c r="E897">
        <f t="shared" si="26"/>
        <v>0</v>
      </c>
      <c r="F897">
        <f t="shared" si="27"/>
        <v>1</v>
      </c>
    </row>
    <row r="898" spans="1:6" x14ac:dyDescent="0.35">
      <c r="A898" s="5">
        <v>6177366</v>
      </c>
      <c r="B898" s="6">
        <v>42929</v>
      </c>
      <c r="C898" s="7">
        <v>0.59266203703703701</v>
      </c>
      <c r="D898" s="8">
        <v>0.59672453703703698</v>
      </c>
      <c r="E898">
        <f t="shared" si="26"/>
        <v>1</v>
      </c>
      <c r="F898">
        <f t="shared" si="27"/>
        <v>0</v>
      </c>
    </row>
    <row r="899" spans="1:6" x14ac:dyDescent="0.35">
      <c r="A899" s="9">
        <v>4221160</v>
      </c>
      <c r="B899" s="10">
        <v>42929</v>
      </c>
      <c r="C899" s="11">
        <v>0.59437499999999999</v>
      </c>
      <c r="D899" s="12">
        <v>0.60349537037037038</v>
      </c>
      <c r="E899">
        <f t="shared" ref="E899:E962" si="28">IF(LEN(A899)=7,1,0)</f>
        <v>1</v>
      </c>
      <c r="F899">
        <f t="shared" ref="F899:F962" si="29">IF(LEN(A899)=8,1,0)</f>
        <v>0</v>
      </c>
    </row>
    <row r="900" spans="1:6" x14ac:dyDescent="0.35">
      <c r="A900" s="5">
        <v>9339774</v>
      </c>
      <c r="B900" s="6">
        <v>42929</v>
      </c>
      <c r="C900" s="7">
        <v>0.59745370370370365</v>
      </c>
      <c r="D900" s="8">
        <v>0.607025462962963</v>
      </c>
      <c r="E900">
        <f t="shared" si="28"/>
        <v>1</v>
      </c>
      <c r="F900">
        <f t="shared" si="29"/>
        <v>0</v>
      </c>
    </row>
    <row r="901" spans="1:6" x14ac:dyDescent="0.35">
      <c r="A901" s="9">
        <v>46255010</v>
      </c>
      <c r="B901" s="10">
        <v>42929</v>
      </c>
      <c r="C901" s="11">
        <v>0.60008101851851847</v>
      </c>
      <c r="D901" s="12">
        <v>0.60182870370370367</v>
      </c>
      <c r="E901">
        <f t="shared" si="28"/>
        <v>0</v>
      </c>
      <c r="F901">
        <f t="shared" si="29"/>
        <v>1</v>
      </c>
    </row>
    <row r="902" spans="1:6" x14ac:dyDescent="0.35">
      <c r="A902" s="5">
        <v>91208799</v>
      </c>
      <c r="B902" s="6">
        <v>42929</v>
      </c>
      <c r="C902" s="7">
        <v>0.60311342592592587</v>
      </c>
      <c r="D902" s="8">
        <v>0.61048611111111106</v>
      </c>
      <c r="E902">
        <f t="shared" si="28"/>
        <v>0</v>
      </c>
      <c r="F902">
        <f t="shared" si="29"/>
        <v>1</v>
      </c>
    </row>
    <row r="903" spans="1:6" x14ac:dyDescent="0.35">
      <c r="A903" s="9">
        <v>7211782</v>
      </c>
      <c r="B903" s="10">
        <v>42929</v>
      </c>
      <c r="C903" s="11">
        <v>0.60773148148148148</v>
      </c>
      <c r="D903" s="12">
        <v>0.60799768518518515</v>
      </c>
      <c r="E903">
        <f t="shared" si="28"/>
        <v>1</v>
      </c>
      <c r="F903">
        <f t="shared" si="29"/>
        <v>0</v>
      </c>
    </row>
    <row r="904" spans="1:6" x14ac:dyDescent="0.35">
      <c r="A904" s="5">
        <v>3429335</v>
      </c>
      <c r="B904" s="6">
        <v>42929</v>
      </c>
      <c r="C904" s="7">
        <v>0.61346064814814816</v>
      </c>
      <c r="D904" s="8">
        <v>0.62468749999999995</v>
      </c>
      <c r="E904">
        <f t="shared" si="28"/>
        <v>1</v>
      </c>
      <c r="F904">
        <f t="shared" si="29"/>
        <v>0</v>
      </c>
    </row>
    <row r="905" spans="1:6" x14ac:dyDescent="0.35">
      <c r="A905" s="9">
        <v>3206241</v>
      </c>
      <c r="B905" s="10">
        <v>42929</v>
      </c>
      <c r="C905" s="11">
        <v>0.61614583333333328</v>
      </c>
      <c r="D905" s="12">
        <v>0.62736111111111115</v>
      </c>
      <c r="E905">
        <f t="shared" si="28"/>
        <v>1</v>
      </c>
      <c r="F905">
        <f t="shared" si="29"/>
        <v>0</v>
      </c>
    </row>
    <row r="906" spans="1:6" x14ac:dyDescent="0.35">
      <c r="A906" s="5">
        <v>8750670</v>
      </c>
      <c r="B906" s="6">
        <v>42929</v>
      </c>
      <c r="C906" s="7">
        <v>0.61686342592592591</v>
      </c>
      <c r="D906" s="8">
        <v>0.61760416666666662</v>
      </c>
      <c r="E906">
        <f t="shared" si="28"/>
        <v>1</v>
      </c>
      <c r="F906">
        <f t="shared" si="29"/>
        <v>0</v>
      </c>
    </row>
    <row r="907" spans="1:6" x14ac:dyDescent="0.35">
      <c r="A907" s="9">
        <v>7792679</v>
      </c>
      <c r="B907" s="10">
        <v>42929</v>
      </c>
      <c r="C907" s="11">
        <v>0.62046296296296299</v>
      </c>
      <c r="D907" s="12">
        <v>0.62071759259259263</v>
      </c>
      <c r="E907">
        <f t="shared" si="28"/>
        <v>1</v>
      </c>
      <c r="F907">
        <f t="shared" si="29"/>
        <v>0</v>
      </c>
    </row>
    <row r="908" spans="1:6" x14ac:dyDescent="0.35">
      <c r="A908" s="5">
        <v>9287211</v>
      </c>
      <c r="B908" s="6">
        <v>42929</v>
      </c>
      <c r="C908" s="7">
        <v>0.62178240740740742</v>
      </c>
      <c r="D908" s="8">
        <v>0.62540509259259258</v>
      </c>
      <c r="E908">
        <f t="shared" si="28"/>
        <v>1</v>
      </c>
      <c r="F908">
        <f t="shared" si="29"/>
        <v>0</v>
      </c>
    </row>
    <row r="909" spans="1:6" x14ac:dyDescent="0.35">
      <c r="A909" s="9">
        <v>1997542</v>
      </c>
      <c r="B909" s="10">
        <v>42929</v>
      </c>
      <c r="C909" s="11">
        <v>0.62749999999999995</v>
      </c>
      <c r="D909" s="12">
        <v>0.63146990740740738</v>
      </c>
      <c r="E909">
        <f t="shared" si="28"/>
        <v>1</v>
      </c>
      <c r="F909">
        <f t="shared" si="29"/>
        <v>0</v>
      </c>
    </row>
    <row r="910" spans="1:6" x14ac:dyDescent="0.35">
      <c r="A910" s="5">
        <v>3558582</v>
      </c>
      <c r="B910" s="6">
        <v>42930</v>
      </c>
      <c r="C910" s="7">
        <v>0.33658564814814818</v>
      </c>
      <c r="D910" s="8">
        <v>0.34384259259259259</v>
      </c>
      <c r="E910">
        <f t="shared" si="28"/>
        <v>1</v>
      </c>
      <c r="F910">
        <f t="shared" si="29"/>
        <v>0</v>
      </c>
    </row>
    <row r="911" spans="1:6" x14ac:dyDescent="0.35">
      <c r="A911" s="9">
        <v>25240352</v>
      </c>
      <c r="B911" s="10">
        <v>42930</v>
      </c>
      <c r="C911" s="11">
        <v>0.3369212962962963</v>
      </c>
      <c r="D911" s="12">
        <v>0.34468749999999998</v>
      </c>
      <c r="E911">
        <f t="shared" si="28"/>
        <v>0</v>
      </c>
      <c r="F911">
        <f t="shared" si="29"/>
        <v>1</v>
      </c>
    </row>
    <row r="912" spans="1:6" x14ac:dyDescent="0.35">
      <c r="A912" s="5">
        <v>5829504</v>
      </c>
      <c r="B912" s="6">
        <v>42930</v>
      </c>
      <c r="C912" s="7">
        <v>0.33802083333333333</v>
      </c>
      <c r="D912" s="8">
        <v>0.34233796296296298</v>
      </c>
      <c r="E912">
        <f t="shared" si="28"/>
        <v>1</v>
      </c>
      <c r="F912">
        <f t="shared" si="29"/>
        <v>0</v>
      </c>
    </row>
    <row r="913" spans="1:6" x14ac:dyDescent="0.35">
      <c r="A913" s="9">
        <v>97317489</v>
      </c>
      <c r="B913" s="10">
        <v>42930</v>
      </c>
      <c r="C913" s="11">
        <v>0.34062500000000001</v>
      </c>
      <c r="D913" s="12">
        <v>0.34333333333333332</v>
      </c>
      <c r="E913">
        <f t="shared" si="28"/>
        <v>0</v>
      </c>
      <c r="F913">
        <f t="shared" si="29"/>
        <v>1</v>
      </c>
    </row>
    <row r="914" spans="1:6" x14ac:dyDescent="0.35">
      <c r="A914" s="5">
        <v>53762222</v>
      </c>
      <c r="B914" s="6">
        <v>42930</v>
      </c>
      <c r="C914" s="7">
        <v>0.34262731481481479</v>
      </c>
      <c r="D914" s="8">
        <v>0.34824074074074074</v>
      </c>
      <c r="E914">
        <f t="shared" si="28"/>
        <v>0</v>
      </c>
      <c r="F914">
        <f t="shared" si="29"/>
        <v>1</v>
      </c>
    </row>
    <row r="915" spans="1:6" x14ac:dyDescent="0.35">
      <c r="A915" s="9">
        <v>3363840</v>
      </c>
      <c r="B915" s="10">
        <v>42930</v>
      </c>
      <c r="C915" s="11">
        <v>0.34431712962962963</v>
      </c>
      <c r="D915" s="12">
        <v>0.34605324074074073</v>
      </c>
      <c r="E915">
        <f t="shared" si="28"/>
        <v>1</v>
      </c>
      <c r="F915">
        <f t="shared" si="29"/>
        <v>0</v>
      </c>
    </row>
    <row r="916" spans="1:6" x14ac:dyDescent="0.35">
      <c r="A916" s="5">
        <v>5542324</v>
      </c>
      <c r="B916" s="6">
        <v>42930</v>
      </c>
      <c r="C916" s="7">
        <v>0.34528935185185183</v>
      </c>
      <c r="D916" s="8">
        <v>0.3541435185185185</v>
      </c>
      <c r="E916">
        <f t="shared" si="28"/>
        <v>1</v>
      </c>
      <c r="F916">
        <f t="shared" si="29"/>
        <v>0</v>
      </c>
    </row>
    <row r="917" spans="1:6" x14ac:dyDescent="0.35">
      <c r="A917" s="9">
        <v>9853612</v>
      </c>
      <c r="B917" s="10">
        <v>42930</v>
      </c>
      <c r="C917" s="11">
        <v>0.34848379629629628</v>
      </c>
      <c r="D917" s="12">
        <v>0.35927083333333332</v>
      </c>
      <c r="E917">
        <f t="shared" si="28"/>
        <v>1</v>
      </c>
      <c r="F917">
        <f t="shared" si="29"/>
        <v>0</v>
      </c>
    </row>
    <row r="918" spans="1:6" x14ac:dyDescent="0.35">
      <c r="A918" s="5">
        <v>5392799</v>
      </c>
      <c r="B918" s="6">
        <v>42930</v>
      </c>
      <c r="C918" s="7">
        <v>0.35270833333333335</v>
      </c>
      <c r="D918" s="8">
        <v>0.36254629629629631</v>
      </c>
      <c r="E918">
        <f t="shared" si="28"/>
        <v>1</v>
      </c>
      <c r="F918">
        <f t="shared" si="29"/>
        <v>0</v>
      </c>
    </row>
    <row r="919" spans="1:6" x14ac:dyDescent="0.35">
      <c r="A919" s="9">
        <v>1089768</v>
      </c>
      <c r="B919" s="10">
        <v>42930</v>
      </c>
      <c r="C919" s="11">
        <v>0.35497685185185185</v>
      </c>
      <c r="D919" s="12">
        <v>0.36493055555555554</v>
      </c>
      <c r="E919">
        <f t="shared" si="28"/>
        <v>1</v>
      </c>
      <c r="F919">
        <f t="shared" si="29"/>
        <v>0</v>
      </c>
    </row>
    <row r="920" spans="1:6" x14ac:dyDescent="0.35">
      <c r="A920" s="5">
        <v>4274311</v>
      </c>
      <c r="B920" s="6">
        <v>42930</v>
      </c>
      <c r="C920" s="7">
        <v>0.35699074074074072</v>
      </c>
      <c r="D920" s="8">
        <v>0.36554398148148148</v>
      </c>
      <c r="E920">
        <f t="shared" si="28"/>
        <v>1</v>
      </c>
      <c r="F920">
        <f t="shared" si="29"/>
        <v>0</v>
      </c>
    </row>
    <row r="921" spans="1:6" x14ac:dyDescent="0.35">
      <c r="A921" s="9">
        <v>8276893</v>
      </c>
      <c r="B921" s="10">
        <v>42930</v>
      </c>
      <c r="C921" s="11">
        <v>0.36056712962962961</v>
      </c>
      <c r="D921" s="12">
        <v>0.36929398148148146</v>
      </c>
      <c r="E921">
        <f t="shared" si="28"/>
        <v>1</v>
      </c>
      <c r="F921">
        <f t="shared" si="29"/>
        <v>0</v>
      </c>
    </row>
    <row r="922" spans="1:6" x14ac:dyDescent="0.35">
      <c r="A922" s="5">
        <v>24724114</v>
      </c>
      <c r="B922" s="6">
        <v>42930</v>
      </c>
      <c r="C922" s="7">
        <v>0.36212962962962963</v>
      </c>
      <c r="D922" s="8">
        <v>0.36342592592592593</v>
      </c>
      <c r="E922">
        <f t="shared" si="28"/>
        <v>0</v>
      </c>
      <c r="F922">
        <f t="shared" si="29"/>
        <v>1</v>
      </c>
    </row>
    <row r="923" spans="1:6" x14ac:dyDescent="0.35">
      <c r="A923" s="9">
        <v>23580194</v>
      </c>
      <c r="B923" s="10">
        <v>42930</v>
      </c>
      <c r="C923" s="11">
        <v>0.36516203703703703</v>
      </c>
      <c r="D923" s="12">
        <v>0.37596064814814817</v>
      </c>
      <c r="E923">
        <f t="shared" si="28"/>
        <v>0</v>
      </c>
      <c r="F923">
        <f t="shared" si="29"/>
        <v>1</v>
      </c>
    </row>
    <row r="924" spans="1:6" x14ac:dyDescent="0.35">
      <c r="A924" s="5">
        <v>1775131</v>
      </c>
      <c r="B924" s="6">
        <v>42930</v>
      </c>
      <c r="C924" s="7">
        <v>0.36922453703703706</v>
      </c>
      <c r="D924" s="8">
        <v>0.36994212962962963</v>
      </c>
      <c r="E924">
        <f t="shared" si="28"/>
        <v>1</v>
      </c>
      <c r="F924">
        <f t="shared" si="29"/>
        <v>0</v>
      </c>
    </row>
    <row r="925" spans="1:6" x14ac:dyDescent="0.35">
      <c r="A925" s="9">
        <v>8001915</v>
      </c>
      <c r="B925" s="10">
        <v>42930</v>
      </c>
      <c r="C925" s="11">
        <v>0.3712037037037037</v>
      </c>
      <c r="D925" s="12">
        <v>0.38064814814814812</v>
      </c>
      <c r="E925">
        <f t="shared" si="28"/>
        <v>1</v>
      </c>
      <c r="F925">
        <f t="shared" si="29"/>
        <v>0</v>
      </c>
    </row>
    <row r="926" spans="1:6" x14ac:dyDescent="0.35">
      <c r="A926" s="5">
        <v>7508054</v>
      </c>
      <c r="B926" s="6">
        <v>42930</v>
      </c>
      <c r="C926" s="7">
        <v>0.37480324074074073</v>
      </c>
      <c r="D926" s="8">
        <v>0.38201388888888888</v>
      </c>
      <c r="E926">
        <f t="shared" si="28"/>
        <v>1</v>
      </c>
      <c r="F926">
        <f t="shared" si="29"/>
        <v>0</v>
      </c>
    </row>
    <row r="927" spans="1:6" x14ac:dyDescent="0.35">
      <c r="A927" s="9">
        <v>5854377</v>
      </c>
      <c r="B927" s="10">
        <v>42930</v>
      </c>
      <c r="C927" s="11">
        <v>0.37506944444444446</v>
      </c>
      <c r="D927" s="12">
        <v>0.37829861111111113</v>
      </c>
      <c r="E927">
        <f t="shared" si="28"/>
        <v>1</v>
      </c>
      <c r="F927">
        <f t="shared" si="29"/>
        <v>0</v>
      </c>
    </row>
    <row r="928" spans="1:6" x14ac:dyDescent="0.35">
      <c r="A928" s="5">
        <v>3478173</v>
      </c>
      <c r="B928" s="6">
        <v>42930</v>
      </c>
      <c r="C928" s="7">
        <v>0.37942129629629628</v>
      </c>
      <c r="D928" s="8">
        <v>0.38388888888888889</v>
      </c>
      <c r="E928">
        <f t="shared" si="28"/>
        <v>1</v>
      </c>
      <c r="F928">
        <f t="shared" si="29"/>
        <v>0</v>
      </c>
    </row>
    <row r="929" spans="1:6" x14ac:dyDescent="0.35">
      <c r="A929" s="9">
        <v>3999937</v>
      </c>
      <c r="B929" s="10">
        <v>42930</v>
      </c>
      <c r="C929" s="11">
        <v>0.38447916666666665</v>
      </c>
      <c r="D929" s="12">
        <v>0.39068287037037036</v>
      </c>
      <c r="E929">
        <f t="shared" si="28"/>
        <v>1</v>
      </c>
      <c r="F929">
        <f t="shared" si="29"/>
        <v>0</v>
      </c>
    </row>
    <row r="930" spans="1:6" x14ac:dyDescent="0.35">
      <c r="A930" s="5">
        <v>83559673</v>
      </c>
      <c r="B930" s="6">
        <v>42930</v>
      </c>
      <c r="C930" s="7">
        <v>0.38571759259259258</v>
      </c>
      <c r="D930" s="8">
        <v>0.39630787037037035</v>
      </c>
      <c r="E930">
        <f t="shared" si="28"/>
        <v>0</v>
      </c>
      <c r="F930">
        <f t="shared" si="29"/>
        <v>1</v>
      </c>
    </row>
    <row r="931" spans="1:6" x14ac:dyDescent="0.35">
      <c r="A931" s="9">
        <v>1355775</v>
      </c>
      <c r="B931" s="10">
        <v>42930</v>
      </c>
      <c r="C931" s="11">
        <v>0.38942129629629629</v>
      </c>
      <c r="D931" s="12">
        <v>0.39034722222222223</v>
      </c>
      <c r="E931">
        <f t="shared" si="28"/>
        <v>1</v>
      </c>
      <c r="F931">
        <f t="shared" si="29"/>
        <v>0</v>
      </c>
    </row>
    <row r="932" spans="1:6" x14ac:dyDescent="0.35">
      <c r="A932" s="5">
        <v>3463982286</v>
      </c>
      <c r="B932" s="6">
        <v>42930</v>
      </c>
      <c r="C932" s="7">
        <v>0.39506944444444442</v>
      </c>
      <c r="D932" s="8">
        <v>0.40261574074074075</v>
      </c>
      <c r="E932">
        <f t="shared" si="28"/>
        <v>0</v>
      </c>
      <c r="F932">
        <f t="shared" si="29"/>
        <v>0</v>
      </c>
    </row>
    <row r="933" spans="1:6" x14ac:dyDescent="0.35">
      <c r="A933" s="9">
        <v>8870498</v>
      </c>
      <c r="B933" s="10">
        <v>42930</v>
      </c>
      <c r="C933" s="11">
        <v>0.4001736111111111</v>
      </c>
      <c r="D933" s="12">
        <v>0.40182870370370372</v>
      </c>
      <c r="E933">
        <f t="shared" si="28"/>
        <v>1</v>
      </c>
      <c r="F933">
        <f t="shared" si="29"/>
        <v>0</v>
      </c>
    </row>
    <row r="934" spans="1:6" x14ac:dyDescent="0.35">
      <c r="A934" s="5">
        <v>9894998</v>
      </c>
      <c r="B934" s="6">
        <v>42930</v>
      </c>
      <c r="C934" s="7">
        <v>0.40337962962962964</v>
      </c>
      <c r="D934" s="8">
        <v>0.41137731481481482</v>
      </c>
      <c r="E934">
        <f t="shared" si="28"/>
        <v>1</v>
      </c>
      <c r="F934">
        <f t="shared" si="29"/>
        <v>0</v>
      </c>
    </row>
    <row r="935" spans="1:6" x14ac:dyDescent="0.35">
      <c r="A935" s="9">
        <v>8841955</v>
      </c>
      <c r="B935" s="10">
        <v>42930</v>
      </c>
      <c r="C935" s="11">
        <v>0.40635416666666668</v>
      </c>
      <c r="D935" s="12">
        <v>0.40642361111111114</v>
      </c>
      <c r="E935">
        <f t="shared" si="28"/>
        <v>1</v>
      </c>
      <c r="F935">
        <f t="shared" si="29"/>
        <v>0</v>
      </c>
    </row>
    <row r="936" spans="1:6" x14ac:dyDescent="0.35">
      <c r="A936" s="5">
        <v>7379567</v>
      </c>
      <c r="B936" s="6">
        <v>42930</v>
      </c>
      <c r="C936" s="7">
        <v>0.4098148148148148</v>
      </c>
      <c r="D936" s="8">
        <v>0.41626157407407405</v>
      </c>
      <c r="E936">
        <f t="shared" si="28"/>
        <v>1</v>
      </c>
      <c r="F936">
        <f t="shared" si="29"/>
        <v>0</v>
      </c>
    </row>
    <row r="937" spans="1:6" x14ac:dyDescent="0.35">
      <c r="A937" s="9">
        <v>2092198</v>
      </c>
      <c r="B937" s="10">
        <v>42930</v>
      </c>
      <c r="C937" s="11">
        <v>0.41068287037037038</v>
      </c>
      <c r="D937" s="12">
        <v>0.41288194444444443</v>
      </c>
      <c r="E937">
        <f t="shared" si="28"/>
        <v>1</v>
      </c>
      <c r="F937">
        <f t="shared" si="29"/>
        <v>0</v>
      </c>
    </row>
    <row r="938" spans="1:6" x14ac:dyDescent="0.35">
      <c r="A938" s="5">
        <v>6006309</v>
      </c>
      <c r="B938" s="6">
        <v>42930</v>
      </c>
      <c r="C938" s="7">
        <v>0.41601851851851851</v>
      </c>
      <c r="D938" s="8">
        <v>0.41792824074074075</v>
      </c>
      <c r="E938">
        <f t="shared" si="28"/>
        <v>1</v>
      </c>
      <c r="F938">
        <f t="shared" si="29"/>
        <v>0</v>
      </c>
    </row>
    <row r="939" spans="1:6" x14ac:dyDescent="0.35">
      <c r="A939" s="9">
        <v>6736331</v>
      </c>
      <c r="B939" s="10">
        <v>42930</v>
      </c>
      <c r="C939" s="11">
        <v>0.41616898148148146</v>
      </c>
      <c r="D939" s="12">
        <v>0.42019675925925926</v>
      </c>
      <c r="E939">
        <f t="shared" si="28"/>
        <v>1</v>
      </c>
      <c r="F939">
        <f t="shared" si="29"/>
        <v>0</v>
      </c>
    </row>
    <row r="940" spans="1:6" x14ac:dyDescent="0.35">
      <c r="A940" s="5">
        <v>7291318</v>
      </c>
      <c r="B940" s="6">
        <v>42930</v>
      </c>
      <c r="C940" s="7">
        <v>0.41781249999999998</v>
      </c>
      <c r="D940" s="8">
        <v>0.42886574074074074</v>
      </c>
      <c r="E940">
        <f t="shared" si="28"/>
        <v>1</v>
      </c>
      <c r="F940">
        <f t="shared" si="29"/>
        <v>0</v>
      </c>
    </row>
    <row r="941" spans="1:6" x14ac:dyDescent="0.35">
      <c r="A941" s="9">
        <v>30178521</v>
      </c>
      <c r="B941" s="10">
        <v>42930</v>
      </c>
      <c r="C941" s="11">
        <v>0.42238425925925926</v>
      </c>
      <c r="D941" s="12">
        <v>0.42388888888888887</v>
      </c>
      <c r="E941">
        <f t="shared" si="28"/>
        <v>0</v>
      </c>
      <c r="F941">
        <f t="shared" si="29"/>
        <v>1</v>
      </c>
    </row>
    <row r="942" spans="1:6" x14ac:dyDescent="0.35">
      <c r="A942" s="5">
        <v>3232376</v>
      </c>
      <c r="B942" s="6">
        <v>42930</v>
      </c>
      <c r="C942" s="7">
        <v>0.42584490740740738</v>
      </c>
      <c r="D942" s="8">
        <v>0.43512731481481481</v>
      </c>
      <c r="E942">
        <f t="shared" si="28"/>
        <v>1</v>
      </c>
      <c r="F942">
        <f t="shared" si="29"/>
        <v>0</v>
      </c>
    </row>
    <row r="943" spans="1:6" x14ac:dyDescent="0.35">
      <c r="A943" s="9">
        <v>7536048937</v>
      </c>
      <c r="B943" s="10">
        <v>42930</v>
      </c>
      <c r="C943" s="11">
        <v>0.43115740740740743</v>
      </c>
      <c r="D943" s="12">
        <v>0.43990740740740741</v>
      </c>
      <c r="E943">
        <f t="shared" si="28"/>
        <v>0</v>
      </c>
      <c r="F943">
        <f t="shared" si="29"/>
        <v>0</v>
      </c>
    </row>
    <row r="944" spans="1:6" x14ac:dyDescent="0.35">
      <c r="A944" s="5">
        <v>6026397</v>
      </c>
      <c r="B944" s="6">
        <v>42930</v>
      </c>
      <c r="C944" s="7">
        <v>0.43362268518518521</v>
      </c>
      <c r="D944" s="8">
        <v>0.44447916666666665</v>
      </c>
      <c r="E944">
        <f t="shared" si="28"/>
        <v>1</v>
      </c>
      <c r="F944">
        <f t="shared" si="29"/>
        <v>0</v>
      </c>
    </row>
    <row r="945" spans="1:6" x14ac:dyDescent="0.35">
      <c r="A945" s="9">
        <v>54821549</v>
      </c>
      <c r="B945" s="10">
        <v>42930</v>
      </c>
      <c r="C945" s="11">
        <v>0.43517361111111114</v>
      </c>
      <c r="D945" s="12">
        <v>0.4466087962962963</v>
      </c>
      <c r="E945">
        <f t="shared" si="28"/>
        <v>0</v>
      </c>
      <c r="F945">
        <f t="shared" si="29"/>
        <v>1</v>
      </c>
    </row>
    <row r="946" spans="1:6" x14ac:dyDescent="0.35">
      <c r="A946" s="5">
        <v>4555937</v>
      </c>
      <c r="B946" s="6">
        <v>42930</v>
      </c>
      <c r="C946" s="7">
        <v>0.43956018518518519</v>
      </c>
      <c r="D946" s="8">
        <v>0.44253472222222223</v>
      </c>
      <c r="E946">
        <f t="shared" si="28"/>
        <v>1</v>
      </c>
      <c r="F946">
        <f t="shared" si="29"/>
        <v>0</v>
      </c>
    </row>
    <row r="947" spans="1:6" x14ac:dyDescent="0.35">
      <c r="A947" s="9">
        <v>65621292</v>
      </c>
      <c r="B947" s="10">
        <v>42930</v>
      </c>
      <c r="C947" s="11">
        <v>0.44060185185185186</v>
      </c>
      <c r="D947" s="12">
        <v>0.44655092592592593</v>
      </c>
      <c r="E947">
        <f t="shared" si="28"/>
        <v>0</v>
      </c>
      <c r="F947">
        <f t="shared" si="29"/>
        <v>1</v>
      </c>
    </row>
    <row r="948" spans="1:6" x14ac:dyDescent="0.35">
      <c r="A948" s="5">
        <v>13898038</v>
      </c>
      <c r="B948" s="6">
        <v>42930</v>
      </c>
      <c r="C948" s="7">
        <v>0.44072916666666667</v>
      </c>
      <c r="D948" s="8">
        <v>0.4496412037037037</v>
      </c>
      <c r="E948">
        <f t="shared" si="28"/>
        <v>0</v>
      </c>
      <c r="F948">
        <f t="shared" si="29"/>
        <v>1</v>
      </c>
    </row>
    <row r="949" spans="1:6" x14ac:dyDescent="0.35">
      <c r="A949" s="9">
        <v>6018613</v>
      </c>
      <c r="B949" s="10">
        <v>42930</v>
      </c>
      <c r="C949" s="11">
        <v>0.44295138888888891</v>
      </c>
      <c r="D949" s="12">
        <v>0.44545138888888891</v>
      </c>
      <c r="E949">
        <f t="shared" si="28"/>
        <v>1</v>
      </c>
      <c r="F949">
        <f t="shared" si="29"/>
        <v>0</v>
      </c>
    </row>
    <row r="950" spans="1:6" x14ac:dyDescent="0.35">
      <c r="A950" s="5">
        <v>7741751</v>
      </c>
      <c r="B950" s="6">
        <v>42930</v>
      </c>
      <c r="C950" s="7">
        <v>0.4450925925925926</v>
      </c>
      <c r="D950" s="8">
        <v>0.44888888888888889</v>
      </c>
      <c r="E950">
        <f t="shared" si="28"/>
        <v>1</v>
      </c>
      <c r="F950">
        <f t="shared" si="29"/>
        <v>0</v>
      </c>
    </row>
    <row r="951" spans="1:6" x14ac:dyDescent="0.35">
      <c r="A951" s="9">
        <v>5512492</v>
      </c>
      <c r="B951" s="10">
        <v>42930</v>
      </c>
      <c r="C951" s="11">
        <v>0.44538194444444446</v>
      </c>
      <c r="D951" s="12">
        <v>0.4525925925925926</v>
      </c>
      <c r="E951">
        <f t="shared" si="28"/>
        <v>1</v>
      </c>
      <c r="F951">
        <f t="shared" si="29"/>
        <v>0</v>
      </c>
    </row>
    <row r="952" spans="1:6" x14ac:dyDescent="0.35">
      <c r="A952" s="5">
        <v>36332723</v>
      </c>
      <c r="B952" s="6">
        <v>42930</v>
      </c>
      <c r="C952" s="7">
        <v>0.44593749999999999</v>
      </c>
      <c r="D952" s="8">
        <v>0.44957175925925924</v>
      </c>
      <c r="E952">
        <f t="shared" si="28"/>
        <v>0</v>
      </c>
      <c r="F952">
        <f t="shared" si="29"/>
        <v>1</v>
      </c>
    </row>
    <row r="953" spans="1:6" x14ac:dyDescent="0.35">
      <c r="A953" s="9">
        <v>28961250</v>
      </c>
      <c r="B953" s="10">
        <v>42930</v>
      </c>
      <c r="C953" s="11">
        <v>0.4478935185185185</v>
      </c>
      <c r="D953" s="12">
        <v>0.44805555555555554</v>
      </c>
      <c r="E953">
        <f t="shared" si="28"/>
        <v>0</v>
      </c>
      <c r="F953">
        <f t="shared" si="29"/>
        <v>1</v>
      </c>
    </row>
    <row r="954" spans="1:6" x14ac:dyDescent="0.35">
      <c r="A954" s="5">
        <v>96191858</v>
      </c>
      <c r="B954" s="6">
        <v>42930</v>
      </c>
      <c r="C954" s="7">
        <v>0.44916666666666666</v>
      </c>
      <c r="D954" s="8">
        <v>0.46023148148148146</v>
      </c>
      <c r="E954">
        <f t="shared" si="28"/>
        <v>0</v>
      </c>
      <c r="F954">
        <f t="shared" si="29"/>
        <v>1</v>
      </c>
    </row>
    <row r="955" spans="1:6" x14ac:dyDescent="0.35">
      <c r="A955" s="9">
        <v>49342013</v>
      </c>
      <c r="B955" s="10">
        <v>42930</v>
      </c>
      <c r="C955" s="11">
        <v>0.45233796296296297</v>
      </c>
      <c r="D955" s="12">
        <v>0.45649305555555558</v>
      </c>
      <c r="E955">
        <f t="shared" si="28"/>
        <v>0</v>
      </c>
      <c r="F955">
        <f t="shared" si="29"/>
        <v>1</v>
      </c>
    </row>
    <row r="956" spans="1:6" x14ac:dyDescent="0.35">
      <c r="A956" s="5">
        <v>2329556</v>
      </c>
      <c r="B956" s="6">
        <v>42930</v>
      </c>
      <c r="C956" s="7">
        <v>0.45667824074074076</v>
      </c>
      <c r="D956" s="8">
        <v>0.45679398148148148</v>
      </c>
      <c r="E956">
        <f t="shared" si="28"/>
        <v>1</v>
      </c>
      <c r="F956">
        <f t="shared" si="29"/>
        <v>0</v>
      </c>
    </row>
    <row r="957" spans="1:6" x14ac:dyDescent="0.35">
      <c r="A957" s="9">
        <v>2969264</v>
      </c>
      <c r="B957" s="10">
        <v>42930</v>
      </c>
      <c r="C957" s="11">
        <v>0.45930555555555558</v>
      </c>
      <c r="D957" s="12">
        <v>0.4634375</v>
      </c>
      <c r="E957">
        <f t="shared" si="28"/>
        <v>1</v>
      </c>
      <c r="F957">
        <f t="shared" si="29"/>
        <v>0</v>
      </c>
    </row>
    <row r="958" spans="1:6" x14ac:dyDescent="0.35">
      <c r="A958" s="5">
        <v>8498683</v>
      </c>
      <c r="B958" s="6">
        <v>42930</v>
      </c>
      <c r="C958" s="7">
        <v>0.45950231481481479</v>
      </c>
      <c r="D958" s="8">
        <v>0.46177083333333335</v>
      </c>
      <c r="E958">
        <f t="shared" si="28"/>
        <v>1</v>
      </c>
      <c r="F958">
        <f t="shared" si="29"/>
        <v>0</v>
      </c>
    </row>
    <row r="959" spans="1:6" x14ac:dyDescent="0.35">
      <c r="A959" s="9">
        <v>2341441</v>
      </c>
      <c r="B959" s="10">
        <v>42930</v>
      </c>
      <c r="C959" s="11">
        <v>0.46333333333333332</v>
      </c>
      <c r="D959" s="12">
        <v>0.46409722222222222</v>
      </c>
      <c r="E959">
        <f t="shared" si="28"/>
        <v>1</v>
      </c>
      <c r="F959">
        <f t="shared" si="29"/>
        <v>0</v>
      </c>
    </row>
    <row r="960" spans="1:6" x14ac:dyDescent="0.35">
      <c r="A960" s="5">
        <v>30270334</v>
      </c>
      <c r="B960" s="6">
        <v>42930</v>
      </c>
      <c r="C960" s="7">
        <v>0.46587962962962964</v>
      </c>
      <c r="D960" s="8">
        <v>0.46755787037037039</v>
      </c>
      <c r="E960">
        <f t="shared" si="28"/>
        <v>0</v>
      </c>
      <c r="F960">
        <f t="shared" si="29"/>
        <v>1</v>
      </c>
    </row>
    <row r="961" spans="1:6" x14ac:dyDescent="0.35">
      <c r="A961" s="9">
        <v>4657345</v>
      </c>
      <c r="B961" s="10">
        <v>42930</v>
      </c>
      <c r="C961" s="11">
        <v>0.46988425925925925</v>
      </c>
      <c r="D961" s="12">
        <v>0.47721064814814818</v>
      </c>
      <c r="E961">
        <f t="shared" si="28"/>
        <v>1</v>
      </c>
      <c r="F961">
        <f t="shared" si="29"/>
        <v>0</v>
      </c>
    </row>
    <row r="962" spans="1:6" x14ac:dyDescent="0.35">
      <c r="A962" s="5">
        <v>2145244</v>
      </c>
      <c r="B962" s="6">
        <v>42930</v>
      </c>
      <c r="C962" s="7">
        <v>0.47028935185185183</v>
      </c>
      <c r="D962" s="8">
        <v>0.47052083333333333</v>
      </c>
      <c r="E962">
        <f t="shared" si="28"/>
        <v>1</v>
      </c>
      <c r="F962">
        <f t="shared" si="29"/>
        <v>0</v>
      </c>
    </row>
    <row r="963" spans="1:6" x14ac:dyDescent="0.35">
      <c r="A963" s="9">
        <v>7627829</v>
      </c>
      <c r="B963" s="10">
        <v>42930</v>
      </c>
      <c r="C963" s="11">
        <v>0.4742824074074074</v>
      </c>
      <c r="D963" s="12">
        <v>0.48538194444444444</v>
      </c>
      <c r="E963">
        <f t="shared" ref="E963:E1026" si="30">IF(LEN(A963)=7,1,0)</f>
        <v>1</v>
      </c>
      <c r="F963">
        <f t="shared" ref="F963:F1026" si="31">IF(LEN(A963)=8,1,0)</f>
        <v>0</v>
      </c>
    </row>
    <row r="964" spans="1:6" x14ac:dyDescent="0.35">
      <c r="A964" s="5">
        <v>9182658</v>
      </c>
      <c r="B964" s="6">
        <v>42930</v>
      </c>
      <c r="C964" s="7">
        <v>0.47594907407407405</v>
      </c>
      <c r="D964" s="8">
        <v>0.47641203703703705</v>
      </c>
      <c r="E964">
        <f t="shared" si="30"/>
        <v>1</v>
      </c>
      <c r="F964">
        <f t="shared" si="31"/>
        <v>0</v>
      </c>
    </row>
    <row r="965" spans="1:6" x14ac:dyDescent="0.35">
      <c r="A965" s="9">
        <v>4191600</v>
      </c>
      <c r="B965" s="10">
        <v>42930</v>
      </c>
      <c r="C965" s="11">
        <v>0.47799768518518521</v>
      </c>
      <c r="D965" s="12">
        <v>0.47905092592592591</v>
      </c>
      <c r="E965">
        <f t="shared" si="30"/>
        <v>1</v>
      </c>
      <c r="F965">
        <f t="shared" si="31"/>
        <v>0</v>
      </c>
    </row>
    <row r="966" spans="1:6" x14ac:dyDescent="0.35">
      <c r="A966" s="5">
        <v>5492379</v>
      </c>
      <c r="B966" s="6">
        <v>42930</v>
      </c>
      <c r="C966" s="7">
        <v>0.47825231481481484</v>
      </c>
      <c r="D966" s="8">
        <v>0.48502314814814818</v>
      </c>
      <c r="E966">
        <f t="shared" si="30"/>
        <v>1</v>
      </c>
      <c r="F966">
        <f t="shared" si="31"/>
        <v>0</v>
      </c>
    </row>
    <row r="967" spans="1:6" x14ac:dyDescent="0.35">
      <c r="A967" s="9">
        <v>2861766</v>
      </c>
      <c r="B967" s="10">
        <v>42930</v>
      </c>
      <c r="C967" s="11">
        <v>0.48138888888888887</v>
      </c>
      <c r="D967" s="12">
        <v>0.48574074074074075</v>
      </c>
      <c r="E967">
        <f t="shared" si="30"/>
        <v>1</v>
      </c>
      <c r="F967">
        <f t="shared" si="31"/>
        <v>0</v>
      </c>
    </row>
    <row r="968" spans="1:6" x14ac:dyDescent="0.35">
      <c r="A968" s="5">
        <v>1309359</v>
      </c>
      <c r="B968" s="6">
        <v>42930</v>
      </c>
      <c r="C968" s="7">
        <v>0.48422453703703705</v>
      </c>
      <c r="D968" s="8">
        <v>0.48562499999999997</v>
      </c>
      <c r="E968">
        <f t="shared" si="30"/>
        <v>1</v>
      </c>
      <c r="F968">
        <f t="shared" si="31"/>
        <v>0</v>
      </c>
    </row>
    <row r="969" spans="1:6" x14ac:dyDescent="0.35">
      <c r="A969" s="9">
        <v>5272270</v>
      </c>
      <c r="B969" s="10">
        <v>42930</v>
      </c>
      <c r="C969" s="11">
        <v>0.48579861111111111</v>
      </c>
      <c r="D969" s="12">
        <v>0.49395833333333333</v>
      </c>
      <c r="E969">
        <f t="shared" si="30"/>
        <v>1</v>
      </c>
      <c r="F969">
        <f t="shared" si="31"/>
        <v>0</v>
      </c>
    </row>
    <row r="970" spans="1:6" x14ac:dyDescent="0.35">
      <c r="A970" s="5">
        <v>9266643</v>
      </c>
      <c r="B970" s="6">
        <v>42930</v>
      </c>
      <c r="C970" s="7">
        <v>0.48832175925925925</v>
      </c>
      <c r="D970" s="8">
        <v>0.49005787037037035</v>
      </c>
      <c r="E970">
        <f t="shared" si="30"/>
        <v>1</v>
      </c>
      <c r="F970">
        <f t="shared" si="31"/>
        <v>0</v>
      </c>
    </row>
    <row r="971" spans="1:6" x14ac:dyDescent="0.35">
      <c r="A971" s="9">
        <v>3460208</v>
      </c>
      <c r="B971" s="10">
        <v>42930</v>
      </c>
      <c r="C971" s="11">
        <v>0.49302083333333335</v>
      </c>
      <c r="D971" s="12">
        <v>0.50244212962962964</v>
      </c>
      <c r="E971">
        <f t="shared" si="30"/>
        <v>1</v>
      </c>
      <c r="F971">
        <f t="shared" si="31"/>
        <v>0</v>
      </c>
    </row>
    <row r="972" spans="1:6" x14ac:dyDescent="0.35">
      <c r="A972" s="5">
        <v>25545000</v>
      </c>
      <c r="B972" s="6">
        <v>42930</v>
      </c>
      <c r="C972" s="7">
        <v>0.4959722222222222</v>
      </c>
      <c r="D972" s="8">
        <v>0.50451388888888893</v>
      </c>
      <c r="E972">
        <f t="shared" si="30"/>
        <v>0</v>
      </c>
      <c r="F972">
        <f t="shared" si="31"/>
        <v>1</v>
      </c>
    </row>
    <row r="973" spans="1:6" x14ac:dyDescent="0.35">
      <c r="A973" s="9">
        <v>1207918</v>
      </c>
      <c r="B973" s="10">
        <v>42930</v>
      </c>
      <c r="C973" s="11">
        <v>0.50126157407407412</v>
      </c>
      <c r="D973" s="12">
        <v>0.51184027777777774</v>
      </c>
      <c r="E973">
        <f t="shared" si="30"/>
        <v>1</v>
      </c>
      <c r="F973">
        <f t="shared" si="31"/>
        <v>0</v>
      </c>
    </row>
    <row r="974" spans="1:6" x14ac:dyDescent="0.35">
      <c r="A974" s="5">
        <v>4471828</v>
      </c>
      <c r="B974" s="6">
        <v>42930</v>
      </c>
      <c r="C974" s="7">
        <v>0.50378472222222226</v>
      </c>
      <c r="D974" s="8">
        <v>0.51043981481481482</v>
      </c>
      <c r="E974">
        <f t="shared" si="30"/>
        <v>1</v>
      </c>
      <c r="F974">
        <f t="shared" si="31"/>
        <v>0</v>
      </c>
    </row>
    <row r="975" spans="1:6" x14ac:dyDescent="0.35">
      <c r="A975" s="9">
        <v>6516836</v>
      </c>
      <c r="B975" s="10">
        <v>42930</v>
      </c>
      <c r="C975" s="11">
        <v>0.50812500000000005</v>
      </c>
      <c r="D975" s="12">
        <v>0.50862268518518516</v>
      </c>
      <c r="E975">
        <f t="shared" si="30"/>
        <v>1</v>
      </c>
      <c r="F975">
        <f t="shared" si="31"/>
        <v>0</v>
      </c>
    </row>
    <row r="976" spans="1:6" x14ac:dyDescent="0.35">
      <c r="A976" s="5">
        <v>1197931</v>
      </c>
      <c r="B976" s="6">
        <v>42930</v>
      </c>
      <c r="C976" s="7">
        <v>0.51179398148148147</v>
      </c>
      <c r="D976" s="8">
        <v>0.51231481481481478</v>
      </c>
      <c r="E976">
        <f t="shared" si="30"/>
        <v>1</v>
      </c>
      <c r="F976">
        <f t="shared" si="31"/>
        <v>0</v>
      </c>
    </row>
    <row r="977" spans="1:6" x14ac:dyDescent="0.35">
      <c r="A977" s="9">
        <v>8750619</v>
      </c>
      <c r="B977" s="10">
        <v>42930</v>
      </c>
      <c r="C977" s="11">
        <v>0.51645833333333335</v>
      </c>
      <c r="D977" s="12">
        <v>0.51701388888888888</v>
      </c>
      <c r="E977">
        <f t="shared" si="30"/>
        <v>1</v>
      </c>
      <c r="F977">
        <f t="shared" si="31"/>
        <v>0</v>
      </c>
    </row>
    <row r="978" spans="1:6" x14ac:dyDescent="0.35">
      <c r="A978" s="5">
        <v>2076719</v>
      </c>
      <c r="B978" s="6">
        <v>42930</v>
      </c>
      <c r="C978" s="7">
        <v>0.52056712962962959</v>
      </c>
      <c r="D978" s="8">
        <v>0.52818287037037037</v>
      </c>
      <c r="E978">
        <f t="shared" si="30"/>
        <v>1</v>
      </c>
      <c r="F978">
        <f t="shared" si="31"/>
        <v>0</v>
      </c>
    </row>
    <row r="979" spans="1:6" x14ac:dyDescent="0.35">
      <c r="A979" s="9">
        <v>3131883</v>
      </c>
      <c r="B979" s="10">
        <v>42930</v>
      </c>
      <c r="C979" s="11">
        <v>0.52427083333333335</v>
      </c>
      <c r="D979" s="12">
        <v>0.52818287037037037</v>
      </c>
      <c r="E979">
        <f t="shared" si="30"/>
        <v>1</v>
      </c>
      <c r="F979">
        <f t="shared" si="31"/>
        <v>0</v>
      </c>
    </row>
    <row r="980" spans="1:6" x14ac:dyDescent="0.35">
      <c r="A980" s="5">
        <v>1552302</v>
      </c>
      <c r="B980" s="6">
        <v>42930</v>
      </c>
      <c r="C980" s="7">
        <v>0.52953703703703703</v>
      </c>
      <c r="D980" s="8">
        <v>0.54078703703703701</v>
      </c>
      <c r="E980">
        <f t="shared" si="30"/>
        <v>1</v>
      </c>
      <c r="F980">
        <f t="shared" si="31"/>
        <v>0</v>
      </c>
    </row>
    <row r="981" spans="1:6" x14ac:dyDescent="0.35">
      <c r="A981" s="9">
        <v>33708687</v>
      </c>
      <c r="B981" s="10">
        <v>42930</v>
      </c>
      <c r="C981" s="11">
        <v>0.53237268518518521</v>
      </c>
      <c r="D981" s="12">
        <v>0.53413194444444445</v>
      </c>
      <c r="E981">
        <f t="shared" si="30"/>
        <v>0</v>
      </c>
      <c r="F981">
        <f t="shared" si="31"/>
        <v>1</v>
      </c>
    </row>
    <row r="982" spans="1:6" x14ac:dyDescent="0.35">
      <c r="A982" s="5">
        <v>23123600</v>
      </c>
      <c r="B982" s="6">
        <v>42930</v>
      </c>
      <c r="C982" s="7">
        <v>0.53268518518518515</v>
      </c>
      <c r="D982" s="8">
        <v>0.54135416666666669</v>
      </c>
      <c r="E982">
        <f t="shared" si="30"/>
        <v>0</v>
      </c>
      <c r="F982">
        <f t="shared" si="31"/>
        <v>1</v>
      </c>
    </row>
    <row r="983" spans="1:6" x14ac:dyDescent="0.35">
      <c r="A983" s="9">
        <v>5913571</v>
      </c>
      <c r="B983" s="10">
        <v>42930</v>
      </c>
      <c r="C983" s="11">
        <v>0.53740740740740744</v>
      </c>
      <c r="D983" s="12">
        <v>0.54893518518518514</v>
      </c>
      <c r="E983">
        <f t="shared" si="30"/>
        <v>1</v>
      </c>
      <c r="F983">
        <f t="shared" si="31"/>
        <v>0</v>
      </c>
    </row>
    <row r="984" spans="1:6" x14ac:dyDescent="0.35">
      <c r="A984" s="5">
        <v>5790304</v>
      </c>
      <c r="B984" s="6">
        <v>42930</v>
      </c>
      <c r="C984" s="7">
        <v>0.53768518518518515</v>
      </c>
      <c r="D984" s="8">
        <v>0.53770833333333334</v>
      </c>
      <c r="E984">
        <f t="shared" si="30"/>
        <v>1</v>
      </c>
      <c r="F984">
        <f t="shared" si="31"/>
        <v>0</v>
      </c>
    </row>
    <row r="985" spans="1:6" x14ac:dyDescent="0.35">
      <c r="A985" s="9">
        <v>97953696</v>
      </c>
      <c r="B985" s="10">
        <v>42930</v>
      </c>
      <c r="C985" s="11">
        <v>0.53909722222222223</v>
      </c>
      <c r="D985" s="12">
        <v>0.54540509259259262</v>
      </c>
      <c r="E985">
        <f t="shared" si="30"/>
        <v>0</v>
      </c>
      <c r="F985">
        <f t="shared" si="31"/>
        <v>1</v>
      </c>
    </row>
    <row r="986" spans="1:6" x14ac:dyDescent="0.35">
      <c r="A986" s="5">
        <v>13588783</v>
      </c>
      <c r="B986" s="6">
        <v>42930</v>
      </c>
      <c r="C986" s="7">
        <v>0.54118055555555555</v>
      </c>
      <c r="D986" s="8">
        <v>0.54894675925925929</v>
      </c>
      <c r="E986">
        <f t="shared" si="30"/>
        <v>0</v>
      </c>
      <c r="F986">
        <f t="shared" si="31"/>
        <v>1</v>
      </c>
    </row>
    <row r="987" spans="1:6" x14ac:dyDescent="0.35">
      <c r="A987" s="9">
        <v>3300626</v>
      </c>
      <c r="B987" s="10">
        <v>42930</v>
      </c>
      <c r="C987" s="11">
        <v>0.54415509259259254</v>
      </c>
      <c r="D987" s="12">
        <v>0.55156249999999996</v>
      </c>
      <c r="E987">
        <f t="shared" si="30"/>
        <v>1</v>
      </c>
      <c r="F987">
        <f t="shared" si="31"/>
        <v>0</v>
      </c>
    </row>
    <row r="988" spans="1:6" x14ac:dyDescent="0.35">
      <c r="A988" s="5">
        <v>9849071</v>
      </c>
      <c r="B988" s="6">
        <v>42930</v>
      </c>
      <c r="C988" s="7">
        <v>0.54498842592592589</v>
      </c>
      <c r="D988" s="8">
        <v>0.54879629629629634</v>
      </c>
      <c r="E988">
        <f t="shared" si="30"/>
        <v>1</v>
      </c>
      <c r="F988">
        <f t="shared" si="31"/>
        <v>0</v>
      </c>
    </row>
    <row r="989" spans="1:6" x14ac:dyDescent="0.35">
      <c r="A989" s="9">
        <v>39697250</v>
      </c>
      <c r="B989" s="10">
        <v>42930</v>
      </c>
      <c r="C989" s="11">
        <v>0.54616898148148152</v>
      </c>
      <c r="D989" s="12">
        <v>0.55153935185185188</v>
      </c>
      <c r="E989">
        <f t="shared" si="30"/>
        <v>0</v>
      </c>
      <c r="F989">
        <f t="shared" si="31"/>
        <v>1</v>
      </c>
    </row>
    <row r="990" spans="1:6" x14ac:dyDescent="0.35">
      <c r="A990" s="5">
        <v>3826370863</v>
      </c>
      <c r="B990" s="6">
        <v>42930</v>
      </c>
      <c r="C990" s="7">
        <v>0.55155092592592592</v>
      </c>
      <c r="D990" s="8">
        <v>0.55709490740740741</v>
      </c>
      <c r="E990">
        <f t="shared" si="30"/>
        <v>0</v>
      </c>
      <c r="F990">
        <f t="shared" si="31"/>
        <v>0</v>
      </c>
    </row>
    <row r="991" spans="1:6" x14ac:dyDescent="0.35">
      <c r="A991" s="9">
        <v>9088452</v>
      </c>
      <c r="B991" s="10">
        <v>42930</v>
      </c>
      <c r="C991" s="11">
        <v>0.55473379629629627</v>
      </c>
      <c r="D991" s="12">
        <v>0.56253472222222223</v>
      </c>
      <c r="E991">
        <f t="shared" si="30"/>
        <v>1</v>
      </c>
      <c r="F991">
        <f t="shared" si="31"/>
        <v>0</v>
      </c>
    </row>
    <row r="992" spans="1:6" x14ac:dyDescent="0.35">
      <c r="A992" s="5">
        <v>8026912</v>
      </c>
      <c r="B992" s="6">
        <v>42930</v>
      </c>
      <c r="C992" s="7">
        <v>0.5561342592592593</v>
      </c>
      <c r="D992" s="8">
        <v>0.56366898148148148</v>
      </c>
      <c r="E992">
        <f t="shared" si="30"/>
        <v>1</v>
      </c>
      <c r="F992">
        <f t="shared" si="31"/>
        <v>0</v>
      </c>
    </row>
    <row r="993" spans="1:6" x14ac:dyDescent="0.35">
      <c r="A993" s="9">
        <v>24290062</v>
      </c>
      <c r="B993" s="10">
        <v>42930</v>
      </c>
      <c r="C993" s="11">
        <v>0.56141203703703701</v>
      </c>
      <c r="D993" s="12">
        <v>0.57055555555555559</v>
      </c>
      <c r="E993">
        <f t="shared" si="30"/>
        <v>0</v>
      </c>
      <c r="F993">
        <f t="shared" si="31"/>
        <v>1</v>
      </c>
    </row>
    <row r="994" spans="1:6" x14ac:dyDescent="0.35">
      <c r="A994" s="5">
        <v>6785899</v>
      </c>
      <c r="B994" s="6">
        <v>42930</v>
      </c>
      <c r="C994" s="7">
        <v>0.56650462962962966</v>
      </c>
      <c r="D994" s="8">
        <v>0.57533564814814819</v>
      </c>
      <c r="E994">
        <f t="shared" si="30"/>
        <v>1</v>
      </c>
      <c r="F994">
        <f t="shared" si="31"/>
        <v>0</v>
      </c>
    </row>
    <row r="995" spans="1:6" x14ac:dyDescent="0.35">
      <c r="A995" s="9">
        <v>75048005</v>
      </c>
      <c r="B995" s="10">
        <v>42930</v>
      </c>
      <c r="C995" s="11">
        <v>0.57197916666666671</v>
      </c>
      <c r="D995" s="12">
        <v>0.58081018518518523</v>
      </c>
      <c r="E995">
        <f t="shared" si="30"/>
        <v>0</v>
      </c>
      <c r="F995">
        <f t="shared" si="31"/>
        <v>1</v>
      </c>
    </row>
    <row r="996" spans="1:6" x14ac:dyDescent="0.35">
      <c r="A996" s="5">
        <v>97459926</v>
      </c>
      <c r="B996" s="6">
        <v>42930</v>
      </c>
      <c r="C996" s="7">
        <v>0.57262731481481477</v>
      </c>
      <c r="D996" s="8">
        <v>0.57991898148148147</v>
      </c>
      <c r="E996">
        <f t="shared" si="30"/>
        <v>0</v>
      </c>
      <c r="F996">
        <f t="shared" si="31"/>
        <v>1</v>
      </c>
    </row>
    <row r="997" spans="1:6" x14ac:dyDescent="0.35">
      <c r="A997" s="9">
        <v>9600226</v>
      </c>
      <c r="B997" s="10">
        <v>42930</v>
      </c>
      <c r="C997" s="11">
        <v>0.57451388888888888</v>
      </c>
      <c r="D997" s="12">
        <v>0.57847222222222228</v>
      </c>
      <c r="E997">
        <f t="shared" si="30"/>
        <v>1</v>
      </c>
      <c r="F997">
        <f t="shared" si="31"/>
        <v>0</v>
      </c>
    </row>
    <row r="998" spans="1:6" x14ac:dyDescent="0.35">
      <c r="A998" s="5">
        <v>9685747</v>
      </c>
      <c r="B998" s="6">
        <v>42930</v>
      </c>
      <c r="C998" s="7">
        <v>0.57810185185185181</v>
      </c>
      <c r="D998" s="8">
        <v>0.58810185185185182</v>
      </c>
      <c r="E998">
        <f t="shared" si="30"/>
        <v>1</v>
      </c>
      <c r="F998">
        <f t="shared" si="31"/>
        <v>0</v>
      </c>
    </row>
    <row r="999" spans="1:6" x14ac:dyDescent="0.35">
      <c r="A999" s="9">
        <v>3178616</v>
      </c>
      <c r="B999" s="10">
        <v>42930</v>
      </c>
      <c r="C999" s="11">
        <v>0.58233796296296292</v>
      </c>
      <c r="D999" s="12">
        <v>0.58734953703703707</v>
      </c>
      <c r="E999">
        <f t="shared" si="30"/>
        <v>1</v>
      </c>
      <c r="F999">
        <f t="shared" si="31"/>
        <v>0</v>
      </c>
    </row>
    <row r="1000" spans="1:6" x14ac:dyDescent="0.35">
      <c r="A1000" s="5">
        <v>9979899</v>
      </c>
      <c r="B1000" s="6">
        <v>42930</v>
      </c>
      <c r="C1000" s="7">
        <v>0.58810185185185182</v>
      </c>
      <c r="D1000" s="8">
        <v>0.59134259259259259</v>
      </c>
      <c r="E1000">
        <f t="shared" si="30"/>
        <v>1</v>
      </c>
      <c r="F1000">
        <f t="shared" si="31"/>
        <v>0</v>
      </c>
    </row>
    <row r="1001" spans="1:6" x14ac:dyDescent="0.35">
      <c r="A1001" s="9">
        <v>4575865</v>
      </c>
      <c r="B1001" s="10">
        <v>42930</v>
      </c>
      <c r="C1001" s="11">
        <v>0.58959490740740739</v>
      </c>
      <c r="D1001" s="12">
        <v>0.59105324074074073</v>
      </c>
      <c r="E1001">
        <f t="shared" si="30"/>
        <v>1</v>
      </c>
      <c r="F1001">
        <f t="shared" si="31"/>
        <v>0</v>
      </c>
    </row>
    <row r="1002" spans="1:6" x14ac:dyDescent="0.35">
      <c r="A1002" s="5">
        <v>1808444</v>
      </c>
      <c r="B1002" s="6">
        <v>42930</v>
      </c>
      <c r="C1002" s="7">
        <v>0.59284722222222219</v>
      </c>
      <c r="D1002" s="8">
        <v>0.59662037037037041</v>
      </c>
      <c r="E1002">
        <f t="shared" si="30"/>
        <v>1</v>
      </c>
      <c r="F1002">
        <f t="shared" si="31"/>
        <v>0</v>
      </c>
    </row>
    <row r="1003" spans="1:6" x14ac:dyDescent="0.35">
      <c r="A1003" s="9">
        <v>1649912</v>
      </c>
      <c r="B1003" s="10">
        <v>42930</v>
      </c>
      <c r="C1003" s="11">
        <v>0.59467592592592589</v>
      </c>
      <c r="D1003" s="12">
        <v>0.60392361111111115</v>
      </c>
      <c r="E1003">
        <f t="shared" si="30"/>
        <v>1</v>
      </c>
      <c r="F1003">
        <f t="shared" si="31"/>
        <v>0</v>
      </c>
    </row>
    <row r="1004" spans="1:6" x14ac:dyDescent="0.35">
      <c r="A1004" s="5">
        <v>6128500046</v>
      </c>
      <c r="B1004" s="6">
        <v>42930</v>
      </c>
      <c r="C1004" s="7">
        <v>0.5981481481481481</v>
      </c>
      <c r="D1004" s="8">
        <v>0.60513888888888889</v>
      </c>
      <c r="E1004">
        <f t="shared" si="30"/>
        <v>0</v>
      </c>
      <c r="F1004">
        <f t="shared" si="31"/>
        <v>0</v>
      </c>
    </row>
    <row r="1005" spans="1:6" x14ac:dyDescent="0.35">
      <c r="A1005" s="9">
        <v>6580951</v>
      </c>
      <c r="B1005" s="10">
        <v>42930</v>
      </c>
      <c r="C1005" s="11">
        <v>0.6001967592592593</v>
      </c>
      <c r="D1005" s="12">
        <v>0.60023148148148153</v>
      </c>
      <c r="E1005">
        <f t="shared" si="30"/>
        <v>1</v>
      </c>
      <c r="F1005">
        <f t="shared" si="31"/>
        <v>0</v>
      </c>
    </row>
    <row r="1006" spans="1:6" x14ac:dyDescent="0.35">
      <c r="A1006" s="5">
        <v>5536146</v>
      </c>
      <c r="B1006" s="6">
        <v>42930</v>
      </c>
      <c r="C1006" s="7">
        <v>0.60204861111111108</v>
      </c>
      <c r="D1006" s="8">
        <v>0.60319444444444448</v>
      </c>
      <c r="E1006">
        <f t="shared" si="30"/>
        <v>1</v>
      </c>
      <c r="F1006">
        <f t="shared" si="31"/>
        <v>0</v>
      </c>
    </row>
    <row r="1007" spans="1:6" x14ac:dyDescent="0.35">
      <c r="A1007" s="9">
        <v>7396921</v>
      </c>
      <c r="B1007" s="10">
        <v>42930</v>
      </c>
      <c r="C1007" s="11">
        <v>0.60775462962962967</v>
      </c>
      <c r="D1007" s="12">
        <v>0.61614583333333328</v>
      </c>
      <c r="E1007">
        <f t="shared" si="30"/>
        <v>1</v>
      </c>
      <c r="F1007">
        <f t="shared" si="31"/>
        <v>0</v>
      </c>
    </row>
    <row r="1008" spans="1:6" x14ac:dyDescent="0.35">
      <c r="A1008" s="5">
        <v>8331262</v>
      </c>
      <c r="B1008" s="6">
        <v>42930</v>
      </c>
      <c r="C1008" s="7">
        <v>0.61174768518518519</v>
      </c>
      <c r="D1008" s="8">
        <v>0.61697916666666663</v>
      </c>
      <c r="E1008">
        <f t="shared" si="30"/>
        <v>1</v>
      </c>
      <c r="F1008">
        <f t="shared" si="31"/>
        <v>0</v>
      </c>
    </row>
    <row r="1009" spans="1:6" x14ac:dyDescent="0.35">
      <c r="A1009" s="9">
        <v>5146166</v>
      </c>
      <c r="B1009" s="10">
        <v>42930</v>
      </c>
      <c r="C1009" s="11">
        <v>0.61546296296296299</v>
      </c>
      <c r="D1009" s="12">
        <v>0.62185185185185188</v>
      </c>
      <c r="E1009">
        <f t="shared" si="30"/>
        <v>1</v>
      </c>
      <c r="F1009">
        <f t="shared" si="31"/>
        <v>0</v>
      </c>
    </row>
    <row r="1010" spans="1:6" x14ac:dyDescent="0.35">
      <c r="A1010" s="5">
        <v>6729705</v>
      </c>
      <c r="B1010" s="6">
        <v>42930</v>
      </c>
      <c r="C1010" s="7">
        <v>0.62111111111111106</v>
      </c>
      <c r="D1010" s="8">
        <v>0.62814814814814812</v>
      </c>
      <c r="E1010">
        <f t="shared" si="30"/>
        <v>1</v>
      </c>
      <c r="F1010">
        <f t="shared" si="31"/>
        <v>0</v>
      </c>
    </row>
    <row r="1011" spans="1:6" x14ac:dyDescent="0.35">
      <c r="A1011" s="9">
        <v>5372125</v>
      </c>
      <c r="B1011" s="10">
        <v>42930</v>
      </c>
      <c r="C1011" s="11">
        <v>0.62517361111111114</v>
      </c>
      <c r="D1011" s="12">
        <v>0.62518518518518518</v>
      </c>
      <c r="E1011">
        <f t="shared" si="30"/>
        <v>1</v>
      </c>
      <c r="F1011">
        <f t="shared" si="31"/>
        <v>0</v>
      </c>
    </row>
    <row r="1012" spans="1:6" x14ac:dyDescent="0.35">
      <c r="A1012" s="5">
        <v>8870498</v>
      </c>
      <c r="B1012" s="6">
        <v>42933</v>
      </c>
      <c r="C1012" s="7">
        <v>0.33702546296296299</v>
      </c>
      <c r="D1012" s="8">
        <v>0.34466435185185185</v>
      </c>
      <c r="E1012">
        <f t="shared" si="30"/>
        <v>1</v>
      </c>
      <c r="F1012">
        <f t="shared" si="31"/>
        <v>0</v>
      </c>
    </row>
    <row r="1013" spans="1:6" x14ac:dyDescent="0.35">
      <c r="A1013" s="9">
        <v>7880585</v>
      </c>
      <c r="B1013" s="10">
        <v>42933</v>
      </c>
      <c r="C1013" s="11">
        <v>0.34074074074074073</v>
      </c>
      <c r="D1013" s="12">
        <v>0.34971064814814817</v>
      </c>
      <c r="E1013">
        <f t="shared" si="30"/>
        <v>1</v>
      </c>
      <c r="F1013">
        <f t="shared" si="31"/>
        <v>0</v>
      </c>
    </row>
    <row r="1014" spans="1:6" x14ac:dyDescent="0.35">
      <c r="A1014" s="5">
        <v>3652646</v>
      </c>
      <c r="B1014" s="6">
        <v>42933</v>
      </c>
      <c r="C1014" s="7">
        <v>0.34233796296296298</v>
      </c>
      <c r="D1014" s="8">
        <v>0.34569444444444447</v>
      </c>
      <c r="E1014">
        <f t="shared" si="30"/>
        <v>1</v>
      </c>
      <c r="F1014">
        <f t="shared" si="31"/>
        <v>0</v>
      </c>
    </row>
    <row r="1015" spans="1:6" x14ac:dyDescent="0.35">
      <c r="A1015" s="9">
        <v>3691457</v>
      </c>
      <c r="B1015" s="10">
        <v>42933</v>
      </c>
      <c r="C1015" s="11">
        <v>0.34688657407407408</v>
      </c>
      <c r="D1015" s="12">
        <v>0.35810185185185184</v>
      </c>
      <c r="E1015">
        <f t="shared" si="30"/>
        <v>1</v>
      </c>
      <c r="F1015">
        <f t="shared" si="31"/>
        <v>0</v>
      </c>
    </row>
    <row r="1016" spans="1:6" x14ac:dyDescent="0.35">
      <c r="A1016" s="5">
        <v>4344184930</v>
      </c>
      <c r="B1016" s="6">
        <v>42933</v>
      </c>
      <c r="C1016" s="7">
        <v>0.34866898148148145</v>
      </c>
      <c r="D1016" s="8">
        <v>0.35778935185185184</v>
      </c>
      <c r="E1016">
        <f t="shared" si="30"/>
        <v>0</v>
      </c>
      <c r="F1016">
        <f t="shared" si="31"/>
        <v>0</v>
      </c>
    </row>
    <row r="1017" spans="1:6" x14ac:dyDescent="0.35">
      <c r="A1017" s="9">
        <v>5290460</v>
      </c>
      <c r="B1017" s="10">
        <v>42933</v>
      </c>
      <c r="C1017" s="11">
        <v>0.3525578703703704</v>
      </c>
      <c r="D1017" s="12">
        <v>0.36346064814814816</v>
      </c>
      <c r="E1017">
        <f t="shared" si="30"/>
        <v>1</v>
      </c>
      <c r="F1017">
        <f t="shared" si="31"/>
        <v>0</v>
      </c>
    </row>
    <row r="1018" spans="1:6" x14ac:dyDescent="0.35">
      <c r="A1018" s="5">
        <v>6922037</v>
      </c>
      <c r="B1018" s="6">
        <v>42933</v>
      </c>
      <c r="C1018" s="7">
        <v>0.35569444444444442</v>
      </c>
      <c r="D1018" s="8">
        <v>0.35796296296296298</v>
      </c>
      <c r="E1018">
        <f t="shared" si="30"/>
        <v>1</v>
      </c>
      <c r="F1018">
        <f t="shared" si="31"/>
        <v>0</v>
      </c>
    </row>
    <row r="1019" spans="1:6" x14ac:dyDescent="0.35">
      <c r="A1019" s="9">
        <v>7060245</v>
      </c>
      <c r="B1019" s="10">
        <v>42933</v>
      </c>
      <c r="C1019" s="11">
        <v>0.35920138888888886</v>
      </c>
      <c r="D1019" s="12">
        <v>0.36319444444444443</v>
      </c>
      <c r="E1019">
        <f t="shared" si="30"/>
        <v>1</v>
      </c>
      <c r="F1019">
        <f t="shared" si="31"/>
        <v>0</v>
      </c>
    </row>
    <row r="1020" spans="1:6" x14ac:dyDescent="0.35">
      <c r="A1020" s="5">
        <v>5788783</v>
      </c>
      <c r="B1020" s="6">
        <v>42933</v>
      </c>
      <c r="C1020" s="7">
        <v>0.36114583333333333</v>
      </c>
      <c r="D1020" s="8">
        <v>0.36629629629629629</v>
      </c>
      <c r="E1020">
        <f t="shared" si="30"/>
        <v>1</v>
      </c>
      <c r="F1020">
        <f t="shared" si="31"/>
        <v>0</v>
      </c>
    </row>
    <row r="1021" spans="1:6" x14ac:dyDescent="0.35">
      <c r="A1021" s="9">
        <v>8647144</v>
      </c>
      <c r="B1021" s="10">
        <v>42933</v>
      </c>
      <c r="C1021" s="11">
        <v>0.36208333333333331</v>
      </c>
      <c r="D1021" s="12">
        <v>0.36282407407407408</v>
      </c>
      <c r="E1021">
        <f t="shared" si="30"/>
        <v>1</v>
      </c>
      <c r="F1021">
        <f t="shared" si="31"/>
        <v>0</v>
      </c>
    </row>
    <row r="1022" spans="1:6" x14ac:dyDescent="0.35">
      <c r="A1022" s="5">
        <v>24665933</v>
      </c>
      <c r="B1022" s="6">
        <v>42933</v>
      </c>
      <c r="C1022" s="7">
        <v>0.36373842592592592</v>
      </c>
      <c r="D1022" s="8">
        <v>0.36895833333333333</v>
      </c>
      <c r="E1022">
        <f t="shared" si="30"/>
        <v>0</v>
      </c>
      <c r="F1022">
        <f t="shared" si="31"/>
        <v>1</v>
      </c>
    </row>
    <row r="1023" spans="1:6" x14ac:dyDescent="0.35">
      <c r="A1023" s="9">
        <v>3326329</v>
      </c>
      <c r="B1023" s="10">
        <v>42933</v>
      </c>
      <c r="C1023" s="11">
        <v>0.36928240740740742</v>
      </c>
      <c r="D1023" s="12">
        <v>0.37148148148148147</v>
      </c>
      <c r="E1023">
        <f t="shared" si="30"/>
        <v>1</v>
      </c>
      <c r="F1023">
        <f t="shared" si="31"/>
        <v>0</v>
      </c>
    </row>
    <row r="1024" spans="1:6" x14ac:dyDescent="0.35">
      <c r="A1024" s="5">
        <v>3478111</v>
      </c>
      <c r="B1024" s="6">
        <v>42933</v>
      </c>
      <c r="C1024" s="7">
        <v>0.37144675925925924</v>
      </c>
      <c r="D1024" s="8">
        <v>0.37270833333333331</v>
      </c>
      <c r="E1024">
        <f t="shared" si="30"/>
        <v>1</v>
      </c>
      <c r="F1024">
        <f t="shared" si="31"/>
        <v>0</v>
      </c>
    </row>
    <row r="1025" spans="1:6" x14ac:dyDescent="0.35">
      <c r="A1025" s="9">
        <v>7937998</v>
      </c>
      <c r="B1025" s="10">
        <v>42933</v>
      </c>
      <c r="C1025" s="11">
        <v>0.37627314814814816</v>
      </c>
      <c r="D1025" s="12">
        <v>0.37802083333333331</v>
      </c>
      <c r="E1025">
        <f t="shared" si="30"/>
        <v>1</v>
      </c>
      <c r="F1025">
        <f t="shared" si="31"/>
        <v>0</v>
      </c>
    </row>
    <row r="1026" spans="1:6" x14ac:dyDescent="0.35">
      <c r="A1026" s="5">
        <v>82239478</v>
      </c>
      <c r="B1026" s="6">
        <v>42933</v>
      </c>
      <c r="C1026" s="7">
        <v>0.38178240740740743</v>
      </c>
      <c r="D1026" s="8">
        <v>0.38648148148148148</v>
      </c>
      <c r="E1026">
        <f t="shared" si="30"/>
        <v>0</v>
      </c>
      <c r="F1026">
        <f t="shared" si="31"/>
        <v>1</v>
      </c>
    </row>
    <row r="1027" spans="1:6" x14ac:dyDescent="0.35">
      <c r="A1027" s="9">
        <v>2557643</v>
      </c>
      <c r="B1027" s="10">
        <v>42933</v>
      </c>
      <c r="C1027" s="11">
        <v>0.38622685185185185</v>
      </c>
      <c r="D1027" s="12">
        <v>0.38957175925925924</v>
      </c>
      <c r="E1027">
        <f t="shared" ref="E1027:E1090" si="32">IF(LEN(A1027)=7,1,0)</f>
        <v>1</v>
      </c>
      <c r="F1027">
        <f t="shared" ref="F1027:F1090" si="33">IF(LEN(A1027)=8,1,0)</f>
        <v>0</v>
      </c>
    </row>
    <row r="1028" spans="1:6" x14ac:dyDescent="0.35">
      <c r="A1028" s="5">
        <v>4501726</v>
      </c>
      <c r="B1028" s="6">
        <v>42933</v>
      </c>
      <c r="C1028" s="7">
        <v>0.38754629629629628</v>
      </c>
      <c r="D1028" s="8">
        <v>0.39260416666666664</v>
      </c>
      <c r="E1028">
        <f t="shared" si="32"/>
        <v>1</v>
      </c>
      <c r="F1028">
        <f t="shared" si="33"/>
        <v>0</v>
      </c>
    </row>
    <row r="1029" spans="1:6" x14ac:dyDescent="0.35">
      <c r="A1029" s="9">
        <v>1415198</v>
      </c>
      <c r="B1029" s="10">
        <v>42933</v>
      </c>
      <c r="C1029" s="11">
        <v>0.38991898148148146</v>
      </c>
      <c r="D1029" s="12">
        <v>0.40072916666666669</v>
      </c>
      <c r="E1029">
        <f t="shared" si="32"/>
        <v>1</v>
      </c>
      <c r="F1029">
        <f t="shared" si="33"/>
        <v>0</v>
      </c>
    </row>
    <row r="1030" spans="1:6" x14ac:dyDescent="0.35">
      <c r="A1030" s="5">
        <v>23368531</v>
      </c>
      <c r="B1030" s="6">
        <v>42933</v>
      </c>
      <c r="C1030" s="7">
        <v>0.39103009259259258</v>
      </c>
      <c r="D1030" s="8">
        <v>0.39221064814814816</v>
      </c>
      <c r="E1030">
        <f t="shared" si="32"/>
        <v>0</v>
      </c>
      <c r="F1030">
        <f t="shared" si="33"/>
        <v>1</v>
      </c>
    </row>
    <row r="1031" spans="1:6" x14ac:dyDescent="0.35">
      <c r="A1031" s="9">
        <v>5750549</v>
      </c>
      <c r="B1031" s="10">
        <v>42933</v>
      </c>
      <c r="C1031" s="11">
        <v>0.3948726851851852</v>
      </c>
      <c r="D1031" s="12">
        <v>0.39504629629629628</v>
      </c>
      <c r="E1031">
        <f t="shared" si="32"/>
        <v>1</v>
      </c>
      <c r="F1031">
        <f t="shared" si="33"/>
        <v>0</v>
      </c>
    </row>
    <row r="1032" spans="1:6" x14ac:dyDescent="0.35">
      <c r="A1032" s="5">
        <v>3897850970</v>
      </c>
      <c r="B1032" s="6">
        <v>42933</v>
      </c>
      <c r="C1032" s="7">
        <v>0.3951736111111111</v>
      </c>
      <c r="D1032" s="8">
        <v>0.39697916666666666</v>
      </c>
      <c r="E1032">
        <f t="shared" si="32"/>
        <v>0</v>
      </c>
      <c r="F1032">
        <f t="shared" si="33"/>
        <v>0</v>
      </c>
    </row>
    <row r="1033" spans="1:6" x14ac:dyDescent="0.35">
      <c r="A1033" s="9">
        <v>2573868</v>
      </c>
      <c r="B1033" s="10">
        <v>42933</v>
      </c>
      <c r="C1033" s="11">
        <v>0.39962962962962961</v>
      </c>
      <c r="D1033" s="12">
        <v>0.40937499999999999</v>
      </c>
      <c r="E1033">
        <f t="shared" si="32"/>
        <v>1</v>
      </c>
      <c r="F1033">
        <f t="shared" si="33"/>
        <v>0</v>
      </c>
    </row>
    <row r="1034" spans="1:6" x14ac:dyDescent="0.35">
      <c r="A1034" s="5">
        <v>1701008</v>
      </c>
      <c r="B1034" s="6">
        <v>42933</v>
      </c>
      <c r="C1034" s="7">
        <v>0.40104166666666669</v>
      </c>
      <c r="D1034" s="8">
        <v>0.40837962962962965</v>
      </c>
      <c r="E1034">
        <f t="shared" si="32"/>
        <v>1</v>
      </c>
      <c r="F1034">
        <f t="shared" si="33"/>
        <v>0</v>
      </c>
    </row>
    <row r="1035" spans="1:6" x14ac:dyDescent="0.35">
      <c r="A1035" s="9">
        <v>1617146</v>
      </c>
      <c r="B1035" s="10">
        <v>42933</v>
      </c>
      <c r="C1035" s="11">
        <v>0.40575231481481483</v>
      </c>
      <c r="D1035" s="12">
        <v>0.41274305555555557</v>
      </c>
      <c r="E1035">
        <f t="shared" si="32"/>
        <v>1</v>
      </c>
      <c r="F1035">
        <f t="shared" si="33"/>
        <v>0</v>
      </c>
    </row>
    <row r="1036" spans="1:6" x14ac:dyDescent="0.35">
      <c r="A1036" s="5">
        <v>7085993</v>
      </c>
      <c r="B1036" s="6">
        <v>42933</v>
      </c>
      <c r="C1036" s="7">
        <v>0.40719907407407407</v>
      </c>
      <c r="D1036" s="8">
        <v>0.41578703703703701</v>
      </c>
      <c r="E1036">
        <f t="shared" si="32"/>
        <v>1</v>
      </c>
      <c r="F1036">
        <f t="shared" si="33"/>
        <v>0</v>
      </c>
    </row>
    <row r="1037" spans="1:6" x14ac:dyDescent="0.35">
      <c r="A1037" s="9">
        <v>73460179</v>
      </c>
      <c r="B1037" s="10">
        <v>42933</v>
      </c>
      <c r="C1037" s="11">
        <v>0.41060185185185183</v>
      </c>
      <c r="D1037" s="12">
        <v>0.41334490740740742</v>
      </c>
      <c r="E1037">
        <f t="shared" si="32"/>
        <v>0</v>
      </c>
      <c r="F1037">
        <f t="shared" si="33"/>
        <v>1</v>
      </c>
    </row>
    <row r="1038" spans="1:6" x14ac:dyDescent="0.35">
      <c r="A1038" s="5">
        <v>5983034</v>
      </c>
      <c r="B1038" s="6">
        <v>42933</v>
      </c>
      <c r="C1038" s="7">
        <v>0.41253472222222221</v>
      </c>
      <c r="D1038" s="8">
        <v>0.41753472222222221</v>
      </c>
      <c r="E1038">
        <f t="shared" si="32"/>
        <v>1</v>
      </c>
      <c r="F1038">
        <f t="shared" si="33"/>
        <v>0</v>
      </c>
    </row>
    <row r="1039" spans="1:6" x14ac:dyDescent="0.35">
      <c r="A1039" s="9">
        <v>16724936</v>
      </c>
      <c r="B1039" s="10">
        <v>42933</v>
      </c>
      <c r="C1039" s="11">
        <v>0.41317129629629629</v>
      </c>
      <c r="D1039" s="12">
        <v>0.41466435185185185</v>
      </c>
      <c r="E1039">
        <f t="shared" si="32"/>
        <v>0</v>
      </c>
      <c r="F1039">
        <f t="shared" si="33"/>
        <v>1</v>
      </c>
    </row>
    <row r="1040" spans="1:6" x14ac:dyDescent="0.35">
      <c r="A1040" s="5">
        <v>19343766</v>
      </c>
      <c r="B1040" s="6">
        <v>42933</v>
      </c>
      <c r="C1040" s="7">
        <v>0.41572916666666665</v>
      </c>
      <c r="D1040" s="8">
        <v>0.41825231481481484</v>
      </c>
      <c r="E1040">
        <f t="shared" si="32"/>
        <v>0</v>
      </c>
      <c r="F1040">
        <f t="shared" si="33"/>
        <v>1</v>
      </c>
    </row>
    <row r="1041" spans="1:6" x14ac:dyDescent="0.35">
      <c r="A1041" s="9">
        <v>7439955</v>
      </c>
      <c r="B1041" s="10">
        <v>42933</v>
      </c>
      <c r="C1041" s="11">
        <v>0.41716435185185186</v>
      </c>
      <c r="D1041" s="12">
        <v>0.4284722222222222</v>
      </c>
      <c r="E1041">
        <f t="shared" si="32"/>
        <v>1</v>
      </c>
      <c r="F1041">
        <f t="shared" si="33"/>
        <v>0</v>
      </c>
    </row>
    <row r="1042" spans="1:6" x14ac:dyDescent="0.35">
      <c r="A1042" s="5">
        <v>7224275</v>
      </c>
      <c r="B1042" s="6">
        <v>42933</v>
      </c>
      <c r="C1042" s="7">
        <v>0.41899305555555555</v>
      </c>
      <c r="D1042" s="8">
        <v>0.41968749999999999</v>
      </c>
      <c r="E1042">
        <f t="shared" si="32"/>
        <v>1</v>
      </c>
      <c r="F1042">
        <f t="shared" si="33"/>
        <v>0</v>
      </c>
    </row>
    <row r="1043" spans="1:6" x14ac:dyDescent="0.35">
      <c r="A1043" s="9">
        <v>1679471</v>
      </c>
      <c r="B1043" s="10">
        <v>42933</v>
      </c>
      <c r="C1043" s="11">
        <v>0.42386574074074074</v>
      </c>
      <c r="D1043" s="12">
        <v>0.42885416666666665</v>
      </c>
      <c r="E1043">
        <f t="shared" si="32"/>
        <v>1</v>
      </c>
      <c r="F1043">
        <f t="shared" si="33"/>
        <v>0</v>
      </c>
    </row>
    <row r="1044" spans="1:6" x14ac:dyDescent="0.35">
      <c r="A1044" s="5">
        <v>6270159</v>
      </c>
      <c r="B1044" s="6">
        <v>42933</v>
      </c>
      <c r="C1044" s="7">
        <v>0.42664351851851851</v>
      </c>
      <c r="D1044" s="8">
        <v>0.42697916666666669</v>
      </c>
      <c r="E1044">
        <f t="shared" si="32"/>
        <v>1</v>
      </c>
      <c r="F1044">
        <f t="shared" si="33"/>
        <v>0</v>
      </c>
    </row>
    <row r="1045" spans="1:6" x14ac:dyDescent="0.35">
      <c r="A1045" s="9">
        <v>1482340</v>
      </c>
      <c r="B1045" s="10">
        <v>42933</v>
      </c>
      <c r="C1045" s="11">
        <v>0.42983796296296295</v>
      </c>
      <c r="D1045" s="12">
        <v>0.43975694444444446</v>
      </c>
      <c r="E1045">
        <f t="shared" si="32"/>
        <v>1</v>
      </c>
      <c r="F1045">
        <f t="shared" si="33"/>
        <v>0</v>
      </c>
    </row>
    <row r="1046" spans="1:6" x14ac:dyDescent="0.35">
      <c r="A1046" s="5">
        <v>28185580</v>
      </c>
      <c r="B1046" s="6">
        <v>42933</v>
      </c>
      <c r="C1046" s="7">
        <v>0.43086805555555557</v>
      </c>
      <c r="D1046" s="8">
        <v>0.43388888888888888</v>
      </c>
      <c r="E1046">
        <f t="shared" si="32"/>
        <v>0</v>
      </c>
      <c r="F1046">
        <f t="shared" si="33"/>
        <v>1</v>
      </c>
    </row>
    <row r="1047" spans="1:6" x14ac:dyDescent="0.35">
      <c r="A1047" s="9">
        <v>4222605</v>
      </c>
      <c r="B1047" s="10">
        <v>42933</v>
      </c>
      <c r="C1047" s="11">
        <v>0.43375000000000002</v>
      </c>
      <c r="D1047" s="12">
        <v>0.43592592592592594</v>
      </c>
      <c r="E1047">
        <f t="shared" si="32"/>
        <v>1</v>
      </c>
      <c r="F1047">
        <f t="shared" si="33"/>
        <v>0</v>
      </c>
    </row>
    <row r="1048" spans="1:6" x14ac:dyDescent="0.35">
      <c r="A1048" s="5">
        <v>6689117</v>
      </c>
      <c r="B1048" s="6">
        <v>42933</v>
      </c>
      <c r="C1048" s="7">
        <v>0.43546296296296294</v>
      </c>
      <c r="D1048" s="8">
        <v>0.43662037037037038</v>
      </c>
      <c r="E1048">
        <f t="shared" si="32"/>
        <v>1</v>
      </c>
      <c r="F1048">
        <f t="shared" si="33"/>
        <v>0</v>
      </c>
    </row>
    <row r="1049" spans="1:6" x14ac:dyDescent="0.35">
      <c r="A1049" s="9">
        <v>3785540</v>
      </c>
      <c r="B1049" s="10">
        <v>42933</v>
      </c>
      <c r="C1049" s="11">
        <v>0.43569444444444444</v>
      </c>
      <c r="D1049" s="12">
        <v>0.4362037037037037</v>
      </c>
      <c r="E1049">
        <f t="shared" si="32"/>
        <v>1</v>
      </c>
      <c r="F1049">
        <f t="shared" si="33"/>
        <v>0</v>
      </c>
    </row>
    <row r="1050" spans="1:6" x14ac:dyDescent="0.35">
      <c r="A1050" s="5">
        <v>6151478</v>
      </c>
      <c r="B1050" s="6">
        <v>42933</v>
      </c>
      <c r="C1050" s="7">
        <v>0.44103009259259257</v>
      </c>
      <c r="D1050" s="8">
        <v>0.44807870370370373</v>
      </c>
      <c r="E1050">
        <f t="shared" si="32"/>
        <v>1</v>
      </c>
      <c r="F1050">
        <f t="shared" si="33"/>
        <v>0</v>
      </c>
    </row>
    <row r="1051" spans="1:6" x14ac:dyDescent="0.35">
      <c r="A1051" s="9">
        <v>9926754</v>
      </c>
      <c r="B1051" s="10">
        <v>42933</v>
      </c>
      <c r="C1051" s="11">
        <v>0.44421296296296298</v>
      </c>
      <c r="D1051" s="12">
        <v>0.44739583333333333</v>
      </c>
      <c r="E1051">
        <f t="shared" si="32"/>
        <v>1</v>
      </c>
      <c r="F1051">
        <f t="shared" si="33"/>
        <v>0</v>
      </c>
    </row>
    <row r="1052" spans="1:6" x14ac:dyDescent="0.35">
      <c r="A1052" s="5">
        <v>89098100</v>
      </c>
      <c r="B1052" s="6">
        <v>42933</v>
      </c>
      <c r="C1052" s="7">
        <v>0.44609953703703703</v>
      </c>
      <c r="D1052" s="8">
        <v>0.44979166666666665</v>
      </c>
      <c r="E1052">
        <f t="shared" si="32"/>
        <v>0</v>
      </c>
      <c r="F1052">
        <f t="shared" si="33"/>
        <v>1</v>
      </c>
    </row>
    <row r="1053" spans="1:6" x14ac:dyDescent="0.35">
      <c r="A1053" s="9">
        <v>6460935</v>
      </c>
      <c r="B1053" s="10">
        <v>42933</v>
      </c>
      <c r="C1053" s="11">
        <v>0.45122685185185185</v>
      </c>
      <c r="D1053" s="12">
        <v>0.45480324074074074</v>
      </c>
      <c r="E1053">
        <f t="shared" si="32"/>
        <v>1</v>
      </c>
      <c r="F1053">
        <f t="shared" si="33"/>
        <v>0</v>
      </c>
    </row>
    <row r="1054" spans="1:6" x14ac:dyDescent="0.35">
      <c r="A1054" s="5">
        <v>83559673</v>
      </c>
      <c r="B1054" s="6">
        <v>42933</v>
      </c>
      <c r="C1054" s="7">
        <v>0.45623842592592595</v>
      </c>
      <c r="D1054" s="8">
        <v>0.46062500000000001</v>
      </c>
      <c r="E1054">
        <f t="shared" si="32"/>
        <v>0</v>
      </c>
      <c r="F1054">
        <f t="shared" si="33"/>
        <v>1</v>
      </c>
    </row>
    <row r="1055" spans="1:6" x14ac:dyDescent="0.35">
      <c r="A1055" s="9">
        <v>1661633</v>
      </c>
      <c r="B1055" s="10">
        <v>42933</v>
      </c>
      <c r="C1055" s="11">
        <v>0.4611574074074074</v>
      </c>
      <c r="D1055" s="12">
        <v>0.46372685185185186</v>
      </c>
      <c r="E1055">
        <f t="shared" si="32"/>
        <v>1</v>
      </c>
      <c r="F1055">
        <f t="shared" si="33"/>
        <v>0</v>
      </c>
    </row>
    <row r="1056" spans="1:6" x14ac:dyDescent="0.35">
      <c r="A1056" s="5">
        <v>5809293</v>
      </c>
      <c r="B1056" s="6">
        <v>42933</v>
      </c>
      <c r="C1056" s="7">
        <v>0.46481481481481479</v>
      </c>
      <c r="D1056" s="8">
        <v>0.47425925925925927</v>
      </c>
      <c r="E1056">
        <f t="shared" si="32"/>
        <v>1</v>
      </c>
      <c r="F1056">
        <f t="shared" si="33"/>
        <v>0</v>
      </c>
    </row>
    <row r="1057" spans="1:6" x14ac:dyDescent="0.35">
      <c r="A1057" s="9">
        <v>5790304</v>
      </c>
      <c r="B1057" s="10">
        <v>42933</v>
      </c>
      <c r="C1057" s="11">
        <v>0.46655092592592595</v>
      </c>
      <c r="D1057" s="12">
        <v>0.47357638888888887</v>
      </c>
      <c r="E1057">
        <f t="shared" si="32"/>
        <v>1</v>
      </c>
      <c r="F1057">
        <f t="shared" si="33"/>
        <v>0</v>
      </c>
    </row>
    <row r="1058" spans="1:6" x14ac:dyDescent="0.35">
      <c r="A1058" s="5">
        <v>7088840</v>
      </c>
      <c r="B1058" s="6">
        <v>42933</v>
      </c>
      <c r="C1058" s="7">
        <v>0.46711805555555558</v>
      </c>
      <c r="D1058" s="8">
        <v>0.47856481481481483</v>
      </c>
      <c r="E1058">
        <f t="shared" si="32"/>
        <v>1</v>
      </c>
      <c r="F1058">
        <f t="shared" si="33"/>
        <v>0</v>
      </c>
    </row>
    <row r="1059" spans="1:6" x14ac:dyDescent="0.35">
      <c r="A1059" s="9">
        <v>1302112</v>
      </c>
      <c r="B1059" s="10">
        <v>42933</v>
      </c>
      <c r="C1059" s="11">
        <v>0.46939814814814818</v>
      </c>
      <c r="D1059" s="12">
        <v>0.47047453703703701</v>
      </c>
      <c r="E1059">
        <f t="shared" si="32"/>
        <v>1</v>
      </c>
      <c r="F1059">
        <f t="shared" si="33"/>
        <v>0</v>
      </c>
    </row>
    <row r="1060" spans="1:6" x14ac:dyDescent="0.35">
      <c r="A1060" s="5">
        <v>8299537</v>
      </c>
      <c r="B1060" s="6">
        <v>42933</v>
      </c>
      <c r="C1060" s="7">
        <v>0.47302083333333333</v>
      </c>
      <c r="D1060" s="8">
        <v>0.47939814814814813</v>
      </c>
      <c r="E1060">
        <f t="shared" si="32"/>
        <v>1</v>
      </c>
      <c r="F1060">
        <f t="shared" si="33"/>
        <v>0</v>
      </c>
    </row>
    <row r="1061" spans="1:6" x14ac:dyDescent="0.35">
      <c r="A1061" s="9">
        <v>1519891</v>
      </c>
      <c r="B1061" s="10">
        <v>42933</v>
      </c>
      <c r="C1061" s="11">
        <v>0.47604166666666664</v>
      </c>
      <c r="D1061" s="12">
        <v>0.48714120370370373</v>
      </c>
      <c r="E1061">
        <f t="shared" si="32"/>
        <v>1</v>
      </c>
      <c r="F1061">
        <f t="shared" si="33"/>
        <v>0</v>
      </c>
    </row>
    <row r="1062" spans="1:6" x14ac:dyDescent="0.35">
      <c r="A1062" s="5">
        <v>29771613</v>
      </c>
      <c r="B1062" s="6">
        <v>42933</v>
      </c>
      <c r="C1062" s="7">
        <v>0.47706018518518517</v>
      </c>
      <c r="D1062" s="8">
        <v>0.47881944444444446</v>
      </c>
      <c r="E1062">
        <f t="shared" si="32"/>
        <v>0</v>
      </c>
      <c r="F1062">
        <f t="shared" si="33"/>
        <v>1</v>
      </c>
    </row>
    <row r="1063" spans="1:6" x14ac:dyDescent="0.35">
      <c r="A1063" s="9">
        <v>9088045</v>
      </c>
      <c r="B1063" s="10">
        <v>42933</v>
      </c>
      <c r="C1063" s="11">
        <v>0.47714120370370372</v>
      </c>
      <c r="D1063" s="12">
        <v>0.47728009259259258</v>
      </c>
      <c r="E1063">
        <f t="shared" si="32"/>
        <v>1</v>
      </c>
      <c r="F1063">
        <f t="shared" si="33"/>
        <v>0</v>
      </c>
    </row>
    <row r="1064" spans="1:6" x14ac:dyDescent="0.35">
      <c r="A1064" s="5">
        <v>59864989</v>
      </c>
      <c r="B1064" s="6">
        <v>42933</v>
      </c>
      <c r="C1064" s="7">
        <v>0.48119212962962965</v>
      </c>
      <c r="D1064" s="8">
        <v>0.49038194444444444</v>
      </c>
      <c r="E1064">
        <f t="shared" si="32"/>
        <v>0</v>
      </c>
      <c r="F1064">
        <f t="shared" si="33"/>
        <v>1</v>
      </c>
    </row>
    <row r="1065" spans="1:6" x14ac:dyDescent="0.35">
      <c r="A1065" s="9">
        <v>2741017</v>
      </c>
      <c r="B1065" s="10">
        <v>42933</v>
      </c>
      <c r="C1065" s="11">
        <v>0.4838425925925926</v>
      </c>
      <c r="D1065" s="12">
        <v>0.49107638888888888</v>
      </c>
      <c r="E1065">
        <f t="shared" si="32"/>
        <v>1</v>
      </c>
      <c r="F1065">
        <f t="shared" si="33"/>
        <v>0</v>
      </c>
    </row>
    <row r="1066" spans="1:6" x14ac:dyDescent="0.35">
      <c r="A1066" s="5">
        <v>1092699</v>
      </c>
      <c r="B1066" s="6">
        <v>42933</v>
      </c>
      <c r="C1066" s="7">
        <v>0.48430555555555554</v>
      </c>
      <c r="D1066" s="8">
        <v>0.49372685185185183</v>
      </c>
      <c r="E1066">
        <f t="shared" si="32"/>
        <v>1</v>
      </c>
      <c r="F1066">
        <f t="shared" si="33"/>
        <v>0</v>
      </c>
    </row>
    <row r="1067" spans="1:6" x14ac:dyDescent="0.35">
      <c r="A1067" s="9">
        <v>3284714</v>
      </c>
      <c r="B1067" s="10">
        <v>42933</v>
      </c>
      <c r="C1067" s="11">
        <v>0.48533564814814817</v>
      </c>
      <c r="D1067" s="12">
        <v>0.49689814814814814</v>
      </c>
      <c r="E1067">
        <f t="shared" si="32"/>
        <v>1</v>
      </c>
      <c r="F1067">
        <f t="shared" si="33"/>
        <v>0</v>
      </c>
    </row>
    <row r="1068" spans="1:6" x14ac:dyDescent="0.35">
      <c r="A1068" s="5">
        <v>1822675725</v>
      </c>
      <c r="B1068" s="6">
        <v>42933</v>
      </c>
      <c r="C1068" s="7">
        <v>0.48542824074074076</v>
      </c>
      <c r="D1068" s="8">
        <v>0.49109953703703701</v>
      </c>
      <c r="E1068">
        <f t="shared" si="32"/>
        <v>0</v>
      </c>
      <c r="F1068">
        <f t="shared" si="33"/>
        <v>0</v>
      </c>
    </row>
    <row r="1069" spans="1:6" x14ac:dyDescent="0.35">
      <c r="A1069" s="9">
        <v>9595194</v>
      </c>
      <c r="B1069" s="10">
        <v>42933</v>
      </c>
      <c r="C1069" s="11">
        <v>0.48833333333333334</v>
      </c>
      <c r="D1069" s="12">
        <v>0.49960648148148146</v>
      </c>
      <c r="E1069">
        <f t="shared" si="32"/>
        <v>1</v>
      </c>
      <c r="F1069">
        <f t="shared" si="33"/>
        <v>0</v>
      </c>
    </row>
    <row r="1070" spans="1:6" x14ac:dyDescent="0.35">
      <c r="A1070" s="5">
        <v>5015921</v>
      </c>
      <c r="B1070" s="6">
        <v>42933</v>
      </c>
      <c r="C1070" s="7">
        <v>0.49362268518518521</v>
      </c>
      <c r="D1070" s="8">
        <v>0.49859953703703702</v>
      </c>
      <c r="E1070">
        <f t="shared" si="32"/>
        <v>1</v>
      </c>
      <c r="F1070">
        <f t="shared" si="33"/>
        <v>0</v>
      </c>
    </row>
    <row r="1071" spans="1:6" x14ac:dyDescent="0.35">
      <c r="A1071" s="9">
        <v>1015521</v>
      </c>
      <c r="B1071" s="10">
        <v>42933</v>
      </c>
      <c r="C1071" s="11">
        <v>0.49658564814814815</v>
      </c>
      <c r="D1071" s="12">
        <v>0.49866898148148148</v>
      </c>
      <c r="E1071">
        <f t="shared" si="32"/>
        <v>1</v>
      </c>
      <c r="F1071">
        <f t="shared" si="33"/>
        <v>0</v>
      </c>
    </row>
    <row r="1072" spans="1:6" x14ac:dyDescent="0.35">
      <c r="A1072" s="5">
        <v>4452201</v>
      </c>
      <c r="B1072" s="6">
        <v>42933</v>
      </c>
      <c r="C1072" s="7">
        <v>0.49760416666666668</v>
      </c>
      <c r="D1072" s="8">
        <v>0.50249999999999995</v>
      </c>
      <c r="E1072">
        <f t="shared" si="32"/>
        <v>1</v>
      </c>
      <c r="F1072">
        <f t="shared" si="33"/>
        <v>0</v>
      </c>
    </row>
    <row r="1073" spans="1:6" x14ac:dyDescent="0.35">
      <c r="A1073" s="9">
        <v>6801890</v>
      </c>
      <c r="B1073" s="10">
        <v>42933</v>
      </c>
      <c r="C1073" s="11">
        <v>0.50284722222222222</v>
      </c>
      <c r="D1073" s="12">
        <v>0.50736111111111115</v>
      </c>
      <c r="E1073">
        <f t="shared" si="32"/>
        <v>1</v>
      </c>
      <c r="F1073">
        <f t="shared" si="33"/>
        <v>0</v>
      </c>
    </row>
    <row r="1074" spans="1:6" x14ac:dyDescent="0.35">
      <c r="A1074" s="5">
        <v>19638469</v>
      </c>
      <c r="B1074" s="6">
        <v>42933</v>
      </c>
      <c r="C1074" s="7">
        <v>0.50768518518518524</v>
      </c>
      <c r="D1074" s="8">
        <v>0.51817129629629632</v>
      </c>
      <c r="E1074">
        <f t="shared" si="32"/>
        <v>0</v>
      </c>
      <c r="F1074">
        <f t="shared" si="33"/>
        <v>1</v>
      </c>
    </row>
    <row r="1075" spans="1:6" x14ac:dyDescent="0.35">
      <c r="A1075" s="9">
        <v>43897696</v>
      </c>
      <c r="B1075" s="10">
        <v>42933</v>
      </c>
      <c r="C1075" s="11">
        <v>0.51271990740740736</v>
      </c>
      <c r="D1075" s="12">
        <v>0.51616898148148149</v>
      </c>
      <c r="E1075">
        <f t="shared" si="32"/>
        <v>0</v>
      </c>
      <c r="F1075">
        <f t="shared" si="33"/>
        <v>1</v>
      </c>
    </row>
    <row r="1076" spans="1:6" x14ac:dyDescent="0.35">
      <c r="A1076" s="5">
        <v>8253162</v>
      </c>
      <c r="B1076" s="6">
        <v>42933</v>
      </c>
      <c r="C1076" s="7">
        <v>0.51468749999999996</v>
      </c>
      <c r="D1076" s="8">
        <v>0.5204050925925926</v>
      </c>
      <c r="E1076">
        <f t="shared" si="32"/>
        <v>1</v>
      </c>
      <c r="F1076">
        <f t="shared" si="33"/>
        <v>0</v>
      </c>
    </row>
    <row r="1077" spans="1:6" x14ac:dyDescent="0.35">
      <c r="A1077" s="9">
        <v>42038927</v>
      </c>
      <c r="B1077" s="10">
        <v>42933</v>
      </c>
      <c r="C1077" s="11">
        <v>0.51894675925925926</v>
      </c>
      <c r="D1077" s="12">
        <v>0.52336805555555554</v>
      </c>
      <c r="E1077">
        <f t="shared" si="32"/>
        <v>0</v>
      </c>
      <c r="F1077">
        <f t="shared" si="33"/>
        <v>1</v>
      </c>
    </row>
    <row r="1078" spans="1:6" x14ac:dyDescent="0.35">
      <c r="A1078" s="5">
        <v>5758962</v>
      </c>
      <c r="B1078" s="6">
        <v>42933</v>
      </c>
      <c r="C1078" s="7">
        <v>0.52460648148148148</v>
      </c>
      <c r="D1078" s="8">
        <v>0.53292824074074074</v>
      </c>
      <c r="E1078">
        <f t="shared" si="32"/>
        <v>1</v>
      </c>
      <c r="F1078">
        <f t="shared" si="33"/>
        <v>0</v>
      </c>
    </row>
    <row r="1079" spans="1:6" x14ac:dyDescent="0.35">
      <c r="A1079" s="9">
        <v>77096634</v>
      </c>
      <c r="B1079" s="10">
        <v>42933</v>
      </c>
      <c r="C1079" s="11">
        <v>0.52500000000000002</v>
      </c>
      <c r="D1079" s="12">
        <v>0.53071759259259255</v>
      </c>
      <c r="E1079">
        <f t="shared" si="32"/>
        <v>0</v>
      </c>
      <c r="F1079">
        <f t="shared" si="33"/>
        <v>1</v>
      </c>
    </row>
    <row r="1080" spans="1:6" x14ac:dyDescent="0.35">
      <c r="A1080" s="5">
        <v>8041809</v>
      </c>
      <c r="B1080" s="6">
        <v>42933</v>
      </c>
      <c r="C1080" s="7">
        <v>0.52508101851851852</v>
      </c>
      <c r="D1080" s="8">
        <v>0.53238425925925925</v>
      </c>
      <c r="E1080">
        <f t="shared" si="32"/>
        <v>1</v>
      </c>
      <c r="F1080">
        <f t="shared" si="33"/>
        <v>0</v>
      </c>
    </row>
    <row r="1081" spans="1:6" x14ac:dyDescent="0.35">
      <c r="A1081" s="9">
        <v>6735390</v>
      </c>
      <c r="B1081" s="10">
        <v>42933</v>
      </c>
      <c r="C1081" s="11">
        <v>0.52612268518518523</v>
      </c>
      <c r="D1081" s="12">
        <v>0.52849537037037042</v>
      </c>
      <c r="E1081">
        <f t="shared" si="32"/>
        <v>1</v>
      </c>
      <c r="F1081">
        <f t="shared" si="33"/>
        <v>0</v>
      </c>
    </row>
    <row r="1082" spans="1:6" x14ac:dyDescent="0.35">
      <c r="A1082" s="5">
        <v>93811207</v>
      </c>
      <c r="B1082" s="6">
        <v>42933</v>
      </c>
      <c r="C1082" s="7">
        <v>0.52707175925925931</v>
      </c>
      <c r="D1082" s="8">
        <v>0.53460648148148149</v>
      </c>
      <c r="E1082">
        <f t="shared" si="32"/>
        <v>0</v>
      </c>
      <c r="F1082">
        <f t="shared" si="33"/>
        <v>1</v>
      </c>
    </row>
    <row r="1083" spans="1:6" x14ac:dyDescent="0.35">
      <c r="A1083" s="9">
        <v>8079505</v>
      </c>
      <c r="B1083" s="10">
        <v>42933</v>
      </c>
      <c r="C1083" s="11">
        <v>0.52788194444444447</v>
      </c>
      <c r="D1083" s="12">
        <v>0.52908564814814818</v>
      </c>
      <c r="E1083">
        <f t="shared" si="32"/>
        <v>1</v>
      </c>
      <c r="F1083">
        <f t="shared" si="33"/>
        <v>0</v>
      </c>
    </row>
    <row r="1084" spans="1:6" x14ac:dyDescent="0.35">
      <c r="A1084" s="5">
        <v>3348581</v>
      </c>
      <c r="B1084" s="6">
        <v>42933</v>
      </c>
      <c r="C1084" s="7">
        <v>0.53150462962962963</v>
      </c>
      <c r="D1084" s="8">
        <v>0.54208333333333336</v>
      </c>
      <c r="E1084">
        <f t="shared" si="32"/>
        <v>1</v>
      </c>
      <c r="F1084">
        <f t="shared" si="33"/>
        <v>0</v>
      </c>
    </row>
    <row r="1085" spans="1:6" x14ac:dyDescent="0.35">
      <c r="A1085" s="9">
        <v>13484133</v>
      </c>
      <c r="B1085" s="10">
        <v>42933</v>
      </c>
      <c r="C1085" s="11">
        <v>0.53174768518518523</v>
      </c>
      <c r="D1085" s="12">
        <v>0.53931712962962963</v>
      </c>
      <c r="E1085">
        <f t="shared" si="32"/>
        <v>0</v>
      </c>
      <c r="F1085">
        <f t="shared" si="33"/>
        <v>1</v>
      </c>
    </row>
    <row r="1086" spans="1:6" x14ac:dyDescent="0.35">
      <c r="A1086" s="5">
        <v>3017523</v>
      </c>
      <c r="B1086" s="6">
        <v>42933</v>
      </c>
      <c r="C1086" s="7">
        <v>0.53241898148148148</v>
      </c>
      <c r="D1086" s="8">
        <v>0.54011574074074076</v>
      </c>
      <c r="E1086">
        <f t="shared" si="32"/>
        <v>1</v>
      </c>
      <c r="F1086">
        <f t="shared" si="33"/>
        <v>0</v>
      </c>
    </row>
    <row r="1087" spans="1:6" x14ac:dyDescent="0.35">
      <c r="A1087" s="9">
        <v>5464497</v>
      </c>
      <c r="B1087" s="10">
        <v>42933</v>
      </c>
      <c r="C1087" s="11">
        <v>0.53608796296296302</v>
      </c>
      <c r="D1087" s="12">
        <v>0.53657407407407409</v>
      </c>
      <c r="E1087">
        <f t="shared" si="32"/>
        <v>1</v>
      </c>
      <c r="F1087">
        <f t="shared" si="33"/>
        <v>0</v>
      </c>
    </row>
    <row r="1088" spans="1:6" x14ac:dyDescent="0.35">
      <c r="A1088" s="5">
        <v>5744567</v>
      </c>
      <c r="B1088" s="6">
        <v>42933</v>
      </c>
      <c r="C1088" s="7">
        <v>0.54048611111111111</v>
      </c>
      <c r="D1088" s="8">
        <v>0.54954861111111108</v>
      </c>
      <c r="E1088">
        <f t="shared" si="32"/>
        <v>1</v>
      </c>
      <c r="F1088">
        <f t="shared" si="33"/>
        <v>0</v>
      </c>
    </row>
    <row r="1089" spans="1:6" x14ac:dyDescent="0.35">
      <c r="A1089" s="9">
        <v>5107477025</v>
      </c>
      <c r="B1089" s="10">
        <v>42933</v>
      </c>
      <c r="C1089" s="11">
        <v>0.54495370370370366</v>
      </c>
      <c r="D1089" s="12">
        <v>0.5471759259259259</v>
      </c>
      <c r="E1089">
        <f t="shared" si="32"/>
        <v>0</v>
      </c>
      <c r="F1089">
        <f t="shared" si="33"/>
        <v>0</v>
      </c>
    </row>
    <row r="1090" spans="1:6" x14ac:dyDescent="0.35">
      <c r="A1090" s="5">
        <v>1332884</v>
      </c>
      <c r="B1090" s="6">
        <v>42933</v>
      </c>
      <c r="C1090" s="7">
        <v>0.546412037037037</v>
      </c>
      <c r="D1090" s="8">
        <v>0.54829861111111111</v>
      </c>
      <c r="E1090">
        <f t="shared" si="32"/>
        <v>1</v>
      </c>
      <c r="F1090">
        <f t="shared" si="33"/>
        <v>0</v>
      </c>
    </row>
    <row r="1091" spans="1:6" x14ac:dyDescent="0.35">
      <c r="A1091" s="9">
        <v>38823305</v>
      </c>
      <c r="B1091" s="10">
        <v>42933</v>
      </c>
      <c r="C1091" s="11">
        <v>0.54907407407407405</v>
      </c>
      <c r="D1091" s="12">
        <v>0.55969907407407404</v>
      </c>
      <c r="E1091">
        <f t="shared" ref="E1091:E1154" si="34">IF(LEN(A1091)=7,1,0)</f>
        <v>0</v>
      </c>
      <c r="F1091">
        <f t="shared" ref="F1091:F1154" si="35">IF(LEN(A1091)=8,1,0)</f>
        <v>1</v>
      </c>
    </row>
    <row r="1092" spans="1:6" x14ac:dyDescent="0.35">
      <c r="A1092" s="5">
        <v>7160339</v>
      </c>
      <c r="B1092" s="6">
        <v>42933</v>
      </c>
      <c r="C1092" s="7">
        <v>0.55456018518518524</v>
      </c>
      <c r="D1092" s="8">
        <v>0.5642476851851852</v>
      </c>
      <c r="E1092">
        <f t="shared" si="34"/>
        <v>1</v>
      </c>
      <c r="F1092">
        <f t="shared" si="35"/>
        <v>0</v>
      </c>
    </row>
    <row r="1093" spans="1:6" x14ac:dyDescent="0.35">
      <c r="A1093" s="9">
        <v>43277353</v>
      </c>
      <c r="B1093" s="10">
        <v>42933</v>
      </c>
      <c r="C1093" s="11">
        <v>0.55519675925925926</v>
      </c>
      <c r="D1093" s="12">
        <v>0.55809027777777775</v>
      </c>
      <c r="E1093">
        <f t="shared" si="34"/>
        <v>0</v>
      </c>
      <c r="F1093">
        <f t="shared" si="35"/>
        <v>1</v>
      </c>
    </row>
    <row r="1094" spans="1:6" x14ac:dyDescent="0.35">
      <c r="A1094" s="5">
        <v>8749135</v>
      </c>
      <c r="B1094" s="6">
        <v>42933</v>
      </c>
      <c r="C1094" s="7">
        <v>0.56083333333333329</v>
      </c>
      <c r="D1094" s="8">
        <v>0.56415509259259256</v>
      </c>
      <c r="E1094">
        <f t="shared" si="34"/>
        <v>1</v>
      </c>
      <c r="F1094">
        <f t="shared" si="35"/>
        <v>0</v>
      </c>
    </row>
    <row r="1095" spans="1:6" x14ac:dyDescent="0.35">
      <c r="A1095" s="9">
        <v>16977213</v>
      </c>
      <c r="B1095" s="10">
        <v>42933</v>
      </c>
      <c r="C1095" s="11">
        <v>0.56462962962962959</v>
      </c>
      <c r="D1095" s="12">
        <v>0.56841435185185185</v>
      </c>
      <c r="E1095">
        <f t="shared" si="34"/>
        <v>0</v>
      </c>
      <c r="F1095">
        <f t="shared" si="35"/>
        <v>1</v>
      </c>
    </row>
    <row r="1096" spans="1:6" x14ac:dyDescent="0.35">
      <c r="A1096" s="5">
        <v>13221411</v>
      </c>
      <c r="B1096" s="6">
        <v>42933</v>
      </c>
      <c r="C1096" s="7">
        <v>0.56511574074074078</v>
      </c>
      <c r="D1096" s="8">
        <v>0.57498842592592592</v>
      </c>
      <c r="E1096">
        <f t="shared" si="34"/>
        <v>0</v>
      </c>
      <c r="F1096">
        <f t="shared" si="35"/>
        <v>1</v>
      </c>
    </row>
    <row r="1097" spans="1:6" x14ac:dyDescent="0.35">
      <c r="A1097" s="9">
        <v>2653312</v>
      </c>
      <c r="B1097" s="10">
        <v>42933</v>
      </c>
      <c r="C1097" s="11">
        <v>0.56893518518518515</v>
      </c>
      <c r="D1097" s="12">
        <v>0.57289351851851855</v>
      </c>
      <c r="E1097">
        <f t="shared" si="34"/>
        <v>1</v>
      </c>
      <c r="F1097">
        <f t="shared" si="35"/>
        <v>0</v>
      </c>
    </row>
    <row r="1098" spans="1:6" x14ac:dyDescent="0.35">
      <c r="A1098" s="5">
        <v>4187727</v>
      </c>
      <c r="B1098" s="6">
        <v>42933</v>
      </c>
      <c r="C1098" s="7">
        <v>0.57038194444444446</v>
      </c>
      <c r="D1098" s="8">
        <v>0.57341435185185186</v>
      </c>
      <c r="E1098">
        <f t="shared" si="34"/>
        <v>1</v>
      </c>
      <c r="F1098">
        <f t="shared" si="35"/>
        <v>0</v>
      </c>
    </row>
    <row r="1099" spans="1:6" x14ac:dyDescent="0.35">
      <c r="A1099" s="9">
        <v>4370146</v>
      </c>
      <c r="B1099" s="10">
        <v>42933</v>
      </c>
      <c r="C1099" s="11">
        <v>0.57170138888888888</v>
      </c>
      <c r="D1099" s="12">
        <v>0.58212962962962966</v>
      </c>
      <c r="E1099">
        <f t="shared" si="34"/>
        <v>1</v>
      </c>
      <c r="F1099">
        <f t="shared" si="35"/>
        <v>0</v>
      </c>
    </row>
    <row r="1100" spans="1:6" x14ac:dyDescent="0.35">
      <c r="A1100" s="5">
        <v>5725773</v>
      </c>
      <c r="B1100" s="6">
        <v>42933</v>
      </c>
      <c r="C1100" s="7">
        <v>0.57466435185185183</v>
      </c>
      <c r="D1100" s="8">
        <v>0.58538194444444447</v>
      </c>
      <c r="E1100">
        <f t="shared" si="34"/>
        <v>1</v>
      </c>
      <c r="F1100">
        <f t="shared" si="35"/>
        <v>0</v>
      </c>
    </row>
    <row r="1101" spans="1:6" x14ac:dyDescent="0.35">
      <c r="A1101" s="9">
        <v>6345014</v>
      </c>
      <c r="B1101" s="10">
        <v>42933</v>
      </c>
      <c r="C1101" s="11">
        <v>0.58010416666666664</v>
      </c>
      <c r="D1101" s="12">
        <v>0.58166666666666667</v>
      </c>
      <c r="E1101">
        <f t="shared" si="34"/>
        <v>1</v>
      </c>
      <c r="F1101">
        <f t="shared" si="35"/>
        <v>0</v>
      </c>
    </row>
    <row r="1102" spans="1:6" x14ac:dyDescent="0.35">
      <c r="A1102" s="5">
        <v>7507831</v>
      </c>
      <c r="B1102" s="6">
        <v>42933</v>
      </c>
      <c r="C1102" s="7">
        <v>0.58545138888888892</v>
      </c>
      <c r="D1102" s="8">
        <v>0.59214120370370371</v>
      </c>
      <c r="E1102">
        <f t="shared" si="34"/>
        <v>1</v>
      </c>
      <c r="F1102">
        <f t="shared" si="35"/>
        <v>0</v>
      </c>
    </row>
    <row r="1103" spans="1:6" x14ac:dyDescent="0.35">
      <c r="A1103" s="9">
        <v>1198407</v>
      </c>
      <c r="B1103" s="10">
        <v>42933</v>
      </c>
      <c r="C1103" s="11">
        <v>0.59004629629629635</v>
      </c>
      <c r="D1103" s="12">
        <v>0.59799768518518515</v>
      </c>
      <c r="E1103">
        <f t="shared" si="34"/>
        <v>1</v>
      </c>
      <c r="F1103">
        <f t="shared" si="35"/>
        <v>0</v>
      </c>
    </row>
    <row r="1104" spans="1:6" x14ac:dyDescent="0.35">
      <c r="A1104" s="5">
        <v>4055319</v>
      </c>
      <c r="B1104" s="6">
        <v>42933</v>
      </c>
      <c r="C1104" s="7">
        <v>0.59471064814814811</v>
      </c>
      <c r="D1104" s="8">
        <v>0.60624999999999996</v>
      </c>
      <c r="E1104">
        <f t="shared" si="34"/>
        <v>1</v>
      </c>
      <c r="F1104">
        <f t="shared" si="35"/>
        <v>0</v>
      </c>
    </row>
    <row r="1105" spans="1:6" x14ac:dyDescent="0.35">
      <c r="A1105" s="9">
        <v>70730125</v>
      </c>
      <c r="B1105" s="10">
        <v>42933</v>
      </c>
      <c r="C1105" s="11">
        <v>0.59578703703703706</v>
      </c>
      <c r="D1105" s="12">
        <v>0.59671296296296295</v>
      </c>
      <c r="E1105">
        <f t="shared" si="34"/>
        <v>0</v>
      </c>
      <c r="F1105">
        <f t="shared" si="35"/>
        <v>1</v>
      </c>
    </row>
    <row r="1106" spans="1:6" x14ac:dyDescent="0.35">
      <c r="A1106" s="5">
        <v>45158089</v>
      </c>
      <c r="B1106" s="6">
        <v>42933</v>
      </c>
      <c r="C1106" s="7">
        <v>0.5962615740740741</v>
      </c>
      <c r="D1106" s="8">
        <v>0.59780092592592593</v>
      </c>
      <c r="E1106">
        <f t="shared" si="34"/>
        <v>0</v>
      </c>
      <c r="F1106">
        <f t="shared" si="35"/>
        <v>1</v>
      </c>
    </row>
    <row r="1107" spans="1:6" x14ac:dyDescent="0.35">
      <c r="A1107" s="9">
        <v>8159631</v>
      </c>
      <c r="B1107" s="10">
        <v>42933</v>
      </c>
      <c r="C1107" s="11">
        <v>0.59650462962962958</v>
      </c>
      <c r="D1107" s="12">
        <v>0.60144675925925928</v>
      </c>
      <c r="E1107">
        <f t="shared" si="34"/>
        <v>1</v>
      </c>
      <c r="F1107">
        <f t="shared" si="35"/>
        <v>0</v>
      </c>
    </row>
    <row r="1108" spans="1:6" x14ac:dyDescent="0.35">
      <c r="A1108" s="5">
        <v>2645518</v>
      </c>
      <c r="B1108" s="6">
        <v>42933</v>
      </c>
      <c r="C1108" s="7">
        <v>0.60025462962962961</v>
      </c>
      <c r="D1108" s="8">
        <v>0.60699074074074078</v>
      </c>
      <c r="E1108">
        <f t="shared" si="34"/>
        <v>1</v>
      </c>
      <c r="F1108">
        <f t="shared" si="35"/>
        <v>0</v>
      </c>
    </row>
    <row r="1109" spans="1:6" x14ac:dyDescent="0.35">
      <c r="A1109" s="9">
        <v>5199929</v>
      </c>
      <c r="B1109" s="10">
        <v>42933</v>
      </c>
      <c r="C1109" s="11">
        <v>0.60083333333333333</v>
      </c>
      <c r="D1109" s="12">
        <v>0.60971064814814813</v>
      </c>
      <c r="E1109">
        <f t="shared" si="34"/>
        <v>1</v>
      </c>
      <c r="F1109">
        <f t="shared" si="35"/>
        <v>0</v>
      </c>
    </row>
    <row r="1110" spans="1:6" x14ac:dyDescent="0.35">
      <c r="A1110" s="5">
        <v>4039284</v>
      </c>
      <c r="B1110" s="6">
        <v>42933</v>
      </c>
      <c r="C1110" s="7">
        <v>0.6021643518518518</v>
      </c>
      <c r="D1110" s="8">
        <v>0.60636574074074079</v>
      </c>
      <c r="E1110">
        <f t="shared" si="34"/>
        <v>1</v>
      </c>
      <c r="F1110">
        <f t="shared" si="35"/>
        <v>0</v>
      </c>
    </row>
    <row r="1111" spans="1:6" x14ac:dyDescent="0.35">
      <c r="A1111" s="9">
        <v>1431491</v>
      </c>
      <c r="B1111" s="10">
        <v>42933</v>
      </c>
      <c r="C1111" s="11">
        <v>0.60495370370370372</v>
      </c>
      <c r="D1111" s="12">
        <v>0.61153935185185182</v>
      </c>
      <c r="E1111">
        <f t="shared" si="34"/>
        <v>1</v>
      </c>
      <c r="F1111">
        <f t="shared" si="35"/>
        <v>0</v>
      </c>
    </row>
    <row r="1112" spans="1:6" x14ac:dyDescent="0.35">
      <c r="A1112" s="5">
        <v>39848401</v>
      </c>
      <c r="B1112" s="6">
        <v>42933</v>
      </c>
      <c r="C1112" s="7">
        <v>0.60783564814814817</v>
      </c>
      <c r="D1112" s="8">
        <v>0.60846064814814815</v>
      </c>
      <c r="E1112">
        <f t="shared" si="34"/>
        <v>0</v>
      </c>
      <c r="F1112">
        <f t="shared" si="35"/>
        <v>1</v>
      </c>
    </row>
    <row r="1113" spans="1:6" x14ac:dyDescent="0.35">
      <c r="A1113" s="9">
        <v>9225807</v>
      </c>
      <c r="B1113" s="10">
        <v>42933</v>
      </c>
      <c r="C1113" s="11">
        <v>0.61261574074074077</v>
      </c>
      <c r="D1113" s="12">
        <v>0.62048611111111107</v>
      </c>
      <c r="E1113">
        <f t="shared" si="34"/>
        <v>1</v>
      </c>
      <c r="F1113">
        <f t="shared" si="35"/>
        <v>0</v>
      </c>
    </row>
    <row r="1114" spans="1:6" x14ac:dyDescent="0.35">
      <c r="A1114" s="5">
        <v>7986409</v>
      </c>
      <c r="B1114" s="6">
        <v>42933</v>
      </c>
      <c r="C1114" s="7">
        <v>0.61473379629629632</v>
      </c>
      <c r="D1114" s="8">
        <v>0.61660879629629628</v>
      </c>
      <c r="E1114">
        <f t="shared" si="34"/>
        <v>1</v>
      </c>
      <c r="F1114">
        <f t="shared" si="35"/>
        <v>0</v>
      </c>
    </row>
    <row r="1115" spans="1:6" x14ac:dyDescent="0.35">
      <c r="A1115" s="9">
        <v>54554135</v>
      </c>
      <c r="B1115" s="10">
        <v>42933</v>
      </c>
      <c r="C1115" s="11">
        <v>0.61943287037037043</v>
      </c>
      <c r="D1115" s="12">
        <v>0.62100694444444449</v>
      </c>
      <c r="E1115">
        <f t="shared" si="34"/>
        <v>0</v>
      </c>
      <c r="F1115">
        <f t="shared" si="35"/>
        <v>1</v>
      </c>
    </row>
    <row r="1116" spans="1:6" x14ac:dyDescent="0.35">
      <c r="A1116" s="5">
        <v>1263080</v>
      </c>
      <c r="B1116" s="6">
        <v>42933</v>
      </c>
      <c r="C1116" s="7">
        <v>0.62292824074074071</v>
      </c>
      <c r="D1116" s="8">
        <v>0.63358796296296294</v>
      </c>
      <c r="E1116">
        <f t="shared" si="34"/>
        <v>1</v>
      </c>
      <c r="F1116">
        <f t="shared" si="35"/>
        <v>0</v>
      </c>
    </row>
    <row r="1117" spans="1:6" x14ac:dyDescent="0.35">
      <c r="A1117" s="9">
        <v>97953696</v>
      </c>
      <c r="B1117" s="10">
        <v>42933</v>
      </c>
      <c r="C1117" s="11">
        <v>0.62657407407407406</v>
      </c>
      <c r="D1117" s="12">
        <v>0.62818287037037035</v>
      </c>
      <c r="E1117">
        <f t="shared" si="34"/>
        <v>0</v>
      </c>
      <c r="F1117">
        <f t="shared" si="35"/>
        <v>1</v>
      </c>
    </row>
    <row r="1118" spans="1:6" x14ac:dyDescent="0.35">
      <c r="A1118" s="5">
        <v>9772824</v>
      </c>
      <c r="B1118" s="6">
        <v>42934</v>
      </c>
      <c r="C1118" s="7">
        <v>0.33355324074074072</v>
      </c>
      <c r="D1118" s="8">
        <v>0.33859953703703705</v>
      </c>
      <c r="E1118">
        <f t="shared" si="34"/>
        <v>1</v>
      </c>
      <c r="F1118">
        <f t="shared" si="35"/>
        <v>0</v>
      </c>
    </row>
    <row r="1119" spans="1:6" x14ac:dyDescent="0.35">
      <c r="A1119" s="9">
        <v>1157434</v>
      </c>
      <c r="B1119" s="10">
        <v>42934</v>
      </c>
      <c r="C1119" s="11">
        <v>0.33582175925925928</v>
      </c>
      <c r="D1119" s="12">
        <v>0.34681712962962963</v>
      </c>
      <c r="E1119">
        <f t="shared" si="34"/>
        <v>1</v>
      </c>
      <c r="F1119">
        <f t="shared" si="35"/>
        <v>0</v>
      </c>
    </row>
    <row r="1120" spans="1:6" x14ac:dyDescent="0.35">
      <c r="A1120" s="5">
        <v>8799928507</v>
      </c>
      <c r="B1120" s="6">
        <v>42934</v>
      </c>
      <c r="C1120" s="7">
        <v>0.34134259259259259</v>
      </c>
      <c r="D1120" s="8">
        <v>0.34931712962962963</v>
      </c>
      <c r="E1120">
        <f t="shared" si="34"/>
        <v>0</v>
      </c>
      <c r="F1120">
        <f t="shared" si="35"/>
        <v>0</v>
      </c>
    </row>
    <row r="1121" spans="1:6" x14ac:dyDescent="0.35">
      <c r="A1121" s="9">
        <v>5372891</v>
      </c>
      <c r="B1121" s="10">
        <v>42934</v>
      </c>
      <c r="C1121" s="11">
        <v>0.34586805555555555</v>
      </c>
      <c r="D1121" s="12">
        <v>0.34684027777777776</v>
      </c>
      <c r="E1121">
        <f t="shared" si="34"/>
        <v>1</v>
      </c>
      <c r="F1121">
        <f t="shared" si="35"/>
        <v>0</v>
      </c>
    </row>
    <row r="1122" spans="1:6" x14ac:dyDescent="0.35">
      <c r="A1122" s="5">
        <v>2663800</v>
      </c>
      <c r="B1122" s="6">
        <v>42934</v>
      </c>
      <c r="C1122" s="7">
        <v>0.35076388888888888</v>
      </c>
      <c r="D1122" s="8">
        <v>0.35863425925925924</v>
      </c>
      <c r="E1122">
        <f t="shared" si="34"/>
        <v>1</v>
      </c>
      <c r="F1122">
        <f t="shared" si="35"/>
        <v>0</v>
      </c>
    </row>
    <row r="1123" spans="1:6" x14ac:dyDescent="0.35">
      <c r="A1123" s="9">
        <v>32779069</v>
      </c>
      <c r="B1123" s="10">
        <v>42934</v>
      </c>
      <c r="C1123" s="11">
        <v>0.35430555555555554</v>
      </c>
      <c r="D1123" s="12">
        <v>0.36318287037037039</v>
      </c>
      <c r="E1123">
        <f t="shared" si="34"/>
        <v>0</v>
      </c>
      <c r="F1123">
        <f t="shared" si="35"/>
        <v>1</v>
      </c>
    </row>
    <row r="1124" spans="1:6" x14ac:dyDescent="0.35">
      <c r="A1124" s="5">
        <v>8261808</v>
      </c>
      <c r="B1124" s="6">
        <v>42934</v>
      </c>
      <c r="C1124" s="7">
        <v>0.35718749999999999</v>
      </c>
      <c r="D1124" s="8">
        <v>0.36684027777777778</v>
      </c>
      <c r="E1124">
        <f t="shared" si="34"/>
        <v>1</v>
      </c>
      <c r="F1124">
        <f t="shared" si="35"/>
        <v>0</v>
      </c>
    </row>
    <row r="1125" spans="1:6" x14ac:dyDescent="0.35">
      <c r="A1125" s="9">
        <v>7321543</v>
      </c>
      <c r="B1125" s="10">
        <v>42934</v>
      </c>
      <c r="C1125" s="11">
        <v>0.36151620370370369</v>
      </c>
      <c r="D1125" s="12">
        <v>0.3712037037037037</v>
      </c>
      <c r="E1125">
        <f t="shared" si="34"/>
        <v>1</v>
      </c>
      <c r="F1125">
        <f t="shared" si="35"/>
        <v>0</v>
      </c>
    </row>
    <row r="1126" spans="1:6" x14ac:dyDescent="0.35">
      <c r="A1126" s="5">
        <v>7513392</v>
      </c>
      <c r="B1126" s="6">
        <v>42934</v>
      </c>
      <c r="C1126" s="7">
        <v>0.36421296296296296</v>
      </c>
      <c r="D1126" s="8">
        <v>0.36640046296296297</v>
      </c>
      <c r="E1126">
        <f t="shared" si="34"/>
        <v>1</v>
      </c>
      <c r="F1126">
        <f t="shared" si="35"/>
        <v>0</v>
      </c>
    </row>
    <row r="1127" spans="1:6" x14ac:dyDescent="0.35">
      <c r="A1127" s="9">
        <v>77036136</v>
      </c>
      <c r="B1127" s="10">
        <v>42934</v>
      </c>
      <c r="C1127" s="11">
        <v>0.36937500000000001</v>
      </c>
      <c r="D1127" s="12">
        <v>0.37585648148148149</v>
      </c>
      <c r="E1127">
        <f t="shared" si="34"/>
        <v>0</v>
      </c>
      <c r="F1127">
        <f t="shared" si="35"/>
        <v>1</v>
      </c>
    </row>
    <row r="1128" spans="1:6" x14ac:dyDescent="0.35">
      <c r="A1128" s="5">
        <v>1700508</v>
      </c>
      <c r="B1128" s="6">
        <v>42934</v>
      </c>
      <c r="C1128" s="7">
        <v>0.37179398148148146</v>
      </c>
      <c r="D1128" s="8">
        <v>0.3828125</v>
      </c>
      <c r="E1128">
        <f t="shared" si="34"/>
        <v>1</v>
      </c>
      <c r="F1128">
        <f t="shared" si="35"/>
        <v>0</v>
      </c>
    </row>
    <row r="1129" spans="1:6" x14ac:dyDescent="0.35">
      <c r="A1129" s="9">
        <v>7872182</v>
      </c>
      <c r="B1129" s="10">
        <v>42934</v>
      </c>
      <c r="C1129" s="11">
        <v>0.3772800925925926</v>
      </c>
      <c r="D1129" s="12">
        <v>0.3837962962962963</v>
      </c>
      <c r="E1129">
        <f t="shared" si="34"/>
        <v>1</v>
      </c>
      <c r="F1129">
        <f t="shared" si="35"/>
        <v>0</v>
      </c>
    </row>
    <row r="1130" spans="1:6" x14ac:dyDescent="0.35">
      <c r="A1130" s="5">
        <v>84513035</v>
      </c>
      <c r="B1130" s="6">
        <v>42934</v>
      </c>
      <c r="C1130" s="7">
        <v>0.38017361111111109</v>
      </c>
      <c r="D1130" s="8">
        <v>0.38291666666666668</v>
      </c>
      <c r="E1130">
        <f t="shared" si="34"/>
        <v>0</v>
      </c>
      <c r="F1130">
        <f t="shared" si="35"/>
        <v>1</v>
      </c>
    </row>
    <row r="1131" spans="1:6" x14ac:dyDescent="0.35">
      <c r="A1131" s="9">
        <v>1775586</v>
      </c>
      <c r="B1131" s="10">
        <v>42934</v>
      </c>
      <c r="C1131" s="11">
        <v>0.38452546296296297</v>
      </c>
      <c r="D1131" s="12">
        <v>0.38978009259259261</v>
      </c>
      <c r="E1131">
        <f t="shared" si="34"/>
        <v>1</v>
      </c>
      <c r="F1131">
        <f t="shared" si="35"/>
        <v>0</v>
      </c>
    </row>
    <row r="1132" spans="1:6" x14ac:dyDescent="0.35">
      <c r="A1132" s="5">
        <v>1225082</v>
      </c>
      <c r="B1132" s="6">
        <v>42934</v>
      </c>
      <c r="C1132" s="7">
        <v>0.38516203703703705</v>
      </c>
      <c r="D1132" s="8">
        <v>0.38653935185185184</v>
      </c>
      <c r="E1132">
        <f t="shared" si="34"/>
        <v>1</v>
      </c>
      <c r="F1132">
        <f t="shared" si="35"/>
        <v>0</v>
      </c>
    </row>
    <row r="1133" spans="1:6" x14ac:dyDescent="0.35">
      <c r="A1133" s="9">
        <v>1586675</v>
      </c>
      <c r="B1133" s="10">
        <v>42934</v>
      </c>
      <c r="C1133" s="11">
        <v>0.39093749999999999</v>
      </c>
      <c r="D1133" s="12">
        <v>0.39787037037037037</v>
      </c>
      <c r="E1133">
        <f t="shared" si="34"/>
        <v>1</v>
      </c>
      <c r="F1133">
        <f t="shared" si="35"/>
        <v>0</v>
      </c>
    </row>
    <row r="1134" spans="1:6" x14ac:dyDescent="0.35">
      <c r="A1134" s="5">
        <v>2672229</v>
      </c>
      <c r="B1134" s="6">
        <v>42934</v>
      </c>
      <c r="C1134" s="7">
        <v>0.39552083333333332</v>
      </c>
      <c r="D1134" s="8">
        <v>0.4007175925925926</v>
      </c>
      <c r="E1134">
        <f t="shared" si="34"/>
        <v>1</v>
      </c>
      <c r="F1134">
        <f t="shared" si="35"/>
        <v>0</v>
      </c>
    </row>
    <row r="1135" spans="1:6" x14ac:dyDescent="0.35">
      <c r="A1135" s="9">
        <v>2443869</v>
      </c>
      <c r="B1135" s="10">
        <v>42934</v>
      </c>
      <c r="C1135" s="11">
        <v>0.39964120370370371</v>
      </c>
      <c r="D1135" s="12">
        <v>0.4074652777777778</v>
      </c>
      <c r="E1135">
        <f t="shared" si="34"/>
        <v>1</v>
      </c>
      <c r="F1135">
        <f t="shared" si="35"/>
        <v>0</v>
      </c>
    </row>
    <row r="1136" spans="1:6" x14ac:dyDescent="0.35">
      <c r="A1136" s="5">
        <v>7166411</v>
      </c>
      <c r="B1136" s="6">
        <v>42934</v>
      </c>
      <c r="C1136" s="7">
        <v>0.40263888888888888</v>
      </c>
      <c r="D1136" s="8">
        <v>0.40846064814814814</v>
      </c>
      <c r="E1136">
        <f t="shared" si="34"/>
        <v>1</v>
      </c>
      <c r="F1136">
        <f t="shared" si="35"/>
        <v>0</v>
      </c>
    </row>
    <row r="1137" spans="1:6" x14ac:dyDescent="0.35">
      <c r="A1137" s="9">
        <v>4657345</v>
      </c>
      <c r="B1137" s="10">
        <v>42934</v>
      </c>
      <c r="C1137" s="11">
        <v>0.40328703703703705</v>
      </c>
      <c r="D1137" s="12">
        <v>0.4140625</v>
      </c>
      <c r="E1137">
        <f t="shared" si="34"/>
        <v>1</v>
      </c>
      <c r="F1137">
        <f t="shared" si="35"/>
        <v>0</v>
      </c>
    </row>
    <row r="1138" spans="1:6" x14ac:dyDescent="0.35">
      <c r="A1138" s="5">
        <v>6070329</v>
      </c>
      <c r="B1138" s="6">
        <v>42934</v>
      </c>
      <c r="C1138" s="7">
        <v>0.40337962962962964</v>
      </c>
      <c r="D1138" s="8">
        <v>0.41432870370370373</v>
      </c>
      <c r="E1138">
        <f t="shared" si="34"/>
        <v>1</v>
      </c>
      <c r="F1138">
        <f t="shared" si="35"/>
        <v>0</v>
      </c>
    </row>
    <row r="1139" spans="1:6" x14ac:dyDescent="0.35">
      <c r="A1139" s="9">
        <v>4845362</v>
      </c>
      <c r="B1139" s="10">
        <v>42934</v>
      </c>
      <c r="C1139" s="11">
        <v>0.4034490740740741</v>
      </c>
      <c r="D1139" s="12">
        <v>0.40371527777777777</v>
      </c>
      <c r="E1139">
        <f t="shared" si="34"/>
        <v>1</v>
      </c>
      <c r="F1139">
        <f t="shared" si="35"/>
        <v>0</v>
      </c>
    </row>
    <row r="1140" spans="1:6" x14ac:dyDescent="0.35">
      <c r="A1140" s="5">
        <v>6333341</v>
      </c>
      <c r="B1140" s="6">
        <v>42934</v>
      </c>
      <c r="C1140" s="7">
        <v>0.40690972222222221</v>
      </c>
      <c r="D1140" s="8">
        <v>0.4103472222222222</v>
      </c>
      <c r="E1140">
        <f t="shared" si="34"/>
        <v>1</v>
      </c>
      <c r="F1140">
        <f t="shared" si="35"/>
        <v>0</v>
      </c>
    </row>
    <row r="1141" spans="1:6" x14ac:dyDescent="0.35">
      <c r="A1141" s="9">
        <v>5060909</v>
      </c>
      <c r="B1141" s="10">
        <v>42934</v>
      </c>
      <c r="C1141" s="11">
        <v>0.40699074074074076</v>
      </c>
      <c r="D1141" s="12">
        <v>0.41368055555555555</v>
      </c>
      <c r="E1141">
        <f t="shared" si="34"/>
        <v>1</v>
      </c>
      <c r="F1141">
        <f t="shared" si="35"/>
        <v>0</v>
      </c>
    </row>
    <row r="1142" spans="1:6" x14ac:dyDescent="0.35">
      <c r="A1142" s="5">
        <v>4673703944</v>
      </c>
      <c r="B1142" s="6">
        <v>42934</v>
      </c>
      <c r="C1142" s="7">
        <v>0.40822916666666664</v>
      </c>
      <c r="D1142" s="8">
        <v>0.41090277777777778</v>
      </c>
      <c r="E1142">
        <f t="shared" si="34"/>
        <v>0</v>
      </c>
      <c r="F1142">
        <f t="shared" si="35"/>
        <v>0</v>
      </c>
    </row>
    <row r="1143" spans="1:6" x14ac:dyDescent="0.35">
      <c r="A1143" s="9">
        <v>3178616</v>
      </c>
      <c r="B1143" s="10">
        <v>42934</v>
      </c>
      <c r="C1143" s="11">
        <v>0.40974537037037034</v>
      </c>
      <c r="D1143" s="12">
        <v>0.41177083333333331</v>
      </c>
      <c r="E1143">
        <f t="shared" si="34"/>
        <v>1</v>
      </c>
      <c r="F1143">
        <f t="shared" si="35"/>
        <v>0</v>
      </c>
    </row>
    <row r="1144" spans="1:6" x14ac:dyDescent="0.35">
      <c r="A1144" s="5">
        <v>2079170589</v>
      </c>
      <c r="B1144" s="6">
        <v>42934</v>
      </c>
      <c r="C1144" s="7">
        <v>0.41120370370370368</v>
      </c>
      <c r="D1144" s="8">
        <v>0.41769675925925925</v>
      </c>
      <c r="E1144">
        <f t="shared" si="34"/>
        <v>0</v>
      </c>
      <c r="F1144">
        <f t="shared" si="35"/>
        <v>0</v>
      </c>
    </row>
    <row r="1145" spans="1:6" x14ac:dyDescent="0.35">
      <c r="A1145" s="9">
        <v>9815754</v>
      </c>
      <c r="B1145" s="10">
        <v>42934</v>
      </c>
      <c r="C1145" s="11">
        <v>0.41260416666666666</v>
      </c>
      <c r="D1145" s="12">
        <v>0.41688657407407409</v>
      </c>
      <c r="E1145">
        <f t="shared" si="34"/>
        <v>1</v>
      </c>
      <c r="F1145">
        <f t="shared" si="35"/>
        <v>0</v>
      </c>
    </row>
    <row r="1146" spans="1:6" x14ac:dyDescent="0.35">
      <c r="A1146" s="5">
        <v>4111617</v>
      </c>
      <c r="B1146" s="6">
        <v>42934</v>
      </c>
      <c r="C1146" s="7">
        <v>0.41450231481481481</v>
      </c>
      <c r="D1146" s="8">
        <v>0.41574074074074074</v>
      </c>
      <c r="E1146">
        <f t="shared" si="34"/>
        <v>1</v>
      </c>
      <c r="F1146">
        <f t="shared" si="35"/>
        <v>0</v>
      </c>
    </row>
    <row r="1147" spans="1:6" x14ac:dyDescent="0.35">
      <c r="A1147" s="9">
        <v>1117628</v>
      </c>
      <c r="B1147" s="10">
        <v>42934</v>
      </c>
      <c r="C1147" s="11">
        <v>0.41652777777777777</v>
      </c>
      <c r="D1147" s="12">
        <v>0.42443287037037036</v>
      </c>
      <c r="E1147">
        <f t="shared" si="34"/>
        <v>1</v>
      </c>
      <c r="F1147">
        <f t="shared" si="35"/>
        <v>0</v>
      </c>
    </row>
    <row r="1148" spans="1:6" x14ac:dyDescent="0.35">
      <c r="A1148" s="5">
        <v>5487496</v>
      </c>
      <c r="B1148" s="6">
        <v>42934</v>
      </c>
      <c r="C1148" s="7">
        <v>0.42114583333333333</v>
      </c>
      <c r="D1148" s="8">
        <v>0.4230902777777778</v>
      </c>
      <c r="E1148">
        <f t="shared" si="34"/>
        <v>1</v>
      </c>
      <c r="F1148">
        <f t="shared" si="35"/>
        <v>0</v>
      </c>
    </row>
    <row r="1149" spans="1:6" x14ac:dyDescent="0.35">
      <c r="A1149" s="9">
        <v>1472682</v>
      </c>
      <c r="B1149" s="10">
        <v>42934</v>
      </c>
      <c r="C1149" s="11">
        <v>0.42533564814814817</v>
      </c>
      <c r="D1149" s="12">
        <v>0.43167824074074074</v>
      </c>
      <c r="E1149">
        <f t="shared" si="34"/>
        <v>1</v>
      </c>
      <c r="F1149">
        <f t="shared" si="35"/>
        <v>0</v>
      </c>
    </row>
    <row r="1150" spans="1:6" x14ac:dyDescent="0.35">
      <c r="A1150" s="5">
        <v>43885630</v>
      </c>
      <c r="B1150" s="6">
        <v>42934</v>
      </c>
      <c r="C1150" s="7">
        <v>0.42988425925925927</v>
      </c>
      <c r="D1150" s="8">
        <v>0.43424768518518519</v>
      </c>
      <c r="E1150">
        <f t="shared" si="34"/>
        <v>0</v>
      </c>
      <c r="F1150">
        <f t="shared" si="35"/>
        <v>1</v>
      </c>
    </row>
    <row r="1151" spans="1:6" x14ac:dyDescent="0.35">
      <c r="A1151" s="9">
        <v>5543741</v>
      </c>
      <c r="B1151" s="10">
        <v>42934</v>
      </c>
      <c r="C1151" s="11">
        <v>0.42997685185185186</v>
      </c>
      <c r="D1151" s="12">
        <v>0.43590277777777775</v>
      </c>
      <c r="E1151">
        <f t="shared" si="34"/>
        <v>1</v>
      </c>
      <c r="F1151">
        <f t="shared" si="35"/>
        <v>0</v>
      </c>
    </row>
    <row r="1152" spans="1:6" x14ac:dyDescent="0.35">
      <c r="A1152" s="5">
        <v>2590674</v>
      </c>
      <c r="B1152" s="6">
        <v>42934</v>
      </c>
      <c r="C1152" s="7">
        <v>0.43025462962962963</v>
      </c>
      <c r="D1152" s="8">
        <v>0.43677083333333333</v>
      </c>
      <c r="E1152">
        <f t="shared" si="34"/>
        <v>1</v>
      </c>
      <c r="F1152">
        <f t="shared" si="35"/>
        <v>0</v>
      </c>
    </row>
    <row r="1153" spans="1:6" x14ac:dyDescent="0.35">
      <c r="A1153" s="9">
        <v>4212838</v>
      </c>
      <c r="B1153" s="10">
        <v>42934</v>
      </c>
      <c r="C1153" s="11">
        <v>0.43420138888888887</v>
      </c>
      <c r="D1153" s="12">
        <v>0.43973379629629628</v>
      </c>
      <c r="E1153">
        <f t="shared" si="34"/>
        <v>1</v>
      </c>
      <c r="F1153">
        <f t="shared" si="35"/>
        <v>0</v>
      </c>
    </row>
    <row r="1154" spans="1:6" x14ac:dyDescent="0.35">
      <c r="A1154" s="5">
        <v>7836418</v>
      </c>
      <c r="B1154" s="6">
        <v>42934</v>
      </c>
      <c r="C1154" s="7">
        <v>0.4354513888888889</v>
      </c>
      <c r="D1154" s="8">
        <v>0.43745370370370368</v>
      </c>
      <c r="E1154">
        <f t="shared" si="34"/>
        <v>1</v>
      </c>
      <c r="F1154">
        <f t="shared" si="35"/>
        <v>0</v>
      </c>
    </row>
    <row r="1155" spans="1:6" x14ac:dyDescent="0.35">
      <c r="A1155" s="9">
        <v>2844911</v>
      </c>
      <c r="B1155" s="10">
        <v>42934</v>
      </c>
      <c r="C1155" s="11">
        <v>0.43821759259259258</v>
      </c>
      <c r="D1155" s="12">
        <v>0.44969907407407406</v>
      </c>
      <c r="E1155">
        <f t="shared" ref="E1155:E1218" si="36">IF(LEN(A1155)=7,1,0)</f>
        <v>1</v>
      </c>
      <c r="F1155">
        <f t="shared" ref="F1155:F1218" si="37">IF(LEN(A1155)=8,1,0)</f>
        <v>0</v>
      </c>
    </row>
    <row r="1156" spans="1:6" x14ac:dyDescent="0.35">
      <c r="A1156" s="5">
        <v>2861766</v>
      </c>
      <c r="B1156" s="6">
        <v>42934</v>
      </c>
      <c r="C1156" s="7">
        <v>0.4403125</v>
      </c>
      <c r="D1156" s="8">
        <v>0.4490972222222222</v>
      </c>
      <c r="E1156">
        <f t="shared" si="36"/>
        <v>1</v>
      </c>
      <c r="F1156">
        <f t="shared" si="37"/>
        <v>0</v>
      </c>
    </row>
    <row r="1157" spans="1:6" x14ac:dyDescent="0.35">
      <c r="A1157" s="9">
        <v>9655946</v>
      </c>
      <c r="B1157" s="10">
        <v>42934</v>
      </c>
      <c r="C1157" s="11">
        <v>0.44385416666666666</v>
      </c>
      <c r="D1157" s="12">
        <v>0.45193287037037039</v>
      </c>
      <c r="E1157">
        <f t="shared" si="36"/>
        <v>1</v>
      </c>
      <c r="F1157">
        <f t="shared" si="37"/>
        <v>0</v>
      </c>
    </row>
    <row r="1158" spans="1:6" x14ac:dyDescent="0.35">
      <c r="A1158" s="5">
        <v>6050570</v>
      </c>
      <c r="B1158" s="6">
        <v>42934</v>
      </c>
      <c r="C1158" s="7">
        <v>0.44744212962962965</v>
      </c>
      <c r="D1158" s="8">
        <v>0.45751157407407406</v>
      </c>
      <c r="E1158">
        <f t="shared" si="36"/>
        <v>1</v>
      </c>
      <c r="F1158">
        <f t="shared" si="37"/>
        <v>0</v>
      </c>
    </row>
    <row r="1159" spans="1:6" x14ac:dyDescent="0.35">
      <c r="A1159" s="9">
        <v>1607422</v>
      </c>
      <c r="B1159" s="10">
        <v>42934</v>
      </c>
      <c r="C1159" s="11">
        <v>0.45238425925925924</v>
      </c>
      <c r="D1159" s="12">
        <v>0.45937499999999998</v>
      </c>
      <c r="E1159">
        <f t="shared" si="36"/>
        <v>1</v>
      </c>
      <c r="F1159">
        <f t="shared" si="37"/>
        <v>0</v>
      </c>
    </row>
    <row r="1160" spans="1:6" x14ac:dyDescent="0.35">
      <c r="A1160" s="5">
        <v>1192412</v>
      </c>
      <c r="B1160" s="6">
        <v>42934</v>
      </c>
      <c r="C1160" s="7">
        <v>0.45417824074074076</v>
      </c>
      <c r="D1160" s="8">
        <v>0.46438657407407408</v>
      </c>
      <c r="E1160">
        <f t="shared" si="36"/>
        <v>1</v>
      </c>
      <c r="F1160">
        <f t="shared" si="37"/>
        <v>0</v>
      </c>
    </row>
    <row r="1161" spans="1:6" x14ac:dyDescent="0.35">
      <c r="A1161" s="9">
        <v>4959551431</v>
      </c>
      <c r="B1161" s="10">
        <v>42934</v>
      </c>
      <c r="C1161" s="11">
        <v>0.45437499999999997</v>
      </c>
      <c r="D1161" s="12">
        <v>0.45770833333333333</v>
      </c>
      <c r="E1161">
        <f t="shared" si="36"/>
        <v>0</v>
      </c>
      <c r="F1161">
        <f t="shared" si="37"/>
        <v>0</v>
      </c>
    </row>
    <row r="1162" spans="1:6" x14ac:dyDescent="0.35">
      <c r="A1162" s="5">
        <v>9808221</v>
      </c>
      <c r="B1162" s="6">
        <v>42934</v>
      </c>
      <c r="C1162" s="7">
        <v>0.45680555555555558</v>
      </c>
      <c r="D1162" s="8">
        <v>0.4636689814814815</v>
      </c>
      <c r="E1162">
        <f t="shared" si="36"/>
        <v>1</v>
      </c>
      <c r="F1162">
        <f t="shared" si="37"/>
        <v>0</v>
      </c>
    </row>
    <row r="1163" spans="1:6" x14ac:dyDescent="0.35">
      <c r="A1163" s="9">
        <v>8672623</v>
      </c>
      <c r="B1163" s="10">
        <v>42934</v>
      </c>
      <c r="C1163" s="11">
        <v>0.45947916666666666</v>
      </c>
      <c r="D1163" s="12">
        <v>0.46460648148148148</v>
      </c>
      <c r="E1163">
        <f t="shared" si="36"/>
        <v>1</v>
      </c>
      <c r="F1163">
        <f t="shared" si="37"/>
        <v>0</v>
      </c>
    </row>
    <row r="1164" spans="1:6" x14ac:dyDescent="0.35">
      <c r="A1164" s="5">
        <v>3862016</v>
      </c>
      <c r="B1164" s="6">
        <v>42934</v>
      </c>
      <c r="C1164" s="7">
        <v>0.46127314814814813</v>
      </c>
      <c r="D1164" s="8">
        <v>0.46726851851851853</v>
      </c>
      <c r="E1164">
        <f t="shared" si="36"/>
        <v>1</v>
      </c>
      <c r="F1164">
        <f t="shared" si="37"/>
        <v>0</v>
      </c>
    </row>
    <row r="1165" spans="1:6" x14ac:dyDescent="0.35">
      <c r="A1165" s="9">
        <v>16580449</v>
      </c>
      <c r="B1165" s="10">
        <v>42934</v>
      </c>
      <c r="C1165" s="11">
        <v>0.46130787037037035</v>
      </c>
      <c r="D1165" s="12">
        <v>0.47226851851851853</v>
      </c>
      <c r="E1165">
        <f t="shared" si="36"/>
        <v>0</v>
      </c>
      <c r="F1165">
        <f t="shared" si="37"/>
        <v>1</v>
      </c>
    </row>
    <row r="1166" spans="1:6" x14ac:dyDescent="0.35">
      <c r="A1166" s="5">
        <v>67064385</v>
      </c>
      <c r="B1166" s="6">
        <v>42934</v>
      </c>
      <c r="C1166" s="7">
        <v>0.46574074074074073</v>
      </c>
      <c r="D1166" s="8">
        <v>0.47495370370370371</v>
      </c>
      <c r="E1166">
        <f t="shared" si="36"/>
        <v>0</v>
      </c>
      <c r="F1166">
        <f t="shared" si="37"/>
        <v>1</v>
      </c>
    </row>
    <row r="1167" spans="1:6" x14ac:dyDescent="0.35">
      <c r="A1167" s="9">
        <v>2078150</v>
      </c>
      <c r="B1167" s="10">
        <v>42934</v>
      </c>
      <c r="C1167" s="11">
        <v>0.46872685185185187</v>
      </c>
      <c r="D1167" s="12">
        <v>0.47244212962962961</v>
      </c>
      <c r="E1167">
        <f t="shared" si="36"/>
        <v>1</v>
      </c>
      <c r="F1167">
        <f t="shared" si="37"/>
        <v>0</v>
      </c>
    </row>
    <row r="1168" spans="1:6" x14ac:dyDescent="0.35">
      <c r="A1168" s="5">
        <v>5094248</v>
      </c>
      <c r="B1168" s="6">
        <v>42934</v>
      </c>
      <c r="C1168" s="7">
        <v>0.47074074074074074</v>
      </c>
      <c r="D1168" s="8">
        <v>0.47409722222222223</v>
      </c>
      <c r="E1168">
        <f t="shared" si="36"/>
        <v>1</v>
      </c>
      <c r="F1168">
        <f t="shared" si="37"/>
        <v>0</v>
      </c>
    </row>
    <row r="1169" spans="1:6" x14ac:dyDescent="0.35">
      <c r="A1169" s="9">
        <v>2584185</v>
      </c>
      <c r="B1169" s="10">
        <v>42934</v>
      </c>
      <c r="C1169" s="11">
        <v>0.47208333333333335</v>
      </c>
      <c r="D1169" s="12">
        <v>0.48284722222222221</v>
      </c>
      <c r="E1169">
        <f t="shared" si="36"/>
        <v>1</v>
      </c>
      <c r="F1169">
        <f t="shared" si="37"/>
        <v>0</v>
      </c>
    </row>
    <row r="1170" spans="1:6" x14ac:dyDescent="0.35">
      <c r="A1170" s="5">
        <v>3346801494</v>
      </c>
      <c r="B1170" s="6">
        <v>42934</v>
      </c>
      <c r="C1170" s="7">
        <v>0.47394675925925928</v>
      </c>
      <c r="D1170" s="8">
        <v>0.48170138888888892</v>
      </c>
      <c r="E1170">
        <f t="shared" si="36"/>
        <v>0</v>
      </c>
      <c r="F1170">
        <f t="shared" si="37"/>
        <v>0</v>
      </c>
    </row>
    <row r="1171" spans="1:6" x14ac:dyDescent="0.35">
      <c r="A1171" s="9">
        <v>4535172</v>
      </c>
      <c r="B1171" s="10">
        <v>42934</v>
      </c>
      <c r="C1171" s="11">
        <v>0.4750462962962963</v>
      </c>
      <c r="D1171" s="12">
        <v>0.47592592592592592</v>
      </c>
      <c r="E1171">
        <f t="shared" si="36"/>
        <v>1</v>
      </c>
      <c r="F1171">
        <f t="shared" si="37"/>
        <v>0</v>
      </c>
    </row>
    <row r="1172" spans="1:6" x14ac:dyDescent="0.35">
      <c r="A1172" s="5">
        <v>8723323</v>
      </c>
      <c r="B1172" s="6">
        <v>42934</v>
      </c>
      <c r="C1172" s="7">
        <v>0.47505787037037039</v>
      </c>
      <c r="D1172" s="8">
        <v>0.48318287037037039</v>
      </c>
      <c r="E1172">
        <f t="shared" si="36"/>
        <v>1</v>
      </c>
      <c r="F1172">
        <f t="shared" si="37"/>
        <v>0</v>
      </c>
    </row>
    <row r="1173" spans="1:6" x14ac:dyDescent="0.35">
      <c r="A1173" s="9">
        <v>76845076</v>
      </c>
      <c r="B1173" s="10">
        <v>42934</v>
      </c>
      <c r="C1173" s="11">
        <v>0.47949074074074072</v>
      </c>
      <c r="D1173" s="12">
        <v>0.48335648148148147</v>
      </c>
      <c r="E1173">
        <f t="shared" si="36"/>
        <v>0</v>
      </c>
      <c r="F1173">
        <f t="shared" si="37"/>
        <v>1</v>
      </c>
    </row>
    <row r="1174" spans="1:6" x14ac:dyDescent="0.35">
      <c r="A1174" s="5">
        <v>12063341</v>
      </c>
      <c r="B1174" s="6">
        <v>42934</v>
      </c>
      <c r="C1174" s="7">
        <v>0.48378472222222224</v>
      </c>
      <c r="D1174" s="8">
        <v>0.48681712962962964</v>
      </c>
      <c r="E1174">
        <f t="shared" si="36"/>
        <v>0</v>
      </c>
      <c r="F1174">
        <f t="shared" si="37"/>
        <v>1</v>
      </c>
    </row>
    <row r="1175" spans="1:6" x14ac:dyDescent="0.35">
      <c r="A1175" s="9">
        <v>9866204</v>
      </c>
      <c r="B1175" s="10">
        <v>42934</v>
      </c>
      <c r="C1175" s="11">
        <v>0.48379629629629628</v>
      </c>
      <c r="D1175" s="12">
        <v>0.49018518518518517</v>
      </c>
      <c r="E1175">
        <f t="shared" si="36"/>
        <v>1</v>
      </c>
      <c r="F1175">
        <f t="shared" si="37"/>
        <v>0</v>
      </c>
    </row>
    <row r="1176" spans="1:6" x14ac:dyDescent="0.35">
      <c r="A1176" s="5">
        <v>9364912</v>
      </c>
      <c r="B1176" s="6">
        <v>42934</v>
      </c>
      <c r="C1176" s="7">
        <v>0.48715277777777777</v>
      </c>
      <c r="D1176" s="8">
        <v>0.49586805555555558</v>
      </c>
      <c r="E1176">
        <f t="shared" si="36"/>
        <v>1</v>
      </c>
      <c r="F1176">
        <f t="shared" si="37"/>
        <v>0</v>
      </c>
    </row>
    <row r="1177" spans="1:6" x14ac:dyDescent="0.35">
      <c r="A1177" s="9">
        <v>9975977</v>
      </c>
      <c r="B1177" s="10">
        <v>42934</v>
      </c>
      <c r="C1177" s="11">
        <v>0.48723379629629632</v>
      </c>
      <c r="D1177" s="12">
        <v>0.4914351851851852</v>
      </c>
      <c r="E1177">
        <f t="shared" si="36"/>
        <v>1</v>
      </c>
      <c r="F1177">
        <f t="shared" si="37"/>
        <v>0</v>
      </c>
    </row>
    <row r="1178" spans="1:6" x14ac:dyDescent="0.35">
      <c r="A1178" s="5">
        <v>8802222</v>
      </c>
      <c r="B1178" s="6">
        <v>42934</v>
      </c>
      <c r="C1178" s="7">
        <v>0.48899305555555556</v>
      </c>
      <c r="D1178" s="8">
        <v>0.49456018518518519</v>
      </c>
      <c r="E1178">
        <f t="shared" si="36"/>
        <v>1</v>
      </c>
      <c r="F1178">
        <f t="shared" si="37"/>
        <v>0</v>
      </c>
    </row>
    <row r="1179" spans="1:6" x14ac:dyDescent="0.35">
      <c r="A1179" s="9">
        <v>1552877</v>
      </c>
      <c r="B1179" s="10">
        <v>42934</v>
      </c>
      <c r="C1179" s="11">
        <v>0.49277777777777776</v>
      </c>
      <c r="D1179" s="12">
        <v>0.49600694444444443</v>
      </c>
      <c r="E1179">
        <f t="shared" si="36"/>
        <v>1</v>
      </c>
      <c r="F1179">
        <f t="shared" si="37"/>
        <v>0</v>
      </c>
    </row>
    <row r="1180" spans="1:6" x14ac:dyDescent="0.35">
      <c r="A1180" s="5">
        <v>6516534288</v>
      </c>
      <c r="B1180" s="6">
        <v>42934</v>
      </c>
      <c r="C1180" s="7">
        <v>0.49465277777777777</v>
      </c>
      <c r="D1180" s="8">
        <v>0.49899305555555556</v>
      </c>
      <c r="E1180">
        <f t="shared" si="36"/>
        <v>0</v>
      </c>
      <c r="F1180">
        <f t="shared" si="37"/>
        <v>0</v>
      </c>
    </row>
    <row r="1181" spans="1:6" x14ac:dyDescent="0.35">
      <c r="A1181" s="9">
        <v>68647777</v>
      </c>
      <c r="B1181" s="10">
        <v>42934</v>
      </c>
      <c r="C1181" s="11">
        <v>0.49968750000000001</v>
      </c>
      <c r="D1181" s="12">
        <v>0.50692129629629634</v>
      </c>
      <c r="E1181">
        <f t="shared" si="36"/>
        <v>0</v>
      </c>
      <c r="F1181">
        <f t="shared" si="37"/>
        <v>1</v>
      </c>
    </row>
    <row r="1182" spans="1:6" x14ac:dyDescent="0.35">
      <c r="A1182" s="5">
        <v>3360951</v>
      </c>
      <c r="B1182" s="6">
        <v>42934</v>
      </c>
      <c r="C1182" s="7">
        <v>0.50384259259259256</v>
      </c>
      <c r="D1182" s="8">
        <v>0.50868055555555558</v>
      </c>
      <c r="E1182">
        <f t="shared" si="36"/>
        <v>1</v>
      </c>
      <c r="F1182">
        <f t="shared" si="37"/>
        <v>0</v>
      </c>
    </row>
    <row r="1183" spans="1:6" x14ac:dyDescent="0.35">
      <c r="A1183" s="9">
        <v>9127211929</v>
      </c>
      <c r="B1183" s="10">
        <v>42934</v>
      </c>
      <c r="C1183" s="11">
        <v>0.50648148148148153</v>
      </c>
      <c r="D1183" s="12">
        <v>0.51042824074074078</v>
      </c>
      <c r="E1183">
        <f t="shared" si="36"/>
        <v>0</v>
      </c>
      <c r="F1183">
        <f t="shared" si="37"/>
        <v>0</v>
      </c>
    </row>
    <row r="1184" spans="1:6" x14ac:dyDescent="0.35">
      <c r="A1184" s="5">
        <v>9647309</v>
      </c>
      <c r="B1184" s="6">
        <v>42934</v>
      </c>
      <c r="C1184" s="7">
        <v>0.50979166666666664</v>
      </c>
      <c r="D1184" s="8">
        <v>0.51483796296296291</v>
      </c>
      <c r="E1184">
        <f t="shared" si="36"/>
        <v>1</v>
      </c>
      <c r="F1184">
        <f t="shared" si="37"/>
        <v>0</v>
      </c>
    </row>
    <row r="1185" spans="1:6" x14ac:dyDescent="0.35">
      <c r="A1185" s="9">
        <v>6024447</v>
      </c>
      <c r="B1185" s="10">
        <v>42934</v>
      </c>
      <c r="C1185" s="11">
        <v>0.51164351851851853</v>
      </c>
      <c r="D1185" s="12">
        <v>0.51975694444444442</v>
      </c>
      <c r="E1185">
        <f t="shared" si="36"/>
        <v>1</v>
      </c>
      <c r="F1185">
        <f t="shared" si="37"/>
        <v>0</v>
      </c>
    </row>
    <row r="1186" spans="1:6" x14ac:dyDescent="0.35">
      <c r="A1186" s="5">
        <v>12919749</v>
      </c>
      <c r="B1186" s="6">
        <v>42934</v>
      </c>
      <c r="C1186" s="7">
        <v>0.5161458333333333</v>
      </c>
      <c r="D1186" s="8">
        <v>0.5222106481481481</v>
      </c>
      <c r="E1186">
        <f t="shared" si="36"/>
        <v>0</v>
      </c>
      <c r="F1186">
        <f t="shared" si="37"/>
        <v>1</v>
      </c>
    </row>
    <row r="1187" spans="1:6" x14ac:dyDescent="0.35">
      <c r="A1187" s="9">
        <v>3287315</v>
      </c>
      <c r="B1187" s="10">
        <v>42934</v>
      </c>
      <c r="C1187" s="11">
        <v>0.51627314814814818</v>
      </c>
      <c r="D1187" s="12">
        <v>0.51844907407407403</v>
      </c>
      <c r="E1187">
        <f t="shared" si="36"/>
        <v>1</v>
      </c>
      <c r="F1187">
        <f t="shared" si="37"/>
        <v>0</v>
      </c>
    </row>
    <row r="1188" spans="1:6" x14ac:dyDescent="0.35">
      <c r="A1188" s="5">
        <v>9953379</v>
      </c>
      <c r="B1188" s="6">
        <v>42934</v>
      </c>
      <c r="C1188" s="7">
        <v>0.52061342592592597</v>
      </c>
      <c r="D1188" s="8">
        <v>0.52561342592592597</v>
      </c>
      <c r="E1188">
        <f t="shared" si="36"/>
        <v>1</v>
      </c>
      <c r="F1188">
        <f t="shared" si="37"/>
        <v>0</v>
      </c>
    </row>
    <row r="1189" spans="1:6" x14ac:dyDescent="0.35">
      <c r="A1189" s="9">
        <v>97558765</v>
      </c>
      <c r="B1189" s="10">
        <v>42934</v>
      </c>
      <c r="C1189" s="11">
        <v>0.5259490740740741</v>
      </c>
      <c r="D1189" s="12">
        <v>0.53439814814814812</v>
      </c>
      <c r="E1189">
        <f t="shared" si="36"/>
        <v>0</v>
      </c>
      <c r="F1189">
        <f t="shared" si="37"/>
        <v>1</v>
      </c>
    </row>
    <row r="1190" spans="1:6" x14ac:dyDescent="0.35">
      <c r="A1190" s="5">
        <v>2722706</v>
      </c>
      <c r="B1190" s="6">
        <v>42934</v>
      </c>
      <c r="C1190" s="7">
        <v>0.53025462962962966</v>
      </c>
      <c r="D1190" s="8">
        <v>0.53217592592592589</v>
      </c>
      <c r="E1190">
        <f t="shared" si="36"/>
        <v>1</v>
      </c>
      <c r="F1190">
        <f t="shared" si="37"/>
        <v>0</v>
      </c>
    </row>
    <row r="1191" spans="1:6" x14ac:dyDescent="0.35">
      <c r="A1191" s="9">
        <v>97876188</v>
      </c>
      <c r="B1191" s="10">
        <v>42934</v>
      </c>
      <c r="C1191" s="11">
        <v>0.53412037037037041</v>
      </c>
      <c r="D1191" s="12">
        <v>0.53467592592592594</v>
      </c>
      <c r="E1191">
        <f t="shared" si="36"/>
        <v>0</v>
      </c>
      <c r="F1191">
        <f t="shared" si="37"/>
        <v>1</v>
      </c>
    </row>
    <row r="1192" spans="1:6" x14ac:dyDescent="0.35">
      <c r="A1192" s="5">
        <v>4068728</v>
      </c>
      <c r="B1192" s="6">
        <v>42934</v>
      </c>
      <c r="C1192" s="7">
        <v>0.53760416666666666</v>
      </c>
      <c r="D1192" s="8">
        <v>0.546412037037037</v>
      </c>
      <c r="E1192">
        <f t="shared" si="36"/>
        <v>1</v>
      </c>
      <c r="F1192">
        <f t="shared" si="37"/>
        <v>0</v>
      </c>
    </row>
    <row r="1193" spans="1:6" x14ac:dyDescent="0.35">
      <c r="A1193" s="9">
        <v>7624070</v>
      </c>
      <c r="B1193" s="10">
        <v>42934</v>
      </c>
      <c r="C1193" s="11">
        <v>0.54335648148148152</v>
      </c>
      <c r="D1193" s="12">
        <v>0.55396990740740737</v>
      </c>
      <c r="E1193">
        <f t="shared" si="36"/>
        <v>1</v>
      </c>
      <c r="F1193">
        <f t="shared" si="37"/>
        <v>0</v>
      </c>
    </row>
    <row r="1194" spans="1:6" x14ac:dyDescent="0.35">
      <c r="A1194" s="5">
        <v>2419247</v>
      </c>
      <c r="B1194" s="6">
        <v>42934</v>
      </c>
      <c r="C1194" s="7">
        <v>0.54686342592592596</v>
      </c>
      <c r="D1194" s="8">
        <v>0.54782407407407407</v>
      </c>
      <c r="E1194">
        <f t="shared" si="36"/>
        <v>1</v>
      </c>
      <c r="F1194">
        <f t="shared" si="37"/>
        <v>0</v>
      </c>
    </row>
    <row r="1195" spans="1:6" x14ac:dyDescent="0.35">
      <c r="A1195" s="9">
        <v>5244597</v>
      </c>
      <c r="B1195" s="10">
        <v>42934</v>
      </c>
      <c r="C1195" s="11">
        <v>0.55008101851851854</v>
      </c>
      <c r="D1195" s="12">
        <v>0.55730324074074078</v>
      </c>
      <c r="E1195">
        <f t="shared" si="36"/>
        <v>1</v>
      </c>
      <c r="F1195">
        <f t="shared" si="37"/>
        <v>0</v>
      </c>
    </row>
    <row r="1196" spans="1:6" x14ac:dyDescent="0.35">
      <c r="A1196" s="5">
        <v>2005653</v>
      </c>
      <c r="B1196" s="6">
        <v>42934</v>
      </c>
      <c r="C1196" s="7">
        <v>0.55039351851851848</v>
      </c>
      <c r="D1196" s="8">
        <v>0.5572569444444444</v>
      </c>
      <c r="E1196">
        <f t="shared" si="36"/>
        <v>1</v>
      </c>
      <c r="F1196">
        <f t="shared" si="37"/>
        <v>0</v>
      </c>
    </row>
    <row r="1197" spans="1:6" x14ac:dyDescent="0.35">
      <c r="A1197" s="9">
        <v>7203715</v>
      </c>
      <c r="B1197" s="10">
        <v>42934</v>
      </c>
      <c r="C1197" s="11">
        <v>0.55447916666666663</v>
      </c>
      <c r="D1197" s="12">
        <v>0.56332175925925931</v>
      </c>
      <c r="E1197">
        <f t="shared" si="36"/>
        <v>1</v>
      </c>
      <c r="F1197">
        <f t="shared" si="37"/>
        <v>0</v>
      </c>
    </row>
    <row r="1198" spans="1:6" x14ac:dyDescent="0.35">
      <c r="A1198" s="5">
        <v>4520463</v>
      </c>
      <c r="B1198" s="6">
        <v>42934</v>
      </c>
      <c r="C1198" s="7">
        <v>0.55645833333333339</v>
      </c>
      <c r="D1198" s="8">
        <v>0.55648148148148147</v>
      </c>
      <c r="E1198">
        <f t="shared" si="36"/>
        <v>1</v>
      </c>
      <c r="F1198">
        <f t="shared" si="37"/>
        <v>0</v>
      </c>
    </row>
    <row r="1199" spans="1:6" x14ac:dyDescent="0.35">
      <c r="A1199" s="9">
        <v>4454837</v>
      </c>
      <c r="B1199" s="10">
        <v>42934</v>
      </c>
      <c r="C1199" s="11">
        <v>0.5621990740740741</v>
      </c>
      <c r="D1199" s="12">
        <v>0.56353009259259257</v>
      </c>
      <c r="E1199">
        <f t="shared" si="36"/>
        <v>1</v>
      </c>
      <c r="F1199">
        <f t="shared" si="37"/>
        <v>0</v>
      </c>
    </row>
    <row r="1200" spans="1:6" x14ac:dyDescent="0.35">
      <c r="A1200" s="5">
        <v>6999348</v>
      </c>
      <c r="B1200" s="6">
        <v>42934</v>
      </c>
      <c r="C1200" s="7">
        <v>0.56714120370370369</v>
      </c>
      <c r="D1200" s="8">
        <v>0.56869212962962967</v>
      </c>
      <c r="E1200">
        <f t="shared" si="36"/>
        <v>1</v>
      </c>
      <c r="F1200">
        <f t="shared" si="37"/>
        <v>0</v>
      </c>
    </row>
    <row r="1201" spans="1:6" x14ac:dyDescent="0.35">
      <c r="A1201" s="9">
        <v>90884366</v>
      </c>
      <c r="B1201" s="10">
        <v>42934</v>
      </c>
      <c r="C1201" s="11">
        <v>0.57276620370370368</v>
      </c>
      <c r="D1201" s="12">
        <v>0.57995370370370369</v>
      </c>
      <c r="E1201">
        <f t="shared" si="36"/>
        <v>0</v>
      </c>
      <c r="F1201">
        <f t="shared" si="37"/>
        <v>1</v>
      </c>
    </row>
    <row r="1202" spans="1:6" x14ac:dyDescent="0.35">
      <c r="A1202" s="5">
        <v>3121640</v>
      </c>
      <c r="B1202" s="6">
        <v>42934</v>
      </c>
      <c r="C1202" s="7">
        <v>0.57841435185185186</v>
      </c>
      <c r="D1202" s="8">
        <v>0.58364583333333331</v>
      </c>
      <c r="E1202">
        <f t="shared" si="36"/>
        <v>1</v>
      </c>
      <c r="F1202">
        <f t="shared" si="37"/>
        <v>0</v>
      </c>
    </row>
    <row r="1203" spans="1:6" x14ac:dyDescent="0.35">
      <c r="A1203" s="9">
        <v>5912710</v>
      </c>
      <c r="B1203" s="10">
        <v>42934</v>
      </c>
      <c r="C1203" s="11">
        <v>0.57988425925925924</v>
      </c>
      <c r="D1203" s="12">
        <v>0.58928240740740745</v>
      </c>
      <c r="E1203">
        <f t="shared" si="36"/>
        <v>1</v>
      </c>
      <c r="F1203">
        <f t="shared" si="37"/>
        <v>0</v>
      </c>
    </row>
    <row r="1204" spans="1:6" x14ac:dyDescent="0.35">
      <c r="A1204" s="5">
        <v>7118082</v>
      </c>
      <c r="B1204" s="6">
        <v>42934</v>
      </c>
      <c r="C1204" s="7">
        <v>0.58524305555555556</v>
      </c>
      <c r="D1204" s="8">
        <v>0.591400462962963</v>
      </c>
      <c r="E1204">
        <f t="shared" si="36"/>
        <v>1</v>
      </c>
      <c r="F1204">
        <f t="shared" si="37"/>
        <v>0</v>
      </c>
    </row>
    <row r="1205" spans="1:6" x14ac:dyDescent="0.35">
      <c r="A1205" s="9">
        <v>9100303</v>
      </c>
      <c r="B1205" s="10">
        <v>42934</v>
      </c>
      <c r="C1205" s="11">
        <v>0.58543981481481477</v>
      </c>
      <c r="D1205" s="12">
        <v>0.58929398148148149</v>
      </c>
      <c r="E1205">
        <f t="shared" si="36"/>
        <v>1</v>
      </c>
      <c r="F1205">
        <f t="shared" si="37"/>
        <v>0</v>
      </c>
    </row>
    <row r="1206" spans="1:6" x14ac:dyDescent="0.35">
      <c r="A1206" s="5">
        <v>25581178</v>
      </c>
      <c r="B1206" s="6">
        <v>42934</v>
      </c>
      <c r="C1206" s="7">
        <v>0.58942129629629625</v>
      </c>
      <c r="D1206" s="8">
        <v>0.59734953703703708</v>
      </c>
      <c r="E1206">
        <f t="shared" si="36"/>
        <v>0</v>
      </c>
      <c r="F1206">
        <f t="shared" si="37"/>
        <v>1</v>
      </c>
    </row>
    <row r="1207" spans="1:6" x14ac:dyDescent="0.35">
      <c r="A1207" s="9">
        <v>78976022</v>
      </c>
      <c r="B1207" s="10">
        <v>42934</v>
      </c>
      <c r="C1207" s="11">
        <v>0.59495370370370371</v>
      </c>
      <c r="D1207" s="12">
        <v>0.5965625</v>
      </c>
      <c r="E1207">
        <f t="shared" si="36"/>
        <v>0</v>
      </c>
      <c r="F1207">
        <f t="shared" si="37"/>
        <v>1</v>
      </c>
    </row>
    <row r="1208" spans="1:6" x14ac:dyDescent="0.35">
      <c r="A1208" s="5">
        <v>7781904</v>
      </c>
      <c r="B1208" s="6">
        <v>42934</v>
      </c>
      <c r="C1208" s="7">
        <v>0.59964120370370366</v>
      </c>
      <c r="D1208" s="8">
        <v>0.60444444444444445</v>
      </c>
      <c r="E1208">
        <f t="shared" si="36"/>
        <v>1</v>
      </c>
      <c r="F1208">
        <f t="shared" si="37"/>
        <v>0</v>
      </c>
    </row>
    <row r="1209" spans="1:6" x14ac:dyDescent="0.35">
      <c r="A1209" s="9">
        <v>7473804</v>
      </c>
      <c r="B1209" s="10">
        <v>42934</v>
      </c>
      <c r="C1209" s="11">
        <v>0.60268518518518521</v>
      </c>
      <c r="D1209" s="12">
        <v>0.60929398148148151</v>
      </c>
      <c r="E1209">
        <f t="shared" si="36"/>
        <v>1</v>
      </c>
      <c r="F1209">
        <f t="shared" si="37"/>
        <v>0</v>
      </c>
    </row>
    <row r="1210" spans="1:6" x14ac:dyDescent="0.35">
      <c r="A1210" s="5">
        <v>8474693946</v>
      </c>
      <c r="B1210" s="6">
        <v>42934</v>
      </c>
      <c r="C1210" s="7">
        <v>0.60423611111111108</v>
      </c>
      <c r="D1210" s="8">
        <v>0.61535879629629631</v>
      </c>
      <c r="E1210">
        <f t="shared" si="36"/>
        <v>0</v>
      </c>
      <c r="F1210">
        <f t="shared" si="37"/>
        <v>0</v>
      </c>
    </row>
    <row r="1211" spans="1:6" x14ac:dyDescent="0.35">
      <c r="A1211" s="9">
        <v>8984769</v>
      </c>
      <c r="B1211" s="10">
        <v>42934</v>
      </c>
      <c r="C1211" s="11">
        <v>0.60932870370370373</v>
      </c>
      <c r="D1211" s="12">
        <v>0.61124999999999996</v>
      </c>
      <c r="E1211">
        <f t="shared" si="36"/>
        <v>1</v>
      </c>
      <c r="F1211">
        <f t="shared" si="37"/>
        <v>0</v>
      </c>
    </row>
    <row r="1212" spans="1:6" x14ac:dyDescent="0.35">
      <c r="A1212" s="5">
        <v>40395856</v>
      </c>
      <c r="B1212" s="6">
        <v>42934</v>
      </c>
      <c r="C1212" s="7">
        <v>0.61365740740740737</v>
      </c>
      <c r="D1212" s="8">
        <v>0.61829861111111106</v>
      </c>
      <c r="E1212">
        <f t="shared" si="36"/>
        <v>0</v>
      </c>
      <c r="F1212">
        <f t="shared" si="37"/>
        <v>1</v>
      </c>
    </row>
    <row r="1213" spans="1:6" x14ac:dyDescent="0.35">
      <c r="A1213" s="9">
        <v>9728932</v>
      </c>
      <c r="B1213" s="10">
        <v>42934</v>
      </c>
      <c r="C1213" s="11">
        <v>0.61675925925925923</v>
      </c>
      <c r="D1213" s="12">
        <v>0.61790509259259263</v>
      </c>
      <c r="E1213">
        <f t="shared" si="36"/>
        <v>1</v>
      </c>
      <c r="F1213">
        <f t="shared" si="37"/>
        <v>0</v>
      </c>
    </row>
    <row r="1214" spans="1:6" x14ac:dyDescent="0.35">
      <c r="A1214" s="5">
        <v>8135542</v>
      </c>
      <c r="B1214" s="6">
        <v>42934</v>
      </c>
      <c r="C1214" s="7">
        <v>0.62184027777777773</v>
      </c>
      <c r="D1214" s="8">
        <v>0.63255787037037037</v>
      </c>
      <c r="E1214">
        <f t="shared" si="36"/>
        <v>1</v>
      </c>
      <c r="F1214">
        <f t="shared" si="37"/>
        <v>0</v>
      </c>
    </row>
    <row r="1215" spans="1:6" x14ac:dyDescent="0.35">
      <c r="A1215" s="9">
        <v>10093488</v>
      </c>
      <c r="B1215" s="10">
        <v>42934</v>
      </c>
      <c r="C1215" s="11">
        <v>0.62197916666666664</v>
      </c>
      <c r="D1215" s="12">
        <v>0.62238425925925922</v>
      </c>
      <c r="E1215">
        <f t="shared" si="36"/>
        <v>0</v>
      </c>
      <c r="F1215">
        <f t="shared" si="37"/>
        <v>1</v>
      </c>
    </row>
    <row r="1216" spans="1:6" x14ac:dyDescent="0.35">
      <c r="A1216" s="5">
        <v>4203418</v>
      </c>
      <c r="B1216" s="6">
        <v>42934</v>
      </c>
      <c r="C1216" s="7">
        <v>0.62556712962962968</v>
      </c>
      <c r="D1216" s="8">
        <v>0.63491898148148151</v>
      </c>
      <c r="E1216">
        <f t="shared" si="36"/>
        <v>1</v>
      </c>
      <c r="F1216">
        <f t="shared" si="37"/>
        <v>0</v>
      </c>
    </row>
    <row r="1217" spans="1:6" x14ac:dyDescent="0.35">
      <c r="A1217" s="9">
        <v>2456290</v>
      </c>
      <c r="B1217" s="10">
        <v>42935</v>
      </c>
      <c r="C1217" s="11">
        <v>0.33592592592592591</v>
      </c>
      <c r="D1217" s="12">
        <v>0.34680555555555553</v>
      </c>
      <c r="E1217">
        <f t="shared" si="36"/>
        <v>1</v>
      </c>
      <c r="F1217">
        <f t="shared" si="37"/>
        <v>0</v>
      </c>
    </row>
    <row r="1218" spans="1:6" x14ac:dyDescent="0.35">
      <c r="A1218" s="5">
        <v>27610972</v>
      </c>
      <c r="B1218" s="6">
        <v>42935</v>
      </c>
      <c r="C1218" s="7">
        <v>0.33888888888888891</v>
      </c>
      <c r="D1218" s="8">
        <v>0.3502777777777778</v>
      </c>
      <c r="E1218">
        <f t="shared" si="36"/>
        <v>0</v>
      </c>
      <c r="F1218">
        <f t="shared" si="37"/>
        <v>1</v>
      </c>
    </row>
    <row r="1219" spans="1:6" x14ac:dyDescent="0.35">
      <c r="A1219" s="9">
        <v>3073815</v>
      </c>
      <c r="B1219" s="10">
        <v>42935</v>
      </c>
      <c r="C1219" s="11">
        <v>0.34309027777777779</v>
      </c>
      <c r="D1219" s="12">
        <v>0.34798611111111111</v>
      </c>
      <c r="E1219">
        <f t="shared" ref="E1219:E1282" si="38">IF(LEN(A1219)=7,1,0)</f>
        <v>1</v>
      </c>
      <c r="F1219">
        <f t="shared" ref="F1219:F1282" si="39">IF(LEN(A1219)=8,1,0)</f>
        <v>0</v>
      </c>
    </row>
    <row r="1220" spans="1:6" x14ac:dyDescent="0.35">
      <c r="A1220" s="5">
        <v>9776810</v>
      </c>
      <c r="B1220" s="6">
        <v>42935</v>
      </c>
      <c r="C1220" s="7">
        <v>0.34704861111111113</v>
      </c>
      <c r="D1220" s="8">
        <v>0.35386574074074073</v>
      </c>
      <c r="E1220">
        <f t="shared" si="38"/>
        <v>1</v>
      </c>
      <c r="F1220">
        <f t="shared" si="39"/>
        <v>0</v>
      </c>
    </row>
    <row r="1221" spans="1:6" x14ac:dyDescent="0.35">
      <c r="A1221" s="9">
        <v>6763741</v>
      </c>
      <c r="B1221" s="10">
        <v>42935</v>
      </c>
      <c r="C1221" s="11">
        <v>0.35040509259259262</v>
      </c>
      <c r="D1221" s="12">
        <v>0.35600694444444442</v>
      </c>
      <c r="E1221">
        <f t="shared" si="38"/>
        <v>1</v>
      </c>
      <c r="F1221">
        <f t="shared" si="39"/>
        <v>0</v>
      </c>
    </row>
    <row r="1222" spans="1:6" x14ac:dyDescent="0.35">
      <c r="A1222" s="5">
        <v>2309436</v>
      </c>
      <c r="B1222" s="6">
        <v>42935</v>
      </c>
      <c r="C1222" s="7">
        <v>0.35304398148148147</v>
      </c>
      <c r="D1222" s="8">
        <v>0.35793981481481479</v>
      </c>
      <c r="E1222">
        <f t="shared" si="38"/>
        <v>1</v>
      </c>
      <c r="F1222">
        <f t="shared" si="39"/>
        <v>0</v>
      </c>
    </row>
    <row r="1223" spans="1:6" x14ac:dyDescent="0.35">
      <c r="A1223" s="9">
        <v>3131883</v>
      </c>
      <c r="B1223" s="10">
        <v>42935</v>
      </c>
      <c r="C1223" s="11">
        <v>0.35712962962962963</v>
      </c>
      <c r="D1223" s="12">
        <v>0.36243055555555553</v>
      </c>
      <c r="E1223">
        <f t="shared" si="38"/>
        <v>1</v>
      </c>
      <c r="F1223">
        <f t="shared" si="39"/>
        <v>0</v>
      </c>
    </row>
    <row r="1224" spans="1:6" x14ac:dyDescent="0.35">
      <c r="A1224" s="5">
        <v>69001821</v>
      </c>
      <c r="B1224" s="6">
        <v>42935</v>
      </c>
      <c r="C1224" s="7">
        <v>0.35835648148148147</v>
      </c>
      <c r="D1224" s="8">
        <v>0.36712962962962964</v>
      </c>
      <c r="E1224">
        <f t="shared" si="38"/>
        <v>0</v>
      </c>
      <c r="F1224">
        <f t="shared" si="39"/>
        <v>1</v>
      </c>
    </row>
    <row r="1225" spans="1:6" x14ac:dyDescent="0.35">
      <c r="A1225" s="9">
        <v>2150051</v>
      </c>
      <c r="B1225" s="10">
        <v>42935</v>
      </c>
      <c r="C1225" s="11">
        <v>0.36310185185185184</v>
      </c>
      <c r="D1225" s="12">
        <v>0.36723379629629632</v>
      </c>
      <c r="E1225">
        <f t="shared" si="38"/>
        <v>1</v>
      </c>
      <c r="F1225">
        <f t="shared" si="39"/>
        <v>0</v>
      </c>
    </row>
    <row r="1226" spans="1:6" x14ac:dyDescent="0.35">
      <c r="A1226" s="5">
        <v>9967523741</v>
      </c>
      <c r="B1226" s="6">
        <v>42935</v>
      </c>
      <c r="C1226" s="7">
        <v>0.36886574074074074</v>
      </c>
      <c r="D1226" s="8">
        <v>0.37324074074074076</v>
      </c>
      <c r="E1226">
        <f t="shared" si="38"/>
        <v>0</v>
      </c>
      <c r="F1226">
        <f t="shared" si="39"/>
        <v>0</v>
      </c>
    </row>
    <row r="1227" spans="1:6" x14ac:dyDescent="0.35">
      <c r="A1227" s="9">
        <v>23300236</v>
      </c>
      <c r="B1227" s="10">
        <v>42935</v>
      </c>
      <c r="C1227" s="11">
        <v>0.37094907407407407</v>
      </c>
      <c r="D1227" s="12">
        <v>0.37517361111111114</v>
      </c>
      <c r="E1227">
        <f t="shared" si="38"/>
        <v>0</v>
      </c>
      <c r="F1227">
        <f t="shared" si="39"/>
        <v>1</v>
      </c>
    </row>
    <row r="1228" spans="1:6" x14ac:dyDescent="0.35">
      <c r="A1228" s="5">
        <v>4714815</v>
      </c>
      <c r="B1228" s="6">
        <v>42935</v>
      </c>
      <c r="C1228" s="7">
        <v>0.37484953703703705</v>
      </c>
      <c r="D1228" s="8">
        <v>0.38143518518518521</v>
      </c>
      <c r="E1228">
        <f t="shared" si="38"/>
        <v>1</v>
      </c>
      <c r="F1228">
        <f t="shared" si="39"/>
        <v>0</v>
      </c>
    </row>
    <row r="1229" spans="1:6" x14ac:dyDescent="0.35">
      <c r="A1229" s="9">
        <v>80038636</v>
      </c>
      <c r="B1229" s="10">
        <v>42935</v>
      </c>
      <c r="C1229" s="11">
        <v>0.38028935185185186</v>
      </c>
      <c r="D1229" s="12">
        <v>0.38239583333333332</v>
      </c>
      <c r="E1229">
        <f t="shared" si="38"/>
        <v>0</v>
      </c>
      <c r="F1229">
        <f t="shared" si="39"/>
        <v>1</v>
      </c>
    </row>
    <row r="1230" spans="1:6" x14ac:dyDescent="0.35">
      <c r="A1230" s="5">
        <v>47596793</v>
      </c>
      <c r="B1230" s="6">
        <v>42935</v>
      </c>
      <c r="C1230" s="7">
        <v>0.38059027777777776</v>
      </c>
      <c r="D1230" s="8">
        <v>0.38280092592592591</v>
      </c>
      <c r="E1230">
        <f t="shared" si="38"/>
        <v>0</v>
      </c>
      <c r="F1230">
        <f t="shared" si="39"/>
        <v>1</v>
      </c>
    </row>
    <row r="1231" spans="1:6" x14ac:dyDescent="0.35">
      <c r="A1231" s="9">
        <v>6574044</v>
      </c>
      <c r="B1231" s="10">
        <v>42935</v>
      </c>
      <c r="C1231" s="11">
        <v>0.38173611111111111</v>
      </c>
      <c r="D1231" s="12">
        <v>0.38915509259259257</v>
      </c>
      <c r="E1231">
        <f t="shared" si="38"/>
        <v>1</v>
      </c>
      <c r="F1231">
        <f t="shared" si="39"/>
        <v>0</v>
      </c>
    </row>
    <row r="1232" spans="1:6" x14ac:dyDescent="0.35">
      <c r="A1232" s="5">
        <v>9475290</v>
      </c>
      <c r="B1232" s="6">
        <v>42935</v>
      </c>
      <c r="C1232" s="7">
        <v>0.38512731481481483</v>
      </c>
      <c r="D1232" s="8">
        <v>0.3947222222222222</v>
      </c>
      <c r="E1232">
        <f t="shared" si="38"/>
        <v>1</v>
      </c>
      <c r="F1232">
        <f t="shared" si="39"/>
        <v>0</v>
      </c>
    </row>
    <row r="1233" spans="1:6" x14ac:dyDescent="0.35">
      <c r="A1233" s="9">
        <v>4458725</v>
      </c>
      <c r="B1233" s="10">
        <v>42935</v>
      </c>
      <c r="C1233" s="11">
        <v>0.38533564814814814</v>
      </c>
      <c r="D1233" s="12">
        <v>0.39521990740740742</v>
      </c>
      <c r="E1233">
        <f t="shared" si="38"/>
        <v>1</v>
      </c>
      <c r="F1233">
        <f t="shared" si="39"/>
        <v>0</v>
      </c>
    </row>
    <row r="1234" spans="1:6" x14ac:dyDescent="0.35">
      <c r="A1234" s="5">
        <v>4785864</v>
      </c>
      <c r="B1234" s="6">
        <v>42935</v>
      </c>
      <c r="C1234" s="7">
        <v>0.38833333333333331</v>
      </c>
      <c r="D1234" s="8">
        <v>0.39069444444444446</v>
      </c>
      <c r="E1234">
        <f t="shared" si="38"/>
        <v>1</v>
      </c>
      <c r="F1234">
        <f t="shared" si="39"/>
        <v>0</v>
      </c>
    </row>
    <row r="1235" spans="1:6" x14ac:dyDescent="0.35">
      <c r="A1235" s="9">
        <v>3109039</v>
      </c>
      <c r="B1235" s="10">
        <v>42935</v>
      </c>
      <c r="C1235" s="11">
        <v>0.38979166666666665</v>
      </c>
      <c r="D1235" s="12">
        <v>0.39171296296296299</v>
      </c>
      <c r="E1235">
        <f t="shared" si="38"/>
        <v>1</v>
      </c>
      <c r="F1235">
        <f t="shared" si="39"/>
        <v>0</v>
      </c>
    </row>
    <row r="1236" spans="1:6" x14ac:dyDescent="0.35">
      <c r="A1236" s="5">
        <v>7340326</v>
      </c>
      <c r="B1236" s="6">
        <v>42935</v>
      </c>
      <c r="C1236" s="7">
        <v>0.3898611111111111</v>
      </c>
      <c r="D1236" s="8">
        <v>0.39067129629629632</v>
      </c>
      <c r="E1236">
        <f t="shared" si="38"/>
        <v>1</v>
      </c>
      <c r="F1236">
        <f t="shared" si="39"/>
        <v>0</v>
      </c>
    </row>
    <row r="1237" spans="1:6" x14ac:dyDescent="0.35">
      <c r="A1237" s="9">
        <v>7865428</v>
      </c>
      <c r="B1237" s="10">
        <v>42935</v>
      </c>
      <c r="C1237" s="11">
        <v>0.3941898148148148</v>
      </c>
      <c r="D1237" s="12">
        <v>0.40530092592592593</v>
      </c>
      <c r="E1237">
        <f t="shared" si="38"/>
        <v>1</v>
      </c>
      <c r="F1237">
        <f t="shared" si="39"/>
        <v>0</v>
      </c>
    </row>
    <row r="1238" spans="1:6" x14ac:dyDescent="0.35">
      <c r="A1238" s="5">
        <v>1467591</v>
      </c>
      <c r="B1238" s="6">
        <v>42935</v>
      </c>
      <c r="C1238" s="7">
        <v>0.39607638888888891</v>
      </c>
      <c r="D1238" s="8">
        <v>0.40442129629629631</v>
      </c>
      <c r="E1238">
        <f t="shared" si="38"/>
        <v>1</v>
      </c>
      <c r="F1238">
        <f t="shared" si="39"/>
        <v>0</v>
      </c>
    </row>
    <row r="1239" spans="1:6" x14ac:dyDescent="0.35">
      <c r="A1239" s="9">
        <v>2475157</v>
      </c>
      <c r="B1239" s="10">
        <v>42935</v>
      </c>
      <c r="C1239" s="11">
        <v>0.39937499999999998</v>
      </c>
      <c r="D1239" s="12">
        <v>0.40332175925925928</v>
      </c>
      <c r="E1239">
        <f t="shared" si="38"/>
        <v>1</v>
      </c>
      <c r="F1239">
        <f t="shared" si="39"/>
        <v>0</v>
      </c>
    </row>
    <row r="1240" spans="1:6" x14ac:dyDescent="0.35">
      <c r="A1240" s="5">
        <v>6023049</v>
      </c>
      <c r="B1240" s="6">
        <v>42935</v>
      </c>
      <c r="C1240" s="7">
        <v>0.39959490740740738</v>
      </c>
      <c r="D1240" s="8">
        <v>0.41099537037037037</v>
      </c>
      <c r="E1240">
        <f t="shared" si="38"/>
        <v>1</v>
      </c>
      <c r="F1240">
        <f t="shared" si="39"/>
        <v>0</v>
      </c>
    </row>
    <row r="1241" spans="1:6" x14ac:dyDescent="0.35">
      <c r="A1241" s="9">
        <v>39210366</v>
      </c>
      <c r="B1241" s="10">
        <v>42935</v>
      </c>
      <c r="C1241" s="11">
        <v>0.40234953703703702</v>
      </c>
      <c r="D1241" s="12">
        <v>0.40469907407407407</v>
      </c>
      <c r="E1241">
        <f t="shared" si="38"/>
        <v>0</v>
      </c>
      <c r="F1241">
        <f t="shared" si="39"/>
        <v>1</v>
      </c>
    </row>
    <row r="1242" spans="1:6" x14ac:dyDescent="0.35">
      <c r="A1242" s="5">
        <v>90880011</v>
      </c>
      <c r="B1242" s="6">
        <v>42935</v>
      </c>
      <c r="C1242" s="7">
        <v>0.40743055555555557</v>
      </c>
      <c r="D1242" s="8">
        <v>0.41255787037037039</v>
      </c>
      <c r="E1242">
        <f t="shared" si="38"/>
        <v>0</v>
      </c>
      <c r="F1242">
        <f t="shared" si="39"/>
        <v>1</v>
      </c>
    </row>
    <row r="1243" spans="1:6" x14ac:dyDescent="0.35">
      <c r="A1243" s="9">
        <v>4469748</v>
      </c>
      <c r="B1243" s="10">
        <v>42935</v>
      </c>
      <c r="C1243" s="11">
        <v>0.41121527777777778</v>
      </c>
      <c r="D1243" s="12">
        <v>0.41483796296296294</v>
      </c>
      <c r="E1243">
        <f t="shared" si="38"/>
        <v>1</v>
      </c>
      <c r="F1243">
        <f t="shared" si="39"/>
        <v>0</v>
      </c>
    </row>
    <row r="1244" spans="1:6" x14ac:dyDescent="0.35">
      <c r="A1244" s="5">
        <v>3931739393</v>
      </c>
      <c r="B1244" s="6">
        <v>42935</v>
      </c>
      <c r="C1244" s="7">
        <v>0.4127662037037037</v>
      </c>
      <c r="D1244" s="8">
        <v>0.42182870370370368</v>
      </c>
      <c r="E1244">
        <f t="shared" si="38"/>
        <v>0</v>
      </c>
      <c r="F1244">
        <f t="shared" si="39"/>
        <v>0</v>
      </c>
    </row>
    <row r="1245" spans="1:6" x14ac:dyDescent="0.35">
      <c r="A1245" s="9">
        <v>4079013</v>
      </c>
      <c r="B1245" s="10">
        <v>42935</v>
      </c>
      <c r="C1245" s="11">
        <v>0.41616898148148146</v>
      </c>
      <c r="D1245" s="12">
        <v>0.41717592592592595</v>
      </c>
      <c r="E1245">
        <f t="shared" si="38"/>
        <v>1</v>
      </c>
      <c r="F1245">
        <f t="shared" si="39"/>
        <v>0</v>
      </c>
    </row>
    <row r="1246" spans="1:6" x14ac:dyDescent="0.35">
      <c r="A1246" s="5">
        <v>7751076</v>
      </c>
      <c r="B1246" s="6">
        <v>42935</v>
      </c>
      <c r="C1246" s="7">
        <v>0.41996527777777776</v>
      </c>
      <c r="D1246" s="8">
        <v>0.42766203703703703</v>
      </c>
      <c r="E1246">
        <f t="shared" si="38"/>
        <v>1</v>
      </c>
      <c r="F1246">
        <f t="shared" si="39"/>
        <v>0</v>
      </c>
    </row>
    <row r="1247" spans="1:6" x14ac:dyDescent="0.35">
      <c r="A1247" s="9">
        <v>27684909</v>
      </c>
      <c r="B1247" s="10">
        <v>42935</v>
      </c>
      <c r="C1247" s="11">
        <v>0.42166666666666669</v>
      </c>
      <c r="D1247" s="12">
        <v>0.43111111111111111</v>
      </c>
      <c r="E1247">
        <f t="shared" si="38"/>
        <v>0</v>
      </c>
      <c r="F1247">
        <f t="shared" si="39"/>
        <v>1</v>
      </c>
    </row>
    <row r="1248" spans="1:6" x14ac:dyDescent="0.35">
      <c r="A1248" s="5">
        <v>1588418</v>
      </c>
      <c r="B1248" s="6">
        <v>42935</v>
      </c>
      <c r="C1248" s="7">
        <v>0.42422453703703705</v>
      </c>
      <c r="D1248" s="8">
        <v>0.43512731481481481</v>
      </c>
      <c r="E1248">
        <f t="shared" si="38"/>
        <v>1</v>
      </c>
      <c r="F1248">
        <f t="shared" si="39"/>
        <v>0</v>
      </c>
    </row>
    <row r="1249" spans="1:6" x14ac:dyDescent="0.35">
      <c r="A1249" s="9">
        <v>5333653356</v>
      </c>
      <c r="B1249" s="10">
        <v>42935</v>
      </c>
      <c r="C1249" s="11">
        <v>0.42684027777777778</v>
      </c>
      <c r="D1249" s="12">
        <v>0.43207175925925928</v>
      </c>
      <c r="E1249">
        <f t="shared" si="38"/>
        <v>0</v>
      </c>
      <c r="F1249">
        <f t="shared" si="39"/>
        <v>0</v>
      </c>
    </row>
    <row r="1250" spans="1:6" x14ac:dyDescent="0.35">
      <c r="A1250" s="5">
        <v>6305758</v>
      </c>
      <c r="B1250" s="6">
        <v>42935</v>
      </c>
      <c r="C1250" s="7">
        <v>0.42912037037037037</v>
      </c>
      <c r="D1250" s="8">
        <v>0.43425925925925923</v>
      </c>
      <c r="E1250">
        <f t="shared" si="38"/>
        <v>1</v>
      </c>
      <c r="F1250">
        <f t="shared" si="39"/>
        <v>0</v>
      </c>
    </row>
    <row r="1251" spans="1:6" x14ac:dyDescent="0.35">
      <c r="A1251" s="9">
        <v>45373038</v>
      </c>
      <c r="B1251" s="10">
        <v>42935</v>
      </c>
      <c r="C1251" s="11">
        <v>0.43180555555555555</v>
      </c>
      <c r="D1251" s="12">
        <v>0.44175925925925924</v>
      </c>
      <c r="E1251">
        <f t="shared" si="38"/>
        <v>0</v>
      </c>
      <c r="F1251">
        <f t="shared" si="39"/>
        <v>1</v>
      </c>
    </row>
    <row r="1252" spans="1:6" x14ac:dyDescent="0.35">
      <c r="A1252" s="5">
        <v>7589993</v>
      </c>
      <c r="B1252" s="6">
        <v>42935</v>
      </c>
      <c r="C1252" s="7">
        <v>0.43185185185185188</v>
      </c>
      <c r="D1252" s="8">
        <v>0.4382638888888889</v>
      </c>
      <c r="E1252">
        <f t="shared" si="38"/>
        <v>1</v>
      </c>
      <c r="F1252">
        <f t="shared" si="39"/>
        <v>0</v>
      </c>
    </row>
    <row r="1253" spans="1:6" x14ac:dyDescent="0.35">
      <c r="A1253" s="9">
        <v>5588421</v>
      </c>
      <c r="B1253" s="10">
        <v>42935</v>
      </c>
      <c r="C1253" s="11">
        <v>0.43365740740740738</v>
      </c>
      <c r="D1253" s="12">
        <v>0.43964120370370369</v>
      </c>
      <c r="E1253">
        <f t="shared" si="38"/>
        <v>1</v>
      </c>
      <c r="F1253">
        <f t="shared" si="39"/>
        <v>0</v>
      </c>
    </row>
    <row r="1254" spans="1:6" x14ac:dyDescent="0.35">
      <c r="A1254" s="5">
        <v>9662407</v>
      </c>
      <c r="B1254" s="6">
        <v>42935</v>
      </c>
      <c r="C1254" s="7">
        <v>0.43509259259259259</v>
      </c>
      <c r="D1254" s="8">
        <v>0.44364583333333335</v>
      </c>
      <c r="E1254">
        <f t="shared" si="38"/>
        <v>1</v>
      </c>
      <c r="F1254">
        <f t="shared" si="39"/>
        <v>0</v>
      </c>
    </row>
    <row r="1255" spans="1:6" x14ac:dyDescent="0.35">
      <c r="A1255" s="9">
        <v>3422062</v>
      </c>
      <c r="B1255" s="10">
        <v>42935</v>
      </c>
      <c r="C1255" s="11">
        <v>0.43734953703703705</v>
      </c>
      <c r="D1255" s="12">
        <v>0.44071759259259258</v>
      </c>
      <c r="E1255">
        <f t="shared" si="38"/>
        <v>1</v>
      </c>
      <c r="F1255">
        <f t="shared" si="39"/>
        <v>0</v>
      </c>
    </row>
    <row r="1256" spans="1:6" x14ac:dyDescent="0.35">
      <c r="A1256" s="5">
        <v>9305031</v>
      </c>
      <c r="B1256" s="6">
        <v>42935</v>
      </c>
      <c r="C1256" s="7">
        <v>0.43827546296296294</v>
      </c>
      <c r="D1256" s="8">
        <v>0.44968750000000002</v>
      </c>
      <c r="E1256">
        <f t="shared" si="38"/>
        <v>1</v>
      </c>
      <c r="F1256">
        <f t="shared" si="39"/>
        <v>0</v>
      </c>
    </row>
    <row r="1257" spans="1:6" x14ac:dyDescent="0.35">
      <c r="A1257" s="9">
        <v>4911005</v>
      </c>
      <c r="B1257" s="10">
        <v>42935</v>
      </c>
      <c r="C1257" s="11">
        <v>0.44305555555555554</v>
      </c>
      <c r="D1257" s="12">
        <v>0.45006944444444447</v>
      </c>
      <c r="E1257">
        <f t="shared" si="38"/>
        <v>1</v>
      </c>
      <c r="F1257">
        <f t="shared" si="39"/>
        <v>0</v>
      </c>
    </row>
    <row r="1258" spans="1:6" x14ac:dyDescent="0.35">
      <c r="A1258" s="5">
        <v>1391272</v>
      </c>
      <c r="B1258" s="6">
        <v>42935</v>
      </c>
      <c r="C1258" s="7">
        <v>0.44664351851851852</v>
      </c>
      <c r="D1258" s="8">
        <v>0.45725694444444442</v>
      </c>
      <c r="E1258">
        <f t="shared" si="38"/>
        <v>1</v>
      </c>
      <c r="F1258">
        <f t="shared" si="39"/>
        <v>0</v>
      </c>
    </row>
    <row r="1259" spans="1:6" x14ac:dyDescent="0.35">
      <c r="A1259" s="9">
        <v>5027404</v>
      </c>
      <c r="B1259" s="10">
        <v>42935</v>
      </c>
      <c r="C1259" s="11">
        <v>0.45211805555555556</v>
      </c>
      <c r="D1259" s="12">
        <v>0.4598726851851852</v>
      </c>
      <c r="E1259">
        <f t="shared" si="38"/>
        <v>1</v>
      </c>
      <c r="F1259">
        <f t="shared" si="39"/>
        <v>0</v>
      </c>
    </row>
    <row r="1260" spans="1:6" x14ac:dyDescent="0.35">
      <c r="A1260" s="5">
        <v>38244568</v>
      </c>
      <c r="B1260" s="6">
        <v>42935</v>
      </c>
      <c r="C1260" s="7">
        <v>0.45768518518518519</v>
      </c>
      <c r="D1260" s="8">
        <v>0.45837962962962964</v>
      </c>
      <c r="E1260">
        <f t="shared" si="38"/>
        <v>0</v>
      </c>
      <c r="F1260">
        <f t="shared" si="39"/>
        <v>1</v>
      </c>
    </row>
    <row r="1261" spans="1:6" x14ac:dyDescent="0.35">
      <c r="A1261" s="9">
        <v>64900068</v>
      </c>
      <c r="B1261" s="10">
        <v>42935</v>
      </c>
      <c r="C1261" s="11">
        <v>0.46217592592592593</v>
      </c>
      <c r="D1261" s="12">
        <v>0.46263888888888888</v>
      </c>
      <c r="E1261">
        <f t="shared" si="38"/>
        <v>0</v>
      </c>
      <c r="F1261">
        <f t="shared" si="39"/>
        <v>1</v>
      </c>
    </row>
    <row r="1262" spans="1:6" x14ac:dyDescent="0.35">
      <c r="A1262" s="5">
        <v>45015009</v>
      </c>
      <c r="B1262" s="6">
        <v>42935</v>
      </c>
      <c r="C1262" s="7">
        <v>0.46546296296296297</v>
      </c>
      <c r="D1262" s="8">
        <v>0.4740509259259259</v>
      </c>
      <c r="E1262">
        <f t="shared" si="38"/>
        <v>0</v>
      </c>
      <c r="F1262">
        <f t="shared" si="39"/>
        <v>1</v>
      </c>
    </row>
    <row r="1263" spans="1:6" x14ac:dyDescent="0.35">
      <c r="A1263" s="9">
        <v>20424852</v>
      </c>
      <c r="B1263" s="10">
        <v>42935</v>
      </c>
      <c r="C1263" s="11">
        <v>0.46773148148148147</v>
      </c>
      <c r="D1263" s="12">
        <v>0.47054398148148147</v>
      </c>
      <c r="E1263">
        <f t="shared" si="38"/>
        <v>0</v>
      </c>
      <c r="F1263">
        <f t="shared" si="39"/>
        <v>1</v>
      </c>
    </row>
    <row r="1264" spans="1:6" x14ac:dyDescent="0.35">
      <c r="A1264" s="5">
        <v>4471203</v>
      </c>
      <c r="B1264" s="6">
        <v>42935</v>
      </c>
      <c r="C1264" s="7">
        <v>0.47298611111111111</v>
      </c>
      <c r="D1264" s="8">
        <v>0.48247685185185185</v>
      </c>
      <c r="E1264">
        <f t="shared" si="38"/>
        <v>1</v>
      </c>
      <c r="F1264">
        <f t="shared" si="39"/>
        <v>0</v>
      </c>
    </row>
    <row r="1265" spans="1:6" x14ac:dyDescent="0.35">
      <c r="A1265" s="9">
        <v>8250018</v>
      </c>
      <c r="B1265" s="10">
        <v>42935</v>
      </c>
      <c r="C1265" s="11">
        <v>0.47843750000000002</v>
      </c>
      <c r="D1265" s="12">
        <v>0.48951388888888892</v>
      </c>
      <c r="E1265">
        <f t="shared" si="38"/>
        <v>1</v>
      </c>
      <c r="F1265">
        <f t="shared" si="39"/>
        <v>0</v>
      </c>
    </row>
    <row r="1266" spans="1:6" x14ac:dyDescent="0.35">
      <c r="A1266" s="5">
        <v>1161028310</v>
      </c>
      <c r="B1266" s="6">
        <v>42935</v>
      </c>
      <c r="C1266" s="7">
        <v>0.47843750000000002</v>
      </c>
      <c r="D1266" s="8">
        <v>0.48879629629629628</v>
      </c>
      <c r="E1266">
        <f t="shared" si="38"/>
        <v>0</v>
      </c>
      <c r="F1266">
        <f t="shared" si="39"/>
        <v>0</v>
      </c>
    </row>
    <row r="1267" spans="1:6" x14ac:dyDescent="0.35">
      <c r="A1267" s="9">
        <v>66465215</v>
      </c>
      <c r="B1267" s="10">
        <v>42935</v>
      </c>
      <c r="C1267" s="11">
        <v>0.48381944444444447</v>
      </c>
      <c r="D1267" s="12">
        <v>0.49505787037037036</v>
      </c>
      <c r="E1267">
        <f t="shared" si="38"/>
        <v>0</v>
      </c>
      <c r="F1267">
        <f t="shared" si="39"/>
        <v>1</v>
      </c>
    </row>
    <row r="1268" spans="1:6" x14ac:dyDescent="0.35">
      <c r="A1268" s="5">
        <v>6386788</v>
      </c>
      <c r="B1268" s="6">
        <v>42935</v>
      </c>
      <c r="C1268" s="7">
        <v>0.48822916666666666</v>
      </c>
      <c r="D1268" s="8">
        <v>0.49540509259259258</v>
      </c>
      <c r="E1268">
        <f t="shared" si="38"/>
        <v>1</v>
      </c>
      <c r="F1268">
        <f t="shared" si="39"/>
        <v>0</v>
      </c>
    </row>
    <row r="1269" spans="1:6" x14ac:dyDescent="0.35">
      <c r="A1269" s="9">
        <v>3589291</v>
      </c>
      <c r="B1269" s="10">
        <v>42935</v>
      </c>
      <c r="C1269" s="11">
        <v>0.4896064814814815</v>
      </c>
      <c r="D1269" s="12">
        <v>0.49828703703703703</v>
      </c>
      <c r="E1269">
        <f t="shared" si="38"/>
        <v>1</v>
      </c>
      <c r="F1269">
        <f t="shared" si="39"/>
        <v>0</v>
      </c>
    </row>
    <row r="1270" spans="1:6" x14ac:dyDescent="0.35">
      <c r="A1270" s="5">
        <v>9254070</v>
      </c>
      <c r="B1270" s="6">
        <v>42935</v>
      </c>
      <c r="C1270" s="7">
        <v>0.49270833333333336</v>
      </c>
      <c r="D1270" s="8">
        <v>0.49774305555555554</v>
      </c>
      <c r="E1270">
        <f t="shared" si="38"/>
        <v>1</v>
      </c>
      <c r="F1270">
        <f t="shared" si="39"/>
        <v>0</v>
      </c>
    </row>
    <row r="1271" spans="1:6" x14ac:dyDescent="0.35">
      <c r="A1271" s="9">
        <v>6337931</v>
      </c>
      <c r="B1271" s="10">
        <v>42935</v>
      </c>
      <c r="C1271" s="11">
        <v>0.49625000000000002</v>
      </c>
      <c r="D1271" s="12">
        <v>0.5058449074074074</v>
      </c>
      <c r="E1271">
        <f t="shared" si="38"/>
        <v>1</v>
      </c>
      <c r="F1271">
        <f t="shared" si="39"/>
        <v>0</v>
      </c>
    </row>
    <row r="1272" spans="1:6" x14ac:dyDescent="0.35">
      <c r="A1272" s="5">
        <v>3563037</v>
      </c>
      <c r="B1272" s="6">
        <v>42935</v>
      </c>
      <c r="C1272" s="7">
        <v>0.50173611111111116</v>
      </c>
      <c r="D1272" s="8">
        <v>0.5130555555555556</v>
      </c>
      <c r="E1272">
        <f t="shared" si="38"/>
        <v>1</v>
      </c>
      <c r="F1272">
        <f t="shared" si="39"/>
        <v>0</v>
      </c>
    </row>
    <row r="1273" spans="1:6" x14ac:dyDescent="0.35">
      <c r="A1273" s="9">
        <v>2302227</v>
      </c>
      <c r="B1273" s="10">
        <v>42935</v>
      </c>
      <c r="C1273" s="11">
        <v>0.50219907407407405</v>
      </c>
      <c r="D1273" s="12">
        <v>0.50804398148148144</v>
      </c>
      <c r="E1273">
        <f t="shared" si="38"/>
        <v>1</v>
      </c>
      <c r="F1273">
        <f t="shared" si="39"/>
        <v>0</v>
      </c>
    </row>
    <row r="1274" spans="1:6" x14ac:dyDescent="0.35">
      <c r="A1274" s="5">
        <v>24454566</v>
      </c>
      <c r="B1274" s="6">
        <v>42935</v>
      </c>
      <c r="C1274" s="7">
        <v>0.50749999999999995</v>
      </c>
      <c r="D1274" s="8">
        <v>0.51290509259259254</v>
      </c>
      <c r="E1274">
        <f t="shared" si="38"/>
        <v>0</v>
      </c>
      <c r="F1274">
        <f t="shared" si="39"/>
        <v>1</v>
      </c>
    </row>
    <row r="1275" spans="1:6" x14ac:dyDescent="0.35">
      <c r="A1275" s="9">
        <v>6551880</v>
      </c>
      <c r="B1275" s="10">
        <v>42935</v>
      </c>
      <c r="C1275" s="11">
        <v>0.50756944444444441</v>
      </c>
      <c r="D1275" s="12">
        <v>0.51126157407407402</v>
      </c>
      <c r="E1275">
        <f t="shared" si="38"/>
        <v>1</v>
      </c>
      <c r="F1275">
        <f t="shared" si="39"/>
        <v>0</v>
      </c>
    </row>
    <row r="1276" spans="1:6" x14ac:dyDescent="0.35">
      <c r="A1276" s="5">
        <v>6616163</v>
      </c>
      <c r="B1276" s="6">
        <v>42935</v>
      </c>
      <c r="C1276" s="7">
        <v>0.51325231481481481</v>
      </c>
      <c r="D1276" s="8">
        <v>0.51627314814814818</v>
      </c>
      <c r="E1276">
        <f t="shared" si="38"/>
        <v>1</v>
      </c>
      <c r="F1276">
        <f t="shared" si="39"/>
        <v>0</v>
      </c>
    </row>
    <row r="1277" spans="1:6" x14ac:dyDescent="0.35">
      <c r="A1277" s="9">
        <v>96381896</v>
      </c>
      <c r="B1277" s="10">
        <v>42935</v>
      </c>
      <c r="C1277" s="11">
        <v>0.5173726851851852</v>
      </c>
      <c r="D1277" s="12">
        <v>0.52055555555555555</v>
      </c>
      <c r="E1277">
        <f t="shared" si="38"/>
        <v>0</v>
      </c>
      <c r="F1277">
        <f t="shared" si="39"/>
        <v>1</v>
      </c>
    </row>
    <row r="1278" spans="1:6" x14ac:dyDescent="0.35">
      <c r="A1278" s="5">
        <v>6892980</v>
      </c>
      <c r="B1278" s="6">
        <v>42935</v>
      </c>
      <c r="C1278" s="7">
        <v>0.52288194444444447</v>
      </c>
      <c r="D1278" s="8">
        <v>0.52722222222222226</v>
      </c>
      <c r="E1278">
        <f t="shared" si="38"/>
        <v>1</v>
      </c>
      <c r="F1278">
        <f t="shared" si="39"/>
        <v>0</v>
      </c>
    </row>
    <row r="1279" spans="1:6" x14ac:dyDescent="0.35">
      <c r="A1279" s="9">
        <v>5341697748</v>
      </c>
      <c r="B1279" s="10">
        <v>42935</v>
      </c>
      <c r="C1279" s="11">
        <v>0.52349537037037042</v>
      </c>
      <c r="D1279" s="12">
        <v>0.53362268518518519</v>
      </c>
      <c r="E1279">
        <f t="shared" si="38"/>
        <v>0</v>
      </c>
      <c r="F1279">
        <f t="shared" si="39"/>
        <v>0</v>
      </c>
    </row>
    <row r="1280" spans="1:6" x14ac:dyDescent="0.35">
      <c r="A1280" s="5">
        <v>52064221</v>
      </c>
      <c r="B1280" s="6">
        <v>42935</v>
      </c>
      <c r="C1280" s="7">
        <v>0.52766203703703707</v>
      </c>
      <c r="D1280" s="8">
        <v>0.53917824074074072</v>
      </c>
      <c r="E1280">
        <f t="shared" si="38"/>
        <v>0</v>
      </c>
      <c r="F1280">
        <f t="shared" si="39"/>
        <v>1</v>
      </c>
    </row>
    <row r="1281" spans="1:6" x14ac:dyDescent="0.35">
      <c r="A1281" s="9">
        <v>5111892302</v>
      </c>
      <c r="B1281" s="10">
        <v>42935</v>
      </c>
      <c r="C1281" s="11">
        <v>0.53209490740740739</v>
      </c>
      <c r="D1281" s="12">
        <v>0.53931712962962963</v>
      </c>
      <c r="E1281">
        <f t="shared" si="38"/>
        <v>0</v>
      </c>
      <c r="F1281">
        <f t="shared" si="39"/>
        <v>0</v>
      </c>
    </row>
    <row r="1282" spans="1:6" x14ac:dyDescent="0.35">
      <c r="A1282" s="5">
        <v>7571642</v>
      </c>
      <c r="B1282" s="6">
        <v>42935</v>
      </c>
      <c r="C1282" s="7">
        <v>0.53540509259259261</v>
      </c>
      <c r="D1282" s="8">
        <v>0.53540509259259261</v>
      </c>
      <c r="E1282">
        <f t="shared" si="38"/>
        <v>1</v>
      </c>
      <c r="F1282">
        <f t="shared" si="39"/>
        <v>0</v>
      </c>
    </row>
    <row r="1283" spans="1:6" x14ac:dyDescent="0.35">
      <c r="A1283" s="9">
        <v>9570286</v>
      </c>
      <c r="B1283" s="10">
        <v>42935</v>
      </c>
      <c r="C1283" s="11">
        <v>0.53594907407407411</v>
      </c>
      <c r="D1283" s="12">
        <v>0.54584490740740743</v>
      </c>
      <c r="E1283">
        <f t="shared" ref="E1283:E1346" si="40">IF(LEN(A1283)=7,1,0)</f>
        <v>1</v>
      </c>
      <c r="F1283">
        <f t="shared" ref="F1283:F1346" si="41">IF(LEN(A1283)=8,1,0)</f>
        <v>0</v>
      </c>
    </row>
    <row r="1284" spans="1:6" x14ac:dyDescent="0.35">
      <c r="A1284" s="5">
        <v>7632647</v>
      </c>
      <c r="B1284" s="6">
        <v>42935</v>
      </c>
      <c r="C1284" s="7">
        <v>0.54052083333333334</v>
      </c>
      <c r="D1284" s="8">
        <v>0.54195601851851849</v>
      </c>
      <c r="E1284">
        <f t="shared" si="40"/>
        <v>1</v>
      </c>
      <c r="F1284">
        <f t="shared" si="41"/>
        <v>0</v>
      </c>
    </row>
    <row r="1285" spans="1:6" x14ac:dyDescent="0.35">
      <c r="A1285" s="9">
        <v>3437033</v>
      </c>
      <c r="B1285" s="10">
        <v>42935</v>
      </c>
      <c r="C1285" s="11">
        <v>0.54439814814814813</v>
      </c>
      <c r="D1285" s="12">
        <v>0.54800925925925925</v>
      </c>
      <c r="E1285">
        <f t="shared" si="40"/>
        <v>1</v>
      </c>
      <c r="F1285">
        <f t="shared" si="41"/>
        <v>0</v>
      </c>
    </row>
    <row r="1286" spans="1:6" x14ac:dyDescent="0.35">
      <c r="A1286" s="5">
        <v>81575080</v>
      </c>
      <c r="B1286" s="6">
        <v>42935</v>
      </c>
      <c r="C1286" s="7">
        <v>0.54996527777777782</v>
      </c>
      <c r="D1286" s="8">
        <v>0.55228009259259259</v>
      </c>
      <c r="E1286">
        <f t="shared" si="40"/>
        <v>0</v>
      </c>
      <c r="F1286">
        <f t="shared" si="41"/>
        <v>1</v>
      </c>
    </row>
    <row r="1287" spans="1:6" x14ac:dyDescent="0.35">
      <c r="A1287" s="9">
        <v>7677384</v>
      </c>
      <c r="B1287" s="10">
        <v>42935</v>
      </c>
      <c r="C1287" s="11">
        <v>0.55121527777777779</v>
      </c>
      <c r="D1287" s="12">
        <v>0.55539351851851848</v>
      </c>
      <c r="E1287">
        <f t="shared" si="40"/>
        <v>1</v>
      </c>
      <c r="F1287">
        <f t="shared" si="41"/>
        <v>0</v>
      </c>
    </row>
    <row r="1288" spans="1:6" x14ac:dyDescent="0.35">
      <c r="A1288" s="5">
        <v>6194112</v>
      </c>
      <c r="B1288" s="6">
        <v>42935</v>
      </c>
      <c r="C1288" s="7">
        <v>0.55174768518518513</v>
      </c>
      <c r="D1288" s="8">
        <v>0.5575</v>
      </c>
      <c r="E1288">
        <f t="shared" si="40"/>
        <v>1</v>
      </c>
      <c r="F1288">
        <f t="shared" si="41"/>
        <v>0</v>
      </c>
    </row>
    <row r="1289" spans="1:6" x14ac:dyDescent="0.35">
      <c r="A1289" s="9">
        <v>67913744</v>
      </c>
      <c r="B1289" s="10">
        <v>42935</v>
      </c>
      <c r="C1289" s="11">
        <v>0.55387731481481484</v>
      </c>
      <c r="D1289" s="12">
        <v>0.5645486111111111</v>
      </c>
      <c r="E1289">
        <f t="shared" si="40"/>
        <v>0</v>
      </c>
      <c r="F1289">
        <f t="shared" si="41"/>
        <v>1</v>
      </c>
    </row>
    <row r="1290" spans="1:6" x14ac:dyDescent="0.35">
      <c r="A1290" s="5">
        <v>9418587</v>
      </c>
      <c r="B1290" s="6">
        <v>42935</v>
      </c>
      <c r="C1290" s="7">
        <v>0.5591666666666667</v>
      </c>
      <c r="D1290" s="8">
        <v>0.56074074074074076</v>
      </c>
      <c r="E1290">
        <f t="shared" si="40"/>
        <v>1</v>
      </c>
      <c r="F1290">
        <f t="shared" si="41"/>
        <v>0</v>
      </c>
    </row>
    <row r="1291" spans="1:6" x14ac:dyDescent="0.35">
      <c r="A1291" s="9">
        <v>3273221616</v>
      </c>
      <c r="B1291" s="10">
        <v>42935</v>
      </c>
      <c r="C1291" s="11">
        <v>0.56276620370370367</v>
      </c>
      <c r="D1291" s="12">
        <v>0.56792824074074078</v>
      </c>
      <c r="E1291">
        <f t="shared" si="40"/>
        <v>0</v>
      </c>
      <c r="F1291">
        <f t="shared" si="41"/>
        <v>0</v>
      </c>
    </row>
    <row r="1292" spans="1:6" x14ac:dyDescent="0.35">
      <c r="A1292" s="5">
        <v>7364500</v>
      </c>
      <c r="B1292" s="6">
        <v>42935</v>
      </c>
      <c r="C1292" s="7">
        <v>0.5682638888888889</v>
      </c>
      <c r="D1292" s="8">
        <v>0.57974537037037033</v>
      </c>
      <c r="E1292">
        <f t="shared" si="40"/>
        <v>1</v>
      </c>
      <c r="F1292">
        <f t="shared" si="41"/>
        <v>0</v>
      </c>
    </row>
    <row r="1293" spans="1:6" x14ac:dyDescent="0.35">
      <c r="A1293" s="9">
        <v>69273048</v>
      </c>
      <c r="B1293" s="10">
        <v>42935</v>
      </c>
      <c r="C1293" s="11">
        <v>0.56847222222222227</v>
      </c>
      <c r="D1293" s="12">
        <v>0.57787037037037037</v>
      </c>
      <c r="E1293">
        <f t="shared" si="40"/>
        <v>0</v>
      </c>
      <c r="F1293">
        <f t="shared" si="41"/>
        <v>1</v>
      </c>
    </row>
    <row r="1294" spans="1:6" x14ac:dyDescent="0.35">
      <c r="A1294" s="5">
        <v>1345591</v>
      </c>
      <c r="B1294" s="6">
        <v>42935</v>
      </c>
      <c r="C1294" s="7">
        <v>0.5703125</v>
      </c>
      <c r="D1294" s="8">
        <v>0.57703703703703701</v>
      </c>
      <c r="E1294">
        <f t="shared" si="40"/>
        <v>1</v>
      </c>
      <c r="F1294">
        <f t="shared" si="41"/>
        <v>0</v>
      </c>
    </row>
    <row r="1295" spans="1:6" x14ac:dyDescent="0.35">
      <c r="A1295" s="9">
        <v>13674393</v>
      </c>
      <c r="B1295" s="10">
        <v>42935</v>
      </c>
      <c r="C1295" s="11">
        <v>0.57313657407407403</v>
      </c>
      <c r="D1295" s="12">
        <v>0.57559027777777783</v>
      </c>
      <c r="E1295">
        <f t="shared" si="40"/>
        <v>0</v>
      </c>
      <c r="F1295">
        <f t="shared" si="41"/>
        <v>1</v>
      </c>
    </row>
    <row r="1296" spans="1:6" x14ac:dyDescent="0.35">
      <c r="A1296" s="5">
        <v>5273579381</v>
      </c>
      <c r="B1296" s="6">
        <v>42935</v>
      </c>
      <c r="C1296" s="7">
        <v>0.57525462962962959</v>
      </c>
      <c r="D1296" s="8">
        <v>0.58087962962962958</v>
      </c>
      <c r="E1296">
        <f t="shared" si="40"/>
        <v>0</v>
      </c>
      <c r="F1296">
        <f t="shared" si="41"/>
        <v>0</v>
      </c>
    </row>
    <row r="1297" spans="1:6" x14ac:dyDescent="0.35">
      <c r="A1297" s="9">
        <v>5790304</v>
      </c>
      <c r="B1297" s="10">
        <v>42935</v>
      </c>
      <c r="C1297" s="11">
        <v>0.57974537037037033</v>
      </c>
      <c r="D1297" s="12">
        <v>0.58975694444444449</v>
      </c>
      <c r="E1297">
        <f t="shared" si="40"/>
        <v>1</v>
      </c>
      <c r="F1297">
        <f t="shared" si="41"/>
        <v>0</v>
      </c>
    </row>
    <row r="1298" spans="1:6" x14ac:dyDescent="0.35">
      <c r="A1298" s="5">
        <v>6551880</v>
      </c>
      <c r="B1298" s="6">
        <v>42935</v>
      </c>
      <c r="C1298" s="7">
        <v>0.58071759259259259</v>
      </c>
      <c r="D1298" s="8">
        <v>0.59002314814814816</v>
      </c>
      <c r="E1298">
        <f t="shared" si="40"/>
        <v>1</v>
      </c>
      <c r="F1298">
        <f t="shared" si="41"/>
        <v>0</v>
      </c>
    </row>
    <row r="1299" spans="1:6" x14ac:dyDescent="0.35">
      <c r="A1299" s="9">
        <v>2873323</v>
      </c>
      <c r="B1299" s="10">
        <v>42935</v>
      </c>
      <c r="C1299" s="11">
        <v>0.58622685185185186</v>
      </c>
      <c r="D1299" s="12">
        <v>0.5921643518518519</v>
      </c>
      <c r="E1299">
        <f t="shared" si="40"/>
        <v>1</v>
      </c>
      <c r="F1299">
        <f t="shared" si="41"/>
        <v>0</v>
      </c>
    </row>
    <row r="1300" spans="1:6" x14ac:dyDescent="0.35">
      <c r="A1300" s="5">
        <v>2733008</v>
      </c>
      <c r="B1300" s="6">
        <v>42935</v>
      </c>
      <c r="C1300" s="7">
        <v>0.5879861111111111</v>
      </c>
      <c r="D1300" s="8">
        <v>0.59103009259259254</v>
      </c>
      <c r="E1300">
        <f t="shared" si="40"/>
        <v>1</v>
      </c>
      <c r="F1300">
        <f t="shared" si="41"/>
        <v>0</v>
      </c>
    </row>
    <row r="1301" spans="1:6" x14ac:dyDescent="0.35">
      <c r="A1301" s="9">
        <v>7292887</v>
      </c>
      <c r="B1301" s="10">
        <v>42935</v>
      </c>
      <c r="C1301" s="11">
        <v>0.58810185185185182</v>
      </c>
      <c r="D1301" s="12">
        <v>0.59202546296296299</v>
      </c>
      <c r="E1301">
        <f t="shared" si="40"/>
        <v>1</v>
      </c>
      <c r="F1301">
        <f t="shared" si="41"/>
        <v>0</v>
      </c>
    </row>
    <row r="1302" spans="1:6" x14ac:dyDescent="0.35">
      <c r="A1302" s="5">
        <v>6855900</v>
      </c>
      <c r="B1302" s="6">
        <v>42935</v>
      </c>
      <c r="C1302" s="7">
        <v>0.59090277777777778</v>
      </c>
      <c r="D1302" s="8">
        <v>0.5923842592592593</v>
      </c>
      <c r="E1302">
        <f t="shared" si="40"/>
        <v>1</v>
      </c>
      <c r="F1302">
        <f t="shared" si="41"/>
        <v>0</v>
      </c>
    </row>
    <row r="1303" spans="1:6" x14ac:dyDescent="0.35">
      <c r="A1303" s="9">
        <v>2402827</v>
      </c>
      <c r="B1303" s="10">
        <v>42935</v>
      </c>
      <c r="C1303" s="11">
        <v>0.59659722222222222</v>
      </c>
      <c r="D1303" s="12">
        <v>0.60329861111111116</v>
      </c>
      <c r="E1303">
        <f t="shared" si="40"/>
        <v>1</v>
      </c>
      <c r="F1303">
        <f t="shared" si="41"/>
        <v>0</v>
      </c>
    </row>
    <row r="1304" spans="1:6" x14ac:dyDescent="0.35">
      <c r="A1304" s="5">
        <v>6510330</v>
      </c>
      <c r="B1304" s="6">
        <v>42935</v>
      </c>
      <c r="C1304" s="7">
        <v>0.5971643518518519</v>
      </c>
      <c r="D1304" s="8">
        <v>0.60538194444444449</v>
      </c>
      <c r="E1304">
        <f t="shared" si="40"/>
        <v>1</v>
      </c>
      <c r="F1304">
        <f t="shared" si="41"/>
        <v>0</v>
      </c>
    </row>
    <row r="1305" spans="1:6" x14ac:dyDescent="0.35">
      <c r="A1305" s="9">
        <v>9773176</v>
      </c>
      <c r="B1305" s="10">
        <v>42935</v>
      </c>
      <c r="C1305" s="11">
        <v>0.59719907407407402</v>
      </c>
      <c r="D1305" s="12">
        <v>0.60488425925925926</v>
      </c>
      <c r="E1305">
        <f t="shared" si="40"/>
        <v>1</v>
      </c>
      <c r="F1305">
        <f t="shared" si="41"/>
        <v>0</v>
      </c>
    </row>
    <row r="1306" spans="1:6" x14ac:dyDescent="0.35">
      <c r="A1306" s="5">
        <v>4065787</v>
      </c>
      <c r="B1306" s="6">
        <v>42935</v>
      </c>
      <c r="C1306" s="7">
        <v>0.6021643518518518</v>
      </c>
      <c r="D1306" s="8">
        <v>0.61331018518518521</v>
      </c>
      <c r="E1306">
        <f t="shared" si="40"/>
        <v>1</v>
      </c>
      <c r="F1306">
        <f t="shared" si="41"/>
        <v>0</v>
      </c>
    </row>
    <row r="1307" spans="1:6" x14ac:dyDescent="0.35">
      <c r="A1307" s="9">
        <v>4303543625</v>
      </c>
      <c r="B1307" s="10">
        <v>42935</v>
      </c>
      <c r="C1307" s="11">
        <v>0.60291666666666666</v>
      </c>
      <c r="D1307" s="12">
        <v>0.61086805555555557</v>
      </c>
      <c r="E1307">
        <f t="shared" si="40"/>
        <v>0</v>
      </c>
      <c r="F1307">
        <f t="shared" si="41"/>
        <v>0</v>
      </c>
    </row>
    <row r="1308" spans="1:6" x14ac:dyDescent="0.35">
      <c r="A1308" s="5">
        <v>3858766</v>
      </c>
      <c r="B1308" s="6">
        <v>42935</v>
      </c>
      <c r="C1308" s="7">
        <v>0.60624999999999996</v>
      </c>
      <c r="D1308" s="8">
        <v>0.6083912037037037</v>
      </c>
      <c r="E1308">
        <f t="shared" si="40"/>
        <v>1</v>
      </c>
      <c r="F1308">
        <f t="shared" si="41"/>
        <v>0</v>
      </c>
    </row>
    <row r="1309" spans="1:6" x14ac:dyDescent="0.35">
      <c r="A1309" s="9">
        <v>41852472</v>
      </c>
      <c r="B1309" s="10">
        <v>42935</v>
      </c>
      <c r="C1309" s="11">
        <v>0.60868055555555556</v>
      </c>
      <c r="D1309" s="12">
        <v>0.61019675925925931</v>
      </c>
      <c r="E1309">
        <f t="shared" si="40"/>
        <v>0</v>
      </c>
      <c r="F1309">
        <f t="shared" si="41"/>
        <v>1</v>
      </c>
    </row>
    <row r="1310" spans="1:6" x14ac:dyDescent="0.35">
      <c r="A1310" s="5">
        <v>25574074</v>
      </c>
      <c r="B1310" s="6">
        <v>42935</v>
      </c>
      <c r="C1310" s="7">
        <v>0.61081018518518515</v>
      </c>
      <c r="D1310" s="8">
        <v>0.62118055555555551</v>
      </c>
      <c r="E1310">
        <f t="shared" si="40"/>
        <v>0</v>
      </c>
      <c r="F1310">
        <f t="shared" si="41"/>
        <v>1</v>
      </c>
    </row>
    <row r="1311" spans="1:6" x14ac:dyDescent="0.35">
      <c r="A1311" s="9">
        <v>8690793</v>
      </c>
      <c r="B1311" s="10">
        <v>42935</v>
      </c>
      <c r="C1311" s="11">
        <v>0.61207175925925927</v>
      </c>
      <c r="D1311" s="12">
        <v>0.61613425925925924</v>
      </c>
      <c r="E1311">
        <f t="shared" si="40"/>
        <v>1</v>
      </c>
      <c r="F1311">
        <f t="shared" si="41"/>
        <v>0</v>
      </c>
    </row>
    <row r="1312" spans="1:6" x14ac:dyDescent="0.35">
      <c r="A1312" s="5">
        <v>8487003</v>
      </c>
      <c r="B1312" s="6">
        <v>42935</v>
      </c>
      <c r="C1312" s="7">
        <v>0.61648148148148152</v>
      </c>
      <c r="D1312" s="8">
        <v>0.62589120370370366</v>
      </c>
      <c r="E1312">
        <f t="shared" si="40"/>
        <v>1</v>
      </c>
      <c r="F1312">
        <f t="shared" si="41"/>
        <v>0</v>
      </c>
    </row>
    <row r="1313" spans="1:6" x14ac:dyDescent="0.35">
      <c r="A1313" s="9">
        <v>50583407</v>
      </c>
      <c r="B1313" s="10">
        <v>42935</v>
      </c>
      <c r="C1313" s="11">
        <v>0.62137731481481484</v>
      </c>
      <c r="D1313" s="12">
        <v>0.63218750000000001</v>
      </c>
      <c r="E1313">
        <f t="shared" si="40"/>
        <v>0</v>
      </c>
      <c r="F1313">
        <f t="shared" si="41"/>
        <v>1</v>
      </c>
    </row>
    <row r="1314" spans="1:6" x14ac:dyDescent="0.35">
      <c r="A1314" s="5">
        <v>4983193</v>
      </c>
      <c r="B1314" s="6">
        <v>42935</v>
      </c>
      <c r="C1314" s="7">
        <v>0.62288194444444445</v>
      </c>
      <c r="D1314" s="8">
        <v>0.63325231481481481</v>
      </c>
      <c r="E1314">
        <f t="shared" si="40"/>
        <v>1</v>
      </c>
      <c r="F1314">
        <f t="shared" si="41"/>
        <v>0</v>
      </c>
    </row>
    <row r="1315" spans="1:6" x14ac:dyDescent="0.35">
      <c r="A1315" s="9">
        <v>1316116</v>
      </c>
      <c r="B1315" s="10">
        <v>42935</v>
      </c>
      <c r="C1315" s="11">
        <v>0.62394675925925924</v>
      </c>
      <c r="D1315" s="12">
        <v>0.62461805555555561</v>
      </c>
      <c r="E1315">
        <f t="shared" si="40"/>
        <v>1</v>
      </c>
      <c r="F1315">
        <f t="shared" si="41"/>
        <v>0</v>
      </c>
    </row>
    <row r="1316" spans="1:6" x14ac:dyDescent="0.35">
      <c r="A1316" s="5">
        <v>5696056</v>
      </c>
      <c r="B1316" s="6">
        <v>42935</v>
      </c>
      <c r="C1316" s="7">
        <v>0.62967592592592592</v>
      </c>
      <c r="D1316" s="8">
        <v>0.63277777777777777</v>
      </c>
      <c r="E1316">
        <f t="shared" si="40"/>
        <v>1</v>
      </c>
      <c r="F1316">
        <f t="shared" si="41"/>
        <v>0</v>
      </c>
    </row>
    <row r="1317" spans="1:6" x14ac:dyDescent="0.35">
      <c r="A1317" s="9">
        <v>3574623</v>
      </c>
      <c r="B1317" s="10">
        <v>42936</v>
      </c>
      <c r="C1317" s="11">
        <v>0.33447916666666666</v>
      </c>
      <c r="D1317" s="12">
        <v>0.33721064814814816</v>
      </c>
      <c r="E1317">
        <f t="shared" si="40"/>
        <v>1</v>
      </c>
      <c r="F1317">
        <f t="shared" si="41"/>
        <v>0</v>
      </c>
    </row>
    <row r="1318" spans="1:6" x14ac:dyDescent="0.35">
      <c r="A1318" s="5">
        <v>71218936</v>
      </c>
      <c r="B1318" s="6">
        <v>42936</v>
      </c>
      <c r="C1318" s="7">
        <v>0.34012731481481484</v>
      </c>
      <c r="D1318" s="8">
        <v>0.34192129629629631</v>
      </c>
      <c r="E1318">
        <f t="shared" si="40"/>
        <v>0</v>
      </c>
      <c r="F1318">
        <f t="shared" si="41"/>
        <v>1</v>
      </c>
    </row>
    <row r="1319" spans="1:6" x14ac:dyDescent="0.35">
      <c r="A1319" s="9">
        <v>55621633</v>
      </c>
      <c r="B1319" s="10">
        <v>42936</v>
      </c>
      <c r="C1319" s="11">
        <v>0.34114583333333331</v>
      </c>
      <c r="D1319" s="12">
        <v>0.3525578703703704</v>
      </c>
      <c r="E1319">
        <f t="shared" si="40"/>
        <v>0</v>
      </c>
      <c r="F1319">
        <f t="shared" si="41"/>
        <v>1</v>
      </c>
    </row>
    <row r="1320" spans="1:6" x14ac:dyDescent="0.35">
      <c r="A1320" s="5">
        <v>1898174</v>
      </c>
      <c r="B1320" s="6">
        <v>42936</v>
      </c>
      <c r="C1320" s="7">
        <v>0.34371527777777777</v>
      </c>
      <c r="D1320" s="8">
        <v>0.34609953703703705</v>
      </c>
      <c r="E1320">
        <f t="shared" si="40"/>
        <v>1</v>
      </c>
      <c r="F1320">
        <f t="shared" si="41"/>
        <v>0</v>
      </c>
    </row>
    <row r="1321" spans="1:6" x14ac:dyDescent="0.35">
      <c r="A1321" s="9">
        <v>4844054</v>
      </c>
      <c r="B1321" s="10">
        <v>42936</v>
      </c>
      <c r="C1321" s="11">
        <v>0.34857638888888887</v>
      </c>
      <c r="D1321" s="12">
        <v>0.34998842592592594</v>
      </c>
      <c r="E1321">
        <f t="shared" si="40"/>
        <v>1</v>
      </c>
      <c r="F1321">
        <f t="shared" si="41"/>
        <v>0</v>
      </c>
    </row>
    <row r="1322" spans="1:6" x14ac:dyDescent="0.35">
      <c r="A1322" s="5">
        <v>7701901</v>
      </c>
      <c r="B1322" s="6">
        <v>42936</v>
      </c>
      <c r="C1322" s="7">
        <v>0.3533101851851852</v>
      </c>
      <c r="D1322" s="8">
        <v>0.3555787037037037</v>
      </c>
      <c r="E1322">
        <f t="shared" si="40"/>
        <v>1</v>
      </c>
      <c r="F1322">
        <f t="shared" si="41"/>
        <v>0</v>
      </c>
    </row>
    <row r="1323" spans="1:6" x14ac:dyDescent="0.35">
      <c r="A1323" s="9">
        <v>5900664</v>
      </c>
      <c r="B1323" s="10">
        <v>42936</v>
      </c>
      <c r="C1323" s="11">
        <v>0.3558912037037037</v>
      </c>
      <c r="D1323" s="12">
        <v>0.36550925925925926</v>
      </c>
      <c r="E1323">
        <f t="shared" si="40"/>
        <v>1</v>
      </c>
      <c r="F1323">
        <f t="shared" si="41"/>
        <v>0</v>
      </c>
    </row>
    <row r="1324" spans="1:6" x14ac:dyDescent="0.35">
      <c r="A1324" s="5">
        <v>4698731</v>
      </c>
      <c r="B1324" s="6">
        <v>42936</v>
      </c>
      <c r="C1324" s="7">
        <v>0.35894675925925928</v>
      </c>
      <c r="D1324" s="8">
        <v>0.3689351851851852</v>
      </c>
      <c r="E1324">
        <f t="shared" si="40"/>
        <v>1</v>
      </c>
      <c r="F1324">
        <f t="shared" si="41"/>
        <v>0</v>
      </c>
    </row>
    <row r="1325" spans="1:6" x14ac:dyDescent="0.35">
      <c r="A1325" s="9">
        <v>4606501</v>
      </c>
      <c r="B1325" s="10">
        <v>42936</v>
      </c>
      <c r="C1325" s="11">
        <v>0.36222222222222222</v>
      </c>
      <c r="D1325" s="12">
        <v>0.36548611111111112</v>
      </c>
      <c r="E1325">
        <f t="shared" si="40"/>
        <v>1</v>
      </c>
      <c r="F1325">
        <f t="shared" si="41"/>
        <v>0</v>
      </c>
    </row>
    <row r="1326" spans="1:6" x14ac:dyDescent="0.35">
      <c r="A1326" s="5">
        <v>3851940</v>
      </c>
      <c r="B1326" s="6">
        <v>42936</v>
      </c>
      <c r="C1326" s="7">
        <v>0.36473379629629632</v>
      </c>
      <c r="D1326" s="8">
        <v>0.36630787037037038</v>
      </c>
      <c r="E1326">
        <f t="shared" si="40"/>
        <v>1</v>
      </c>
      <c r="F1326">
        <f t="shared" si="41"/>
        <v>0</v>
      </c>
    </row>
    <row r="1327" spans="1:6" x14ac:dyDescent="0.35">
      <c r="A1327" s="9">
        <v>7972076</v>
      </c>
      <c r="B1327" s="10">
        <v>42936</v>
      </c>
      <c r="C1327" s="11">
        <v>0.37011574074074072</v>
      </c>
      <c r="D1327" s="12">
        <v>0.37928240740740743</v>
      </c>
      <c r="E1327">
        <f t="shared" si="40"/>
        <v>1</v>
      </c>
      <c r="F1327">
        <f t="shared" si="41"/>
        <v>0</v>
      </c>
    </row>
    <row r="1328" spans="1:6" x14ac:dyDescent="0.35">
      <c r="A1328" s="5">
        <v>1911796</v>
      </c>
      <c r="B1328" s="6">
        <v>42936</v>
      </c>
      <c r="C1328" s="7">
        <v>0.37506944444444446</v>
      </c>
      <c r="D1328" s="8">
        <v>0.38142361111111112</v>
      </c>
      <c r="E1328">
        <f t="shared" si="40"/>
        <v>1</v>
      </c>
      <c r="F1328">
        <f t="shared" si="41"/>
        <v>0</v>
      </c>
    </row>
    <row r="1329" spans="1:6" x14ac:dyDescent="0.35">
      <c r="A1329" s="9">
        <v>7362963</v>
      </c>
      <c r="B1329" s="10">
        <v>42936</v>
      </c>
      <c r="C1329" s="11">
        <v>0.37658564814814816</v>
      </c>
      <c r="D1329" s="12">
        <v>0.37936342592592592</v>
      </c>
      <c r="E1329">
        <f t="shared" si="40"/>
        <v>1</v>
      </c>
      <c r="F1329">
        <f t="shared" si="41"/>
        <v>0</v>
      </c>
    </row>
    <row r="1330" spans="1:6" x14ac:dyDescent="0.35">
      <c r="A1330" s="5">
        <v>24290062</v>
      </c>
      <c r="B1330" s="6">
        <v>42936</v>
      </c>
      <c r="C1330" s="7">
        <v>0.38047453703703704</v>
      </c>
      <c r="D1330" s="8">
        <v>0.39142361111111112</v>
      </c>
      <c r="E1330">
        <f t="shared" si="40"/>
        <v>0</v>
      </c>
      <c r="F1330">
        <f t="shared" si="41"/>
        <v>1</v>
      </c>
    </row>
    <row r="1331" spans="1:6" x14ac:dyDescent="0.35">
      <c r="A1331" s="9">
        <v>3086185</v>
      </c>
      <c r="B1331" s="10">
        <v>42936</v>
      </c>
      <c r="C1331" s="11">
        <v>0.38394675925925925</v>
      </c>
      <c r="D1331" s="12">
        <v>0.39547453703703705</v>
      </c>
      <c r="E1331">
        <f t="shared" si="40"/>
        <v>1</v>
      </c>
      <c r="F1331">
        <f t="shared" si="41"/>
        <v>0</v>
      </c>
    </row>
    <row r="1332" spans="1:6" x14ac:dyDescent="0.35">
      <c r="A1332" s="5">
        <v>7622819</v>
      </c>
      <c r="B1332" s="6">
        <v>42936</v>
      </c>
      <c r="C1332" s="7">
        <v>0.38599537037037035</v>
      </c>
      <c r="D1332" s="8">
        <v>0.39438657407407407</v>
      </c>
      <c r="E1332">
        <f t="shared" si="40"/>
        <v>1</v>
      </c>
      <c r="F1332">
        <f t="shared" si="41"/>
        <v>0</v>
      </c>
    </row>
    <row r="1333" spans="1:6" x14ac:dyDescent="0.35">
      <c r="A1333" s="9">
        <v>5610335</v>
      </c>
      <c r="B1333" s="10">
        <v>42936</v>
      </c>
      <c r="C1333" s="11">
        <v>0.39055555555555554</v>
      </c>
      <c r="D1333" s="12">
        <v>0.39101851851851854</v>
      </c>
      <c r="E1333">
        <f t="shared" si="40"/>
        <v>1</v>
      </c>
      <c r="F1333">
        <f t="shared" si="41"/>
        <v>0</v>
      </c>
    </row>
    <row r="1334" spans="1:6" x14ac:dyDescent="0.35">
      <c r="A1334" s="5">
        <v>97953696</v>
      </c>
      <c r="B1334" s="6">
        <v>42936</v>
      </c>
      <c r="C1334" s="7">
        <v>0.39373842592592595</v>
      </c>
      <c r="D1334" s="8">
        <v>0.40292824074074074</v>
      </c>
      <c r="E1334">
        <f t="shared" si="40"/>
        <v>0</v>
      </c>
      <c r="F1334">
        <f t="shared" si="41"/>
        <v>1</v>
      </c>
    </row>
    <row r="1335" spans="1:6" x14ac:dyDescent="0.35">
      <c r="A1335" s="9">
        <v>7432767</v>
      </c>
      <c r="B1335" s="10">
        <v>42936</v>
      </c>
      <c r="C1335" s="11">
        <v>0.39446759259259262</v>
      </c>
      <c r="D1335" s="12">
        <v>0.39841435185185187</v>
      </c>
      <c r="E1335">
        <f t="shared" si="40"/>
        <v>1</v>
      </c>
      <c r="F1335">
        <f t="shared" si="41"/>
        <v>0</v>
      </c>
    </row>
    <row r="1336" spans="1:6" x14ac:dyDescent="0.35">
      <c r="A1336" s="5">
        <v>2089993</v>
      </c>
      <c r="B1336" s="6">
        <v>42936</v>
      </c>
      <c r="C1336" s="7">
        <v>0.39810185185185187</v>
      </c>
      <c r="D1336" s="8">
        <v>0.39876157407407409</v>
      </c>
      <c r="E1336">
        <f t="shared" si="40"/>
        <v>1</v>
      </c>
      <c r="F1336">
        <f t="shared" si="41"/>
        <v>0</v>
      </c>
    </row>
    <row r="1337" spans="1:6" x14ac:dyDescent="0.35">
      <c r="A1337" s="9">
        <v>2635121</v>
      </c>
      <c r="B1337" s="10">
        <v>42936</v>
      </c>
      <c r="C1337" s="11">
        <v>0.39906249999999999</v>
      </c>
      <c r="D1337" s="12">
        <v>0.40487268518518521</v>
      </c>
      <c r="E1337">
        <f t="shared" si="40"/>
        <v>1</v>
      </c>
      <c r="F1337">
        <f t="shared" si="41"/>
        <v>0</v>
      </c>
    </row>
    <row r="1338" spans="1:6" x14ac:dyDescent="0.35">
      <c r="A1338" s="5">
        <v>6725216</v>
      </c>
      <c r="B1338" s="6">
        <v>42936</v>
      </c>
      <c r="C1338" s="7">
        <v>0.40190972222222221</v>
      </c>
      <c r="D1338" s="8">
        <v>0.40715277777777775</v>
      </c>
      <c r="E1338">
        <f t="shared" si="40"/>
        <v>1</v>
      </c>
      <c r="F1338">
        <f t="shared" si="41"/>
        <v>0</v>
      </c>
    </row>
    <row r="1339" spans="1:6" x14ac:dyDescent="0.35">
      <c r="A1339" s="9">
        <v>6530661</v>
      </c>
      <c r="B1339" s="10">
        <v>42936</v>
      </c>
      <c r="C1339" s="11">
        <v>0.40709490740740739</v>
      </c>
      <c r="D1339" s="12">
        <v>0.40795138888888888</v>
      </c>
      <c r="E1339">
        <f t="shared" si="40"/>
        <v>1</v>
      </c>
      <c r="F1339">
        <f t="shared" si="41"/>
        <v>0</v>
      </c>
    </row>
    <row r="1340" spans="1:6" x14ac:dyDescent="0.35">
      <c r="A1340" s="5">
        <v>8691743</v>
      </c>
      <c r="B1340" s="6">
        <v>42936</v>
      </c>
      <c r="C1340" s="7">
        <v>0.41228009259259257</v>
      </c>
      <c r="D1340" s="8">
        <v>0.42214120370370373</v>
      </c>
      <c r="E1340">
        <f t="shared" si="40"/>
        <v>1</v>
      </c>
      <c r="F1340">
        <f t="shared" si="41"/>
        <v>0</v>
      </c>
    </row>
    <row r="1341" spans="1:6" x14ac:dyDescent="0.35">
      <c r="A1341" s="9">
        <v>2771511</v>
      </c>
      <c r="B1341" s="10">
        <v>42936</v>
      </c>
      <c r="C1341" s="11">
        <v>0.41271990740740738</v>
      </c>
      <c r="D1341" s="12">
        <v>0.41487268518518516</v>
      </c>
      <c r="E1341">
        <f t="shared" si="40"/>
        <v>1</v>
      </c>
      <c r="F1341">
        <f t="shared" si="41"/>
        <v>0</v>
      </c>
    </row>
    <row r="1342" spans="1:6" x14ac:dyDescent="0.35">
      <c r="A1342" s="5">
        <v>7471152</v>
      </c>
      <c r="B1342" s="6">
        <v>42936</v>
      </c>
      <c r="C1342" s="7">
        <v>0.41456018518518517</v>
      </c>
      <c r="D1342" s="8">
        <v>0.41495370370370371</v>
      </c>
      <c r="E1342">
        <f t="shared" si="40"/>
        <v>1</v>
      </c>
      <c r="F1342">
        <f t="shared" si="41"/>
        <v>0</v>
      </c>
    </row>
    <row r="1343" spans="1:6" x14ac:dyDescent="0.35">
      <c r="A1343" s="9">
        <v>89691426</v>
      </c>
      <c r="B1343" s="10">
        <v>42936</v>
      </c>
      <c r="C1343" s="11">
        <v>0.41677083333333331</v>
      </c>
      <c r="D1343" s="12">
        <v>0.42192129629629632</v>
      </c>
      <c r="E1343">
        <f t="shared" si="40"/>
        <v>0</v>
      </c>
      <c r="F1343">
        <f t="shared" si="41"/>
        <v>1</v>
      </c>
    </row>
    <row r="1344" spans="1:6" x14ac:dyDescent="0.35">
      <c r="A1344" s="5">
        <v>5305478</v>
      </c>
      <c r="B1344" s="6">
        <v>42936</v>
      </c>
      <c r="C1344" s="7">
        <v>0.41980324074074077</v>
      </c>
      <c r="D1344" s="8">
        <v>0.42957175925925928</v>
      </c>
      <c r="E1344">
        <f t="shared" si="40"/>
        <v>1</v>
      </c>
      <c r="F1344">
        <f t="shared" si="41"/>
        <v>0</v>
      </c>
    </row>
    <row r="1345" spans="1:6" x14ac:dyDescent="0.35">
      <c r="A1345" s="9">
        <v>4305632</v>
      </c>
      <c r="B1345" s="10">
        <v>42936</v>
      </c>
      <c r="C1345" s="11">
        <v>0.42534722222222221</v>
      </c>
      <c r="D1345" s="12">
        <v>0.43634259259259262</v>
      </c>
      <c r="E1345">
        <f t="shared" si="40"/>
        <v>1</v>
      </c>
      <c r="F1345">
        <f t="shared" si="41"/>
        <v>0</v>
      </c>
    </row>
    <row r="1346" spans="1:6" x14ac:dyDescent="0.35">
      <c r="A1346" s="5">
        <v>9526179</v>
      </c>
      <c r="B1346" s="6">
        <v>42936</v>
      </c>
      <c r="C1346" s="7">
        <v>0.42761574074074077</v>
      </c>
      <c r="D1346" s="8">
        <v>0.4314236111111111</v>
      </c>
      <c r="E1346">
        <f t="shared" si="40"/>
        <v>1</v>
      </c>
      <c r="F1346">
        <f t="shared" si="41"/>
        <v>0</v>
      </c>
    </row>
    <row r="1347" spans="1:6" x14ac:dyDescent="0.35">
      <c r="A1347" s="9">
        <v>1268336</v>
      </c>
      <c r="B1347" s="10">
        <v>42936</v>
      </c>
      <c r="C1347" s="11">
        <v>0.43172453703703706</v>
      </c>
      <c r="D1347" s="12">
        <v>0.44153935185185184</v>
      </c>
      <c r="E1347">
        <f t="shared" ref="E1347:E1410" si="42">IF(LEN(A1347)=7,1,0)</f>
        <v>1</v>
      </c>
      <c r="F1347">
        <f t="shared" ref="F1347:F1410" si="43">IF(LEN(A1347)=8,1,0)</f>
        <v>0</v>
      </c>
    </row>
    <row r="1348" spans="1:6" x14ac:dyDescent="0.35">
      <c r="A1348" s="5">
        <v>7288626</v>
      </c>
      <c r="B1348" s="6">
        <v>42936</v>
      </c>
      <c r="C1348" s="7">
        <v>0.43606481481481479</v>
      </c>
      <c r="D1348" s="8">
        <v>0.44609953703703703</v>
      </c>
      <c r="E1348">
        <f t="shared" si="42"/>
        <v>1</v>
      </c>
      <c r="F1348">
        <f t="shared" si="43"/>
        <v>0</v>
      </c>
    </row>
    <row r="1349" spans="1:6" x14ac:dyDescent="0.35">
      <c r="A1349" s="9">
        <v>53117702</v>
      </c>
      <c r="B1349" s="10">
        <v>42936</v>
      </c>
      <c r="C1349" s="11">
        <v>0.44170138888888888</v>
      </c>
      <c r="D1349" s="12">
        <v>0.44903935185185184</v>
      </c>
      <c r="E1349">
        <f t="shared" si="42"/>
        <v>0</v>
      </c>
      <c r="F1349">
        <f t="shared" si="43"/>
        <v>1</v>
      </c>
    </row>
    <row r="1350" spans="1:6" x14ac:dyDescent="0.35">
      <c r="A1350" s="5">
        <v>10201038</v>
      </c>
      <c r="B1350" s="6">
        <v>42936</v>
      </c>
      <c r="C1350" s="7">
        <v>0.44615740740740739</v>
      </c>
      <c r="D1350" s="8">
        <v>0.45019675925925928</v>
      </c>
      <c r="E1350">
        <f t="shared" si="42"/>
        <v>0</v>
      </c>
      <c r="F1350">
        <f t="shared" si="43"/>
        <v>1</v>
      </c>
    </row>
    <row r="1351" spans="1:6" x14ac:dyDescent="0.35">
      <c r="A1351" s="9">
        <v>4738129</v>
      </c>
      <c r="B1351" s="10">
        <v>42936</v>
      </c>
      <c r="C1351" s="11">
        <v>0.4503935185185185</v>
      </c>
      <c r="D1351" s="12">
        <v>0.46037037037037037</v>
      </c>
      <c r="E1351">
        <f t="shared" si="42"/>
        <v>1</v>
      </c>
      <c r="F1351">
        <f t="shared" si="43"/>
        <v>0</v>
      </c>
    </row>
    <row r="1352" spans="1:6" x14ac:dyDescent="0.35">
      <c r="A1352" s="5">
        <v>3153023</v>
      </c>
      <c r="B1352" s="6">
        <v>42936</v>
      </c>
      <c r="C1352" s="7">
        <v>0.45503472222222224</v>
      </c>
      <c r="D1352" s="8">
        <v>0.45876157407407409</v>
      </c>
      <c r="E1352">
        <f t="shared" si="42"/>
        <v>1</v>
      </c>
      <c r="F1352">
        <f t="shared" si="43"/>
        <v>0</v>
      </c>
    </row>
    <row r="1353" spans="1:6" x14ac:dyDescent="0.35">
      <c r="A1353" s="9">
        <v>1747389</v>
      </c>
      <c r="B1353" s="10">
        <v>42936</v>
      </c>
      <c r="C1353" s="11">
        <v>0.45795138888888887</v>
      </c>
      <c r="D1353" s="12">
        <v>0.46004629629629629</v>
      </c>
      <c r="E1353">
        <f t="shared" si="42"/>
        <v>1</v>
      </c>
      <c r="F1353">
        <f t="shared" si="43"/>
        <v>0</v>
      </c>
    </row>
    <row r="1354" spans="1:6" x14ac:dyDescent="0.35">
      <c r="A1354" s="5">
        <v>5526425146</v>
      </c>
      <c r="B1354" s="6">
        <v>42936</v>
      </c>
      <c r="C1354" s="7">
        <v>0.46164351851851854</v>
      </c>
      <c r="D1354" s="8">
        <v>0.46197916666666666</v>
      </c>
      <c r="E1354">
        <f t="shared" si="42"/>
        <v>0</v>
      </c>
      <c r="F1354">
        <f t="shared" si="43"/>
        <v>0</v>
      </c>
    </row>
    <row r="1355" spans="1:6" x14ac:dyDescent="0.35">
      <c r="A1355" s="9">
        <v>93050839</v>
      </c>
      <c r="B1355" s="10">
        <v>42936</v>
      </c>
      <c r="C1355" s="11">
        <v>0.46225694444444443</v>
      </c>
      <c r="D1355" s="12">
        <v>0.46591435185185187</v>
      </c>
      <c r="E1355">
        <f t="shared" si="42"/>
        <v>0</v>
      </c>
      <c r="F1355">
        <f t="shared" si="43"/>
        <v>1</v>
      </c>
    </row>
    <row r="1356" spans="1:6" x14ac:dyDescent="0.35">
      <c r="A1356" s="5">
        <v>1288318920</v>
      </c>
      <c r="B1356" s="6">
        <v>42936</v>
      </c>
      <c r="C1356" s="7">
        <v>0.46606481481481482</v>
      </c>
      <c r="D1356" s="8">
        <v>0.47375</v>
      </c>
      <c r="E1356">
        <f t="shared" si="42"/>
        <v>0</v>
      </c>
      <c r="F1356">
        <f t="shared" si="43"/>
        <v>0</v>
      </c>
    </row>
    <row r="1357" spans="1:6" x14ac:dyDescent="0.35">
      <c r="A1357" s="9">
        <v>5613566</v>
      </c>
      <c r="B1357" s="10">
        <v>42936</v>
      </c>
      <c r="C1357" s="11">
        <v>0.47105324074074073</v>
      </c>
      <c r="D1357" s="12">
        <v>0.47146990740740741</v>
      </c>
      <c r="E1357">
        <f t="shared" si="42"/>
        <v>1</v>
      </c>
      <c r="F1357">
        <f t="shared" si="43"/>
        <v>0</v>
      </c>
    </row>
    <row r="1358" spans="1:6" x14ac:dyDescent="0.35">
      <c r="A1358" s="5">
        <v>2406196</v>
      </c>
      <c r="B1358" s="6">
        <v>42936</v>
      </c>
      <c r="C1358" s="7">
        <v>0.47244212962962961</v>
      </c>
      <c r="D1358" s="8">
        <v>0.48127314814814814</v>
      </c>
      <c r="E1358">
        <f t="shared" si="42"/>
        <v>1</v>
      </c>
      <c r="F1358">
        <f t="shared" si="43"/>
        <v>0</v>
      </c>
    </row>
    <row r="1359" spans="1:6" x14ac:dyDescent="0.35">
      <c r="A1359" s="9">
        <v>9046365</v>
      </c>
      <c r="B1359" s="10">
        <v>42936</v>
      </c>
      <c r="C1359" s="11">
        <v>0.47531250000000003</v>
      </c>
      <c r="D1359" s="12">
        <v>0.47684027777777777</v>
      </c>
      <c r="E1359">
        <f t="shared" si="42"/>
        <v>1</v>
      </c>
      <c r="F1359">
        <f t="shared" si="43"/>
        <v>0</v>
      </c>
    </row>
    <row r="1360" spans="1:6" x14ac:dyDescent="0.35">
      <c r="A1360" s="5">
        <v>5019634</v>
      </c>
      <c r="B1360" s="6">
        <v>42936</v>
      </c>
      <c r="C1360" s="7">
        <v>0.48032407407407407</v>
      </c>
      <c r="D1360" s="8">
        <v>0.4916550925925926</v>
      </c>
      <c r="E1360">
        <f t="shared" si="42"/>
        <v>1</v>
      </c>
      <c r="F1360">
        <f t="shared" si="43"/>
        <v>0</v>
      </c>
    </row>
    <row r="1361" spans="1:6" x14ac:dyDescent="0.35">
      <c r="A1361" s="9">
        <v>90993861</v>
      </c>
      <c r="B1361" s="10">
        <v>42936</v>
      </c>
      <c r="C1361" s="11">
        <v>0.48280092592592594</v>
      </c>
      <c r="D1361" s="12">
        <v>0.48798611111111112</v>
      </c>
      <c r="E1361">
        <f t="shared" si="42"/>
        <v>0</v>
      </c>
      <c r="F1361">
        <f t="shared" si="43"/>
        <v>1</v>
      </c>
    </row>
    <row r="1362" spans="1:6" x14ac:dyDescent="0.35">
      <c r="A1362" s="5">
        <v>4034491</v>
      </c>
      <c r="B1362" s="6">
        <v>42936</v>
      </c>
      <c r="C1362" s="7">
        <v>0.48813657407407407</v>
      </c>
      <c r="D1362" s="8">
        <v>0.49116898148148147</v>
      </c>
      <c r="E1362">
        <f t="shared" si="42"/>
        <v>1</v>
      </c>
      <c r="F1362">
        <f t="shared" si="43"/>
        <v>0</v>
      </c>
    </row>
    <row r="1363" spans="1:6" x14ac:dyDescent="0.35">
      <c r="A1363" s="9">
        <v>57395204</v>
      </c>
      <c r="B1363" s="10">
        <v>42936</v>
      </c>
      <c r="C1363" s="11">
        <v>0.49015046296296294</v>
      </c>
      <c r="D1363" s="12">
        <v>0.49456018518518519</v>
      </c>
      <c r="E1363">
        <f t="shared" si="42"/>
        <v>0</v>
      </c>
      <c r="F1363">
        <f t="shared" si="43"/>
        <v>1</v>
      </c>
    </row>
    <row r="1364" spans="1:6" x14ac:dyDescent="0.35">
      <c r="A1364" s="5">
        <v>9156106</v>
      </c>
      <c r="B1364" s="6">
        <v>42936</v>
      </c>
      <c r="C1364" s="7">
        <v>0.49103009259259262</v>
      </c>
      <c r="D1364" s="8">
        <v>0.4937037037037037</v>
      </c>
      <c r="E1364">
        <f t="shared" si="42"/>
        <v>1</v>
      </c>
      <c r="F1364">
        <f t="shared" si="43"/>
        <v>0</v>
      </c>
    </row>
    <row r="1365" spans="1:6" x14ac:dyDescent="0.35">
      <c r="A1365" s="9">
        <v>7076463</v>
      </c>
      <c r="B1365" s="10">
        <v>42936</v>
      </c>
      <c r="C1365" s="11">
        <v>0.49519675925925927</v>
      </c>
      <c r="D1365" s="12">
        <v>0.49532407407407408</v>
      </c>
      <c r="E1365">
        <f t="shared" si="42"/>
        <v>1</v>
      </c>
      <c r="F1365">
        <f t="shared" si="43"/>
        <v>0</v>
      </c>
    </row>
    <row r="1366" spans="1:6" x14ac:dyDescent="0.35">
      <c r="A1366" s="5">
        <v>3136675</v>
      </c>
      <c r="B1366" s="6">
        <v>42936</v>
      </c>
      <c r="C1366" s="7">
        <v>0.49833333333333335</v>
      </c>
      <c r="D1366" s="8">
        <v>0.50942129629629629</v>
      </c>
      <c r="E1366">
        <f t="shared" si="42"/>
        <v>1</v>
      </c>
      <c r="F1366">
        <f t="shared" si="43"/>
        <v>0</v>
      </c>
    </row>
    <row r="1367" spans="1:6" x14ac:dyDescent="0.35">
      <c r="A1367" s="9">
        <v>7826456</v>
      </c>
      <c r="B1367" s="10">
        <v>42936</v>
      </c>
      <c r="C1367" s="11">
        <v>0.50298611111111113</v>
      </c>
      <c r="D1367" s="12">
        <v>0.50312500000000004</v>
      </c>
      <c r="E1367">
        <f t="shared" si="42"/>
        <v>1</v>
      </c>
      <c r="F1367">
        <f t="shared" si="43"/>
        <v>0</v>
      </c>
    </row>
    <row r="1368" spans="1:6" x14ac:dyDescent="0.35">
      <c r="A1368" s="5">
        <v>4094662</v>
      </c>
      <c r="B1368" s="6">
        <v>42936</v>
      </c>
      <c r="C1368" s="7">
        <v>0.50581018518518517</v>
      </c>
      <c r="D1368" s="8">
        <v>0.51442129629629629</v>
      </c>
      <c r="E1368">
        <f t="shared" si="42"/>
        <v>1</v>
      </c>
      <c r="F1368">
        <f t="shared" si="43"/>
        <v>0</v>
      </c>
    </row>
    <row r="1369" spans="1:6" x14ac:dyDescent="0.35">
      <c r="A1369" s="9">
        <v>3134379</v>
      </c>
      <c r="B1369" s="10">
        <v>42936</v>
      </c>
      <c r="C1369" s="11">
        <v>0.508275462962963</v>
      </c>
      <c r="D1369" s="12">
        <v>0.51652777777777781</v>
      </c>
      <c r="E1369">
        <f t="shared" si="42"/>
        <v>1</v>
      </c>
      <c r="F1369">
        <f t="shared" si="43"/>
        <v>0</v>
      </c>
    </row>
    <row r="1370" spans="1:6" x14ac:dyDescent="0.35">
      <c r="A1370" s="5">
        <v>1119016</v>
      </c>
      <c r="B1370" s="6">
        <v>42936</v>
      </c>
      <c r="C1370" s="7">
        <v>0.50880787037037034</v>
      </c>
      <c r="D1370" s="8">
        <v>0.51409722222222221</v>
      </c>
      <c r="E1370">
        <f t="shared" si="42"/>
        <v>1</v>
      </c>
      <c r="F1370">
        <f t="shared" si="43"/>
        <v>0</v>
      </c>
    </row>
    <row r="1371" spans="1:6" x14ac:dyDescent="0.35">
      <c r="A1371" s="9">
        <v>3539762</v>
      </c>
      <c r="B1371" s="10">
        <v>42936</v>
      </c>
      <c r="C1371" s="11">
        <v>0.51028935185185187</v>
      </c>
      <c r="D1371" s="12">
        <v>0.52089120370370368</v>
      </c>
      <c r="E1371">
        <f t="shared" si="42"/>
        <v>1</v>
      </c>
      <c r="F1371">
        <f t="shared" si="43"/>
        <v>0</v>
      </c>
    </row>
    <row r="1372" spans="1:6" x14ac:dyDescent="0.35">
      <c r="A1372" s="5">
        <v>28601187</v>
      </c>
      <c r="B1372" s="6">
        <v>42936</v>
      </c>
      <c r="C1372" s="7">
        <v>0.51511574074074074</v>
      </c>
      <c r="D1372" s="8">
        <v>0.51787037037037043</v>
      </c>
      <c r="E1372">
        <f t="shared" si="42"/>
        <v>0</v>
      </c>
      <c r="F1372">
        <f t="shared" si="43"/>
        <v>1</v>
      </c>
    </row>
    <row r="1373" spans="1:6" x14ac:dyDescent="0.35">
      <c r="A1373" s="9">
        <v>2841969</v>
      </c>
      <c r="B1373" s="10">
        <v>42936</v>
      </c>
      <c r="C1373" s="11">
        <v>0.51512731481481477</v>
      </c>
      <c r="D1373" s="12">
        <v>0.51556712962962958</v>
      </c>
      <c r="E1373">
        <f t="shared" si="42"/>
        <v>1</v>
      </c>
      <c r="F1373">
        <f t="shared" si="43"/>
        <v>0</v>
      </c>
    </row>
    <row r="1374" spans="1:6" x14ac:dyDescent="0.35">
      <c r="A1374" s="5">
        <v>57957786</v>
      </c>
      <c r="B1374" s="6">
        <v>42936</v>
      </c>
      <c r="C1374" s="7">
        <v>0.51928240740740739</v>
      </c>
      <c r="D1374" s="8">
        <v>0.53030092592592593</v>
      </c>
      <c r="E1374">
        <f t="shared" si="42"/>
        <v>0</v>
      </c>
      <c r="F1374">
        <f t="shared" si="43"/>
        <v>1</v>
      </c>
    </row>
    <row r="1375" spans="1:6" x14ac:dyDescent="0.35">
      <c r="A1375" s="9">
        <v>6068132</v>
      </c>
      <c r="B1375" s="10">
        <v>42936</v>
      </c>
      <c r="C1375" s="11">
        <v>0.52225694444444448</v>
      </c>
      <c r="D1375" s="12">
        <v>0.5236574074074074</v>
      </c>
      <c r="E1375">
        <f t="shared" si="42"/>
        <v>1</v>
      </c>
      <c r="F1375">
        <f t="shared" si="43"/>
        <v>0</v>
      </c>
    </row>
    <row r="1376" spans="1:6" x14ac:dyDescent="0.35">
      <c r="A1376" s="5">
        <v>8195842</v>
      </c>
      <c r="B1376" s="6">
        <v>42936</v>
      </c>
      <c r="C1376" s="7">
        <v>0.52240740740740743</v>
      </c>
      <c r="D1376" s="8">
        <v>0.53074074074074074</v>
      </c>
      <c r="E1376">
        <f t="shared" si="42"/>
        <v>1</v>
      </c>
      <c r="F1376">
        <f t="shared" si="43"/>
        <v>0</v>
      </c>
    </row>
    <row r="1377" spans="1:6" x14ac:dyDescent="0.35">
      <c r="A1377" s="9">
        <v>98737794</v>
      </c>
      <c r="B1377" s="10">
        <v>42936</v>
      </c>
      <c r="C1377" s="11">
        <v>0.52379629629629632</v>
      </c>
      <c r="D1377" s="12">
        <v>0.52883101851851855</v>
      </c>
      <c r="E1377">
        <f t="shared" si="42"/>
        <v>0</v>
      </c>
      <c r="F1377">
        <f t="shared" si="43"/>
        <v>1</v>
      </c>
    </row>
    <row r="1378" spans="1:6" x14ac:dyDescent="0.35">
      <c r="A1378" s="5">
        <v>6523054</v>
      </c>
      <c r="B1378" s="6">
        <v>42936</v>
      </c>
      <c r="C1378" s="7">
        <v>0.52813657407407411</v>
      </c>
      <c r="D1378" s="8">
        <v>0.53877314814814814</v>
      </c>
      <c r="E1378">
        <f t="shared" si="42"/>
        <v>1</v>
      </c>
      <c r="F1378">
        <f t="shared" si="43"/>
        <v>0</v>
      </c>
    </row>
    <row r="1379" spans="1:6" x14ac:dyDescent="0.35">
      <c r="A1379" s="9">
        <v>26895957</v>
      </c>
      <c r="B1379" s="10">
        <v>42936</v>
      </c>
      <c r="C1379" s="11">
        <v>0.53083333333333338</v>
      </c>
      <c r="D1379" s="12">
        <v>0.53511574074074075</v>
      </c>
      <c r="E1379">
        <f t="shared" si="42"/>
        <v>0</v>
      </c>
      <c r="F1379">
        <f t="shared" si="43"/>
        <v>1</v>
      </c>
    </row>
    <row r="1380" spans="1:6" x14ac:dyDescent="0.35">
      <c r="A1380" s="5">
        <v>5254694</v>
      </c>
      <c r="B1380" s="6">
        <v>42936</v>
      </c>
      <c r="C1380" s="7">
        <v>0.5330555555555555</v>
      </c>
      <c r="D1380" s="8">
        <v>0.54049768518518515</v>
      </c>
      <c r="E1380">
        <f t="shared" si="42"/>
        <v>1</v>
      </c>
      <c r="F1380">
        <f t="shared" si="43"/>
        <v>0</v>
      </c>
    </row>
    <row r="1381" spans="1:6" x14ac:dyDescent="0.35">
      <c r="A1381" s="9">
        <v>3979680</v>
      </c>
      <c r="B1381" s="10">
        <v>42936</v>
      </c>
      <c r="C1381" s="11">
        <v>0.53820601851851857</v>
      </c>
      <c r="D1381" s="12">
        <v>0.54369212962962965</v>
      </c>
      <c r="E1381">
        <f t="shared" si="42"/>
        <v>1</v>
      </c>
      <c r="F1381">
        <f t="shared" si="43"/>
        <v>0</v>
      </c>
    </row>
    <row r="1382" spans="1:6" x14ac:dyDescent="0.35">
      <c r="A1382" s="5">
        <v>96424596</v>
      </c>
      <c r="B1382" s="6">
        <v>42936</v>
      </c>
      <c r="C1382" s="7">
        <v>0.53964120370370372</v>
      </c>
      <c r="D1382" s="8">
        <v>0.54423611111111114</v>
      </c>
      <c r="E1382">
        <f t="shared" si="42"/>
        <v>0</v>
      </c>
      <c r="F1382">
        <f t="shared" si="43"/>
        <v>1</v>
      </c>
    </row>
    <row r="1383" spans="1:6" x14ac:dyDescent="0.35">
      <c r="A1383" s="9">
        <v>4923459</v>
      </c>
      <c r="B1383" s="10">
        <v>42936</v>
      </c>
      <c r="C1383" s="11">
        <v>0.54450231481481481</v>
      </c>
      <c r="D1383" s="12">
        <v>0.55406250000000001</v>
      </c>
      <c r="E1383">
        <f t="shared" si="42"/>
        <v>1</v>
      </c>
      <c r="F1383">
        <f t="shared" si="43"/>
        <v>0</v>
      </c>
    </row>
    <row r="1384" spans="1:6" x14ac:dyDescent="0.35">
      <c r="A1384" s="5">
        <v>6719542</v>
      </c>
      <c r="B1384" s="6">
        <v>42936</v>
      </c>
      <c r="C1384" s="7">
        <v>0.54556712962962961</v>
      </c>
      <c r="D1384" s="8">
        <v>0.54894675925925929</v>
      </c>
      <c r="E1384">
        <f t="shared" si="42"/>
        <v>1</v>
      </c>
      <c r="F1384">
        <f t="shared" si="43"/>
        <v>0</v>
      </c>
    </row>
    <row r="1385" spans="1:6" x14ac:dyDescent="0.35">
      <c r="A1385" s="9">
        <v>81218024</v>
      </c>
      <c r="B1385" s="10">
        <v>42936</v>
      </c>
      <c r="C1385" s="11">
        <v>0.54946759259259259</v>
      </c>
      <c r="D1385" s="12">
        <v>0.55583333333333329</v>
      </c>
      <c r="E1385">
        <f t="shared" si="42"/>
        <v>0</v>
      </c>
      <c r="F1385">
        <f t="shared" si="43"/>
        <v>1</v>
      </c>
    </row>
    <row r="1386" spans="1:6" x14ac:dyDescent="0.35">
      <c r="A1386" s="5">
        <v>6552755</v>
      </c>
      <c r="B1386" s="6">
        <v>42936</v>
      </c>
      <c r="C1386" s="7">
        <v>0.55306712962962967</v>
      </c>
      <c r="D1386" s="8">
        <v>0.56304398148148149</v>
      </c>
      <c r="E1386">
        <f t="shared" si="42"/>
        <v>1</v>
      </c>
      <c r="F1386">
        <f t="shared" si="43"/>
        <v>0</v>
      </c>
    </row>
    <row r="1387" spans="1:6" x14ac:dyDescent="0.35">
      <c r="A1387" s="9">
        <v>44017210</v>
      </c>
      <c r="B1387" s="10">
        <v>42936</v>
      </c>
      <c r="C1387" s="11">
        <v>0.55476851851851849</v>
      </c>
      <c r="D1387" s="12">
        <v>0.56596064814814817</v>
      </c>
      <c r="E1387">
        <f t="shared" si="42"/>
        <v>0</v>
      </c>
      <c r="F1387">
        <f t="shared" si="43"/>
        <v>1</v>
      </c>
    </row>
    <row r="1388" spans="1:6" x14ac:dyDescent="0.35">
      <c r="A1388" s="5">
        <v>8679036</v>
      </c>
      <c r="B1388" s="6">
        <v>42936</v>
      </c>
      <c r="C1388" s="7">
        <v>0.55827546296296293</v>
      </c>
      <c r="D1388" s="8">
        <v>0.55864583333333329</v>
      </c>
      <c r="E1388">
        <f t="shared" si="42"/>
        <v>1</v>
      </c>
      <c r="F1388">
        <f t="shared" si="43"/>
        <v>0</v>
      </c>
    </row>
    <row r="1389" spans="1:6" x14ac:dyDescent="0.35">
      <c r="A1389" s="9">
        <v>64733982</v>
      </c>
      <c r="B1389" s="10">
        <v>42936</v>
      </c>
      <c r="C1389" s="11">
        <v>0.56180555555555556</v>
      </c>
      <c r="D1389" s="12">
        <v>0.56400462962962961</v>
      </c>
      <c r="E1389">
        <f t="shared" si="42"/>
        <v>0</v>
      </c>
      <c r="F1389">
        <f t="shared" si="43"/>
        <v>1</v>
      </c>
    </row>
    <row r="1390" spans="1:6" x14ac:dyDescent="0.35">
      <c r="A1390" s="5">
        <v>2289072</v>
      </c>
      <c r="B1390" s="6">
        <v>42936</v>
      </c>
      <c r="C1390" s="7">
        <v>0.56320601851851848</v>
      </c>
      <c r="D1390" s="8">
        <v>0.57020833333333332</v>
      </c>
      <c r="E1390">
        <f t="shared" si="42"/>
        <v>1</v>
      </c>
      <c r="F1390">
        <f t="shared" si="43"/>
        <v>0</v>
      </c>
    </row>
    <row r="1391" spans="1:6" x14ac:dyDescent="0.35">
      <c r="A1391" s="9">
        <v>71730854</v>
      </c>
      <c r="B1391" s="10">
        <v>42936</v>
      </c>
      <c r="C1391" s="11">
        <v>0.56537037037037041</v>
      </c>
      <c r="D1391" s="12">
        <v>0.57611111111111113</v>
      </c>
      <c r="E1391">
        <f t="shared" si="42"/>
        <v>0</v>
      </c>
      <c r="F1391">
        <f t="shared" si="43"/>
        <v>1</v>
      </c>
    </row>
    <row r="1392" spans="1:6" x14ac:dyDescent="0.35">
      <c r="A1392" s="5">
        <v>3757504</v>
      </c>
      <c r="B1392" s="6">
        <v>42936</v>
      </c>
      <c r="C1392" s="7">
        <v>0.57105324074074071</v>
      </c>
      <c r="D1392" s="8">
        <v>0.57465277777777779</v>
      </c>
      <c r="E1392">
        <f t="shared" si="42"/>
        <v>1</v>
      </c>
      <c r="F1392">
        <f t="shared" si="43"/>
        <v>0</v>
      </c>
    </row>
    <row r="1393" spans="1:6" x14ac:dyDescent="0.35">
      <c r="A1393" s="9">
        <v>8501225</v>
      </c>
      <c r="B1393" s="10">
        <v>42936</v>
      </c>
      <c r="C1393" s="11">
        <v>0.57517361111111109</v>
      </c>
      <c r="D1393" s="12">
        <v>0.57784722222222218</v>
      </c>
      <c r="E1393">
        <f t="shared" si="42"/>
        <v>1</v>
      </c>
      <c r="F1393">
        <f t="shared" si="43"/>
        <v>0</v>
      </c>
    </row>
    <row r="1394" spans="1:6" x14ac:dyDescent="0.35">
      <c r="A1394" s="5">
        <v>3704193</v>
      </c>
      <c r="B1394" s="6">
        <v>42936</v>
      </c>
      <c r="C1394" s="7">
        <v>0.57671296296296293</v>
      </c>
      <c r="D1394" s="8">
        <v>0.58539351851851851</v>
      </c>
      <c r="E1394">
        <f t="shared" si="42"/>
        <v>1</v>
      </c>
      <c r="F1394">
        <f t="shared" si="43"/>
        <v>0</v>
      </c>
    </row>
    <row r="1395" spans="1:6" x14ac:dyDescent="0.35">
      <c r="A1395" s="9">
        <v>4577789</v>
      </c>
      <c r="B1395" s="10">
        <v>42936</v>
      </c>
      <c r="C1395" s="11">
        <v>0.57781249999999995</v>
      </c>
      <c r="D1395" s="12">
        <v>0.57953703703703707</v>
      </c>
      <c r="E1395">
        <f t="shared" si="42"/>
        <v>1</v>
      </c>
      <c r="F1395">
        <f t="shared" si="43"/>
        <v>0</v>
      </c>
    </row>
    <row r="1396" spans="1:6" x14ac:dyDescent="0.35">
      <c r="A1396" s="5">
        <v>5730350</v>
      </c>
      <c r="B1396" s="6">
        <v>42936</v>
      </c>
      <c r="C1396" s="7">
        <v>0.58206018518518521</v>
      </c>
      <c r="D1396" s="8">
        <v>0.59037037037037032</v>
      </c>
      <c r="E1396">
        <f t="shared" si="42"/>
        <v>1</v>
      </c>
      <c r="F1396">
        <f t="shared" si="43"/>
        <v>0</v>
      </c>
    </row>
    <row r="1397" spans="1:6" x14ac:dyDescent="0.35">
      <c r="A1397" s="9">
        <v>8953850</v>
      </c>
      <c r="B1397" s="10">
        <v>42936</v>
      </c>
      <c r="C1397" s="11">
        <v>0.58328703703703699</v>
      </c>
      <c r="D1397" s="12">
        <v>0.5920023148148148</v>
      </c>
      <c r="E1397">
        <f t="shared" si="42"/>
        <v>1</v>
      </c>
      <c r="F1397">
        <f t="shared" si="43"/>
        <v>0</v>
      </c>
    </row>
    <row r="1398" spans="1:6" x14ac:dyDescent="0.35">
      <c r="A1398" s="5">
        <v>3109133</v>
      </c>
      <c r="B1398" s="6">
        <v>42936</v>
      </c>
      <c r="C1398" s="7">
        <v>0.58564814814814814</v>
      </c>
      <c r="D1398" s="8">
        <v>0.58964120370370365</v>
      </c>
      <c r="E1398">
        <f t="shared" si="42"/>
        <v>1</v>
      </c>
      <c r="F1398">
        <f t="shared" si="43"/>
        <v>0</v>
      </c>
    </row>
    <row r="1399" spans="1:6" x14ac:dyDescent="0.35">
      <c r="A1399" s="9">
        <v>3382699</v>
      </c>
      <c r="B1399" s="10">
        <v>42936</v>
      </c>
      <c r="C1399" s="11">
        <v>0.59053240740740742</v>
      </c>
      <c r="D1399" s="12">
        <v>0.59318287037037032</v>
      </c>
      <c r="E1399">
        <f t="shared" si="42"/>
        <v>1</v>
      </c>
      <c r="F1399">
        <f t="shared" si="43"/>
        <v>0</v>
      </c>
    </row>
    <row r="1400" spans="1:6" x14ac:dyDescent="0.35">
      <c r="A1400" s="5">
        <v>9132555</v>
      </c>
      <c r="B1400" s="6">
        <v>42936</v>
      </c>
      <c r="C1400" s="7">
        <v>0.59621527777777783</v>
      </c>
      <c r="D1400" s="8">
        <v>0.59906250000000005</v>
      </c>
      <c r="E1400">
        <f t="shared" si="42"/>
        <v>1</v>
      </c>
      <c r="F1400">
        <f t="shared" si="43"/>
        <v>0</v>
      </c>
    </row>
    <row r="1401" spans="1:6" x14ac:dyDescent="0.35">
      <c r="A1401" s="9">
        <v>5016981</v>
      </c>
      <c r="B1401" s="10">
        <v>42936</v>
      </c>
      <c r="C1401" s="11">
        <v>0.59693287037037035</v>
      </c>
      <c r="D1401" s="12">
        <v>0.59743055555555558</v>
      </c>
      <c r="E1401">
        <f t="shared" si="42"/>
        <v>1</v>
      </c>
      <c r="F1401">
        <f t="shared" si="43"/>
        <v>0</v>
      </c>
    </row>
    <row r="1402" spans="1:6" x14ac:dyDescent="0.35">
      <c r="A1402" s="5">
        <v>1294973</v>
      </c>
      <c r="B1402" s="6">
        <v>42936</v>
      </c>
      <c r="C1402" s="7">
        <v>0.59783564814814816</v>
      </c>
      <c r="D1402" s="8">
        <v>0.60715277777777776</v>
      </c>
      <c r="E1402">
        <f t="shared" si="42"/>
        <v>1</v>
      </c>
      <c r="F1402">
        <f t="shared" si="43"/>
        <v>0</v>
      </c>
    </row>
    <row r="1403" spans="1:6" x14ac:dyDescent="0.35">
      <c r="A1403" s="9">
        <v>7769531</v>
      </c>
      <c r="B1403" s="10">
        <v>42936</v>
      </c>
      <c r="C1403" s="11">
        <v>0.60048611111111116</v>
      </c>
      <c r="D1403" s="12">
        <v>0.60371527777777778</v>
      </c>
      <c r="E1403">
        <f t="shared" si="42"/>
        <v>1</v>
      </c>
      <c r="F1403">
        <f t="shared" si="43"/>
        <v>0</v>
      </c>
    </row>
    <row r="1404" spans="1:6" x14ac:dyDescent="0.35">
      <c r="A1404" s="5">
        <v>1068000</v>
      </c>
      <c r="B1404" s="6">
        <v>42936</v>
      </c>
      <c r="C1404" s="7">
        <v>0.60251157407407407</v>
      </c>
      <c r="D1404" s="8">
        <v>0.60608796296296297</v>
      </c>
      <c r="E1404">
        <f t="shared" si="42"/>
        <v>1</v>
      </c>
      <c r="F1404">
        <f t="shared" si="43"/>
        <v>0</v>
      </c>
    </row>
    <row r="1405" spans="1:6" x14ac:dyDescent="0.35">
      <c r="A1405" s="9">
        <v>1467591</v>
      </c>
      <c r="B1405" s="10">
        <v>42936</v>
      </c>
      <c r="C1405" s="11">
        <v>0.60277777777777775</v>
      </c>
      <c r="D1405" s="12">
        <v>0.61222222222222222</v>
      </c>
      <c r="E1405">
        <f t="shared" si="42"/>
        <v>1</v>
      </c>
      <c r="F1405">
        <f t="shared" si="43"/>
        <v>0</v>
      </c>
    </row>
    <row r="1406" spans="1:6" x14ac:dyDescent="0.35">
      <c r="A1406" s="5">
        <v>5980925</v>
      </c>
      <c r="B1406" s="6">
        <v>42936</v>
      </c>
      <c r="C1406" s="7">
        <v>0.60282407407407412</v>
      </c>
      <c r="D1406" s="8">
        <v>0.61041666666666672</v>
      </c>
      <c r="E1406">
        <f t="shared" si="42"/>
        <v>1</v>
      </c>
      <c r="F1406">
        <f t="shared" si="43"/>
        <v>0</v>
      </c>
    </row>
    <row r="1407" spans="1:6" x14ac:dyDescent="0.35">
      <c r="A1407" s="9">
        <v>9905075</v>
      </c>
      <c r="B1407" s="10">
        <v>42936</v>
      </c>
      <c r="C1407" s="11">
        <v>0.60693287037037036</v>
      </c>
      <c r="D1407" s="12">
        <v>0.61001157407407403</v>
      </c>
      <c r="E1407">
        <f t="shared" si="42"/>
        <v>1</v>
      </c>
      <c r="F1407">
        <f t="shared" si="43"/>
        <v>0</v>
      </c>
    </row>
    <row r="1408" spans="1:6" x14ac:dyDescent="0.35">
      <c r="A1408" s="5">
        <v>1043289</v>
      </c>
      <c r="B1408" s="6">
        <v>42936</v>
      </c>
      <c r="C1408" s="7">
        <v>0.60990740740740745</v>
      </c>
      <c r="D1408" s="8">
        <v>0.61383101851851851</v>
      </c>
      <c r="E1408">
        <f t="shared" si="42"/>
        <v>1</v>
      </c>
      <c r="F1408">
        <f t="shared" si="43"/>
        <v>0</v>
      </c>
    </row>
    <row r="1409" spans="1:6" x14ac:dyDescent="0.35">
      <c r="A1409" s="9">
        <v>8252939</v>
      </c>
      <c r="B1409" s="10">
        <v>42936</v>
      </c>
      <c r="C1409" s="11">
        <v>0.61320601851851853</v>
      </c>
      <c r="D1409" s="12">
        <v>0.62115740740740744</v>
      </c>
      <c r="E1409">
        <f t="shared" si="42"/>
        <v>1</v>
      </c>
      <c r="F1409">
        <f t="shared" si="43"/>
        <v>0</v>
      </c>
    </row>
    <row r="1410" spans="1:6" x14ac:dyDescent="0.35">
      <c r="A1410" s="5">
        <v>67748426</v>
      </c>
      <c r="B1410" s="6">
        <v>42936</v>
      </c>
      <c r="C1410" s="7">
        <v>0.61535879629629631</v>
      </c>
      <c r="D1410" s="8">
        <v>0.62503472222222223</v>
      </c>
      <c r="E1410">
        <f t="shared" si="42"/>
        <v>0</v>
      </c>
      <c r="F1410">
        <f t="shared" si="43"/>
        <v>1</v>
      </c>
    </row>
    <row r="1411" spans="1:6" x14ac:dyDescent="0.35">
      <c r="A1411" s="9">
        <v>4376637</v>
      </c>
      <c r="B1411" s="10">
        <v>42936</v>
      </c>
      <c r="C1411" s="11">
        <v>0.61559027777777775</v>
      </c>
      <c r="D1411" s="12">
        <v>0.62532407407407409</v>
      </c>
      <c r="E1411">
        <f t="shared" ref="E1411:E1474" si="44">IF(LEN(A1411)=7,1,0)</f>
        <v>1</v>
      </c>
      <c r="F1411">
        <f t="shared" ref="F1411:F1474" si="45">IF(LEN(A1411)=8,1,0)</f>
        <v>0</v>
      </c>
    </row>
    <row r="1412" spans="1:6" x14ac:dyDescent="0.35">
      <c r="A1412" s="5">
        <v>6426011</v>
      </c>
      <c r="B1412" s="6">
        <v>42936</v>
      </c>
      <c r="C1412" s="7">
        <v>0.62078703703703708</v>
      </c>
      <c r="D1412" s="8">
        <v>0.62863425925925931</v>
      </c>
      <c r="E1412">
        <f t="shared" si="44"/>
        <v>1</v>
      </c>
      <c r="F1412">
        <f t="shared" si="45"/>
        <v>0</v>
      </c>
    </row>
    <row r="1413" spans="1:6" x14ac:dyDescent="0.35">
      <c r="A1413" s="9">
        <v>9137235</v>
      </c>
      <c r="B1413" s="10">
        <v>42936</v>
      </c>
      <c r="C1413" s="11">
        <v>0.62524305555555559</v>
      </c>
      <c r="D1413" s="12">
        <v>0.62846064814814817</v>
      </c>
      <c r="E1413">
        <f t="shared" si="44"/>
        <v>1</v>
      </c>
      <c r="F1413">
        <f t="shared" si="45"/>
        <v>0</v>
      </c>
    </row>
    <row r="1414" spans="1:6" x14ac:dyDescent="0.35">
      <c r="A1414" s="5">
        <v>6735390</v>
      </c>
      <c r="B1414" s="6">
        <v>42937</v>
      </c>
      <c r="C1414" s="7">
        <v>0.33421296296296299</v>
      </c>
      <c r="D1414" s="8">
        <v>0.33674768518518516</v>
      </c>
      <c r="E1414">
        <f t="shared" si="44"/>
        <v>1</v>
      </c>
      <c r="F1414">
        <f t="shared" si="45"/>
        <v>0</v>
      </c>
    </row>
    <row r="1415" spans="1:6" x14ac:dyDescent="0.35">
      <c r="A1415" s="9">
        <v>7151490</v>
      </c>
      <c r="B1415" s="10">
        <v>42937</v>
      </c>
      <c r="C1415" s="11">
        <v>0.33513888888888888</v>
      </c>
      <c r="D1415" s="12">
        <v>0.33787037037037038</v>
      </c>
      <c r="E1415">
        <f t="shared" si="44"/>
        <v>1</v>
      </c>
      <c r="F1415">
        <f t="shared" si="45"/>
        <v>0</v>
      </c>
    </row>
    <row r="1416" spans="1:6" x14ac:dyDescent="0.35">
      <c r="A1416" s="5">
        <v>5138547</v>
      </c>
      <c r="B1416" s="6">
        <v>42937</v>
      </c>
      <c r="C1416" s="7">
        <v>0.33642361111111113</v>
      </c>
      <c r="D1416" s="8">
        <v>0.33778935185185183</v>
      </c>
      <c r="E1416">
        <f t="shared" si="44"/>
        <v>1</v>
      </c>
      <c r="F1416">
        <f t="shared" si="45"/>
        <v>0</v>
      </c>
    </row>
    <row r="1417" spans="1:6" x14ac:dyDescent="0.35">
      <c r="A1417" s="9">
        <v>79212542</v>
      </c>
      <c r="B1417" s="10">
        <v>42937</v>
      </c>
      <c r="C1417" s="11">
        <v>0.34157407407407409</v>
      </c>
      <c r="D1417" s="12">
        <v>0.34684027777777776</v>
      </c>
      <c r="E1417">
        <f t="shared" si="44"/>
        <v>0</v>
      </c>
      <c r="F1417">
        <f t="shared" si="45"/>
        <v>1</v>
      </c>
    </row>
    <row r="1418" spans="1:6" x14ac:dyDescent="0.35">
      <c r="A1418" s="5">
        <v>1507196</v>
      </c>
      <c r="B1418" s="6">
        <v>42937</v>
      </c>
      <c r="C1418" s="7">
        <v>0.34197916666666667</v>
      </c>
      <c r="D1418" s="8">
        <v>0.3460300925925926</v>
      </c>
      <c r="E1418">
        <f t="shared" si="44"/>
        <v>1</v>
      </c>
      <c r="F1418">
        <f t="shared" si="45"/>
        <v>0</v>
      </c>
    </row>
    <row r="1419" spans="1:6" x14ac:dyDescent="0.35">
      <c r="A1419" s="9">
        <v>8362094</v>
      </c>
      <c r="B1419" s="10">
        <v>42937</v>
      </c>
      <c r="C1419" s="11">
        <v>0.34567129629629628</v>
      </c>
      <c r="D1419" s="12">
        <v>0.34745370370370371</v>
      </c>
      <c r="E1419">
        <f t="shared" si="44"/>
        <v>1</v>
      </c>
      <c r="F1419">
        <f t="shared" si="45"/>
        <v>0</v>
      </c>
    </row>
    <row r="1420" spans="1:6" x14ac:dyDescent="0.35">
      <c r="A1420" s="5">
        <v>5379981</v>
      </c>
      <c r="B1420" s="6">
        <v>42937</v>
      </c>
      <c r="C1420" s="7">
        <v>0.34690972222222222</v>
      </c>
      <c r="D1420" s="8">
        <v>0.35206018518518517</v>
      </c>
      <c r="E1420">
        <f t="shared" si="44"/>
        <v>1</v>
      </c>
      <c r="F1420">
        <f t="shared" si="45"/>
        <v>0</v>
      </c>
    </row>
    <row r="1421" spans="1:6" x14ac:dyDescent="0.35">
      <c r="A1421" s="9">
        <v>4960672</v>
      </c>
      <c r="B1421" s="10">
        <v>42937</v>
      </c>
      <c r="C1421" s="11">
        <v>0.34745370370370371</v>
      </c>
      <c r="D1421" s="12">
        <v>0.3526273148148148</v>
      </c>
      <c r="E1421">
        <f t="shared" si="44"/>
        <v>1</v>
      </c>
      <c r="F1421">
        <f t="shared" si="45"/>
        <v>0</v>
      </c>
    </row>
    <row r="1422" spans="1:6" x14ac:dyDescent="0.35">
      <c r="A1422" s="5">
        <v>9052582</v>
      </c>
      <c r="B1422" s="6">
        <v>42937</v>
      </c>
      <c r="C1422" s="7">
        <v>0.34961805555555553</v>
      </c>
      <c r="D1422" s="8">
        <v>0.3535300925925926</v>
      </c>
      <c r="E1422">
        <f t="shared" si="44"/>
        <v>1</v>
      </c>
      <c r="F1422">
        <f t="shared" si="45"/>
        <v>0</v>
      </c>
    </row>
    <row r="1423" spans="1:6" x14ac:dyDescent="0.35">
      <c r="A1423" s="9">
        <v>2054346</v>
      </c>
      <c r="B1423" s="10">
        <v>42937</v>
      </c>
      <c r="C1423" s="11">
        <v>0.35003472222222221</v>
      </c>
      <c r="D1423" s="12">
        <v>0.35540509259259262</v>
      </c>
      <c r="E1423">
        <f t="shared" si="44"/>
        <v>1</v>
      </c>
      <c r="F1423">
        <f t="shared" si="45"/>
        <v>0</v>
      </c>
    </row>
    <row r="1424" spans="1:6" x14ac:dyDescent="0.35">
      <c r="A1424" s="5">
        <v>6070136</v>
      </c>
      <c r="B1424" s="6">
        <v>42937</v>
      </c>
      <c r="C1424" s="7">
        <v>0.3515625</v>
      </c>
      <c r="D1424" s="8">
        <v>0.35299768518518521</v>
      </c>
      <c r="E1424">
        <f t="shared" si="44"/>
        <v>1</v>
      </c>
      <c r="F1424">
        <f t="shared" si="45"/>
        <v>0</v>
      </c>
    </row>
    <row r="1425" spans="1:6" x14ac:dyDescent="0.35">
      <c r="A1425" s="9">
        <v>3086185</v>
      </c>
      <c r="B1425" s="10">
        <v>42937</v>
      </c>
      <c r="C1425" s="11">
        <v>0.35401620370370368</v>
      </c>
      <c r="D1425" s="12">
        <v>0.35944444444444446</v>
      </c>
      <c r="E1425">
        <f t="shared" si="44"/>
        <v>1</v>
      </c>
      <c r="F1425">
        <f t="shared" si="45"/>
        <v>0</v>
      </c>
    </row>
    <row r="1426" spans="1:6" x14ac:dyDescent="0.35">
      <c r="A1426" s="5">
        <v>6949463</v>
      </c>
      <c r="B1426" s="6">
        <v>42937</v>
      </c>
      <c r="C1426" s="7">
        <v>0.35912037037037037</v>
      </c>
      <c r="D1426" s="8">
        <v>0.36318287037037039</v>
      </c>
      <c r="E1426">
        <f t="shared" si="44"/>
        <v>1</v>
      </c>
      <c r="F1426">
        <f t="shared" si="45"/>
        <v>0</v>
      </c>
    </row>
    <row r="1427" spans="1:6" x14ac:dyDescent="0.35">
      <c r="A1427" s="9">
        <v>1626862</v>
      </c>
      <c r="B1427" s="10">
        <v>42937</v>
      </c>
      <c r="C1427" s="11">
        <v>0.36155092592592591</v>
      </c>
      <c r="D1427" s="12">
        <v>0.36355324074074075</v>
      </c>
      <c r="E1427">
        <f t="shared" si="44"/>
        <v>1</v>
      </c>
      <c r="F1427">
        <f t="shared" si="45"/>
        <v>0</v>
      </c>
    </row>
    <row r="1428" spans="1:6" x14ac:dyDescent="0.35">
      <c r="A1428" s="5">
        <v>99905503</v>
      </c>
      <c r="B1428" s="6">
        <v>42937</v>
      </c>
      <c r="C1428" s="7">
        <v>0.36631944444444442</v>
      </c>
      <c r="D1428" s="8">
        <v>0.37376157407407407</v>
      </c>
      <c r="E1428">
        <f t="shared" si="44"/>
        <v>0</v>
      </c>
      <c r="F1428">
        <f t="shared" si="45"/>
        <v>1</v>
      </c>
    </row>
    <row r="1429" spans="1:6" x14ac:dyDescent="0.35">
      <c r="A1429" s="9">
        <v>2753778</v>
      </c>
      <c r="B1429" s="10">
        <v>42937</v>
      </c>
      <c r="C1429" s="11">
        <v>0.37133101851851852</v>
      </c>
      <c r="D1429" s="12">
        <v>0.38075231481481481</v>
      </c>
      <c r="E1429">
        <f t="shared" si="44"/>
        <v>1</v>
      </c>
      <c r="F1429">
        <f t="shared" si="45"/>
        <v>0</v>
      </c>
    </row>
    <row r="1430" spans="1:6" x14ac:dyDescent="0.35">
      <c r="A1430" s="5">
        <v>3508755</v>
      </c>
      <c r="B1430" s="6">
        <v>42937</v>
      </c>
      <c r="C1430" s="7">
        <v>0.37569444444444444</v>
      </c>
      <c r="D1430" s="8">
        <v>0.38611111111111113</v>
      </c>
      <c r="E1430">
        <f t="shared" si="44"/>
        <v>1</v>
      </c>
      <c r="F1430">
        <f t="shared" si="45"/>
        <v>0</v>
      </c>
    </row>
    <row r="1431" spans="1:6" x14ac:dyDescent="0.35">
      <c r="A1431" s="9">
        <v>14783929</v>
      </c>
      <c r="B1431" s="10">
        <v>42937</v>
      </c>
      <c r="C1431" s="11">
        <v>0.37891203703703702</v>
      </c>
      <c r="D1431" s="12">
        <v>0.38443287037037038</v>
      </c>
      <c r="E1431">
        <f t="shared" si="44"/>
        <v>0</v>
      </c>
      <c r="F1431">
        <f t="shared" si="45"/>
        <v>1</v>
      </c>
    </row>
    <row r="1432" spans="1:6" x14ac:dyDescent="0.35">
      <c r="A1432" s="5">
        <v>1409543</v>
      </c>
      <c r="B1432" s="6">
        <v>42937</v>
      </c>
      <c r="C1432" s="7">
        <v>0.38086805555555553</v>
      </c>
      <c r="D1432" s="8">
        <v>0.38918981481481479</v>
      </c>
      <c r="E1432">
        <f t="shared" si="44"/>
        <v>1</v>
      </c>
      <c r="F1432">
        <f t="shared" si="45"/>
        <v>0</v>
      </c>
    </row>
    <row r="1433" spans="1:6" x14ac:dyDescent="0.35">
      <c r="A1433" s="9">
        <v>6891636</v>
      </c>
      <c r="B1433" s="10">
        <v>42937</v>
      </c>
      <c r="C1433" s="11">
        <v>0.38633101851851853</v>
      </c>
      <c r="D1433" s="12">
        <v>0.38923611111111112</v>
      </c>
      <c r="E1433">
        <f t="shared" si="44"/>
        <v>1</v>
      </c>
      <c r="F1433">
        <f t="shared" si="45"/>
        <v>0</v>
      </c>
    </row>
    <row r="1434" spans="1:6" x14ac:dyDescent="0.35">
      <c r="A1434" s="5">
        <v>8541151</v>
      </c>
      <c r="B1434" s="6">
        <v>42937</v>
      </c>
      <c r="C1434" s="7">
        <v>0.38848379629629631</v>
      </c>
      <c r="D1434" s="8">
        <v>0.39874999999999999</v>
      </c>
      <c r="E1434">
        <f t="shared" si="44"/>
        <v>1</v>
      </c>
      <c r="F1434">
        <f t="shared" si="45"/>
        <v>0</v>
      </c>
    </row>
    <row r="1435" spans="1:6" x14ac:dyDescent="0.35">
      <c r="A1435" s="9">
        <v>8322802</v>
      </c>
      <c r="B1435" s="10">
        <v>42937</v>
      </c>
      <c r="C1435" s="11">
        <v>0.39089120370370373</v>
      </c>
      <c r="D1435" s="12">
        <v>0.39620370370370372</v>
      </c>
      <c r="E1435">
        <f t="shared" si="44"/>
        <v>1</v>
      </c>
      <c r="F1435">
        <f t="shared" si="45"/>
        <v>0</v>
      </c>
    </row>
    <row r="1436" spans="1:6" x14ac:dyDescent="0.35">
      <c r="A1436" s="5">
        <v>30678431</v>
      </c>
      <c r="B1436" s="6">
        <v>42937</v>
      </c>
      <c r="C1436" s="7">
        <v>0.39469907407407406</v>
      </c>
      <c r="D1436" s="8">
        <v>0.40141203703703704</v>
      </c>
      <c r="E1436">
        <f t="shared" si="44"/>
        <v>0</v>
      </c>
      <c r="F1436">
        <f t="shared" si="45"/>
        <v>1</v>
      </c>
    </row>
    <row r="1437" spans="1:6" x14ac:dyDescent="0.35">
      <c r="A1437" s="9">
        <v>41837828</v>
      </c>
      <c r="B1437" s="10">
        <v>42937</v>
      </c>
      <c r="C1437" s="11">
        <v>0.39953703703703702</v>
      </c>
      <c r="D1437" s="12">
        <v>0.40038194444444447</v>
      </c>
      <c r="E1437">
        <f t="shared" si="44"/>
        <v>0</v>
      </c>
      <c r="F1437">
        <f t="shared" si="45"/>
        <v>1</v>
      </c>
    </row>
    <row r="1438" spans="1:6" x14ac:dyDescent="0.35">
      <c r="A1438" s="5">
        <v>13639748</v>
      </c>
      <c r="B1438" s="6">
        <v>42937</v>
      </c>
      <c r="C1438" s="7">
        <v>0.40379629629629632</v>
      </c>
      <c r="D1438" s="8">
        <v>0.40822916666666664</v>
      </c>
      <c r="E1438">
        <f t="shared" si="44"/>
        <v>0</v>
      </c>
      <c r="F1438">
        <f t="shared" si="45"/>
        <v>1</v>
      </c>
    </row>
    <row r="1439" spans="1:6" x14ac:dyDescent="0.35">
      <c r="A1439" s="9">
        <v>8972366</v>
      </c>
      <c r="B1439" s="10">
        <v>42937</v>
      </c>
      <c r="C1439" s="11">
        <v>0.40462962962962962</v>
      </c>
      <c r="D1439" s="12">
        <v>0.40875</v>
      </c>
      <c r="E1439">
        <f t="shared" si="44"/>
        <v>1</v>
      </c>
      <c r="F1439">
        <f t="shared" si="45"/>
        <v>0</v>
      </c>
    </row>
    <row r="1440" spans="1:6" x14ac:dyDescent="0.35">
      <c r="A1440" s="5">
        <v>5233531</v>
      </c>
      <c r="B1440" s="6">
        <v>42937</v>
      </c>
      <c r="C1440" s="7">
        <v>0.40465277777777775</v>
      </c>
      <c r="D1440" s="8">
        <v>0.40887731481481482</v>
      </c>
      <c r="E1440">
        <f t="shared" si="44"/>
        <v>1</v>
      </c>
      <c r="F1440">
        <f t="shared" si="45"/>
        <v>0</v>
      </c>
    </row>
    <row r="1441" spans="1:6" x14ac:dyDescent="0.35">
      <c r="A1441" s="9">
        <v>3691176</v>
      </c>
      <c r="B1441" s="10">
        <v>42937</v>
      </c>
      <c r="C1441" s="11">
        <v>0.40505787037037039</v>
      </c>
      <c r="D1441" s="12">
        <v>0.40561342592592592</v>
      </c>
      <c r="E1441">
        <f t="shared" si="44"/>
        <v>1</v>
      </c>
      <c r="F1441">
        <f t="shared" si="45"/>
        <v>0</v>
      </c>
    </row>
    <row r="1442" spans="1:6" x14ac:dyDescent="0.35">
      <c r="A1442" s="5">
        <v>66377806</v>
      </c>
      <c r="B1442" s="6">
        <v>42937</v>
      </c>
      <c r="C1442" s="7">
        <v>0.40694444444444444</v>
      </c>
      <c r="D1442" s="8">
        <v>0.40991898148148148</v>
      </c>
      <c r="E1442">
        <f t="shared" si="44"/>
        <v>0</v>
      </c>
      <c r="F1442">
        <f t="shared" si="45"/>
        <v>1</v>
      </c>
    </row>
    <row r="1443" spans="1:6" x14ac:dyDescent="0.35">
      <c r="A1443" s="9">
        <v>6357818</v>
      </c>
      <c r="B1443" s="10">
        <v>42937</v>
      </c>
      <c r="C1443" s="11">
        <v>0.41228009259259257</v>
      </c>
      <c r="D1443" s="12">
        <v>0.41648148148148151</v>
      </c>
      <c r="E1443">
        <f t="shared" si="44"/>
        <v>1</v>
      </c>
      <c r="F1443">
        <f t="shared" si="45"/>
        <v>0</v>
      </c>
    </row>
    <row r="1444" spans="1:6" x14ac:dyDescent="0.35">
      <c r="A1444" s="5">
        <v>7123731</v>
      </c>
      <c r="B1444" s="6">
        <v>42937</v>
      </c>
      <c r="C1444" s="7">
        <v>0.41494212962962962</v>
      </c>
      <c r="D1444" s="8">
        <v>0.41641203703703705</v>
      </c>
      <c r="E1444">
        <f t="shared" si="44"/>
        <v>1</v>
      </c>
      <c r="F1444">
        <f t="shared" si="45"/>
        <v>0</v>
      </c>
    </row>
    <row r="1445" spans="1:6" x14ac:dyDescent="0.35">
      <c r="A1445" s="9">
        <v>91907883</v>
      </c>
      <c r="B1445" s="10">
        <v>42937</v>
      </c>
      <c r="C1445" s="11">
        <v>0.42054398148148148</v>
      </c>
      <c r="D1445" s="12">
        <v>0.42721064814814813</v>
      </c>
      <c r="E1445">
        <f t="shared" si="44"/>
        <v>0</v>
      </c>
      <c r="F1445">
        <f t="shared" si="45"/>
        <v>1</v>
      </c>
    </row>
    <row r="1446" spans="1:6" x14ac:dyDescent="0.35">
      <c r="A1446" s="5">
        <v>69734527</v>
      </c>
      <c r="B1446" s="6">
        <v>42937</v>
      </c>
      <c r="C1446" s="7">
        <v>0.42084490740740743</v>
      </c>
      <c r="D1446" s="8">
        <v>0.43167824074074074</v>
      </c>
      <c r="E1446">
        <f t="shared" si="44"/>
        <v>0</v>
      </c>
      <c r="F1446">
        <f t="shared" si="45"/>
        <v>1</v>
      </c>
    </row>
    <row r="1447" spans="1:6" x14ac:dyDescent="0.35">
      <c r="A1447" s="9">
        <v>7536096</v>
      </c>
      <c r="B1447" s="10">
        <v>42937</v>
      </c>
      <c r="C1447" s="11">
        <v>0.42357638888888888</v>
      </c>
      <c r="D1447" s="12">
        <v>0.4322685185185185</v>
      </c>
      <c r="E1447">
        <f t="shared" si="44"/>
        <v>1</v>
      </c>
      <c r="F1447">
        <f t="shared" si="45"/>
        <v>0</v>
      </c>
    </row>
    <row r="1448" spans="1:6" x14ac:dyDescent="0.35">
      <c r="A1448" s="5">
        <v>60158843</v>
      </c>
      <c r="B1448" s="6">
        <v>42937</v>
      </c>
      <c r="C1448" s="7">
        <v>0.42814814814814817</v>
      </c>
      <c r="D1448" s="8">
        <v>0.43784722222222222</v>
      </c>
      <c r="E1448">
        <f t="shared" si="44"/>
        <v>0</v>
      </c>
      <c r="F1448">
        <f t="shared" si="45"/>
        <v>1</v>
      </c>
    </row>
    <row r="1449" spans="1:6" x14ac:dyDescent="0.35">
      <c r="A1449" s="9">
        <v>6942059</v>
      </c>
      <c r="B1449" s="10">
        <v>42937</v>
      </c>
      <c r="C1449" s="11">
        <v>0.43002314814814813</v>
      </c>
      <c r="D1449" s="12">
        <v>0.43030092592592595</v>
      </c>
      <c r="E1449">
        <f t="shared" si="44"/>
        <v>1</v>
      </c>
      <c r="F1449">
        <f t="shared" si="45"/>
        <v>0</v>
      </c>
    </row>
    <row r="1450" spans="1:6" x14ac:dyDescent="0.35">
      <c r="A1450" s="5">
        <v>28282891</v>
      </c>
      <c r="B1450" s="6">
        <v>42937</v>
      </c>
      <c r="C1450" s="7">
        <v>0.4307523148148148</v>
      </c>
      <c r="D1450" s="8">
        <v>0.4412847222222222</v>
      </c>
      <c r="E1450">
        <f t="shared" si="44"/>
        <v>0</v>
      </c>
      <c r="F1450">
        <f t="shared" si="45"/>
        <v>1</v>
      </c>
    </row>
    <row r="1451" spans="1:6" x14ac:dyDescent="0.35">
      <c r="A1451" s="9">
        <v>1617146</v>
      </c>
      <c r="B1451" s="10">
        <v>42937</v>
      </c>
      <c r="C1451" s="11">
        <v>0.43400462962962966</v>
      </c>
      <c r="D1451" s="12">
        <v>0.44041666666666668</v>
      </c>
      <c r="E1451">
        <f t="shared" si="44"/>
        <v>1</v>
      </c>
      <c r="F1451">
        <f t="shared" si="45"/>
        <v>0</v>
      </c>
    </row>
    <row r="1452" spans="1:6" x14ac:dyDescent="0.35">
      <c r="A1452" s="5">
        <v>2186880</v>
      </c>
      <c r="B1452" s="6">
        <v>42937</v>
      </c>
      <c r="C1452" s="7">
        <v>0.43582175925925926</v>
      </c>
      <c r="D1452" s="8">
        <v>0.44550925925925927</v>
      </c>
      <c r="E1452">
        <f t="shared" si="44"/>
        <v>1</v>
      </c>
      <c r="F1452">
        <f t="shared" si="45"/>
        <v>0</v>
      </c>
    </row>
    <row r="1453" spans="1:6" x14ac:dyDescent="0.35">
      <c r="A1453" s="9">
        <v>92461001</v>
      </c>
      <c r="B1453" s="10">
        <v>42937</v>
      </c>
      <c r="C1453" s="11">
        <v>0.43730324074074073</v>
      </c>
      <c r="D1453" s="12">
        <v>0.44869212962962962</v>
      </c>
      <c r="E1453">
        <f t="shared" si="44"/>
        <v>0</v>
      </c>
      <c r="F1453">
        <f t="shared" si="45"/>
        <v>1</v>
      </c>
    </row>
    <row r="1454" spans="1:6" x14ac:dyDescent="0.35">
      <c r="A1454" s="5">
        <v>4657345</v>
      </c>
      <c r="B1454" s="6">
        <v>42937</v>
      </c>
      <c r="C1454" s="7">
        <v>0.44291666666666668</v>
      </c>
      <c r="D1454" s="8">
        <v>0.45256944444444447</v>
      </c>
      <c r="E1454">
        <f t="shared" si="44"/>
        <v>1</v>
      </c>
      <c r="F1454">
        <f t="shared" si="45"/>
        <v>0</v>
      </c>
    </row>
    <row r="1455" spans="1:6" x14ac:dyDescent="0.35">
      <c r="A1455" s="9">
        <v>16775888</v>
      </c>
      <c r="B1455" s="10">
        <v>42937</v>
      </c>
      <c r="C1455" s="11">
        <v>0.4478240740740741</v>
      </c>
      <c r="D1455" s="12">
        <v>0.45548611111111109</v>
      </c>
      <c r="E1455">
        <f t="shared" si="44"/>
        <v>0</v>
      </c>
      <c r="F1455">
        <f t="shared" si="45"/>
        <v>1</v>
      </c>
    </row>
    <row r="1456" spans="1:6" x14ac:dyDescent="0.35">
      <c r="A1456" s="5">
        <v>97953696</v>
      </c>
      <c r="B1456" s="6">
        <v>42937</v>
      </c>
      <c r="C1456" s="7">
        <v>0.45187500000000003</v>
      </c>
      <c r="D1456" s="8">
        <v>0.45925925925925926</v>
      </c>
      <c r="E1456">
        <f t="shared" si="44"/>
        <v>0</v>
      </c>
      <c r="F1456">
        <f t="shared" si="45"/>
        <v>1</v>
      </c>
    </row>
    <row r="1457" spans="1:6" x14ac:dyDescent="0.35">
      <c r="A1457" s="9">
        <v>1166111</v>
      </c>
      <c r="B1457" s="10">
        <v>42937</v>
      </c>
      <c r="C1457" s="11">
        <v>0.45458333333333334</v>
      </c>
      <c r="D1457" s="12">
        <v>0.46295138888888887</v>
      </c>
      <c r="E1457">
        <f t="shared" si="44"/>
        <v>1</v>
      </c>
      <c r="F1457">
        <f t="shared" si="45"/>
        <v>0</v>
      </c>
    </row>
    <row r="1458" spans="1:6" x14ac:dyDescent="0.35">
      <c r="A1458" s="5">
        <v>91907883</v>
      </c>
      <c r="B1458" s="6">
        <v>42937</v>
      </c>
      <c r="C1458" s="7">
        <v>0.45689814814814816</v>
      </c>
      <c r="D1458" s="8">
        <v>0.4574537037037037</v>
      </c>
      <c r="E1458">
        <f t="shared" si="44"/>
        <v>0</v>
      </c>
      <c r="F1458">
        <f t="shared" si="45"/>
        <v>1</v>
      </c>
    </row>
    <row r="1459" spans="1:6" x14ac:dyDescent="0.35">
      <c r="A1459" s="9">
        <v>9225043</v>
      </c>
      <c r="B1459" s="10">
        <v>42937</v>
      </c>
      <c r="C1459" s="11">
        <v>0.4612384259259259</v>
      </c>
      <c r="D1459" s="12">
        <v>0.46285879629629628</v>
      </c>
      <c r="E1459">
        <f t="shared" si="44"/>
        <v>1</v>
      </c>
      <c r="F1459">
        <f t="shared" si="45"/>
        <v>0</v>
      </c>
    </row>
    <row r="1460" spans="1:6" x14ac:dyDescent="0.35">
      <c r="A1460" s="5">
        <v>6408952</v>
      </c>
      <c r="B1460" s="6">
        <v>42937</v>
      </c>
      <c r="C1460" s="7">
        <v>0.46553240740740742</v>
      </c>
      <c r="D1460" s="8">
        <v>0.47234953703703703</v>
      </c>
      <c r="E1460">
        <f t="shared" si="44"/>
        <v>1</v>
      </c>
      <c r="F1460">
        <f t="shared" si="45"/>
        <v>0</v>
      </c>
    </row>
    <row r="1461" spans="1:6" x14ac:dyDescent="0.35">
      <c r="A1461" s="9">
        <v>81010250</v>
      </c>
      <c r="B1461" s="10">
        <v>42937</v>
      </c>
      <c r="C1461" s="11">
        <v>0.47075231481481483</v>
      </c>
      <c r="D1461" s="12">
        <v>0.47239583333333335</v>
      </c>
      <c r="E1461">
        <f t="shared" si="44"/>
        <v>0</v>
      </c>
      <c r="F1461">
        <f t="shared" si="45"/>
        <v>1</v>
      </c>
    </row>
    <row r="1462" spans="1:6" x14ac:dyDescent="0.35">
      <c r="A1462" s="5">
        <v>8596442</v>
      </c>
      <c r="B1462" s="6">
        <v>42937</v>
      </c>
      <c r="C1462" s="7">
        <v>0.47105324074074073</v>
      </c>
      <c r="D1462" s="8">
        <v>0.48011574074074076</v>
      </c>
      <c r="E1462">
        <f t="shared" si="44"/>
        <v>1</v>
      </c>
      <c r="F1462">
        <f t="shared" si="45"/>
        <v>0</v>
      </c>
    </row>
    <row r="1463" spans="1:6" x14ac:dyDescent="0.35">
      <c r="A1463" s="9">
        <v>79890857</v>
      </c>
      <c r="B1463" s="10">
        <v>42937</v>
      </c>
      <c r="C1463" s="11">
        <v>0.47285879629629629</v>
      </c>
      <c r="D1463" s="12">
        <v>0.47846064814814815</v>
      </c>
      <c r="E1463">
        <f t="shared" si="44"/>
        <v>0</v>
      </c>
      <c r="F1463">
        <f t="shared" si="45"/>
        <v>1</v>
      </c>
    </row>
    <row r="1464" spans="1:6" x14ac:dyDescent="0.35">
      <c r="A1464" s="5">
        <v>3804078</v>
      </c>
      <c r="B1464" s="6">
        <v>42937</v>
      </c>
      <c r="C1464" s="7">
        <v>0.4729976851851852</v>
      </c>
      <c r="D1464" s="8">
        <v>0.48243055555555553</v>
      </c>
      <c r="E1464">
        <f t="shared" si="44"/>
        <v>1</v>
      </c>
      <c r="F1464">
        <f t="shared" si="45"/>
        <v>0</v>
      </c>
    </row>
    <row r="1465" spans="1:6" x14ac:dyDescent="0.35">
      <c r="A1465" s="9">
        <v>6312012</v>
      </c>
      <c r="B1465" s="10">
        <v>42937</v>
      </c>
      <c r="C1465" s="11">
        <v>0.47697916666666668</v>
      </c>
      <c r="D1465" s="12">
        <v>0.48678240740740741</v>
      </c>
      <c r="E1465">
        <f t="shared" si="44"/>
        <v>1</v>
      </c>
      <c r="F1465">
        <f t="shared" si="45"/>
        <v>0</v>
      </c>
    </row>
    <row r="1466" spans="1:6" x14ac:dyDescent="0.35">
      <c r="A1466" s="5">
        <v>7322741</v>
      </c>
      <c r="B1466" s="6">
        <v>42937</v>
      </c>
      <c r="C1466" s="7">
        <v>0.47833333333333333</v>
      </c>
      <c r="D1466" s="8">
        <v>0.48989583333333331</v>
      </c>
      <c r="E1466">
        <f t="shared" si="44"/>
        <v>1</v>
      </c>
      <c r="F1466">
        <f t="shared" si="45"/>
        <v>0</v>
      </c>
    </row>
    <row r="1467" spans="1:6" x14ac:dyDescent="0.35">
      <c r="A1467" s="9">
        <v>2354992</v>
      </c>
      <c r="B1467" s="10">
        <v>42937</v>
      </c>
      <c r="C1467" s="11">
        <v>0.4828587962962963</v>
      </c>
      <c r="D1467" s="12">
        <v>0.48295138888888889</v>
      </c>
      <c r="E1467">
        <f t="shared" si="44"/>
        <v>1</v>
      </c>
      <c r="F1467">
        <f t="shared" si="45"/>
        <v>0</v>
      </c>
    </row>
    <row r="1468" spans="1:6" x14ac:dyDescent="0.35">
      <c r="A1468" s="5">
        <v>1766133</v>
      </c>
      <c r="B1468" s="6">
        <v>42937</v>
      </c>
      <c r="C1468" s="7">
        <v>0.48439814814814813</v>
      </c>
      <c r="D1468" s="8">
        <v>0.4878587962962963</v>
      </c>
      <c r="E1468">
        <f t="shared" si="44"/>
        <v>1</v>
      </c>
      <c r="F1468">
        <f t="shared" si="45"/>
        <v>0</v>
      </c>
    </row>
    <row r="1469" spans="1:6" x14ac:dyDescent="0.35">
      <c r="A1469" s="9">
        <v>2922327</v>
      </c>
      <c r="B1469" s="10">
        <v>42937</v>
      </c>
      <c r="C1469" s="11">
        <v>0.48690972222222223</v>
      </c>
      <c r="D1469" s="12">
        <v>0.49665509259259261</v>
      </c>
      <c r="E1469">
        <f t="shared" si="44"/>
        <v>1</v>
      </c>
      <c r="F1469">
        <f t="shared" si="45"/>
        <v>0</v>
      </c>
    </row>
    <row r="1470" spans="1:6" x14ac:dyDescent="0.35">
      <c r="A1470" s="5">
        <v>8679036</v>
      </c>
      <c r="B1470" s="6">
        <v>42937</v>
      </c>
      <c r="C1470" s="7">
        <v>0.4924189814814815</v>
      </c>
      <c r="D1470" s="8">
        <v>0.49381944444444442</v>
      </c>
      <c r="E1470">
        <f t="shared" si="44"/>
        <v>1</v>
      </c>
      <c r="F1470">
        <f t="shared" si="45"/>
        <v>0</v>
      </c>
    </row>
    <row r="1471" spans="1:6" x14ac:dyDescent="0.35">
      <c r="A1471" s="9">
        <v>1469705</v>
      </c>
      <c r="B1471" s="10">
        <v>42937</v>
      </c>
      <c r="C1471" s="11">
        <v>0.49327546296296299</v>
      </c>
      <c r="D1471" s="12">
        <v>0.50351851851851848</v>
      </c>
      <c r="E1471">
        <f t="shared" si="44"/>
        <v>1</v>
      </c>
      <c r="F1471">
        <f t="shared" si="45"/>
        <v>0</v>
      </c>
    </row>
    <row r="1472" spans="1:6" x14ac:dyDescent="0.35">
      <c r="A1472" s="5">
        <v>8079505</v>
      </c>
      <c r="B1472" s="6">
        <v>42937</v>
      </c>
      <c r="C1472" s="7">
        <v>0.49811342592592595</v>
      </c>
      <c r="D1472" s="8">
        <v>0.5065277777777778</v>
      </c>
      <c r="E1472">
        <f t="shared" si="44"/>
        <v>1</v>
      </c>
      <c r="F1472">
        <f t="shared" si="45"/>
        <v>0</v>
      </c>
    </row>
    <row r="1473" spans="1:6" x14ac:dyDescent="0.35">
      <c r="A1473" s="9">
        <v>4661635</v>
      </c>
      <c r="B1473" s="10">
        <v>42937</v>
      </c>
      <c r="C1473" s="11">
        <v>0.50016203703703699</v>
      </c>
      <c r="D1473" s="12">
        <v>0.50506944444444446</v>
      </c>
      <c r="E1473">
        <f t="shared" si="44"/>
        <v>1</v>
      </c>
      <c r="F1473">
        <f t="shared" si="45"/>
        <v>0</v>
      </c>
    </row>
    <row r="1474" spans="1:6" x14ac:dyDescent="0.35">
      <c r="A1474" s="5">
        <v>4497624</v>
      </c>
      <c r="B1474" s="6">
        <v>42937</v>
      </c>
      <c r="C1474" s="7">
        <v>0.50284722222222222</v>
      </c>
      <c r="D1474" s="8">
        <v>0.51432870370370365</v>
      </c>
      <c r="E1474">
        <f t="shared" si="44"/>
        <v>1</v>
      </c>
      <c r="F1474">
        <f t="shared" si="45"/>
        <v>0</v>
      </c>
    </row>
    <row r="1475" spans="1:6" x14ac:dyDescent="0.35">
      <c r="A1475" s="9">
        <v>52468382</v>
      </c>
      <c r="B1475" s="10">
        <v>42937</v>
      </c>
      <c r="C1475" s="11">
        <v>0.50840277777777776</v>
      </c>
      <c r="D1475" s="12">
        <v>0.50968749999999996</v>
      </c>
      <c r="E1475">
        <f t="shared" ref="E1475:E1538" si="46">IF(LEN(A1475)=7,1,0)</f>
        <v>0</v>
      </c>
      <c r="F1475">
        <f t="shared" ref="F1475:F1538" si="47">IF(LEN(A1475)=8,1,0)</f>
        <v>1</v>
      </c>
    </row>
    <row r="1476" spans="1:6" x14ac:dyDescent="0.35">
      <c r="A1476" s="5">
        <v>5687077</v>
      </c>
      <c r="B1476" s="6">
        <v>42937</v>
      </c>
      <c r="C1476" s="7">
        <v>0.51200231481481484</v>
      </c>
      <c r="D1476" s="8">
        <v>0.52253472222222219</v>
      </c>
      <c r="E1476">
        <f t="shared" si="46"/>
        <v>1</v>
      </c>
      <c r="F1476">
        <f t="shared" si="47"/>
        <v>0</v>
      </c>
    </row>
    <row r="1477" spans="1:6" x14ac:dyDescent="0.35">
      <c r="A1477" s="9">
        <v>3914070</v>
      </c>
      <c r="B1477" s="10">
        <v>42937</v>
      </c>
      <c r="C1477" s="11">
        <v>0.51249999999999996</v>
      </c>
      <c r="D1477" s="12">
        <v>0.51405092592592594</v>
      </c>
      <c r="E1477">
        <f t="shared" si="46"/>
        <v>1</v>
      </c>
      <c r="F1477">
        <f t="shared" si="47"/>
        <v>0</v>
      </c>
    </row>
    <row r="1478" spans="1:6" x14ac:dyDescent="0.35">
      <c r="A1478" s="5">
        <v>84684423</v>
      </c>
      <c r="B1478" s="6">
        <v>42937</v>
      </c>
      <c r="C1478" s="7">
        <v>0.51520833333333338</v>
      </c>
      <c r="D1478" s="8">
        <v>0.51918981481481485</v>
      </c>
      <c r="E1478">
        <f t="shared" si="46"/>
        <v>0</v>
      </c>
      <c r="F1478">
        <f t="shared" si="47"/>
        <v>1</v>
      </c>
    </row>
    <row r="1479" spans="1:6" x14ac:dyDescent="0.35">
      <c r="A1479" s="9">
        <v>6493406</v>
      </c>
      <c r="B1479" s="10">
        <v>42937</v>
      </c>
      <c r="C1479" s="11">
        <v>0.51936342592592588</v>
      </c>
      <c r="D1479" s="12">
        <v>0.52559027777777778</v>
      </c>
      <c r="E1479">
        <f t="shared" si="46"/>
        <v>1</v>
      </c>
      <c r="F1479">
        <f t="shared" si="47"/>
        <v>0</v>
      </c>
    </row>
    <row r="1480" spans="1:6" x14ac:dyDescent="0.35">
      <c r="A1480" s="5">
        <v>1563816</v>
      </c>
      <c r="B1480" s="6">
        <v>42937</v>
      </c>
      <c r="C1480" s="7">
        <v>0.52243055555555551</v>
      </c>
      <c r="D1480" s="8">
        <v>0.52681712962962968</v>
      </c>
      <c r="E1480">
        <f t="shared" si="46"/>
        <v>1</v>
      </c>
      <c r="F1480">
        <f t="shared" si="47"/>
        <v>0</v>
      </c>
    </row>
    <row r="1481" spans="1:6" x14ac:dyDescent="0.35">
      <c r="A1481" s="9">
        <v>7779935</v>
      </c>
      <c r="B1481" s="10">
        <v>42937</v>
      </c>
      <c r="C1481" s="11">
        <v>0.52469907407407412</v>
      </c>
      <c r="D1481" s="12">
        <v>0.53218750000000004</v>
      </c>
      <c r="E1481">
        <f t="shared" si="46"/>
        <v>1</v>
      </c>
      <c r="F1481">
        <f t="shared" si="47"/>
        <v>0</v>
      </c>
    </row>
    <row r="1482" spans="1:6" x14ac:dyDescent="0.35">
      <c r="A1482" s="5">
        <v>4429479</v>
      </c>
      <c r="B1482" s="6">
        <v>42937</v>
      </c>
      <c r="C1482" s="7">
        <v>0.52749999999999997</v>
      </c>
      <c r="D1482" s="8">
        <v>0.53034722222222219</v>
      </c>
      <c r="E1482">
        <f t="shared" si="46"/>
        <v>1</v>
      </c>
      <c r="F1482">
        <f t="shared" si="47"/>
        <v>0</v>
      </c>
    </row>
    <row r="1483" spans="1:6" x14ac:dyDescent="0.35">
      <c r="A1483" s="9">
        <v>2963652</v>
      </c>
      <c r="B1483" s="10">
        <v>42937</v>
      </c>
      <c r="C1483" s="11">
        <v>0.53240740740740744</v>
      </c>
      <c r="D1483" s="12">
        <v>0.53785879629629629</v>
      </c>
      <c r="E1483">
        <f t="shared" si="46"/>
        <v>1</v>
      </c>
      <c r="F1483">
        <f t="shared" si="47"/>
        <v>0</v>
      </c>
    </row>
    <row r="1484" spans="1:6" x14ac:dyDescent="0.35">
      <c r="A1484" s="5">
        <v>91032395</v>
      </c>
      <c r="B1484" s="6">
        <v>42937</v>
      </c>
      <c r="C1484" s="7">
        <v>0.53811342592592593</v>
      </c>
      <c r="D1484" s="8">
        <v>0.54365740740740742</v>
      </c>
      <c r="E1484">
        <f t="shared" si="46"/>
        <v>0</v>
      </c>
      <c r="F1484">
        <f t="shared" si="47"/>
        <v>1</v>
      </c>
    </row>
    <row r="1485" spans="1:6" x14ac:dyDescent="0.35">
      <c r="A1485" s="9">
        <v>6999348</v>
      </c>
      <c r="B1485" s="10">
        <v>42937</v>
      </c>
      <c r="C1485" s="11">
        <v>0.53831018518518514</v>
      </c>
      <c r="D1485" s="12">
        <v>0.53998842592592589</v>
      </c>
      <c r="E1485">
        <f t="shared" si="46"/>
        <v>1</v>
      </c>
      <c r="F1485">
        <f t="shared" si="47"/>
        <v>0</v>
      </c>
    </row>
    <row r="1486" spans="1:6" x14ac:dyDescent="0.35">
      <c r="A1486" s="5">
        <v>4424322</v>
      </c>
      <c r="B1486" s="6">
        <v>42937</v>
      </c>
      <c r="C1486" s="7">
        <v>0.54233796296296299</v>
      </c>
      <c r="D1486" s="8">
        <v>0.55148148148148146</v>
      </c>
      <c r="E1486">
        <f t="shared" si="46"/>
        <v>1</v>
      </c>
      <c r="F1486">
        <f t="shared" si="47"/>
        <v>0</v>
      </c>
    </row>
    <row r="1487" spans="1:6" x14ac:dyDescent="0.35">
      <c r="A1487" s="9">
        <v>9500083</v>
      </c>
      <c r="B1487" s="10">
        <v>42937</v>
      </c>
      <c r="C1487" s="11">
        <v>0.54631944444444447</v>
      </c>
      <c r="D1487" s="12">
        <v>0.55652777777777773</v>
      </c>
      <c r="E1487">
        <f t="shared" si="46"/>
        <v>1</v>
      </c>
      <c r="F1487">
        <f t="shared" si="47"/>
        <v>0</v>
      </c>
    </row>
    <row r="1488" spans="1:6" x14ac:dyDescent="0.35">
      <c r="A1488" s="5">
        <v>2912297</v>
      </c>
      <c r="B1488" s="6">
        <v>42937</v>
      </c>
      <c r="C1488" s="7">
        <v>0.54761574074074071</v>
      </c>
      <c r="D1488" s="8">
        <v>0.55443287037037037</v>
      </c>
      <c r="E1488">
        <f t="shared" si="46"/>
        <v>1</v>
      </c>
      <c r="F1488">
        <f t="shared" si="47"/>
        <v>0</v>
      </c>
    </row>
    <row r="1489" spans="1:6" x14ac:dyDescent="0.35">
      <c r="A1489" s="9">
        <v>4303945</v>
      </c>
      <c r="B1489" s="10">
        <v>42937</v>
      </c>
      <c r="C1489" s="11">
        <v>0.54953703703703705</v>
      </c>
      <c r="D1489" s="12">
        <v>0.55783564814814812</v>
      </c>
      <c r="E1489">
        <f t="shared" si="46"/>
        <v>1</v>
      </c>
      <c r="F1489">
        <f t="shared" si="47"/>
        <v>0</v>
      </c>
    </row>
    <row r="1490" spans="1:6" x14ac:dyDescent="0.35">
      <c r="A1490" s="5">
        <v>3264546470</v>
      </c>
      <c r="B1490" s="6">
        <v>42937</v>
      </c>
      <c r="C1490" s="7">
        <v>0.55311342592592594</v>
      </c>
      <c r="D1490" s="8">
        <v>0.55469907407407404</v>
      </c>
      <c r="E1490">
        <f t="shared" si="46"/>
        <v>0</v>
      </c>
      <c r="F1490">
        <f t="shared" si="47"/>
        <v>0</v>
      </c>
    </row>
    <row r="1491" spans="1:6" x14ac:dyDescent="0.35">
      <c r="A1491" s="9">
        <v>7275091</v>
      </c>
      <c r="B1491" s="10">
        <v>42937</v>
      </c>
      <c r="C1491" s="11">
        <v>0.55652777777777773</v>
      </c>
      <c r="D1491" s="12">
        <v>0.56657407407407412</v>
      </c>
      <c r="E1491">
        <f t="shared" si="46"/>
        <v>1</v>
      </c>
      <c r="F1491">
        <f t="shared" si="47"/>
        <v>0</v>
      </c>
    </row>
    <row r="1492" spans="1:6" x14ac:dyDescent="0.35">
      <c r="A1492" s="5">
        <v>9021766</v>
      </c>
      <c r="B1492" s="6">
        <v>42937</v>
      </c>
      <c r="C1492" s="7">
        <v>0.5575</v>
      </c>
      <c r="D1492" s="8">
        <v>0.56418981481481478</v>
      </c>
      <c r="E1492">
        <f t="shared" si="46"/>
        <v>1</v>
      </c>
      <c r="F1492">
        <f t="shared" si="47"/>
        <v>0</v>
      </c>
    </row>
    <row r="1493" spans="1:6" x14ac:dyDescent="0.35">
      <c r="A1493" s="9">
        <v>1500342</v>
      </c>
      <c r="B1493" s="10">
        <v>42937</v>
      </c>
      <c r="C1493" s="11">
        <v>0.56297453703703704</v>
      </c>
      <c r="D1493" s="12">
        <v>0.56752314814814819</v>
      </c>
      <c r="E1493">
        <f t="shared" si="46"/>
        <v>1</v>
      </c>
      <c r="F1493">
        <f t="shared" si="47"/>
        <v>0</v>
      </c>
    </row>
    <row r="1494" spans="1:6" x14ac:dyDescent="0.35">
      <c r="A1494" s="5">
        <v>7295667</v>
      </c>
      <c r="B1494" s="6">
        <v>42937</v>
      </c>
      <c r="C1494" s="7">
        <v>0.56578703703703703</v>
      </c>
      <c r="D1494" s="8">
        <v>0.57518518518518513</v>
      </c>
      <c r="E1494">
        <f t="shared" si="46"/>
        <v>1</v>
      </c>
      <c r="F1494">
        <f t="shared" si="47"/>
        <v>0</v>
      </c>
    </row>
    <row r="1495" spans="1:6" x14ac:dyDescent="0.35">
      <c r="A1495" s="9">
        <v>5512237</v>
      </c>
      <c r="B1495" s="10">
        <v>42937</v>
      </c>
      <c r="C1495" s="11">
        <v>0.5713773148148148</v>
      </c>
      <c r="D1495" s="12">
        <v>0.58107638888888891</v>
      </c>
      <c r="E1495">
        <f t="shared" si="46"/>
        <v>1</v>
      </c>
      <c r="F1495">
        <f t="shared" si="47"/>
        <v>0</v>
      </c>
    </row>
    <row r="1496" spans="1:6" x14ac:dyDescent="0.35">
      <c r="A1496" s="5">
        <v>22266436</v>
      </c>
      <c r="B1496" s="6">
        <v>42937</v>
      </c>
      <c r="C1496" s="7">
        <v>0.57549768518518518</v>
      </c>
      <c r="D1496" s="8">
        <v>0.57925925925925925</v>
      </c>
      <c r="E1496">
        <f t="shared" si="46"/>
        <v>0</v>
      </c>
      <c r="F1496">
        <f t="shared" si="47"/>
        <v>1</v>
      </c>
    </row>
    <row r="1497" spans="1:6" x14ac:dyDescent="0.35">
      <c r="A1497" s="9">
        <v>60885211</v>
      </c>
      <c r="B1497" s="10">
        <v>42937</v>
      </c>
      <c r="C1497" s="11">
        <v>0.57828703703703699</v>
      </c>
      <c r="D1497" s="12">
        <v>0.58940972222222221</v>
      </c>
      <c r="E1497">
        <f t="shared" si="46"/>
        <v>0</v>
      </c>
      <c r="F1497">
        <f t="shared" si="47"/>
        <v>1</v>
      </c>
    </row>
    <row r="1498" spans="1:6" x14ac:dyDescent="0.35">
      <c r="A1498" s="5">
        <v>4379415</v>
      </c>
      <c r="B1498" s="6">
        <v>42937</v>
      </c>
      <c r="C1498" s="7">
        <v>0.57983796296296297</v>
      </c>
      <c r="D1498" s="8">
        <v>0.58756944444444448</v>
      </c>
      <c r="E1498">
        <f t="shared" si="46"/>
        <v>1</v>
      </c>
      <c r="F1498">
        <f t="shared" si="47"/>
        <v>0</v>
      </c>
    </row>
    <row r="1499" spans="1:6" x14ac:dyDescent="0.35">
      <c r="A1499" s="9">
        <v>22747425</v>
      </c>
      <c r="B1499" s="10">
        <v>42937</v>
      </c>
      <c r="C1499" s="11">
        <v>0.58520833333333333</v>
      </c>
      <c r="D1499" s="12">
        <v>0.59646990740740746</v>
      </c>
      <c r="E1499">
        <f t="shared" si="46"/>
        <v>0</v>
      </c>
      <c r="F1499">
        <f t="shared" si="47"/>
        <v>1</v>
      </c>
    </row>
    <row r="1500" spans="1:6" x14ac:dyDescent="0.35">
      <c r="A1500" s="5">
        <v>3858766</v>
      </c>
      <c r="B1500" s="6">
        <v>42937</v>
      </c>
      <c r="C1500" s="7">
        <v>0.59026620370370375</v>
      </c>
      <c r="D1500" s="8">
        <v>0.59652777777777777</v>
      </c>
      <c r="E1500">
        <f t="shared" si="46"/>
        <v>1</v>
      </c>
      <c r="F1500">
        <f t="shared" si="47"/>
        <v>0</v>
      </c>
    </row>
    <row r="1501" spans="1:6" x14ac:dyDescent="0.35">
      <c r="A1501" s="9">
        <v>6231537</v>
      </c>
      <c r="B1501" s="10">
        <v>42937</v>
      </c>
      <c r="C1501" s="11">
        <v>0.59401620370370367</v>
      </c>
      <c r="D1501" s="12">
        <v>0.60012731481481485</v>
      </c>
      <c r="E1501">
        <f t="shared" si="46"/>
        <v>1</v>
      </c>
      <c r="F1501">
        <f t="shared" si="47"/>
        <v>0</v>
      </c>
    </row>
    <row r="1502" spans="1:6" x14ac:dyDescent="0.35">
      <c r="A1502" s="5">
        <v>1296262</v>
      </c>
      <c r="B1502" s="6">
        <v>42937</v>
      </c>
      <c r="C1502" s="7">
        <v>0.59712962962962968</v>
      </c>
      <c r="D1502" s="8">
        <v>0.6026273148148148</v>
      </c>
      <c r="E1502">
        <f t="shared" si="46"/>
        <v>1</v>
      </c>
      <c r="F1502">
        <f t="shared" si="47"/>
        <v>0</v>
      </c>
    </row>
    <row r="1503" spans="1:6" x14ac:dyDescent="0.35">
      <c r="A1503" s="9">
        <v>6175467</v>
      </c>
      <c r="B1503" s="10">
        <v>42937</v>
      </c>
      <c r="C1503" s="11">
        <v>0.60185185185185186</v>
      </c>
      <c r="D1503" s="12">
        <v>0.61021990740740739</v>
      </c>
      <c r="E1503">
        <f t="shared" si="46"/>
        <v>1</v>
      </c>
      <c r="F1503">
        <f t="shared" si="47"/>
        <v>0</v>
      </c>
    </row>
    <row r="1504" spans="1:6" x14ac:dyDescent="0.35">
      <c r="A1504" s="5">
        <v>6434255</v>
      </c>
      <c r="B1504" s="6">
        <v>42937</v>
      </c>
      <c r="C1504" s="7">
        <v>0.60196759259259258</v>
      </c>
      <c r="D1504" s="8">
        <v>0.60356481481481483</v>
      </c>
      <c r="E1504">
        <f t="shared" si="46"/>
        <v>1</v>
      </c>
      <c r="F1504">
        <f t="shared" si="47"/>
        <v>0</v>
      </c>
    </row>
    <row r="1505" spans="1:6" x14ac:dyDescent="0.35">
      <c r="A1505" s="9">
        <v>2723614</v>
      </c>
      <c r="B1505" s="10">
        <v>42937</v>
      </c>
      <c r="C1505" s="11">
        <v>0.60465277777777782</v>
      </c>
      <c r="D1505" s="12">
        <v>0.60886574074074074</v>
      </c>
      <c r="E1505">
        <f t="shared" si="46"/>
        <v>1</v>
      </c>
      <c r="F1505">
        <f t="shared" si="47"/>
        <v>0</v>
      </c>
    </row>
    <row r="1506" spans="1:6" x14ac:dyDescent="0.35">
      <c r="A1506" s="5">
        <v>92326393</v>
      </c>
      <c r="B1506" s="6">
        <v>42937</v>
      </c>
      <c r="C1506" s="7">
        <v>0.60782407407407413</v>
      </c>
      <c r="D1506" s="8">
        <v>0.61331018518518521</v>
      </c>
      <c r="E1506">
        <f t="shared" si="46"/>
        <v>0</v>
      </c>
      <c r="F1506">
        <f t="shared" si="47"/>
        <v>1</v>
      </c>
    </row>
    <row r="1507" spans="1:6" x14ac:dyDescent="0.35">
      <c r="A1507" s="9">
        <v>5039266</v>
      </c>
      <c r="B1507" s="10">
        <v>42937</v>
      </c>
      <c r="C1507" s="11">
        <v>0.6121875</v>
      </c>
      <c r="D1507" s="12">
        <v>0.6181712962962963</v>
      </c>
      <c r="E1507">
        <f t="shared" si="46"/>
        <v>1</v>
      </c>
      <c r="F1507">
        <f t="shared" si="47"/>
        <v>0</v>
      </c>
    </row>
    <row r="1508" spans="1:6" x14ac:dyDescent="0.35">
      <c r="A1508" s="5">
        <v>3861280</v>
      </c>
      <c r="B1508" s="6">
        <v>42937</v>
      </c>
      <c r="C1508" s="7">
        <v>0.6147569444444444</v>
      </c>
      <c r="D1508" s="8">
        <v>0.62420138888888888</v>
      </c>
      <c r="E1508">
        <f t="shared" si="46"/>
        <v>1</v>
      </c>
      <c r="F1508">
        <f t="shared" si="47"/>
        <v>0</v>
      </c>
    </row>
    <row r="1509" spans="1:6" x14ac:dyDescent="0.35">
      <c r="A1509" s="9">
        <v>3982833</v>
      </c>
      <c r="B1509" s="10">
        <v>42937</v>
      </c>
      <c r="C1509" s="11">
        <v>0.61690972222222218</v>
      </c>
      <c r="D1509" s="12">
        <v>0.62290509259259264</v>
      </c>
      <c r="E1509">
        <f t="shared" si="46"/>
        <v>1</v>
      </c>
      <c r="F1509">
        <f t="shared" si="47"/>
        <v>0</v>
      </c>
    </row>
    <row r="1510" spans="1:6" x14ac:dyDescent="0.35">
      <c r="A1510" s="5">
        <v>5835972</v>
      </c>
      <c r="B1510" s="6">
        <v>42937</v>
      </c>
      <c r="C1510" s="7">
        <v>0.6206828703703704</v>
      </c>
      <c r="D1510" s="8">
        <v>0.62291666666666667</v>
      </c>
      <c r="E1510">
        <f t="shared" si="46"/>
        <v>1</v>
      </c>
      <c r="F1510">
        <f t="shared" si="47"/>
        <v>0</v>
      </c>
    </row>
    <row r="1511" spans="1:6" x14ac:dyDescent="0.35">
      <c r="A1511" s="9">
        <v>98382147</v>
      </c>
      <c r="B1511" s="10">
        <v>42937</v>
      </c>
      <c r="C1511" s="11">
        <v>0.62484953703703705</v>
      </c>
      <c r="D1511" s="12">
        <v>0.62848379629629625</v>
      </c>
      <c r="E1511">
        <f t="shared" si="46"/>
        <v>0</v>
      </c>
      <c r="F1511">
        <f t="shared" si="47"/>
        <v>1</v>
      </c>
    </row>
    <row r="1512" spans="1:6" x14ac:dyDescent="0.35">
      <c r="A1512" s="5">
        <v>9427353</v>
      </c>
      <c r="B1512" s="6">
        <v>42937</v>
      </c>
      <c r="C1512" s="7">
        <v>0.62612268518518521</v>
      </c>
      <c r="D1512" s="8">
        <v>0.62835648148148149</v>
      </c>
      <c r="E1512">
        <f t="shared" si="46"/>
        <v>1</v>
      </c>
      <c r="F1512">
        <f t="shared" si="47"/>
        <v>0</v>
      </c>
    </row>
    <row r="1513" spans="1:6" x14ac:dyDescent="0.35">
      <c r="A1513" s="9">
        <v>11274735</v>
      </c>
      <c r="B1513" s="10">
        <v>42940</v>
      </c>
      <c r="C1513" s="11">
        <v>0.33624999999999999</v>
      </c>
      <c r="D1513" s="12">
        <v>0.34670138888888891</v>
      </c>
      <c r="E1513">
        <f t="shared" si="46"/>
        <v>0</v>
      </c>
      <c r="F1513">
        <f t="shared" si="47"/>
        <v>1</v>
      </c>
    </row>
    <row r="1514" spans="1:6" x14ac:dyDescent="0.35">
      <c r="A1514" s="5">
        <v>9727873</v>
      </c>
      <c r="B1514" s="6">
        <v>42940</v>
      </c>
      <c r="C1514" s="7">
        <v>0.33728009259259262</v>
      </c>
      <c r="D1514" s="8">
        <v>0.34291666666666665</v>
      </c>
      <c r="E1514">
        <f t="shared" si="46"/>
        <v>1</v>
      </c>
      <c r="F1514">
        <f t="shared" si="47"/>
        <v>0</v>
      </c>
    </row>
    <row r="1515" spans="1:6" x14ac:dyDescent="0.35">
      <c r="A1515" s="9">
        <v>4804872</v>
      </c>
      <c r="B1515" s="10">
        <v>42940</v>
      </c>
      <c r="C1515" s="11">
        <v>0.3402662037037037</v>
      </c>
      <c r="D1515" s="12">
        <v>0.34250000000000003</v>
      </c>
      <c r="E1515">
        <f t="shared" si="46"/>
        <v>1</v>
      </c>
      <c r="F1515">
        <f t="shared" si="47"/>
        <v>0</v>
      </c>
    </row>
    <row r="1516" spans="1:6" x14ac:dyDescent="0.35">
      <c r="A1516" s="5">
        <v>22583033</v>
      </c>
      <c r="B1516" s="6">
        <v>42940</v>
      </c>
      <c r="C1516" s="7">
        <v>0.34495370370370371</v>
      </c>
      <c r="D1516" s="8">
        <v>0.3467824074074074</v>
      </c>
      <c r="E1516">
        <f t="shared" si="46"/>
        <v>0</v>
      </c>
      <c r="F1516">
        <f t="shared" si="47"/>
        <v>1</v>
      </c>
    </row>
    <row r="1517" spans="1:6" x14ac:dyDescent="0.35">
      <c r="A1517" s="9">
        <v>4056070</v>
      </c>
      <c r="B1517" s="10">
        <v>42940</v>
      </c>
      <c r="C1517" s="11">
        <v>0.3480787037037037</v>
      </c>
      <c r="D1517" s="12">
        <v>0.35413194444444446</v>
      </c>
      <c r="E1517">
        <f t="shared" si="46"/>
        <v>1</v>
      </c>
      <c r="F1517">
        <f t="shared" si="47"/>
        <v>0</v>
      </c>
    </row>
    <row r="1518" spans="1:6" x14ac:dyDescent="0.35">
      <c r="A1518" s="5">
        <v>2701816</v>
      </c>
      <c r="B1518" s="6">
        <v>42940</v>
      </c>
      <c r="C1518" s="7">
        <v>0.34879629629629627</v>
      </c>
      <c r="D1518" s="8">
        <v>0.35699074074074072</v>
      </c>
      <c r="E1518">
        <f t="shared" si="46"/>
        <v>1</v>
      </c>
      <c r="F1518">
        <f t="shared" si="47"/>
        <v>0</v>
      </c>
    </row>
    <row r="1519" spans="1:6" x14ac:dyDescent="0.35">
      <c r="A1519" s="9">
        <v>20735440</v>
      </c>
      <c r="B1519" s="10">
        <v>42940</v>
      </c>
      <c r="C1519" s="11">
        <v>0.35041666666666665</v>
      </c>
      <c r="D1519" s="12">
        <v>0.35834490740740743</v>
      </c>
      <c r="E1519">
        <f t="shared" si="46"/>
        <v>0</v>
      </c>
      <c r="F1519">
        <f t="shared" si="47"/>
        <v>1</v>
      </c>
    </row>
    <row r="1520" spans="1:6" x14ac:dyDescent="0.35">
      <c r="A1520" s="5">
        <v>9076015</v>
      </c>
      <c r="B1520" s="6">
        <v>42940</v>
      </c>
      <c r="C1520" s="7">
        <v>0.35129629629629627</v>
      </c>
      <c r="D1520" s="8">
        <v>0.35626157407407405</v>
      </c>
      <c r="E1520">
        <f t="shared" si="46"/>
        <v>1</v>
      </c>
      <c r="F1520">
        <f t="shared" si="47"/>
        <v>0</v>
      </c>
    </row>
    <row r="1521" spans="1:6" x14ac:dyDescent="0.35">
      <c r="A1521" s="9">
        <v>11070759</v>
      </c>
      <c r="B1521" s="10">
        <v>42940</v>
      </c>
      <c r="C1521" s="11">
        <v>0.35653935185185187</v>
      </c>
      <c r="D1521" s="12">
        <v>0.35864583333333333</v>
      </c>
      <c r="E1521">
        <f t="shared" si="46"/>
        <v>0</v>
      </c>
      <c r="F1521">
        <f t="shared" si="47"/>
        <v>1</v>
      </c>
    </row>
    <row r="1522" spans="1:6" x14ac:dyDescent="0.35">
      <c r="A1522" s="5">
        <v>22176115</v>
      </c>
      <c r="B1522" s="6">
        <v>42940</v>
      </c>
      <c r="C1522" s="7">
        <v>0.35991898148148149</v>
      </c>
      <c r="D1522" s="8">
        <v>0.36880787037037038</v>
      </c>
      <c r="E1522">
        <f t="shared" si="46"/>
        <v>0</v>
      </c>
      <c r="F1522">
        <f t="shared" si="47"/>
        <v>1</v>
      </c>
    </row>
    <row r="1523" spans="1:6" x14ac:dyDescent="0.35">
      <c r="A1523" s="9">
        <v>7456918</v>
      </c>
      <c r="B1523" s="10">
        <v>42940</v>
      </c>
      <c r="C1523" s="11">
        <v>0.36061342592592593</v>
      </c>
      <c r="D1523" s="12">
        <v>0.36667824074074074</v>
      </c>
      <c r="E1523">
        <f t="shared" si="46"/>
        <v>1</v>
      </c>
      <c r="F1523">
        <f t="shared" si="47"/>
        <v>0</v>
      </c>
    </row>
    <row r="1524" spans="1:6" x14ac:dyDescent="0.35">
      <c r="A1524" s="5">
        <v>6896787</v>
      </c>
      <c r="B1524" s="6">
        <v>42940</v>
      </c>
      <c r="C1524" s="7">
        <v>0.36243055555555553</v>
      </c>
      <c r="D1524" s="8">
        <v>0.36993055555555554</v>
      </c>
      <c r="E1524">
        <f t="shared" si="46"/>
        <v>1</v>
      </c>
      <c r="F1524">
        <f t="shared" si="47"/>
        <v>0</v>
      </c>
    </row>
    <row r="1525" spans="1:6" x14ac:dyDescent="0.35">
      <c r="A1525" s="9">
        <v>6561564994</v>
      </c>
      <c r="B1525" s="10">
        <v>42940</v>
      </c>
      <c r="C1525" s="11">
        <v>0.36334490740740738</v>
      </c>
      <c r="D1525" s="12">
        <v>0.3696875</v>
      </c>
      <c r="E1525">
        <f t="shared" si="46"/>
        <v>0</v>
      </c>
      <c r="F1525">
        <f t="shared" si="47"/>
        <v>0</v>
      </c>
    </row>
    <row r="1526" spans="1:6" x14ac:dyDescent="0.35">
      <c r="A1526" s="5">
        <v>8414788</v>
      </c>
      <c r="B1526" s="6">
        <v>42940</v>
      </c>
      <c r="C1526" s="7">
        <v>0.36887731481481484</v>
      </c>
      <c r="D1526" s="8">
        <v>0.37443287037037037</v>
      </c>
      <c r="E1526">
        <f t="shared" si="46"/>
        <v>1</v>
      </c>
      <c r="F1526">
        <f t="shared" si="47"/>
        <v>0</v>
      </c>
    </row>
    <row r="1527" spans="1:6" x14ac:dyDescent="0.35">
      <c r="A1527" s="9">
        <v>7896629</v>
      </c>
      <c r="B1527" s="10">
        <v>42940</v>
      </c>
      <c r="C1527" s="11">
        <v>0.37025462962962963</v>
      </c>
      <c r="D1527" s="12">
        <v>0.3785648148148148</v>
      </c>
      <c r="E1527">
        <f t="shared" si="46"/>
        <v>1</v>
      </c>
      <c r="F1527">
        <f t="shared" si="47"/>
        <v>0</v>
      </c>
    </row>
    <row r="1528" spans="1:6" x14ac:dyDescent="0.35">
      <c r="A1528" s="5">
        <v>5970183</v>
      </c>
      <c r="B1528" s="6">
        <v>42940</v>
      </c>
      <c r="C1528" s="7">
        <v>0.37150462962962966</v>
      </c>
      <c r="D1528" s="8">
        <v>0.37246527777777777</v>
      </c>
      <c r="E1528">
        <f t="shared" si="46"/>
        <v>1</v>
      </c>
      <c r="F1528">
        <f t="shared" si="47"/>
        <v>0</v>
      </c>
    </row>
    <row r="1529" spans="1:6" x14ac:dyDescent="0.35">
      <c r="A1529" s="9">
        <v>57891628</v>
      </c>
      <c r="B1529" s="10">
        <v>42940</v>
      </c>
      <c r="C1529" s="11">
        <v>0.37296296296296294</v>
      </c>
      <c r="D1529" s="12">
        <v>0.38413194444444443</v>
      </c>
      <c r="E1529">
        <f t="shared" si="46"/>
        <v>0</v>
      </c>
      <c r="F1529">
        <f t="shared" si="47"/>
        <v>1</v>
      </c>
    </row>
    <row r="1530" spans="1:6" x14ac:dyDescent="0.35">
      <c r="A1530" s="5">
        <v>53378457</v>
      </c>
      <c r="B1530" s="6">
        <v>42940</v>
      </c>
      <c r="C1530" s="7">
        <v>0.3777314814814815</v>
      </c>
      <c r="D1530" s="8">
        <v>0.38680555555555557</v>
      </c>
      <c r="E1530">
        <f t="shared" si="46"/>
        <v>0</v>
      </c>
      <c r="F1530">
        <f t="shared" si="47"/>
        <v>1</v>
      </c>
    </row>
    <row r="1531" spans="1:6" x14ac:dyDescent="0.35">
      <c r="A1531" s="9">
        <v>88666908</v>
      </c>
      <c r="B1531" s="10">
        <v>42940</v>
      </c>
      <c r="C1531" s="11">
        <v>0.37983796296296296</v>
      </c>
      <c r="D1531" s="12">
        <v>0.38929398148148148</v>
      </c>
      <c r="E1531">
        <f t="shared" si="46"/>
        <v>0</v>
      </c>
      <c r="F1531">
        <f t="shared" si="47"/>
        <v>1</v>
      </c>
    </row>
    <row r="1532" spans="1:6" x14ac:dyDescent="0.35">
      <c r="A1532" s="5">
        <v>9279730</v>
      </c>
      <c r="B1532" s="6">
        <v>42940</v>
      </c>
      <c r="C1532" s="7">
        <v>0.38046296296296295</v>
      </c>
      <c r="D1532" s="8">
        <v>0.38836805555555554</v>
      </c>
      <c r="E1532">
        <f t="shared" si="46"/>
        <v>1</v>
      </c>
      <c r="F1532">
        <f t="shared" si="47"/>
        <v>0</v>
      </c>
    </row>
    <row r="1533" spans="1:6" x14ac:dyDescent="0.35">
      <c r="A1533" s="9">
        <v>2928766</v>
      </c>
      <c r="B1533" s="10">
        <v>42940</v>
      </c>
      <c r="C1533" s="11">
        <v>0.38156250000000003</v>
      </c>
      <c r="D1533" s="12">
        <v>0.3893402777777778</v>
      </c>
      <c r="E1533">
        <f t="shared" si="46"/>
        <v>1</v>
      </c>
      <c r="F1533">
        <f t="shared" si="47"/>
        <v>0</v>
      </c>
    </row>
    <row r="1534" spans="1:6" x14ac:dyDescent="0.35">
      <c r="A1534" s="5">
        <v>4334364</v>
      </c>
      <c r="B1534" s="6">
        <v>42940</v>
      </c>
      <c r="C1534" s="7">
        <v>0.3837962962962963</v>
      </c>
      <c r="D1534" s="8">
        <v>0.39385416666666667</v>
      </c>
      <c r="E1534">
        <f t="shared" si="46"/>
        <v>1</v>
      </c>
      <c r="F1534">
        <f t="shared" si="47"/>
        <v>0</v>
      </c>
    </row>
    <row r="1535" spans="1:6" x14ac:dyDescent="0.35">
      <c r="A1535" s="9">
        <v>8405292</v>
      </c>
      <c r="B1535" s="10">
        <v>42940</v>
      </c>
      <c r="C1535" s="11">
        <v>0.38635416666666667</v>
      </c>
      <c r="D1535" s="12">
        <v>0.39378472222222222</v>
      </c>
      <c r="E1535">
        <f t="shared" si="46"/>
        <v>1</v>
      </c>
      <c r="F1535">
        <f t="shared" si="47"/>
        <v>0</v>
      </c>
    </row>
    <row r="1536" spans="1:6" x14ac:dyDescent="0.35">
      <c r="A1536" s="5">
        <v>9870841</v>
      </c>
      <c r="B1536" s="6">
        <v>42940</v>
      </c>
      <c r="C1536" s="7">
        <v>0.39209490740740743</v>
      </c>
      <c r="D1536" s="8">
        <v>0.39672453703703703</v>
      </c>
      <c r="E1536">
        <f t="shared" si="46"/>
        <v>1</v>
      </c>
      <c r="F1536">
        <f t="shared" si="47"/>
        <v>0</v>
      </c>
    </row>
    <row r="1537" spans="1:6" x14ac:dyDescent="0.35">
      <c r="A1537" s="9">
        <v>9722484</v>
      </c>
      <c r="B1537" s="10">
        <v>42940</v>
      </c>
      <c r="C1537" s="11">
        <v>0.39383101851851854</v>
      </c>
      <c r="D1537" s="12">
        <v>0.39630787037037035</v>
      </c>
      <c r="E1537">
        <f t="shared" si="46"/>
        <v>1</v>
      </c>
      <c r="F1537">
        <f t="shared" si="47"/>
        <v>0</v>
      </c>
    </row>
    <row r="1538" spans="1:6" x14ac:dyDescent="0.35">
      <c r="A1538" s="5">
        <v>1159432</v>
      </c>
      <c r="B1538" s="6">
        <v>42940</v>
      </c>
      <c r="C1538" s="7">
        <v>0.39391203703703703</v>
      </c>
      <c r="D1538" s="8">
        <v>0.39478009259259261</v>
      </c>
      <c r="E1538">
        <f t="shared" si="46"/>
        <v>1</v>
      </c>
      <c r="F1538">
        <f t="shared" si="47"/>
        <v>0</v>
      </c>
    </row>
    <row r="1539" spans="1:6" x14ac:dyDescent="0.35">
      <c r="A1539" s="9">
        <v>25194612</v>
      </c>
      <c r="B1539" s="10">
        <v>42940</v>
      </c>
      <c r="C1539" s="11">
        <v>0.39516203703703706</v>
      </c>
      <c r="D1539" s="12">
        <v>0.4057986111111111</v>
      </c>
      <c r="E1539">
        <f t="shared" ref="E1539:E1602" si="48">IF(LEN(A1539)=7,1,0)</f>
        <v>0</v>
      </c>
      <c r="F1539">
        <f t="shared" ref="F1539:F1602" si="49">IF(LEN(A1539)=8,1,0)</f>
        <v>1</v>
      </c>
    </row>
    <row r="1540" spans="1:6" x14ac:dyDescent="0.35">
      <c r="A1540" s="5">
        <v>1117628</v>
      </c>
      <c r="B1540" s="6">
        <v>42940</v>
      </c>
      <c r="C1540" s="7">
        <v>0.39614583333333331</v>
      </c>
      <c r="D1540" s="8">
        <v>0.39976851851851852</v>
      </c>
      <c r="E1540">
        <f t="shared" si="48"/>
        <v>1</v>
      </c>
      <c r="F1540">
        <f t="shared" si="49"/>
        <v>0</v>
      </c>
    </row>
    <row r="1541" spans="1:6" x14ac:dyDescent="0.35">
      <c r="A1541" s="9">
        <v>3624713</v>
      </c>
      <c r="B1541" s="10">
        <v>42940</v>
      </c>
      <c r="C1541" s="11">
        <v>0.39864583333333331</v>
      </c>
      <c r="D1541" s="12">
        <v>0.40440972222222221</v>
      </c>
      <c r="E1541">
        <f t="shared" si="48"/>
        <v>1</v>
      </c>
      <c r="F1541">
        <f t="shared" si="49"/>
        <v>0</v>
      </c>
    </row>
    <row r="1542" spans="1:6" x14ac:dyDescent="0.35">
      <c r="A1542" s="5">
        <v>5616210</v>
      </c>
      <c r="B1542" s="6">
        <v>42940</v>
      </c>
      <c r="C1542" s="7">
        <v>0.39956018518518521</v>
      </c>
      <c r="D1542" s="8">
        <v>0.40803240740740743</v>
      </c>
      <c r="E1542">
        <f t="shared" si="48"/>
        <v>1</v>
      </c>
      <c r="F1542">
        <f t="shared" si="49"/>
        <v>0</v>
      </c>
    </row>
    <row r="1543" spans="1:6" x14ac:dyDescent="0.35">
      <c r="A1543" s="9">
        <v>6772052</v>
      </c>
      <c r="B1543" s="10">
        <v>42940</v>
      </c>
      <c r="C1543" s="11">
        <v>0.40263888888888888</v>
      </c>
      <c r="D1543" s="12">
        <v>0.40825231481481483</v>
      </c>
      <c r="E1543">
        <f t="shared" si="48"/>
        <v>1</v>
      </c>
      <c r="F1543">
        <f t="shared" si="49"/>
        <v>0</v>
      </c>
    </row>
    <row r="1544" spans="1:6" x14ac:dyDescent="0.35">
      <c r="A1544" s="5">
        <v>3305212</v>
      </c>
      <c r="B1544" s="6">
        <v>42940</v>
      </c>
      <c r="C1544" s="7">
        <v>0.40641203703703704</v>
      </c>
      <c r="D1544" s="8">
        <v>0.41187499999999999</v>
      </c>
      <c r="E1544">
        <f t="shared" si="48"/>
        <v>1</v>
      </c>
      <c r="F1544">
        <f t="shared" si="49"/>
        <v>0</v>
      </c>
    </row>
    <row r="1545" spans="1:6" x14ac:dyDescent="0.35">
      <c r="A1545" s="9">
        <v>72701808</v>
      </c>
      <c r="B1545" s="10">
        <v>42940</v>
      </c>
      <c r="C1545" s="11">
        <v>0.40930555555555553</v>
      </c>
      <c r="D1545" s="12">
        <v>0.41968749999999999</v>
      </c>
      <c r="E1545">
        <f t="shared" si="48"/>
        <v>0</v>
      </c>
      <c r="F1545">
        <f t="shared" si="49"/>
        <v>1</v>
      </c>
    </row>
    <row r="1546" spans="1:6" x14ac:dyDescent="0.35">
      <c r="A1546" s="5">
        <v>4285095</v>
      </c>
      <c r="B1546" s="6">
        <v>42940</v>
      </c>
      <c r="C1546" s="7">
        <v>0.41351851851851851</v>
      </c>
      <c r="D1546" s="8">
        <v>0.41790509259259262</v>
      </c>
      <c r="E1546">
        <f t="shared" si="48"/>
        <v>1</v>
      </c>
      <c r="F1546">
        <f t="shared" si="49"/>
        <v>0</v>
      </c>
    </row>
    <row r="1547" spans="1:6" x14ac:dyDescent="0.35">
      <c r="A1547" s="9">
        <v>2585298</v>
      </c>
      <c r="B1547" s="10">
        <v>42940</v>
      </c>
      <c r="C1547" s="11">
        <v>0.41853009259259261</v>
      </c>
      <c r="D1547" s="12">
        <v>0.42252314814814818</v>
      </c>
      <c r="E1547">
        <f t="shared" si="48"/>
        <v>1</v>
      </c>
      <c r="F1547">
        <f t="shared" si="49"/>
        <v>0</v>
      </c>
    </row>
    <row r="1548" spans="1:6" x14ac:dyDescent="0.35">
      <c r="A1548" s="5">
        <v>2947035</v>
      </c>
      <c r="B1548" s="6">
        <v>42940</v>
      </c>
      <c r="C1548" s="7">
        <v>0.42241898148148149</v>
      </c>
      <c r="D1548" s="8">
        <v>0.42863425925925924</v>
      </c>
      <c r="E1548">
        <f t="shared" si="48"/>
        <v>1</v>
      </c>
      <c r="F1548">
        <f t="shared" si="49"/>
        <v>0</v>
      </c>
    </row>
    <row r="1549" spans="1:6" x14ac:dyDescent="0.35">
      <c r="A1549" s="9">
        <v>6615729</v>
      </c>
      <c r="B1549" s="10">
        <v>42940</v>
      </c>
      <c r="C1549" s="11">
        <v>0.42561342592592594</v>
      </c>
      <c r="D1549" s="12">
        <v>0.42799768518518516</v>
      </c>
      <c r="E1549">
        <f t="shared" si="48"/>
        <v>1</v>
      </c>
      <c r="F1549">
        <f t="shared" si="49"/>
        <v>0</v>
      </c>
    </row>
    <row r="1550" spans="1:6" x14ac:dyDescent="0.35">
      <c r="A1550" s="5">
        <v>2135609</v>
      </c>
      <c r="B1550" s="6">
        <v>42940</v>
      </c>
      <c r="C1550" s="7">
        <v>0.42563657407407407</v>
      </c>
      <c r="D1550" s="8">
        <v>0.42670138888888887</v>
      </c>
      <c r="E1550">
        <f t="shared" si="48"/>
        <v>1</v>
      </c>
      <c r="F1550">
        <f t="shared" si="49"/>
        <v>0</v>
      </c>
    </row>
    <row r="1551" spans="1:6" x14ac:dyDescent="0.35">
      <c r="A1551" s="9">
        <v>2697566</v>
      </c>
      <c r="B1551" s="10">
        <v>42940</v>
      </c>
      <c r="C1551" s="11">
        <v>0.42951388888888886</v>
      </c>
      <c r="D1551" s="12">
        <v>0.44059027777777776</v>
      </c>
      <c r="E1551">
        <f t="shared" si="48"/>
        <v>1</v>
      </c>
      <c r="F1551">
        <f t="shared" si="49"/>
        <v>0</v>
      </c>
    </row>
    <row r="1552" spans="1:6" x14ac:dyDescent="0.35">
      <c r="A1552" s="5">
        <v>2569721</v>
      </c>
      <c r="B1552" s="6">
        <v>42940</v>
      </c>
      <c r="C1552" s="7">
        <v>0.43133101851851852</v>
      </c>
      <c r="D1552" s="8">
        <v>0.43762731481481482</v>
      </c>
      <c r="E1552">
        <f t="shared" si="48"/>
        <v>1</v>
      </c>
      <c r="F1552">
        <f t="shared" si="49"/>
        <v>0</v>
      </c>
    </row>
    <row r="1553" spans="1:6" x14ac:dyDescent="0.35">
      <c r="A1553" s="9">
        <v>96375379</v>
      </c>
      <c r="B1553" s="10">
        <v>42940</v>
      </c>
      <c r="C1553" s="11">
        <v>0.43637731481481479</v>
      </c>
      <c r="D1553" s="12">
        <v>0.44526620370370368</v>
      </c>
      <c r="E1553">
        <f t="shared" si="48"/>
        <v>0</v>
      </c>
      <c r="F1553">
        <f t="shared" si="49"/>
        <v>1</v>
      </c>
    </row>
    <row r="1554" spans="1:6" x14ac:dyDescent="0.35">
      <c r="A1554" s="5">
        <v>3968528766</v>
      </c>
      <c r="B1554" s="6">
        <v>42940</v>
      </c>
      <c r="C1554" s="7">
        <v>0.44081018518518517</v>
      </c>
      <c r="D1554" s="8">
        <v>0.44767361111111109</v>
      </c>
      <c r="E1554">
        <f t="shared" si="48"/>
        <v>0</v>
      </c>
      <c r="F1554">
        <f t="shared" si="49"/>
        <v>0</v>
      </c>
    </row>
    <row r="1555" spans="1:6" x14ac:dyDescent="0.35">
      <c r="A1555" s="9">
        <v>8133585</v>
      </c>
      <c r="B1555" s="10">
        <v>42940</v>
      </c>
      <c r="C1555" s="11">
        <v>0.44185185185185183</v>
      </c>
      <c r="D1555" s="12">
        <v>0.44634259259259257</v>
      </c>
      <c r="E1555">
        <f t="shared" si="48"/>
        <v>1</v>
      </c>
      <c r="F1555">
        <f t="shared" si="49"/>
        <v>0</v>
      </c>
    </row>
    <row r="1556" spans="1:6" x14ac:dyDescent="0.35">
      <c r="A1556" s="5">
        <v>45232967</v>
      </c>
      <c r="B1556" s="6">
        <v>42940</v>
      </c>
      <c r="C1556" s="7">
        <v>0.4462962962962963</v>
      </c>
      <c r="D1556" s="8">
        <v>0.44753472222222224</v>
      </c>
      <c r="E1556">
        <f t="shared" si="48"/>
        <v>0</v>
      </c>
      <c r="F1556">
        <f t="shared" si="49"/>
        <v>1</v>
      </c>
    </row>
    <row r="1557" spans="1:6" x14ac:dyDescent="0.35">
      <c r="A1557" s="9">
        <v>8900603</v>
      </c>
      <c r="B1557" s="10">
        <v>42940</v>
      </c>
      <c r="C1557" s="11">
        <v>0.44680555555555557</v>
      </c>
      <c r="D1557" s="12">
        <v>0.45518518518518519</v>
      </c>
      <c r="E1557">
        <f t="shared" si="48"/>
        <v>1</v>
      </c>
      <c r="F1557">
        <f t="shared" si="49"/>
        <v>0</v>
      </c>
    </row>
    <row r="1558" spans="1:6" x14ac:dyDescent="0.35">
      <c r="A1558" s="5">
        <v>9413315</v>
      </c>
      <c r="B1558" s="6">
        <v>42940</v>
      </c>
      <c r="C1558" s="7">
        <v>0.4490277777777778</v>
      </c>
      <c r="D1558" s="8">
        <v>0.45984953703703701</v>
      </c>
      <c r="E1558">
        <f t="shared" si="48"/>
        <v>1</v>
      </c>
      <c r="F1558">
        <f t="shared" si="49"/>
        <v>0</v>
      </c>
    </row>
    <row r="1559" spans="1:6" x14ac:dyDescent="0.35">
      <c r="A1559" s="9">
        <v>9781981</v>
      </c>
      <c r="B1559" s="10">
        <v>42940</v>
      </c>
      <c r="C1559" s="11">
        <v>0.45392361111111112</v>
      </c>
      <c r="D1559" s="12">
        <v>0.4582060185185185</v>
      </c>
      <c r="E1559">
        <f t="shared" si="48"/>
        <v>1</v>
      </c>
      <c r="F1559">
        <f t="shared" si="49"/>
        <v>0</v>
      </c>
    </row>
    <row r="1560" spans="1:6" x14ac:dyDescent="0.35">
      <c r="A1560" s="5">
        <v>9527543</v>
      </c>
      <c r="B1560" s="6">
        <v>42940</v>
      </c>
      <c r="C1560" s="7">
        <v>0.45481481481481484</v>
      </c>
      <c r="D1560" s="8">
        <v>0.45863425925925927</v>
      </c>
      <c r="E1560">
        <f t="shared" si="48"/>
        <v>1</v>
      </c>
      <c r="F1560">
        <f t="shared" si="49"/>
        <v>0</v>
      </c>
    </row>
    <row r="1561" spans="1:6" x14ac:dyDescent="0.35">
      <c r="A1561" s="9">
        <v>91626903</v>
      </c>
      <c r="B1561" s="10">
        <v>42940</v>
      </c>
      <c r="C1561" s="11">
        <v>0.45930555555555558</v>
      </c>
      <c r="D1561" s="12">
        <v>0.46885416666666668</v>
      </c>
      <c r="E1561">
        <f t="shared" si="48"/>
        <v>0</v>
      </c>
      <c r="F1561">
        <f t="shared" si="49"/>
        <v>1</v>
      </c>
    </row>
    <row r="1562" spans="1:6" x14ac:dyDescent="0.35">
      <c r="A1562" s="5">
        <v>1475008</v>
      </c>
      <c r="B1562" s="6">
        <v>42940</v>
      </c>
      <c r="C1562" s="7">
        <v>0.46489583333333334</v>
      </c>
      <c r="D1562" s="8">
        <v>0.47530092592592593</v>
      </c>
      <c r="E1562">
        <f t="shared" si="48"/>
        <v>1</v>
      </c>
      <c r="F1562">
        <f t="shared" si="49"/>
        <v>0</v>
      </c>
    </row>
    <row r="1563" spans="1:6" x14ac:dyDescent="0.35">
      <c r="A1563" s="9">
        <v>4767842</v>
      </c>
      <c r="B1563" s="10">
        <v>42940</v>
      </c>
      <c r="C1563" s="11">
        <v>0.46971064814814817</v>
      </c>
      <c r="D1563" s="12">
        <v>0.47116898148148151</v>
      </c>
      <c r="E1563">
        <f t="shared" si="48"/>
        <v>1</v>
      </c>
      <c r="F1563">
        <f t="shared" si="49"/>
        <v>0</v>
      </c>
    </row>
    <row r="1564" spans="1:6" x14ac:dyDescent="0.35">
      <c r="A1564" s="5">
        <v>64586869</v>
      </c>
      <c r="B1564" s="6">
        <v>42940</v>
      </c>
      <c r="C1564" s="7">
        <v>0.47188657407407408</v>
      </c>
      <c r="D1564" s="8">
        <v>0.47260416666666666</v>
      </c>
      <c r="E1564">
        <f t="shared" si="48"/>
        <v>0</v>
      </c>
      <c r="F1564">
        <f t="shared" si="49"/>
        <v>1</v>
      </c>
    </row>
    <row r="1565" spans="1:6" x14ac:dyDescent="0.35">
      <c r="A1565" s="9">
        <v>7066389</v>
      </c>
      <c r="B1565" s="10">
        <v>42940</v>
      </c>
      <c r="C1565" s="11">
        <v>0.47590277777777779</v>
      </c>
      <c r="D1565" s="12">
        <v>0.47621527777777778</v>
      </c>
      <c r="E1565">
        <f t="shared" si="48"/>
        <v>1</v>
      </c>
      <c r="F1565">
        <f t="shared" si="49"/>
        <v>0</v>
      </c>
    </row>
    <row r="1566" spans="1:6" x14ac:dyDescent="0.35">
      <c r="A1566" s="5">
        <v>28791070</v>
      </c>
      <c r="B1566" s="6">
        <v>42940</v>
      </c>
      <c r="C1566" s="7">
        <v>0.48082175925925924</v>
      </c>
      <c r="D1566" s="8">
        <v>0.49135416666666665</v>
      </c>
      <c r="E1566">
        <f t="shared" si="48"/>
        <v>0</v>
      </c>
      <c r="F1566">
        <f t="shared" si="49"/>
        <v>1</v>
      </c>
    </row>
    <row r="1567" spans="1:6" x14ac:dyDescent="0.35">
      <c r="A1567" s="9">
        <v>5094248</v>
      </c>
      <c r="B1567" s="10">
        <v>42940</v>
      </c>
      <c r="C1567" s="11">
        <v>0.48358796296296297</v>
      </c>
      <c r="D1567" s="12">
        <v>0.48965277777777777</v>
      </c>
      <c r="E1567">
        <f t="shared" si="48"/>
        <v>1</v>
      </c>
      <c r="F1567">
        <f t="shared" si="49"/>
        <v>0</v>
      </c>
    </row>
    <row r="1568" spans="1:6" x14ac:dyDescent="0.35">
      <c r="A1568" s="5">
        <v>44882393</v>
      </c>
      <c r="B1568" s="6">
        <v>42940</v>
      </c>
      <c r="C1568" s="7">
        <v>0.4866550925925926</v>
      </c>
      <c r="D1568" s="8">
        <v>0.49528935185185186</v>
      </c>
      <c r="E1568">
        <f t="shared" si="48"/>
        <v>0</v>
      </c>
      <c r="F1568">
        <f t="shared" si="49"/>
        <v>1</v>
      </c>
    </row>
    <row r="1569" spans="1:6" x14ac:dyDescent="0.35">
      <c r="A1569" s="9">
        <v>29391132</v>
      </c>
      <c r="B1569" s="10">
        <v>42940</v>
      </c>
      <c r="C1569" s="11">
        <v>0.48770833333333335</v>
      </c>
      <c r="D1569" s="12">
        <v>0.49613425925925925</v>
      </c>
      <c r="E1569">
        <f t="shared" si="48"/>
        <v>0</v>
      </c>
      <c r="F1569">
        <f t="shared" si="49"/>
        <v>1</v>
      </c>
    </row>
    <row r="1570" spans="1:6" x14ac:dyDescent="0.35">
      <c r="A1570" s="5">
        <v>9892639</v>
      </c>
      <c r="B1570" s="6">
        <v>42940</v>
      </c>
      <c r="C1570" s="7">
        <v>0.48836805555555557</v>
      </c>
      <c r="D1570" s="8">
        <v>0.48893518518518519</v>
      </c>
      <c r="E1570">
        <f t="shared" si="48"/>
        <v>1</v>
      </c>
      <c r="F1570">
        <f t="shared" si="49"/>
        <v>0</v>
      </c>
    </row>
    <row r="1571" spans="1:6" x14ac:dyDescent="0.35">
      <c r="A1571" s="9">
        <v>3979295</v>
      </c>
      <c r="B1571" s="10">
        <v>42940</v>
      </c>
      <c r="C1571" s="11">
        <v>0.49062499999999998</v>
      </c>
      <c r="D1571" s="12">
        <v>0.49767361111111114</v>
      </c>
      <c r="E1571">
        <f t="shared" si="48"/>
        <v>1</v>
      </c>
      <c r="F1571">
        <f t="shared" si="49"/>
        <v>0</v>
      </c>
    </row>
    <row r="1572" spans="1:6" x14ac:dyDescent="0.35">
      <c r="A1572" s="5">
        <v>8471219</v>
      </c>
      <c r="B1572" s="6">
        <v>42940</v>
      </c>
      <c r="C1572" s="7">
        <v>0.49229166666666668</v>
      </c>
      <c r="D1572" s="8">
        <v>0.49554398148148149</v>
      </c>
      <c r="E1572">
        <f t="shared" si="48"/>
        <v>1</v>
      </c>
      <c r="F1572">
        <f t="shared" si="49"/>
        <v>0</v>
      </c>
    </row>
    <row r="1573" spans="1:6" x14ac:dyDescent="0.35">
      <c r="A1573" s="9">
        <v>5631380</v>
      </c>
      <c r="B1573" s="10">
        <v>42940</v>
      </c>
      <c r="C1573" s="11">
        <v>0.49274305555555553</v>
      </c>
      <c r="D1573" s="12">
        <v>0.50315972222222227</v>
      </c>
      <c r="E1573">
        <f t="shared" si="48"/>
        <v>1</v>
      </c>
      <c r="F1573">
        <f t="shared" si="49"/>
        <v>0</v>
      </c>
    </row>
    <row r="1574" spans="1:6" x14ac:dyDescent="0.35">
      <c r="A1574" s="5">
        <v>6309138</v>
      </c>
      <c r="B1574" s="6">
        <v>42940</v>
      </c>
      <c r="C1574" s="7">
        <v>0.49416666666666664</v>
      </c>
      <c r="D1574" s="8">
        <v>0.49465277777777777</v>
      </c>
      <c r="E1574">
        <f t="shared" si="48"/>
        <v>1</v>
      </c>
      <c r="F1574">
        <f t="shared" si="49"/>
        <v>0</v>
      </c>
    </row>
    <row r="1575" spans="1:6" x14ac:dyDescent="0.35">
      <c r="A1575" s="9">
        <v>72287838</v>
      </c>
      <c r="B1575" s="10">
        <v>42940</v>
      </c>
      <c r="C1575" s="11">
        <v>0.49633101851851852</v>
      </c>
      <c r="D1575" s="12">
        <v>0.50209490740740736</v>
      </c>
      <c r="E1575">
        <f t="shared" si="48"/>
        <v>0</v>
      </c>
      <c r="F1575">
        <f t="shared" si="49"/>
        <v>1</v>
      </c>
    </row>
    <row r="1576" spans="1:6" x14ac:dyDescent="0.35">
      <c r="A1576" s="5">
        <v>2515441</v>
      </c>
      <c r="B1576" s="6">
        <v>42940</v>
      </c>
      <c r="C1576" s="7">
        <v>0.49857638888888889</v>
      </c>
      <c r="D1576" s="8">
        <v>0.50195601851851857</v>
      </c>
      <c r="E1576">
        <f t="shared" si="48"/>
        <v>1</v>
      </c>
      <c r="F1576">
        <f t="shared" si="49"/>
        <v>0</v>
      </c>
    </row>
    <row r="1577" spans="1:6" x14ac:dyDescent="0.35">
      <c r="A1577" s="9">
        <v>8056387</v>
      </c>
      <c r="B1577" s="10">
        <v>42940</v>
      </c>
      <c r="C1577" s="11">
        <v>0.50306712962962963</v>
      </c>
      <c r="D1577" s="12">
        <v>0.51333333333333331</v>
      </c>
      <c r="E1577">
        <f t="shared" si="48"/>
        <v>1</v>
      </c>
      <c r="F1577">
        <f t="shared" si="49"/>
        <v>0</v>
      </c>
    </row>
    <row r="1578" spans="1:6" x14ac:dyDescent="0.35">
      <c r="A1578" s="5">
        <v>5489867</v>
      </c>
      <c r="B1578" s="6">
        <v>42940</v>
      </c>
      <c r="C1578" s="7">
        <v>0.50583333333333336</v>
      </c>
      <c r="D1578" s="8">
        <v>0.51407407407407413</v>
      </c>
      <c r="E1578">
        <f t="shared" si="48"/>
        <v>1</v>
      </c>
      <c r="F1578">
        <f t="shared" si="49"/>
        <v>0</v>
      </c>
    </row>
    <row r="1579" spans="1:6" x14ac:dyDescent="0.35">
      <c r="A1579" s="9">
        <v>5528648</v>
      </c>
      <c r="B1579" s="10">
        <v>42940</v>
      </c>
      <c r="C1579" s="11">
        <v>0.50611111111111107</v>
      </c>
      <c r="D1579" s="12">
        <v>0.51354166666666667</v>
      </c>
      <c r="E1579">
        <f t="shared" si="48"/>
        <v>1</v>
      </c>
      <c r="F1579">
        <f t="shared" si="49"/>
        <v>0</v>
      </c>
    </row>
    <row r="1580" spans="1:6" x14ac:dyDescent="0.35">
      <c r="A1580" s="5">
        <v>4293872</v>
      </c>
      <c r="B1580" s="6">
        <v>42940</v>
      </c>
      <c r="C1580" s="7">
        <v>0.50714120370370375</v>
      </c>
      <c r="D1580" s="8">
        <v>0.51232638888888893</v>
      </c>
      <c r="E1580">
        <f t="shared" si="48"/>
        <v>1</v>
      </c>
      <c r="F1580">
        <f t="shared" si="49"/>
        <v>0</v>
      </c>
    </row>
    <row r="1581" spans="1:6" x14ac:dyDescent="0.35">
      <c r="A1581" s="9">
        <v>99625946</v>
      </c>
      <c r="B1581" s="10">
        <v>42940</v>
      </c>
      <c r="C1581" s="11">
        <v>0.51270833333333332</v>
      </c>
      <c r="D1581" s="12">
        <v>0.52407407407407403</v>
      </c>
      <c r="E1581">
        <f t="shared" si="48"/>
        <v>0</v>
      </c>
      <c r="F1581">
        <f t="shared" si="49"/>
        <v>1</v>
      </c>
    </row>
    <row r="1582" spans="1:6" x14ac:dyDescent="0.35">
      <c r="A1582" s="5">
        <v>9827875</v>
      </c>
      <c r="B1582" s="6">
        <v>42940</v>
      </c>
      <c r="C1582" s="7">
        <v>0.51512731481481477</v>
      </c>
      <c r="D1582" s="8">
        <v>0.51954861111111106</v>
      </c>
      <c r="E1582">
        <f t="shared" si="48"/>
        <v>1</v>
      </c>
      <c r="F1582">
        <f t="shared" si="49"/>
        <v>0</v>
      </c>
    </row>
    <row r="1583" spans="1:6" x14ac:dyDescent="0.35">
      <c r="A1583" s="9">
        <v>40120881</v>
      </c>
      <c r="B1583" s="10">
        <v>42940</v>
      </c>
      <c r="C1583" s="11">
        <v>0.51746527777777773</v>
      </c>
      <c r="D1583" s="12">
        <v>0.52686342592592594</v>
      </c>
      <c r="E1583">
        <f t="shared" si="48"/>
        <v>0</v>
      </c>
      <c r="F1583">
        <f t="shared" si="49"/>
        <v>1</v>
      </c>
    </row>
    <row r="1584" spans="1:6" x14ac:dyDescent="0.35">
      <c r="A1584" s="5">
        <v>42373338</v>
      </c>
      <c r="B1584" s="6">
        <v>42940</v>
      </c>
      <c r="C1584" s="7">
        <v>0.51962962962962966</v>
      </c>
      <c r="D1584" s="8">
        <v>0.53030092592592593</v>
      </c>
      <c r="E1584">
        <f t="shared" si="48"/>
        <v>0</v>
      </c>
      <c r="F1584">
        <f t="shared" si="49"/>
        <v>1</v>
      </c>
    </row>
    <row r="1585" spans="1:6" x14ac:dyDescent="0.35">
      <c r="A1585" s="9">
        <v>39697250</v>
      </c>
      <c r="B1585" s="10">
        <v>42940</v>
      </c>
      <c r="C1585" s="11">
        <v>0.52520833333333339</v>
      </c>
      <c r="D1585" s="12">
        <v>0.52866898148148145</v>
      </c>
      <c r="E1585">
        <f t="shared" si="48"/>
        <v>0</v>
      </c>
      <c r="F1585">
        <f t="shared" si="49"/>
        <v>1</v>
      </c>
    </row>
    <row r="1586" spans="1:6" x14ac:dyDescent="0.35">
      <c r="A1586" s="5">
        <v>55464931</v>
      </c>
      <c r="B1586" s="6">
        <v>42940</v>
      </c>
      <c r="C1586" s="7">
        <v>0.5285185185185185</v>
      </c>
      <c r="D1586" s="8">
        <v>0.53349537037037043</v>
      </c>
      <c r="E1586">
        <f t="shared" si="48"/>
        <v>0</v>
      </c>
      <c r="F1586">
        <f t="shared" si="49"/>
        <v>1</v>
      </c>
    </row>
    <row r="1587" spans="1:6" x14ac:dyDescent="0.35">
      <c r="A1587" s="9">
        <v>3616291</v>
      </c>
      <c r="B1587" s="10">
        <v>42940</v>
      </c>
      <c r="C1587" s="11">
        <v>0.53403935185185181</v>
      </c>
      <c r="D1587" s="12">
        <v>0.54538194444444443</v>
      </c>
      <c r="E1587">
        <f t="shared" si="48"/>
        <v>1</v>
      </c>
      <c r="F1587">
        <f t="shared" si="49"/>
        <v>0</v>
      </c>
    </row>
    <row r="1588" spans="1:6" x14ac:dyDescent="0.35">
      <c r="A1588" s="5">
        <v>3473734</v>
      </c>
      <c r="B1588" s="6">
        <v>42940</v>
      </c>
      <c r="C1588" s="7">
        <v>0.53949074074074077</v>
      </c>
      <c r="D1588" s="8">
        <v>0.54844907407407406</v>
      </c>
      <c r="E1588">
        <f t="shared" si="48"/>
        <v>1</v>
      </c>
      <c r="F1588">
        <f t="shared" si="49"/>
        <v>0</v>
      </c>
    </row>
    <row r="1589" spans="1:6" x14ac:dyDescent="0.35">
      <c r="A1589" s="9">
        <v>63492662</v>
      </c>
      <c r="B1589" s="10">
        <v>42940</v>
      </c>
      <c r="C1589" s="11">
        <v>0.54060185185185183</v>
      </c>
      <c r="D1589" s="12">
        <v>0.54240740740740745</v>
      </c>
      <c r="E1589">
        <f t="shared" si="48"/>
        <v>0</v>
      </c>
      <c r="F1589">
        <f t="shared" si="49"/>
        <v>1</v>
      </c>
    </row>
    <row r="1590" spans="1:6" x14ac:dyDescent="0.35">
      <c r="A1590" s="5">
        <v>2104331</v>
      </c>
      <c r="B1590" s="6">
        <v>42940</v>
      </c>
      <c r="C1590" s="7">
        <v>0.54410879629629627</v>
      </c>
      <c r="D1590" s="8">
        <v>0.55207175925925922</v>
      </c>
      <c r="E1590">
        <f t="shared" si="48"/>
        <v>1</v>
      </c>
      <c r="F1590">
        <f t="shared" si="49"/>
        <v>0</v>
      </c>
    </row>
    <row r="1591" spans="1:6" x14ac:dyDescent="0.35">
      <c r="A1591" s="9">
        <v>9555643</v>
      </c>
      <c r="B1591" s="10">
        <v>42940</v>
      </c>
      <c r="C1591" s="11">
        <v>0.54478009259259264</v>
      </c>
      <c r="D1591" s="12">
        <v>0.55106481481481484</v>
      </c>
      <c r="E1591">
        <f t="shared" si="48"/>
        <v>1</v>
      </c>
      <c r="F1591">
        <f t="shared" si="49"/>
        <v>0</v>
      </c>
    </row>
    <row r="1592" spans="1:6" x14ac:dyDescent="0.35">
      <c r="A1592" s="5">
        <v>5220235</v>
      </c>
      <c r="B1592" s="6">
        <v>42940</v>
      </c>
      <c r="C1592" s="7">
        <v>0.54741898148148149</v>
      </c>
      <c r="D1592" s="8">
        <v>0.54915509259259254</v>
      </c>
      <c r="E1592">
        <f t="shared" si="48"/>
        <v>1</v>
      </c>
      <c r="F1592">
        <f t="shared" si="49"/>
        <v>0</v>
      </c>
    </row>
    <row r="1593" spans="1:6" x14ac:dyDescent="0.35">
      <c r="A1593" s="9">
        <v>26254490</v>
      </c>
      <c r="B1593" s="10">
        <v>42940</v>
      </c>
      <c r="C1593" s="11">
        <v>0.54773148148148143</v>
      </c>
      <c r="D1593" s="12">
        <v>0.55074074074074075</v>
      </c>
      <c r="E1593">
        <f t="shared" si="48"/>
        <v>0</v>
      </c>
      <c r="F1593">
        <f t="shared" si="49"/>
        <v>1</v>
      </c>
    </row>
    <row r="1594" spans="1:6" x14ac:dyDescent="0.35">
      <c r="A1594" s="5">
        <v>26463662</v>
      </c>
      <c r="B1594" s="6">
        <v>42940</v>
      </c>
      <c r="C1594" s="7">
        <v>0.55153935185185188</v>
      </c>
      <c r="D1594" s="8">
        <v>0.56090277777777775</v>
      </c>
      <c r="E1594">
        <f t="shared" si="48"/>
        <v>0</v>
      </c>
      <c r="F1594">
        <f t="shared" si="49"/>
        <v>1</v>
      </c>
    </row>
    <row r="1595" spans="1:6" x14ac:dyDescent="0.35">
      <c r="A1595" s="9">
        <v>2853860</v>
      </c>
      <c r="B1595" s="10">
        <v>42940</v>
      </c>
      <c r="C1595" s="11">
        <v>0.55491898148148144</v>
      </c>
      <c r="D1595" s="12">
        <v>0.55787037037037035</v>
      </c>
      <c r="E1595">
        <f t="shared" si="48"/>
        <v>1</v>
      </c>
      <c r="F1595">
        <f t="shared" si="49"/>
        <v>0</v>
      </c>
    </row>
    <row r="1596" spans="1:6" x14ac:dyDescent="0.35">
      <c r="A1596" s="5">
        <v>1829028</v>
      </c>
      <c r="B1596" s="6">
        <v>42940</v>
      </c>
      <c r="C1596" s="7">
        <v>0.5602893518518518</v>
      </c>
      <c r="D1596" s="8">
        <v>0.57128472222222226</v>
      </c>
      <c r="E1596">
        <f t="shared" si="48"/>
        <v>1</v>
      </c>
      <c r="F1596">
        <f t="shared" si="49"/>
        <v>0</v>
      </c>
    </row>
    <row r="1597" spans="1:6" x14ac:dyDescent="0.35">
      <c r="A1597" s="9">
        <v>1365581</v>
      </c>
      <c r="B1597" s="10">
        <v>42940</v>
      </c>
      <c r="C1597" s="11">
        <v>0.56196759259259255</v>
      </c>
      <c r="D1597" s="12">
        <v>0.57019675925925928</v>
      </c>
      <c r="E1597">
        <f t="shared" si="48"/>
        <v>1</v>
      </c>
      <c r="F1597">
        <f t="shared" si="49"/>
        <v>0</v>
      </c>
    </row>
    <row r="1598" spans="1:6" x14ac:dyDescent="0.35">
      <c r="A1598" s="5">
        <v>66800387</v>
      </c>
      <c r="B1598" s="6">
        <v>42940</v>
      </c>
      <c r="C1598" s="7">
        <v>0.5634837962962963</v>
      </c>
      <c r="D1598" s="8">
        <v>0.56763888888888892</v>
      </c>
      <c r="E1598">
        <f t="shared" si="48"/>
        <v>0</v>
      </c>
      <c r="F1598">
        <f t="shared" si="49"/>
        <v>1</v>
      </c>
    </row>
    <row r="1599" spans="1:6" x14ac:dyDescent="0.35">
      <c r="A1599" s="9">
        <v>9282666</v>
      </c>
      <c r="B1599" s="10">
        <v>42940</v>
      </c>
      <c r="C1599" s="11">
        <v>0.56879629629629624</v>
      </c>
      <c r="D1599" s="12">
        <v>0.56934027777777774</v>
      </c>
      <c r="E1599">
        <f t="shared" si="48"/>
        <v>1</v>
      </c>
      <c r="F1599">
        <f t="shared" si="49"/>
        <v>0</v>
      </c>
    </row>
    <row r="1600" spans="1:6" x14ac:dyDescent="0.35">
      <c r="A1600" s="5">
        <v>7994769</v>
      </c>
      <c r="B1600" s="6">
        <v>42940</v>
      </c>
      <c r="C1600" s="7">
        <v>0.56980324074074074</v>
      </c>
      <c r="D1600" s="8">
        <v>0.57826388888888891</v>
      </c>
      <c r="E1600">
        <f t="shared" si="48"/>
        <v>1</v>
      </c>
      <c r="F1600">
        <f t="shared" si="49"/>
        <v>0</v>
      </c>
    </row>
    <row r="1601" spans="1:6" x14ac:dyDescent="0.35">
      <c r="A1601" s="9">
        <v>3638038</v>
      </c>
      <c r="B1601" s="10">
        <v>42940</v>
      </c>
      <c r="C1601" s="11">
        <v>0.57262731481481477</v>
      </c>
      <c r="D1601" s="12">
        <v>0.57846064814814813</v>
      </c>
      <c r="E1601">
        <f t="shared" si="48"/>
        <v>1</v>
      </c>
      <c r="F1601">
        <f t="shared" si="49"/>
        <v>0</v>
      </c>
    </row>
    <row r="1602" spans="1:6" x14ac:dyDescent="0.35">
      <c r="A1602" s="5">
        <v>5221005</v>
      </c>
      <c r="B1602" s="6">
        <v>42940</v>
      </c>
      <c r="C1602" s="7">
        <v>0.57321759259259264</v>
      </c>
      <c r="D1602" s="8">
        <v>0.57461805555555556</v>
      </c>
      <c r="E1602">
        <f t="shared" si="48"/>
        <v>1</v>
      </c>
      <c r="F1602">
        <f t="shared" si="49"/>
        <v>0</v>
      </c>
    </row>
    <row r="1603" spans="1:6" x14ac:dyDescent="0.35">
      <c r="A1603" s="9">
        <v>3150344</v>
      </c>
      <c r="B1603" s="10">
        <v>42940</v>
      </c>
      <c r="C1603" s="11">
        <v>0.57322916666666668</v>
      </c>
      <c r="D1603" s="12">
        <v>0.58089120370370373</v>
      </c>
      <c r="E1603">
        <f t="shared" ref="E1603:E1666" si="50">IF(LEN(A1603)=7,1,0)</f>
        <v>1</v>
      </c>
      <c r="F1603">
        <f t="shared" ref="F1603:F1666" si="51">IF(LEN(A1603)=8,1,0)</f>
        <v>0</v>
      </c>
    </row>
    <row r="1604" spans="1:6" x14ac:dyDescent="0.35">
      <c r="A1604" s="5">
        <v>2780765</v>
      </c>
      <c r="B1604" s="6">
        <v>42940</v>
      </c>
      <c r="C1604" s="7">
        <v>0.57582175925925927</v>
      </c>
      <c r="D1604" s="8">
        <v>0.57693287037037033</v>
      </c>
      <c r="E1604">
        <f t="shared" si="50"/>
        <v>1</v>
      </c>
      <c r="F1604">
        <f t="shared" si="51"/>
        <v>0</v>
      </c>
    </row>
    <row r="1605" spans="1:6" x14ac:dyDescent="0.35">
      <c r="A1605" s="9">
        <v>3720500</v>
      </c>
      <c r="B1605" s="10">
        <v>42940</v>
      </c>
      <c r="C1605" s="11">
        <v>0.57660879629629624</v>
      </c>
      <c r="D1605" s="12">
        <v>0.58250000000000002</v>
      </c>
      <c r="E1605">
        <f t="shared" si="50"/>
        <v>1</v>
      </c>
      <c r="F1605">
        <f t="shared" si="51"/>
        <v>0</v>
      </c>
    </row>
    <row r="1606" spans="1:6" x14ac:dyDescent="0.35">
      <c r="A1606" s="5">
        <v>89419064</v>
      </c>
      <c r="B1606" s="6">
        <v>42940</v>
      </c>
      <c r="C1606" s="7">
        <v>0.57850694444444439</v>
      </c>
      <c r="D1606" s="8">
        <v>0.58456018518518515</v>
      </c>
      <c r="E1606">
        <f t="shared" si="50"/>
        <v>0</v>
      </c>
      <c r="F1606">
        <f t="shared" si="51"/>
        <v>1</v>
      </c>
    </row>
    <row r="1607" spans="1:6" x14ac:dyDescent="0.35">
      <c r="A1607" s="9">
        <v>9961121</v>
      </c>
      <c r="B1607" s="10">
        <v>42940</v>
      </c>
      <c r="C1607" s="11">
        <v>0.58304398148148151</v>
      </c>
      <c r="D1607" s="12">
        <v>0.58518518518518514</v>
      </c>
      <c r="E1607">
        <f t="shared" si="50"/>
        <v>1</v>
      </c>
      <c r="F1607">
        <f t="shared" si="51"/>
        <v>0</v>
      </c>
    </row>
    <row r="1608" spans="1:6" x14ac:dyDescent="0.35">
      <c r="A1608" s="5">
        <v>5303411</v>
      </c>
      <c r="B1608" s="6">
        <v>42940</v>
      </c>
      <c r="C1608" s="7">
        <v>0.58652777777777776</v>
      </c>
      <c r="D1608" s="8">
        <v>0.5917824074074074</v>
      </c>
      <c r="E1608">
        <f t="shared" si="50"/>
        <v>1</v>
      </c>
      <c r="F1608">
        <f t="shared" si="51"/>
        <v>0</v>
      </c>
    </row>
    <row r="1609" spans="1:6" x14ac:dyDescent="0.35">
      <c r="A1609" s="9">
        <v>4657345</v>
      </c>
      <c r="B1609" s="10">
        <v>42940</v>
      </c>
      <c r="C1609" s="11">
        <v>0.58981481481481479</v>
      </c>
      <c r="D1609" s="12">
        <v>0.59037037037037032</v>
      </c>
      <c r="E1609">
        <f t="shared" si="50"/>
        <v>1</v>
      </c>
      <c r="F1609">
        <f t="shared" si="51"/>
        <v>0</v>
      </c>
    </row>
    <row r="1610" spans="1:6" x14ac:dyDescent="0.35">
      <c r="A1610" s="5">
        <v>5850216</v>
      </c>
      <c r="B1610" s="6">
        <v>42940</v>
      </c>
      <c r="C1610" s="7">
        <v>0.59325231481481477</v>
      </c>
      <c r="D1610" s="8">
        <v>0.59866898148148151</v>
      </c>
      <c r="E1610">
        <f t="shared" si="50"/>
        <v>1</v>
      </c>
      <c r="F1610">
        <f t="shared" si="51"/>
        <v>0</v>
      </c>
    </row>
    <row r="1611" spans="1:6" x14ac:dyDescent="0.35">
      <c r="A1611" s="9">
        <v>4927402</v>
      </c>
      <c r="B1611" s="10">
        <v>42940</v>
      </c>
      <c r="C1611" s="11">
        <v>0.59351851851851856</v>
      </c>
      <c r="D1611" s="12">
        <v>0.60163194444444446</v>
      </c>
      <c r="E1611">
        <f t="shared" si="50"/>
        <v>1</v>
      </c>
      <c r="F1611">
        <f t="shared" si="51"/>
        <v>0</v>
      </c>
    </row>
    <row r="1612" spans="1:6" x14ac:dyDescent="0.35">
      <c r="A1612" s="5">
        <v>60113139</v>
      </c>
      <c r="B1612" s="6">
        <v>42940</v>
      </c>
      <c r="C1612" s="7">
        <v>0.59663194444444445</v>
      </c>
      <c r="D1612" s="8">
        <v>0.60359953703703706</v>
      </c>
      <c r="E1612">
        <f t="shared" si="50"/>
        <v>0</v>
      </c>
      <c r="F1612">
        <f t="shared" si="51"/>
        <v>1</v>
      </c>
    </row>
    <row r="1613" spans="1:6" x14ac:dyDescent="0.35">
      <c r="A1613" s="9">
        <v>2644526</v>
      </c>
      <c r="B1613" s="10">
        <v>42940</v>
      </c>
      <c r="C1613" s="11">
        <v>0.59864583333333332</v>
      </c>
      <c r="D1613" s="12">
        <v>0.6056597222222222</v>
      </c>
      <c r="E1613">
        <f t="shared" si="50"/>
        <v>1</v>
      </c>
      <c r="F1613">
        <f t="shared" si="51"/>
        <v>0</v>
      </c>
    </row>
    <row r="1614" spans="1:6" x14ac:dyDescent="0.35">
      <c r="A1614" s="5">
        <v>7226610</v>
      </c>
      <c r="B1614" s="6">
        <v>42940</v>
      </c>
      <c r="C1614" s="7">
        <v>0.6005787037037037</v>
      </c>
      <c r="D1614" s="8">
        <v>0.6107407407407407</v>
      </c>
      <c r="E1614">
        <f t="shared" si="50"/>
        <v>1</v>
      </c>
      <c r="F1614">
        <f t="shared" si="51"/>
        <v>0</v>
      </c>
    </row>
    <row r="1615" spans="1:6" x14ac:dyDescent="0.35">
      <c r="A1615" s="9">
        <v>9328179</v>
      </c>
      <c r="B1615" s="10">
        <v>42940</v>
      </c>
      <c r="C1615" s="11">
        <v>0.60211805555555553</v>
      </c>
      <c r="D1615" s="12">
        <v>0.60282407407407412</v>
      </c>
      <c r="E1615">
        <f t="shared" si="50"/>
        <v>1</v>
      </c>
      <c r="F1615">
        <f t="shared" si="51"/>
        <v>0</v>
      </c>
    </row>
    <row r="1616" spans="1:6" x14ac:dyDescent="0.35">
      <c r="A1616" s="5">
        <v>7457716</v>
      </c>
      <c r="B1616" s="6">
        <v>42940</v>
      </c>
      <c r="C1616" s="7">
        <v>0.6068634259259259</v>
      </c>
      <c r="D1616" s="8">
        <v>0.61152777777777778</v>
      </c>
      <c r="E1616">
        <f t="shared" si="50"/>
        <v>1</v>
      </c>
      <c r="F1616">
        <f t="shared" si="51"/>
        <v>0</v>
      </c>
    </row>
    <row r="1617" spans="1:6" x14ac:dyDescent="0.35">
      <c r="A1617" s="9">
        <v>1739364</v>
      </c>
      <c r="B1617" s="10">
        <v>42940</v>
      </c>
      <c r="C1617" s="11">
        <v>0.61100694444444448</v>
      </c>
      <c r="D1617" s="12">
        <v>0.62071759259259263</v>
      </c>
      <c r="E1617">
        <f t="shared" si="50"/>
        <v>1</v>
      </c>
      <c r="F1617">
        <f t="shared" si="51"/>
        <v>0</v>
      </c>
    </row>
    <row r="1618" spans="1:6" x14ac:dyDescent="0.35">
      <c r="A1618" s="5">
        <v>1677537</v>
      </c>
      <c r="B1618" s="6">
        <v>42940</v>
      </c>
      <c r="C1618" s="7">
        <v>0.61471064814814813</v>
      </c>
      <c r="D1618" s="8">
        <v>0.62232638888888892</v>
      </c>
      <c r="E1618">
        <f t="shared" si="50"/>
        <v>1</v>
      </c>
      <c r="F1618">
        <f t="shared" si="51"/>
        <v>0</v>
      </c>
    </row>
    <row r="1619" spans="1:6" x14ac:dyDescent="0.35">
      <c r="A1619" s="9">
        <v>55614678</v>
      </c>
      <c r="B1619" s="10">
        <v>42940</v>
      </c>
      <c r="C1619" s="11">
        <v>0.61826388888888884</v>
      </c>
      <c r="D1619" s="12">
        <v>0.62091435185185184</v>
      </c>
      <c r="E1619">
        <f t="shared" si="50"/>
        <v>0</v>
      </c>
      <c r="F1619">
        <f t="shared" si="51"/>
        <v>1</v>
      </c>
    </row>
    <row r="1620" spans="1:6" x14ac:dyDescent="0.35">
      <c r="A1620" s="5">
        <v>4272221</v>
      </c>
      <c r="B1620" s="6">
        <v>42940</v>
      </c>
      <c r="C1620" s="7">
        <v>0.62152777777777779</v>
      </c>
      <c r="D1620" s="8">
        <v>0.62572916666666667</v>
      </c>
      <c r="E1620">
        <f t="shared" si="50"/>
        <v>1</v>
      </c>
      <c r="F1620">
        <f t="shared" si="51"/>
        <v>0</v>
      </c>
    </row>
    <row r="1621" spans="1:6" x14ac:dyDescent="0.35">
      <c r="A1621" s="9">
        <v>1740380</v>
      </c>
      <c r="B1621" s="10">
        <v>42940</v>
      </c>
      <c r="C1621" s="11">
        <v>0.62605324074074076</v>
      </c>
      <c r="D1621" s="12">
        <v>0.63655092592592588</v>
      </c>
      <c r="E1621">
        <f t="shared" si="50"/>
        <v>1</v>
      </c>
      <c r="F1621">
        <f t="shared" si="51"/>
        <v>0</v>
      </c>
    </row>
    <row r="1622" spans="1:6" x14ac:dyDescent="0.35">
      <c r="A1622" s="5">
        <v>6005355</v>
      </c>
      <c r="B1622" s="6">
        <v>42941</v>
      </c>
      <c r="C1622" s="7">
        <v>0.33688657407407407</v>
      </c>
      <c r="D1622" s="8">
        <v>0.34452546296296294</v>
      </c>
      <c r="E1622">
        <f t="shared" si="50"/>
        <v>1</v>
      </c>
      <c r="F1622">
        <f t="shared" si="51"/>
        <v>0</v>
      </c>
    </row>
    <row r="1623" spans="1:6" x14ac:dyDescent="0.35">
      <c r="A1623" s="9">
        <v>2400590</v>
      </c>
      <c r="B1623" s="10">
        <v>42941</v>
      </c>
      <c r="C1623" s="11">
        <v>0.34145833333333331</v>
      </c>
      <c r="D1623" s="12">
        <v>0.34645833333333331</v>
      </c>
      <c r="E1623">
        <f t="shared" si="50"/>
        <v>1</v>
      </c>
      <c r="F1623">
        <f t="shared" si="51"/>
        <v>0</v>
      </c>
    </row>
    <row r="1624" spans="1:6" x14ac:dyDescent="0.35">
      <c r="A1624" s="5">
        <v>7918038</v>
      </c>
      <c r="B1624" s="6">
        <v>42941</v>
      </c>
      <c r="C1624" s="7">
        <v>0.34278935185185183</v>
      </c>
      <c r="D1624" s="8">
        <v>0.34370370370370368</v>
      </c>
      <c r="E1624">
        <f t="shared" si="50"/>
        <v>1</v>
      </c>
      <c r="F1624">
        <f t="shared" si="51"/>
        <v>0</v>
      </c>
    </row>
    <row r="1625" spans="1:6" x14ac:dyDescent="0.35">
      <c r="A1625" s="9">
        <v>7969038</v>
      </c>
      <c r="B1625" s="10">
        <v>42941</v>
      </c>
      <c r="C1625" s="11">
        <v>0.34605324074074073</v>
      </c>
      <c r="D1625" s="12">
        <v>0.35744212962962962</v>
      </c>
      <c r="E1625">
        <f t="shared" si="50"/>
        <v>1</v>
      </c>
      <c r="F1625">
        <f t="shared" si="51"/>
        <v>0</v>
      </c>
    </row>
    <row r="1626" spans="1:6" x14ac:dyDescent="0.35">
      <c r="A1626" s="5">
        <v>5833452</v>
      </c>
      <c r="B1626" s="6">
        <v>42941</v>
      </c>
      <c r="C1626" s="7">
        <v>0.34989583333333335</v>
      </c>
      <c r="D1626" s="8">
        <v>0.35214120370370372</v>
      </c>
      <c r="E1626">
        <f t="shared" si="50"/>
        <v>1</v>
      </c>
      <c r="F1626">
        <f t="shared" si="51"/>
        <v>0</v>
      </c>
    </row>
    <row r="1627" spans="1:6" x14ac:dyDescent="0.35">
      <c r="A1627" s="9">
        <v>11425383</v>
      </c>
      <c r="B1627" s="10">
        <v>42941</v>
      </c>
      <c r="C1627" s="11">
        <v>0.35267361111111112</v>
      </c>
      <c r="D1627" s="12">
        <v>0.36171296296296296</v>
      </c>
      <c r="E1627">
        <f t="shared" si="50"/>
        <v>0</v>
      </c>
      <c r="F1627">
        <f t="shared" si="51"/>
        <v>1</v>
      </c>
    </row>
    <row r="1628" spans="1:6" x14ac:dyDescent="0.35">
      <c r="A1628" s="5">
        <v>2900584</v>
      </c>
      <c r="B1628" s="6">
        <v>42941</v>
      </c>
      <c r="C1628" s="7">
        <v>0.35335648148148147</v>
      </c>
      <c r="D1628" s="8">
        <v>0.36329861111111111</v>
      </c>
      <c r="E1628">
        <f t="shared" si="50"/>
        <v>1</v>
      </c>
      <c r="F1628">
        <f t="shared" si="51"/>
        <v>0</v>
      </c>
    </row>
    <row r="1629" spans="1:6" x14ac:dyDescent="0.35">
      <c r="A1629" s="9">
        <v>77705897</v>
      </c>
      <c r="B1629" s="10">
        <v>42941</v>
      </c>
      <c r="C1629" s="11">
        <v>0.35603009259259261</v>
      </c>
      <c r="D1629" s="12">
        <v>0.35928240740740741</v>
      </c>
      <c r="E1629">
        <f t="shared" si="50"/>
        <v>0</v>
      </c>
      <c r="F1629">
        <f t="shared" si="51"/>
        <v>1</v>
      </c>
    </row>
    <row r="1630" spans="1:6" x14ac:dyDescent="0.35">
      <c r="A1630" s="5">
        <v>48497496</v>
      </c>
      <c r="B1630" s="6">
        <v>42941</v>
      </c>
      <c r="C1630" s="7">
        <v>0.35881944444444447</v>
      </c>
      <c r="D1630" s="8">
        <v>0.36379629629629628</v>
      </c>
      <c r="E1630">
        <f t="shared" si="50"/>
        <v>0</v>
      </c>
      <c r="F1630">
        <f t="shared" si="51"/>
        <v>1</v>
      </c>
    </row>
    <row r="1631" spans="1:6" x14ac:dyDescent="0.35">
      <c r="A1631" s="9">
        <v>98695684</v>
      </c>
      <c r="B1631" s="10">
        <v>42941</v>
      </c>
      <c r="C1631" s="11">
        <v>0.3634722222222222</v>
      </c>
      <c r="D1631" s="12">
        <v>0.37498842592592591</v>
      </c>
      <c r="E1631">
        <f t="shared" si="50"/>
        <v>0</v>
      </c>
      <c r="F1631">
        <f t="shared" si="51"/>
        <v>1</v>
      </c>
    </row>
    <row r="1632" spans="1:6" x14ac:dyDescent="0.35">
      <c r="A1632" s="5">
        <v>7712618</v>
      </c>
      <c r="B1632" s="6">
        <v>42941</v>
      </c>
      <c r="C1632" s="7">
        <v>0.36773148148148149</v>
      </c>
      <c r="D1632" s="8">
        <v>0.37118055555555557</v>
      </c>
      <c r="E1632">
        <f t="shared" si="50"/>
        <v>1</v>
      </c>
      <c r="F1632">
        <f t="shared" si="51"/>
        <v>0</v>
      </c>
    </row>
    <row r="1633" spans="1:6" x14ac:dyDescent="0.35">
      <c r="A1633" s="9">
        <v>8872311</v>
      </c>
      <c r="B1633" s="10">
        <v>42941</v>
      </c>
      <c r="C1633" s="11">
        <v>0.36854166666666666</v>
      </c>
      <c r="D1633" s="12">
        <v>0.37072916666666667</v>
      </c>
      <c r="E1633">
        <f t="shared" si="50"/>
        <v>1</v>
      </c>
      <c r="F1633">
        <f t="shared" si="51"/>
        <v>0</v>
      </c>
    </row>
    <row r="1634" spans="1:6" x14ac:dyDescent="0.35">
      <c r="A1634" s="5">
        <v>6056372</v>
      </c>
      <c r="B1634" s="6">
        <v>42941</v>
      </c>
      <c r="C1634" s="7">
        <v>0.36930555555555555</v>
      </c>
      <c r="D1634" s="8">
        <v>0.37615740740740738</v>
      </c>
      <c r="E1634">
        <f t="shared" si="50"/>
        <v>1</v>
      </c>
      <c r="F1634">
        <f t="shared" si="51"/>
        <v>0</v>
      </c>
    </row>
    <row r="1635" spans="1:6" x14ac:dyDescent="0.35">
      <c r="A1635" s="9">
        <v>8936656</v>
      </c>
      <c r="B1635" s="10">
        <v>42941</v>
      </c>
      <c r="C1635" s="11">
        <v>0.37222222222222223</v>
      </c>
      <c r="D1635" s="12">
        <v>0.37883101851851853</v>
      </c>
      <c r="E1635">
        <f t="shared" si="50"/>
        <v>1</v>
      </c>
      <c r="F1635">
        <f t="shared" si="51"/>
        <v>0</v>
      </c>
    </row>
    <row r="1636" spans="1:6" x14ac:dyDescent="0.35">
      <c r="A1636" s="5">
        <v>22966872</v>
      </c>
      <c r="B1636" s="6">
        <v>42941</v>
      </c>
      <c r="C1636" s="7">
        <v>0.37277777777777776</v>
      </c>
      <c r="D1636" s="8">
        <v>0.37791666666666668</v>
      </c>
      <c r="E1636">
        <f t="shared" si="50"/>
        <v>0</v>
      </c>
      <c r="F1636">
        <f t="shared" si="51"/>
        <v>1</v>
      </c>
    </row>
    <row r="1637" spans="1:6" x14ac:dyDescent="0.35">
      <c r="A1637" s="9">
        <v>3908162</v>
      </c>
      <c r="B1637" s="10">
        <v>42941</v>
      </c>
      <c r="C1637" s="11">
        <v>0.37805555555555553</v>
      </c>
      <c r="D1637" s="12">
        <v>0.38770833333333332</v>
      </c>
      <c r="E1637">
        <f t="shared" si="50"/>
        <v>1</v>
      </c>
      <c r="F1637">
        <f t="shared" si="51"/>
        <v>0</v>
      </c>
    </row>
    <row r="1638" spans="1:6" x14ac:dyDescent="0.35">
      <c r="A1638" s="5">
        <v>20485333</v>
      </c>
      <c r="B1638" s="6">
        <v>42941</v>
      </c>
      <c r="C1638" s="7">
        <v>0.38230324074074074</v>
      </c>
      <c r="D1638" s="8">
        <v>0.39293981481481483</v>
      </c>
      <c r="E1638">
        <f t="shared" si="50"/>
        <v>0</v>
      </c>
      <c r="F1638">
        <f t="shared" si="51"/>
        <v>1</v>
      </c>
    </row>
    <row r="1639" spans="1:6" x14ac:dyDescent="0.35">
      <c r="A1639" s="9">
        <v>78709747</v>
      </c>
      <c r="B1639" s="10">
        <v>42941</v>
      </c>
      <c r="C1639" s="11">
        <v>0.38638888888888889</v>
      </c>
      <c r="D1639" s="12">
        <v>0.38983796296296297</v>
      </c>
      <c r="E1639">
        <f t="shared" si="50"/>
        <v>0</v>
      </c>
      <c r="F1639">
        <f t="shared" si="51"/>
        <v>1</v>
      </c>
    </row>
    <row r="1640" spans="1:6" x14ac:dyDescent="0.35">
      <c r="A1640" s="5">
        <v>1859884</v>
      </c>
      <c r="B1640" s="6">
        <v>42941</v>
      </c>
      <c r="C1640" s="7">
        <v>0.38668981481481479</v>
      </c>
      <c r="D1640" s="8">
        <v>0.3913773148148148</v>
      </c>
      <c r="E1640">
        <f t="shared" si="50"/>
        <v>1</v>
      </c>
      <c r="F1640">
        <f t="shared" si="51"/>
        <v>0</v>
      </c>
    </row>
    <row r="1641" spans="1:6" x14ac:dyDescent="0.35">
      <c r="A1641" s="9">
        <v>2866546</v>
      </c>
      <c r="B1641" s="10">
        <v>42941</v>
      </c>
      <c r="C1641" s="11">
        <v>0.39038194444444446</v>
      </c>
      <c r="D1641" s="12">
        <v>0.39797453703703706</v>
      </c>
      <c r="E1641">
        <f t="shared" si="50"/>
        <v>1</v>
      </c>
      <c r="F1641">
        <f t="shared" si="51"/>
        <v>0</v>
      </c>
    </row>
    <row r="1642" spans="1:6" x14ac:dyDescent="0.35">
      <c r="A1642" s="5">
        <v>23715237</v>
      </c>
      <c r="B1642" s="6">
        <v>42941</v>
      </c>
      <c r="C1642" s="7">
        <v>0.39152777777777775</v>
      </c>
      <c r="D1642" s="8">
        <v>0.39559027777777778</v>
      </c>
      <c r="E1642">
        <f t="shared" si="50"/>
        <v>0</v>
      </c>
      <c r="F1642">
        <f t="shared" si="51"/>
        <v>1</v>
      </c>
    </row>
    <row r="1643" spans="1:6" x14ac:dyDescent="0.35">
      <c r="A1643" s="9">
        <v>6013508</v>
      </c>
      <c r="B1643" s="10">
        <v>42941</v>
      </c>
      <c r="C1643" s="11">
        <v>0.39195601851851852</v>
      </c>
      <c r="D1643" s="12">
        <v>0.39401620370370372</v>
      </c>
      <c r="E1643">
        <f t="shared" si="50"/>
        <v>1</v>
      </c>
      <c r="F1643">
        <f t="shared" si="51"/>
        <v>0</v>
      </c>
    </row>
    <row r="1644" spans="1:6" x14ac:dyDescent="0.35">
      <c r="A1644" s="5">
        <v>6175467</v>
      </c>
      <c r="B1644" s="6">
        <v>42941</v>
      </c>
      <c r="C1644" s="7">
        <v>0.39753472222222225</v>
      </c>
      <c r="D1644" s="8">
        <v>0.40424768518518517</v>
      </c>
      <c r="E1644">
        <f t="shared" si="50"/>
        <v>1</v>
      </c>
      <c r="F1644">
        <f t="shared" si="51"/>
        <v>0</v>
      </c>
    </row>
    <row r="1645" spans="1:6" x14ac:dyDescent="0.35">
      <c r="A1645" s="9">
        <v>22416837</v>
      </c>
      <c r="B1645" s="10">
        <v>42941</v>
      </c>
      <c r="C1645" s="11">
        <v>0.39881944444444445</v>
      </c>
      <c r="D1645" s="12">
        <v>0.40244212962962961</v>
      </c>
      <c r="E1645">
        <f t="shared" si="50"/>
        <v>0</v>
      </c>
      <c r="F1645">
        <f t="shared" si="51"/>
        <v>1</v>
      </c>
    </row>
    <row r="1646" spans="1:6" x14ac:dyDescent="0.35">
      <c r="A1646" s="5">
        <v>9065927</v>
      </c>
      <c r="B1646" s="6">
        <v>42941</v>
      </c>
      <c r="C1646" s="7">
        <v>0.3991898148148148</v>
      </c>
      <c r="D1646" s="8">
        <v>0.40934027777777776</v>
      </c>
      <c r="E1646">
        <f t="shared" si="50"/>
        <v>1</v>
      </c>
      <c r="F1646">
        <f t="shared" si="51"/>
        <v>0</v>
      </c>
    </row>
    <row r="1647" spans="1:6" x14ac:dyDescent="0.35">
      <c r="A1647" s="9">
        <v>8849918</v>
      </c>
      <c r="B1647" s="10">
        <v>42941</v>
      </c>
      <c r="C1647" s="11">
        <v>0.40263888888888888</v>
      </c>
      <c r="D1647" s="12">
        <v>0.40636574074074072</v>
      </c>
      <c r="E1647">
        <f t="shared" si="50"/>
        <v>1</v>
      </c>
      <c r="F1647">
        <f t="shared" si="51"/>
        <v>0</v>
      </c>
    </row>
    <row r="1648" spans="1:6" x14ac:dyDescent="0.35">
      <c r="A1648" s="5">
        <v>8250018</v>
      </c>
      <c r="B1648" s="6">
        <v>42941</v>
      </c>
      <c r="C1648" s="7">
        <v>0.40552083333333333</v>
      </c>
      <c r="D1648" s="8">
        <v>0.41104166666666669</v>
      </c>
      <c r="E1648">
        <f t="shared" si="50"/>
        <v>1</v>
      </c>
      <c r="F1648">
        <f t="shared" si="51"/>
        <v>0</v>
      </c>
    </row>
    <row r="1649" spans="1:6" x14ac:dyDescent="0.35">
      <c r="A1649" s="9">
        <v>20349502</v>
      </c>
      <c r="B1649" s="10">
        <v>42941</v>
      </c>
      <c r="C1649" s="11">
        <v>0.40979166666666667</v>
      </c>
      <c r="D1649" s="12">
        <v>0.41252314814814817</v>
      </c>
      <c r="E1649">
        <f t="shared" si="50"/>
        <v>0</v>
      </c>
      <c r="F1649">
        <f t="shared" si="51"/>
        <v>1</v>
      </c>
    </row>
    <row r="1650" spans="1:6" x14ac:dyDescent="0.35">
      <c r="A1650" s="5">
        <v>9894723</v>
      </c>
      <c r="B1650" s="6">
        <v>42941</v>
      </c>
      <c r="C1650" s="7">
        <v>0.40988425925925925</v>
      </c>
      <c r="D1650" s="8">
        <v>0.41157407407407409</v>
      </c>
      <c r="E1650">
        <f t="shared" si="50"/>
        <v>1</v>
      </c>
      <c r="F1650">
        <f t="shared" si="51"/>
        <v>0</v>
      </c>
    </row>
    <row r="1651" spans="1:6" x14ac:dyDescent="0.35">
      <c r="A1651" s="9">
        <v>9458504</v>
      </c>
      <c r="B1651" s="10">
        <v>42941</v>
      </c>
      <c r="C1651" s="11">
        <v>0.41054398148148147</v>
      </c>
      <c r="D1651" s="12">
        <v>0.41620370370370369</v>
      </c>
      <c r="E1651">
        <f t="shared" si="50"/>
        <v>1</v>
      </c>
      <c r="F1651">
        <f t="shared" si="51"/>
        <v>0</v>
      </c>
    </row>
    <row r="1652" spans="1:6" x14ac:dyDescent="0.35">
      <c r="A1652" s="5">
        <v>6741642</v>
      </c>
      <c r="B1652" s="6">
        <v>42941</v>
      </c>
      <c r="C1652" s="7">
        <v>0.41449074074074072</v>
      </c>
      <c r="D1652" s="8">
        <v>0.42371527777777779</v>
      </c>
      <c r="E1652">
        <f t="shared" si="50"/>
        <v>1</v>
      </c>
      <c r="F1652">
        <f t="shared" si="51"/>
        <v>0</v>
      </c>
    </row>
    <row r="1653" spans="1:6" x14ac:dyDescent="0.35">
      <c r="A1653" s="9">
        <v>4824710</v>
      </c>
      <c r="B1653" s="10">
        <v>42941</v>
      </c>
      <c r="C1653" s="11">
        <v>0.42008101851851853</v>
      </c>
      <c r="D1653" s="12">
        <v>0.4206597222222222</v>
      </c>
      <c r="E1653">
        <f t="shared" si="50"/>
        <v>1</v>
      </c>
      <c r="F1653">
        <f t="shared" si="51"/>
        <v>0</v>
      </c>
    </row>
    <row r="1654" spans="1:6" x14ac:dyDescent="0.35">
      <c r="A1654" s="5">
        <v>6465122</v>
      </c>
      <c r="B1654" s="6">
        <v>42941</v>
      </c>
      <c r="C1654" s="7">
        <v>0.42188657407407409</v>
      </c>
      <c r="D1654" s="8">
        <v>0.43138888888888888</v>
      </c>
      <c r="E1654">
        <f t="shared" si="50"/>
        <v>1</v>
      </c>
      <c r="F1654">
        <f t="shared" si="51"/>
        <v>0</v>
      </c>
    </row>
    <row r="1655" spans="1:6" x14ac:dyDescent="0.35">
      <c r="A1655" s="9">
        <v>6940373</v>
      </c>
      <c r="B1655" s="10">
        <v>42941</v>
      </c>
      <c r="C1655" s="11">
        <v>0.42711805555555554</v>
      </c>
      <c r="D1655" s="12">
        <v>0.43450231481481483</v>
      </c>
      <c r="E1655">
        <f t="shared" si="50"/>
        <v>1</v>
      </c>
      <c r="F1655">
        <f t="shared" si="51"/>
        <v>0</v>
      </c>
    </row>
    <row r="1656" spans="1:6" x14ac:dyDescent="0.35">
      <c r="A1656" s="5">
        <v>81613163</v>
      </c>
      <c r="B1656" s="6">
        <v>42941</v>
      </c>
      <c r="C1656" s="7">
        <v>0.43004629629629632</v>
      </c>
      <c r="D1656" s="8">
        <v>0.43855324074074076</v>
      </c>
      <c r="E1656">
        <f t="shared" si="50"/>
        <v>0</v>
      </c>
      <c r="F1656">
        <f t="shared" si="51"/>
        <v>1</v>
      </c>
    </row>
    <row r="1657" spans="1:6" x14ac:dyDescent="0.35">
      <c r="A1657" s="9">
        <v>9894998</v>
      </c>
      <c r="B1657" s="10">
        <v>42941</v>
      </c>
      <c r="C1657" s="11">
        <v>0.4344675925925926</v>
      </c>
      <c r="D1657" s="12">
        <v>0.44442129629629629</v>
      </c>
      <c r="E1657">
        <f t="shared" si="50"/>
        <v>1</v>
      </c>
      <c r="F1657">
        <f t="shared" si="51"/>
        <v>0</v>
      </c>
    </row>
    <row r="1658" spans="1:6" x14ac:dyDescent="0.35">
      <c r="A1658" s="5">
        <v>7663988</v>
      </c>
      <c r="B1658" s="6">
        <v>42941</v>
      </c>
      <c r="C1658" s="7">
        <v>0.43884259259259262</v>
      </c>
      <c r="D1658" s="8">
        <v>0.44464120370370369</v>
      </c>
      <c r="E1658">
        <f t="shared" si="50"/>
        <v>1</v>
      </c>
      <c r="F1658">
        <f t="shared" si="51"/>
        <v>0</v>
      </c>
    </row>
    <row r="1659" spans="1:6" x14ac:dyDescent="0.35">
      <c r="A1659" s="9">
        <v>29555837</v>
      </c>
      <c r="B1659" s="10">
        <v>42941</v>
      </c>
      <c r="C1659" s="11">
        <v>0.44231481481481483</v>
      </c>
      <c r="D1659" s="12">
        <v>0.45185185185185184</v>
      </c>
      <c r="E1659">
        <f t="shared" si="50"/>
        <v>0</v>
      </c>
      <c r="F1659">
        <f t="shared" si="51"/>
        <v>1</v>
      </c>
    </row>
    <row r="1660" spans="1:6" x14ac:dyDescent="0.35">
      <c r="A1660" s="5">
        <v>6890486</v>
      </c>
      <c r="B1660" s="6">
        <v>42941</v>
      </c>
      <c r="C1660" s="7">
        <v>0.44594907407407408</v>
      </c>
      <c r="D1660" s="8">
        <v>0.45099537037037035</v>
      </c>
      <c r="E1660">
        <f t="shared" si="50"/>
        <v>1</v>
      </c>
      <c r="F1660">
        <f t="shared" si="51"/>
        <v>0</v>
      </c>
    </row>
    <row r="1661" spans="1:6" x14ac:dyDescent="0.35">
      <c r="A1661" s="9">
        <v>1992079</v>
      </c>
      <c r="B1661" s="10">
        <v>42941</v>
      </c>
      <c r="C1661" s="11">
        <v>0.45004629629629628</v>
      </c>
      <c r="D1661" s="12">
        <v>0.45568287037037036</v>
      </c>
      <c r="E1661">
        <f t="shared" si="50"/>
        <v>1</v>
      </c>
      <c r="F1661">
        <f t="shared" si="51"/>
        <v>0</v>
      </c>
    </row>
    <row r="1662" spans="1:6" x14ac:dyDescent="0.35">
      <c r="A1662" s="5">
        <v>7599611</v>
      </c>
      <c r="B1662" s="6">
        <v>42941</v>
      </c>
      <c r="C1662" s="7">
        <v>0.45217592592592593</v>
      </c>
      <c r="D1662" s="8">
        <v>0.4568402777777778</v>
      </c>
      <c r="E1662">
        <f t="shared" si="50"/>
        <v>1</v>
      </c>
      <c r="F1662">
        <f t="shared" si="51"/>
        <v>0</v>
      </c>
    </row>
    <row r="1663" spans="1:6" x14ac:dyDescent="0.35">
      <c r="A1663" s="9">
        <v>1418351</v>
      </c>
      <c r="B1663" s="10">
        <v>42941</v>
      </c>
      <c r="C1663" s="11">
        <v>0.45377314814814818</v>
      </c>
      <c r="D1663" s="12">
        <v>0.45409722222222221</v>
      </c>
      <c r="E1663">
        <f t="shared" si="50"/>
        <v>1</v>
      </c>
      <c r="F1663">
        <f t="shared" si="51"/>
        <v>0</v>
      </c>
    </row>
    <row r="1664" spans="1:6" x14ac:dyDescent="0.35">
      <c r="A1664" s="5">
        <v>5883714</v>
      </c>
      <c r="B1664" s="6">
        <v>42941</v>
      </c>
      <c r="C1664" s="7">
        <v>0.45886574074074077</v>
      </c>
      <c r="D1664" s="8">
        <v>0.46630787037037036</v>
      </c>
      <c r="E1664">
        <f t="shared" si="50"/>
        <v>1</v>
      </c>
      <c r="F1664">
        <f t="shared" si="51"/>
        <v>0</v>
      </c>
    </row>
    <row r="1665" spans="1:6" x14ac:dyDescent="0.35">
      <c r="A1665" s="9">
        <v>1457083</v>
      </c>
      <c r="B1665" s="10">
        <v>42941</v>
      </c>
      <c r="C1665" s="11">
        <v>0.46381944444444445</v>
      </c>
      <c r="D1665" s="12">
        <v>0.47520833333333334</v>
      </c>
      <c r="E1665">
        <f t="shared" si="50"/>
        <v>1</v>
      </c>
      <c r="F1665">
        <f t="shared" si="51"/>
        <v>0</v>
      </c>
    </row>
    <row r="1666" spans="1:6" x14ac:dyDescent="0.35">
      <c r="A1666" s="5">
        <v>9948096</v>
      </c>
      <c r="B1666" s="6">
        <v>42941</v>
      </c>
      <c r="C1666" s="7">
        <v>0.46564814814814814</v>
      </c>
      <c r="D1666" s="8">
        <v>0.47028935185185183</v>
      </c>
      <c r="E1666">
        <f t="shared" si="50"/>
        <v>1</v>
      </c>
      <c r="F1666">
        <f t="shared" si="51"/>
        <v>0</v>
      </c>
    </row>
    <row r="1667" spans="1:6" x14ac:dyDescent="0.35">
      <c r="A1667" s="9">
        <v>2567031</v>
      </c>
      <c r="B1667" s="10">
        <v>42941</v>
      </c>
      <c r="C1667" s="11">
        <v>0.47077546296296297</v>
      </c>
      <c r="D1667" s="12">
        <v>0.47538194444444443</v>
      </c>
      <c r="E1667">
        <f t="shared" ref="E1667:E1730" si="52">IF(LEN(A1667)=7,1,0)</f>
        <v>1</v>
      </c>
      <c r="F1667">
        <f t="shared" ref="F1667:F1730" si="53">IF(LEN(A1667)=8,1,0)</f>
        <v>0</v>
      </c>
    </row>
    <row r="1668" spans="1:6" x14ac:dyDescent="0.35">
      <c r="A1668" s="5">
        <v>5952625</v>
      </c>
      <c r="B1668" s="6">
        <v>42941</v>
      </c>
      <c r="C1668" s="7">
        <v>0.4729976851851852</v>
      </c>
      <c r="D1668" s="8">
        <v>0.47553240740740743</v>
      </c>
      <c r="E1668">
        <f t="shared" si="52"/>
        <v>1</v>
      </c>
      <c r="F1668">
        <f t="shared" si="53"/>
        <v>0</v>
      </c>
    </row>
    <row r="1669" spans="1:6" x14ac:dyDescent="0.35">
      <c r="A1669" s="9">
        <v>8284495</v>
      </c>
      <c r="B1669" s="10">
        <v>42941</v>
      </c>
      <c r="C1669" s="11">
        <v>0.47385416666666669</v>
      </c>
      <c r="D1669" s="12">
        <v>0.47505787037037039</v>
      </c>
      <c r="E1669">
        <f t="shared" si="52"/>
        <v>1</v>
      </c>
      <c r="F1669">
        <f t="shared" si="53"/>
        <v>0</v>
      </c>
    </row>
    <row r="1670" spans="1:6" x14ac:dyDescent="0.35">
      <c r="A1670" s="5">
        <v>5354141</v>
      </c>
      <c r="B1670" s="6">
        <v>42941</v>
      </c>
      <c r="C1670" s="7">
        <v>0.47591435185185182</v>
      </c>
      <c r="D1670" s="8">
        <v>0.47734953703703703</v>
      </c>
      <c r="E1670">
        <f t="shared" si="52"/>
        <v>1</v>
      </c>
      <c r="F1670">
        <f t="shared" si="53"/>
        <v>0</v>
      </c>
    </row>
    <row r="1671" spans="1:6" x14ac:dyDescent="0.35">
      <c r="A1671" s="9">
        <v>5713477</v>
      </c>
      <c r="B1671" s="10">
        <v>42941</v>
      </c>
      <c r="C1671" s="11">
        <v>0.4770138888888889</v>
      </c>
      <c r="D1671" s="12">
        <v>0.48685185185185187</v>
      </c>
      <c r="E1671">
        <f t="shared" si="52"/>
        <v>1</v>
      </c>
      <c r="F1671">
        <f t="shared" si="53"/>
        <v>0</v>
      </c>
    </row>
    <row r="1672" spans="1:6" x14ac:dyDescent="0.35">
      <c r="A1672" s="5">
        <v>6865322</v>
      </c>
      <c r="B1672" s="6">
        <v>42941</v>
      </c>
      <c r="C1672" s="7">
        <v>0.47781249999999997</v>
      </c>
      <c r="D1672" s="8">
        <v>0.48425925925925928</v>
      </c>
      <c r="E1672">
        <f t="shared" si="52"/>
        <v>1</v>
      </c>
      <c r="F1672">
        <f t="shared" si="53"/>
        <v>0</v>
      </c>
    </row>
    <row r="1673" spans="1:6" x14ac:dyDescent="0.35">
      <c r="A1673" s="9">
        <v>9007177570</v>
      </c>
      <c r="B1673" s="10">
        <v>42941</v>
      </c>
      <c r="C1673" s="11">
        <v>0.47957175925925927</v>
      </c>
      <c r="D1673" s="12">
        <v>0.48254629629629631</v>
      </c>
      <c r="E1673">
        <f t="shared" si="52"/>
        <v>0</v>
      </c>
      <c r="F1673">
        <f t="shared" si="53"/>
        <v>0</v>
      </c>
    </row>
    <row r="1674" spans="1:6" x14ac:dyDescent="0.35">
      <c r="A1674" s="5">
        <v>49920930</v>
      </c>
      <c r="B1674" s="6">
        <v>42941</v>
      </c>
      <c r="C1674" s="7">
        <v>0.48457175925925927</v>
      </c>
      <c r="D1674" s="8">
        <v>0.48851851851851852</v>
      </c>
      <c r="E1674">
        <f t="shared" si="52"/>
        <v>0</v>
      </c>
      <c r="F1674">
        <f t="shared" si="53"/>
        <v>1</v>
      </c>
    </row>
    <row r="1675" spans="1:6" x14ac:dyDescent="0.35">
      <c r="A1675" s="9">
        <v>3624713</v>
      </c>
      <c r="B1675" s="10">
        <v>42941</v>
      </c>
      <c r="C1675" s="11">
        <v>0.48563657407407407</v>
      </c>
      <c r="D1675" s="12">
        <v>0.49687500000000001</v>
      </c>
      <c r="E1675">
        <f t="shared" si="52"/>
        <v>1</v>
      </c>
      <c r="F1675">
        <f t="shared" si="53"/>
        <v>0</v>
      </c>
    </row>
    <row r="1676" spans="1:6" x14ac:dyDescent="0.35">
      <c r="A1676" s="5">
        <v>39848401</v>
      </c>
      <c r="B1676" s="6">
        <v>42941</v>
      </c>
      <c r="C1676" s="7">
        <v>0.48615740740740743</v>
      </c>
      <c r="D1676" s="8">
        <v>0.49478009259259259</v>
      </c>
      <c r="E1676">
        <f t="shared" si="52"/>
        <v>0</v>
      </c>
      <c r="F1676">
        <f t="shared" si="53"/>
        <v>1</v>
      </c>
    </row>
    <row r="1677" spans="1:6" x14ac:dyDescent="0.35">
      <c r="A1677" s="9">
        <v>4131448</v>
      </c>
      <c r="B1677" s="10">
        <v>42941</v>
      </c>
      <c r="C1677" s="11">
        <v>0.48975694444444445</v>
      </c>
      <c r="D1677" s="12">
        <v>0.49530092592592595</v>
      </c>
      <c r="E1677">
        <f t="shared" si="52"/>
        <v>1</v>
      </c>
      <c r="F1677">
        <f t="shared" si="53"/>
        <v>0</v>
      </c>
    </row>
    <row r="1678" spans="1:6" x14ac:dyDescent="0.35">
      <c r="A1678" s="5">
        <v>2239958</v>
      </c>
      <c r="B1678" s="6">
        <v>42941</v>
      </c>
      <c r="C1678" s="7">
        <v>0.49523148148148149</v>
      </c>
      <c r="D1678" s="8">
        <v>0.49962962962962965</v>
      </c>
      <c r="E1678">
        <f t="shared" si="52"/>
        <v>1</v>
      </c>
      <c r="F1678">
        <f t="shared" si="53"/>
        <v>0</v>
      </c>
    </row>
    <row r="1679" spans="1:6" x14ac:dyDescent="0.35">
      <c r="A1679" s="9">
        <v>3680149</v>
      </c>
      <c r="B1679" s="10">
        <v>42941</v>
      </c>
      <c r="C1679" s="11">
        <v>0.49556712962962962</v>
      </c>
      <c r="D1679" s="12">
        <v>0.49927083333333333</v>
      </c>
      <c r="E1679">
        <f t="shared" si="52"/>
        <v>1</v>
      </c>
      <c r="F1679">
        <f t="shared" si="53"/>
        <v>0</v>
      </c>
    </row>
    <row r="1680" spans="1:6" x14ac:dyDescent="0.35">
      <c r="A1680" s="5">
        <v>3654212</v>
      </c>
      <c r="B1680" s="6">
        <v>42941</v>
      </c>
      <c r="C1680" s="7">
        <v>0.49739583333333331</v>
      </c>
      <c r="D1680" s="8">
        <v>0.49787037037037035</v>
      </c>
      <c r="E1680">
        <f t="shared" si="52"/>
        <v>1</v>
      </c>
      <c r="F1680">
        <f t="shared" si="53"/>
        <v>0</v>
      </c>
    </row>
    <row r="1681" spans="1:6" x14ac:dyDescent="0.35">
      <c r="A1681" s="9">
        <v>3192053</v>
      </c>
      <c r="B1681" s="10">
        <v>42941</v>
      </c>
      <c r="C1681" s="11">
        <v>0.49796296296296294</v>
      </c>
      <c r="D1681" s="12">
        <v>0.5053009259259259</v>
      </c>
      <c r="E1681">
        <f t="shared" si="52"/>
        <v>1</v>
      </c>
      <c r="F1681">
        <f t="shared" si="53"/>
        <v>0</v>
      </c>
    </row>
    <row r="1682" spans="1:6" x14ac:dyDescent="0.35">
      <c r="A1682" s="5">
        <v>2355456</v>
      </c>
      <c r="B1682" s="6">
        <v>42941</v>
      </c>
      <c r="C1682" s="7">
        <v>0.50027777777777782</v>
      </c>
      <c r="D1682" s="8">
        <v>0.50983796296296291</v>
      </c>
      <c r="E1682">
        <f t="shared" si="52"/>
        <v>1</v>
      </c>
      <c r="F1682">
        <f t="shared" si="53"/>
        <v>0</v>
      </c>
    </row>
    <row r="1683" spans="1:6" x14ac:dyDescent="0.35">
      <c r="A1683" s="9">
        <v>64932677</v>
      </c>
      <c r="B1683" s="10">
        <v>42941</v>
      </c>
      <c r="C1683" s="11">
        <v>0.50436342592592598</v>
      </c>
      <c r="D1683" s="12">
        <v>0.51339120370370372</v>
      </c>
      <c r="E1683">
        <f t="shared" si="52"/>
        <v>0</v>
      </c>
      <c r="F1683">
        <f t="shared" si="53"/>
        <v>1</v>
      </c>
    </row>
    <row r="1684" spans="1:6" x14ac:dyDescent="0.35">
      <c r="A1684" s="5">
        <v>9419117</v>
      </c>
      <c r="B1684" s="6">
        <v>42941</v>
      </c>
      <c r="C1684" s="7">
        <v>0.50545138888888885</v>
      </c>
      <c r="D1684" s="8">
        <v>0.50761574074074078</v>
      </c>
      <c r="E1684">
        <f t="shared" si="52"/>
        <v>1</v>
      </c>
      <c r="F1684">
        <f t="shared" si="53"/>
        <v>0</v>
      </c>
    </row>
    <row r="1685" spans="1:6" x14ac:dyDescent="0.35">
      <c r="A1685" s="9">
        <v>2509631</v>
      </c>
      <c r="B1685" s="10">
        <v>42941</v>
      </c>
      <c r="C1685" s="11">
        <v>0.51025462962962964</v>
      </c>
      <c r="D1685" s="12">
        <v>0.52134259259259264</v>
      </c>
      <c r="E1685">
        <f t="shared" si="52"/>
        <v>1</v>
      </c>
      <c r="F1685">
        <f t="shared" si="53"/>
        <v>0</v>
      </c>
    </row>
    <row r="1686" spans="1:6" x14ac:dyDescent="0.35">
      <c r="A1686" s="5">
        <v>4505950</v>
      </c>
      <c r="B1686" s="6">
        <v>42941</v>
      </c>
      <c r="C1686" s="7">
        <v>0.51373842592592589</v>
      </c>
      <c r="D1686" s="8">
        <v>0.52304398148148146</v>
      </c>
      <c r="E1686">
        <f t="shared" si="52"/>
        <v>1</v>
      </c>
      <c r="F1686">
        <f t="shared" si="53"/>
        <v>0</v>
      </c>
    </row>
    <row r="1687" spans="1:6" x14ac:dyDescent="0.35">
      <c r="A1687" s="9">
        <v>39663331</v>
      </c>
      <c r="B1687" s="10">
        <v>42941</v>
      </c>
      <c r="C1687" s="11">
        <v>0.51447916666666671</v>
      </c>
      <c r="D1687" s="12">
        <v>0.51800925925925922</v>
      </c>
      <c r="E1687">
        <f t="shared" si="52"/>
        <v>0</v>
      </c>
      <c r="F1687">
        <f t="shared" si="53"/>
        <v>1</v>
      </c>
    </row>
    <row r="1688" spans="1:6" x14ac:dyDescent="0.35">
      <c r="A1688" s="5">
        <v>73350537</v>
      </c>
      <c r="B1688" s="6">
        <v>42941</v>
      </c>
      <c r="C1688" s="7">
        <v>0.51847222222222222</v>
      </c>
      <c r="D1688" s="8">
        <v>0.5267708333333333</v>
      </c>
      <c r="E1688">
        <f t="shared" si="52"/>
        <v>0</v>
      </c>
      <c r="F1688">
        <f t="shared" si="53"/>
        <v>1</v>
      </c>
    </row>
    <row r="1689" spans="1:6" x14ac:dyDescent="0.35">
      <c r="A1689" s="9">
        <v>36929553</v>
      </c>
      <c r="B1689" s="10">
        <v>42941</v>
      </c>
      <c r="C1689" s="11">
        <v>0.52155092592592589</v>
      </c>
      <c r="D1689" s="12">
        <v>0.52667824074074077</v>
      </c>
      <c r="E1689">
        <f t="shared" si="52"/>
        <v>0</v>
      </c>
      <c r="F1689">
        <f t="shared" si="53"/>
        <v>1</v>
      </c>
    </row>
    <row r="1690" spans="1:6" x14ac:dyDescent="0.35">
      <c r="A1690" s="5">
        <v>74135093</v>
      </c>
      <c r="B1690" s="6">
        <v>42941</v>
      </c>
      <c r="C1690" s="7">
        <v>0.52232638888888894</v>
      </c>
      <c r="D1690" s="8">
        <v>0.52666666666666662</v>
      </c>
      <c r="E1690">
        <f t="shared" si="52"/>
        <v>0</v>
      </c>
      <c r="F1690">
        <f t="shared" si="53"/>
        <v>1</v>
      </c>
    </row>
    <row r="1691" spans="1:6" x14ac:dyDescent="0.35">
      <c r="A1691" s="9">
        <v>3505978</v>
      </c>
      <c r="B1691" s="10">
        <v>42941</v>
      </c>
      <c r="C1691" s="11">
        <v>0.52393518518518523</v>
      </c>
      <c r="D1691" s="12">
        <v>0.53479166666666667</v>
      </c>
      <c r="E1691">
        <f t="shared" si="52"/>
        <v>1</v>
      </c>
      <c r="F1691">
        <f t="shared" si="53"/>
        <v>0</v>
      </c>
    </row>
    <row r="1692" spans="1:6" x14ac:dyDescent="0.35">
      <c r="A1692" s="5">
        <v>4483996</v>
      </c>
      <c r="B1692" s="6">
        <v>42941</v>
      </c>
      <c r="C1692" s="7">
        <v>0.52584490740740741</v>
      </c>
      <c r="D1692" s="8">
        <v>0.53660879629629632</v>
      </c>
      <c r="E1692">
        <f t="shared" si="52"/>
        <v>1</v>
      </c>
      <c r="F1692">
        <f t="shared" si="53"/>
        <v>0</v>
      </c>
    </row>
    <row r="1693" spans="1:6" x14ac:dyDescent="0.35">
      <c r="A1693" s="9">
        <v>6264844</v>
      </c>
      <c r="B1693" s="10">
        <v>42941</v>
      </c>
      <c r="C1693" s="11">
        <v>0.52655092592592589</v>
      </c>
      <c r="D1693" s="12">
        <v>0.52703703703703708</v>
      </c>
      <c r="E1693">
        <f t="shared" si="52"/>
        <v>1</v>
      </c>
      <c r="F1693">
        <f t="shared" si="53"/>
        <v>0</v>
      </c>
    </row>
    <row r="1694" spans="1:6" x14ac:dyDescent="0.35">
      <c r="A1694" s="5">
        <v>92127966</v>
      </c>
      <c r="B1694" s="6">
        <v>42941</v>
      </c>
      <c r="C1694" s="7">
        <v>0.5317708333333333</v>
      </c>
      <c r="D1694" s="8">
        <v>0.53724537037037035</v>
      </c>
      <c r="E1694">
        <f t="shared" si="52"/>
        <v>0</v>
      </c>
      <c r="F1694">
        <f t="shared" si="53"/>
        <v>1</v>
      </c>
    </row>
    <row r="1695" spans="1:6" x14ac:dyDescent="0.35">
      <c r="A1695" s="9">
        <v>7353916</v>
      </c>
      <c r="B1695" s="10">
        <v>42941</v>
      </c>
      <c r="C1695" s="11">
        <v>0.53456018518518522</v>
      </c>
      <c r="D1695" s="12">
        <v>0.53718750000000004</v>
      </c>
      <c r="E1695">
        <f t="shared" si="52"/>
        <v>1</v>
      </c>
      <c r="F1695">
        <f t="shared" si="53"/>
        <v>0</v>
      </c>
    </row>
    <row r="1696" spans="1:6" x14ac:dyDescent="0.35">
      <c r="A1696" s="5">
        <v>5440420</v>
      </c>
      <c r="B1696" s="6">
        <v>42941</v>
      </c>
      <c r="C1696" s="7">
        <v>0.53535879629629635</v>
      </c>
      <c r="D1696" s="8">
        <v>0.54219907407407408</v>
      </c>
      <c r="E1696">
        <f t="shared" si="52"/>
        <v>1</v>
      </c>
      <c r="F1696">
        <f t="shared" si="53"/>
        <v>0</v>
      </c>
    </row>
    <row r="1697" spans="1:6" x14ac:dyDescent="0.35">
      <c r="A1697" s="9">
        <v>8840288</v>
      </c>
      <c r="B1697" s="10">
        <v>42941</v>
      </c>
      <c r="C1697" s="11">
        <v>0.53964120370370372</v>
      </c>
      <c r="D1697" s="12">
        <v>0.54101851851851857</v>
      </c>
      <c r="E1697">
        <f t="shared" si="52"/>
        <v>1</v>
      </c>
      <c r="F1697">
        <f t="shared" si="53"/>
        <v>0</v>
      </c>
    </row>
    <row r="1698" spans="1:6" x14ac:dyDescent="0.35">
      <c r="A1698" s="5">
        <v>9007177570</v>
      </c>
      <c r="B1698" s="6">
        <v>42941</v>
      </c>
      <c r="C1698" s="7">
        <v>0.54324074074074069</v>
      </c>
      <c r="D1698" s="8">
        <v>0.54956018518518523</v>
      </c>
      <c r="E1698">
        <f t="shared" si="52"/>
        <v>0</v>
      </c>
      <c r="F1698">
        <f t="shared" si="53"/>
        <v>0</v>
      </c>
    </row>
    <row r="1699" spans="1:6" x14ac:dyDescent="0.35">
      <c r="A1699" s="9">
        <v>24850212</v>
      </c>
      <c r="B1699" s="10">
        <v>42941</v>
      </c>
      <c r="C1699" s="11">
        <v>0.54350694444444447</v>
      </c>
      <c r="D1699" s="12">
        <v>0.54767361111111112</v>
      </c>
      <c r="E1699">
        <f t="shared" si="52"/>
        <v>0</v>
      </c>
      <c r="F1699">
        <f t="shared" si="53"/>
        <v>1</v>
      </c>
    </row>
    <row r="1700" spans="1:6" x14ac:dyDescent="0.35">
      <c r="A1700" s="5">
        <v>7857206</v>
      </c>
      <c r="B1700" s="6">
        <v>42941</v>
      </c>
      <c r="C1700" s="7">
        <v>0.54858796296296297</v>
      </c>
      <c r="D1700" s="8">
        <v>0.55077546296296298</v>
      </c>
      <c r="E1700">
        <f t="shared" si="52"/>
        <v>1</v>
      </c>
      <c r="F1700">
        <f t="shared" si="53"/>
        <v>0</v>
      </c>
    </row>
    <row r="1701" spans="1:6" x14ac:dyDescent="0.35">
      <c r="A1701" s="9">
        <v>9007177570</v>
      </c>
      <c r="B1701" s="10">
        <v>42941</v>
      </c>
      <c r="C1701" s="11">
        <v>0.5519560185185185</v>
      </c>
      <c r="D1701" s="12">
        <v>0.55625000000000002</v>
      </c>
      <c r="E1701">
        <f t="shared" si="52"/>
        <v>0</v>
      </c>
      <c r="F1701">
        <f t="shared" si="53"/>
        <v>0</v>
      </c>
    </row>
    <row r="1702" spans="1:6" x14ac:dyDescent="0.35">
      <c r="A1702" s="5">
        <v>96375379</v>
      </c>
      <c r="B1702" s="6">
        <v>42941</v>
      </c>
      <c r="C1702" s="7">
        <v>0.55320601851851847</v>
      </c>
      <c r="D1702" s="8">
        <v>0.55569444444444449</v>
      </c>
      <c r="E1702">
        <f t="shared" si="52"/>
        <v>0</v>
      </c>
      <c r="F1702">
        <f t="shared" si="53"/>
        <v>1</v>
      </c>
    </row>
    <row r="1703" spans="1:6" x14ac:dyDescent="0.35">
      <c r="A1703" s="9">
        <v>6146223</v>
      </c>
      <c r="B1703" s="10">
        <v>42941</v>
      </c>
      <c r="C1703" s="11">
        <v>0.55517361111111108</v>
      </c>
      <c r="D1703" s="12">
        <v>0.56013888888888885</v>
      </c>
      <c r="E1703">
        <f t="shared" si="52"/>
        <v>1</v>
      </c>
      <c r="F1703">
        <f t="shared" si="53"/>
        <v>0</v>
      </c>
    </row>
    <row r="1704" spans="1:6" x14ac:dyDescent="0.35">
      <c r="A1704" s="5">
        <v>7119239917</v>
      </c>
      <c r="B1704" s="6">
        <v>42941</v>
      </c>
      <c r="C1704" s="7">
        <v>0.56033564814814818</v>
      </c>
      <c r="D1704" s="8">
        <v>0.56570601851851854</v>
      </c>
      <c r="E1704">
        <f t="shared" si="52"/>
        <v>0</v>
      </c>
      <c r="F1704">
        <f t="shared" si="53"/>
        <v>0</v>
      </c>
    </row>
    <row r="1705" spans="1:6" x14ac:dyDescent="0.35">
      <c r="A1705" s="9">
        <v>8622421</v>
      </c>
      <c r="B1705" s="10">
        <v>42941</v>
      </c>
      <c r="C1705" s="11">
        <v>0.56459490740740736</v>
      </c>
      <c r="D1705" s="12">
        <v>0.56638888888888894</v>
      </c>
      <c r="E1705">
        <f t="shared" si="52"/>
        <v>1</v>
      </c>
      <c r="F1705">
        <f t="shared" si="53"/>
        <v>0</v>
      </c>
    </row>
    <row r="1706" spans="1:6" x14ac:dyDescent="0.35">
      <c r="A1706" s="5">
        <v>2304726</v>
      </c>
      <c r="B1706" s="6">
        <v>42941</v>
      </c>
      <c r="C1706" s="7">
        <v>0.56620370370370365</v>
      </c>
      <c r="D1706" s="8">
        <v>0.57226851851851857</v>
      </c>
      <c r="E1706">
        <f t="shared" si="52"/>
        <v>1</v>
      </c>
      <c r="F1706">
        <f t="shared" si="53"/>
        <v>0</v>
      </c>
    </row>
    <row r="1707" spans="1:6" x14ac:dyDescent="0.35">
      <c r="A1707" s="9">
        <v>9183185</v>
      </c>
      <c r="B1707" s="10">
        <v>42941</v>
      </c>
      <c r="C1707" s="11">
        <v>0.56643518518518521</v>
      </c>
      <c r="D1707" s="12">
        <v>0.5687268518518519</v>
      </c>
      <c r="E1707">
        <f t="shared" si="52"/>
        <v>1</v>
      </c>
      <c r="F1707">
        <f t="shared" si="53"/>
        <v>0</v>
      </c>
    </row>
    <row r="1708" spans="1:6" x14ac:dyDescent="0.35">
      <c r="A1708" s="5">
        <v>2185216</v>
      </c>
      <c r="B1708" s="6">
        <v>42941</v>
      </c>
      <c r="C1708" s="7">
        <v>0.56959490740740737</v>
      </c>
      <c r="D1708" s="8">
        <v>0.57927083333333329</v>
      </c>
      <c r="E1708">
        <f t="shared" si="52"/>
        <v>1</v>
      </c>
      <c r="F1708">
        <f t="shared" si="53"/>
        <v>0</v>
      </c>
    </row>
    <row r="1709" spans="1:6" x14ac:dyDescent="0.35">
      <c r="A1709" s="9">
        <v>9664191</v>
      </c>
      <c r="B1709" s="10">
        <v>42941</v>
      </c>
      <c r="C1709" s="11">
        <v>0.56974537037037032</v>
      </c>
      <c r="D1709" s="12">
        <v>0.57015046296296301</v>
      </c>
      <c r="E1709">
        <f t="shared" si="52"/>
        <v>1</v>
      </c>
      <c r="F1709">
        <f t="shared" si="53"/>
        <v>0</v>
      </c>
    </row>
    <row r="1710" spans="1:6" x14ac:dyDescent="0.35">
      <c r="A1710" s="5">
        <v>8743781</v>
      </c>
      <c r="B1710" s="6">
        <v>42941</v>
      </c>
      <c r="C1710" s="7">
        <v>0.57284722222222217</v>
      </c>
      <c r="D1710" s="8">
        <v>0.58149305555555553</v>
      </c>
      <c r="E1710">
        <f t="shared" si="52"/>
        <v>1</v>
      </c>
      <c r="F1710">
        <f t="shared" si="53"/>
        <v>0</v>
      </c>
    </row>
    <row r="1711" spans="1:6" x14ac:dyDescent="0.35">
      <c r="A1711" s="9">
        <v>97997759</v>
      </c>
      <c r="B1711" s="10">
        <v>42941</v>
      </c>
      <c r="C1711" s="11">
        <v>0.57335648148148144</v>
      </c>
      <c r="D1711" s="12">
        <v>0.5735069444444445</v>
      </c>
      <c r="E1711">
        <f t="shared" si="52"/>
        <v>0</v>
      </c>
      <c r="F1711">
        <f t="shared" si="53"/>
        <v>1</v>
      </c>
    </row>
    <row r="1712" spans="1:6" x14ac:dyDescent="0.35">
      <c r="A1712" s="5">
        <v>4100331</v>
      </c>
      <c r="B1712" s="6">
        <v>42941</v>
      </c>
      <c r="C1712" s="7">
        <v>0.57863425925925926</v>
      </c>
      <c r="D1712" s="8">
        <v>0.58030092592592597</v>
      </c>
      <c r="E1712">
        <f t="shared" si="52"/>
        <v>1</v>
      </c>
      <c r="F1712">
        <f t="shared" si="53"/>
        <v>0</v>
      </c>
    </row>
    <row r="1713" spans="1:6" x14ac:dyDescent="0.35">
      <c r="A1713" s="9">
        <v>7215284</v>
      </c>
      <c r="B1713" s="10">
        <v>42941</v>
      </c>
      <c r="C1713" s="11">
        <v>0.57974537037037033</v>
      </c>
      <c r="D1713" s="12">
        <v>0.59083333333333332</v>
      </c>
      <c r="E1713">
        <f t="shared" si="52"/>
        <v>1</v>
      </c>
      <c r="F1713">
        <f t="shared" si="53"/>
        <v>0</v>
      </c>
    </row>
    <row r="1714" spans="1:6" x14ac:dyDescent="0.35">
      <c r="A1714" s="5">
        <v>9474267</v>
      </c>
      <c r="B1714" s="6">
        <v>42941</v>
      </c>
      <c r="C1714" s="7">
        <v>0.58423611111111107</v>
      </c>
      <c r="D1714" s="8">
        <v>0.59392361111111114</v>
      </c>
      <c r="E1714">
        <f t="shared" si="52"/>
        <v>1</v>
      </c>
      <c r="F1714">
        <f t="shared" si="53"/>
        <v>0</v>
      </c>
    </row>
    <row r="1715" spans="1:6" x14ac:dyDescent="0.35">
      <c r="A1715" s="9">
        <v>3200206</v>
      </c>
      <c r="B1715" s="10">
        <v>42941</v>
      </c>
      <c r="C1715" s="11">
        <v>0.58784722222222219</v>
      </c>
      <c r="D1715" s="12">
        <v>0.59894675925925922</v>
      </c>
      <c r="E1715">
        <f t="shared" si="52"/>
        <v>1</v>
      </c>
      <c r="F1715">
        <f t="shared" si="53"/>
        <v>0</v>
      </c>
    </row>
    <row r="1716" spans="1:6" x14ac:dyDescent="0.35">
      <c r="A1716" s="5">
        <v>72014227</v>
      </c>
      <c r="B1716" s="6">
        <v>42941</v>
      </c>
      <c r="C1716" s="7">
        <v>0.58899305555555559</v>
      </c>
      <c r="D1716" s="8">
        <v>0.59116898148148145</v>
      </c>
      <c r="E1716">
        <f t="shared" si="52"/>
        <v>0</v>
      </c>
      <c r="F1716">
        <f t="shared" si="53"/>
        <v>1</v>
      </c>
    </row>
    <row r="1717" spans="1:6" x14ac:dyDescent="0.35">
      <c r="A1717" s="9">
        <v>3976931</v>
      </c>
      <c r="B1717" s="10">
        <v>42941</v>
      </c>
      <c r="C1717" s="11">
        <v>0.59350694444444441</v>
      </c>
      <c r="D1717" s="12">
        <v>0.59811342592592598</v>
      </c>
      <c r="E1717">
        <f t="shared" si="52"/>
        <v>1</v>
      </c>
      <c r="F1717">
        <f t="shared" si="53"/>
        <v>0</v>
      </c>
    </row>
    <row r="1718" spans="1:6" x14ac:dyDescent="0.35">
      <c r="A1718" s="5">
        <v>6717763</v>
      </c>
      <c r="B1718" s="6">
        <v>42941</v>
      </c>
      <c r="C1718" s="7">
        <v>0.596099537037037</v>
      </c>
      <c r="D1718" s="8">
        <v>0.60069444444444442</v>
      </c>
      <c r="E1718">
        <f t="shared" si="52"/>
        <v>1</v>
      </c>
      <c r="F1718">
        <f t="shared" si="53"/>
        <v>0</v>
      </c>
    </row>
    <row r="1719" spans="1:6" x14ac:dyDescent="0.35">
      <c r="A1719" s="9">
        <v>2117176</v>
      </c>
      <c r="B1719" s="10">
        <v>42941</v>
      </c>
      <c r="C1719" s="11">
        <v>0.5995138888888889</v>
      </c>
      <c r="D1719" s="12">
        <v>0.60322916666666671</v>
      </c>
      <c r="E1719">
        <f t="shared" si="52"/>
        <v>1</v>
      </c>
      <c r="F1719">
        <f t="shared" si="53"/>
        <v>0</v>
      </c>
    </row>
    <row r="1720" spans="1:6" x14ac:dyDescent="0.35">
      <c r="A1720" s="5">
        <v>67688044</v>
      </c>
      <c r="B1720" s="6">
        <v>42941</v>
      </c>
      <c r="C1720" s="7">
        <v>0.60341435185185188</v>
      </c>
      <c r="D1720" s="8">
        <v>0.60423611111111108</v>
      </c>
      <c r="E1720">
        <f t="shared" si="52"/>
        <v>0</v>
      </c>
      <c r="F1720">
        <f t="shared" si="53"/>
        <v>1</v>
      </c>
    </row>
    <row r="1721" spans="1:6" x14ac:dyDescent="0.35">
      <c r="A1721" s="9">
        <v>3824371</v>
      </c>
      <c r="B1721" s="10">
        <v>42941</v>
      </c>
      <c r="C1721" s="11">
        <v>0.60442129629629626</v>
      </c>
      <c r="D1721" s="12">
        <v>0.61266203703703703</v>
      </c>
      <c r="E1721">
        <f t="shared" si="52"/>
        <v>1</v>
      </c>
      <c r="F1721">
        <f t="shared" si="53"/>
        <v>0</v>
      </c>
    </row>
    <row r="1722" spans="1:6" x14ac:dyDescent="0.35">
      <c r="A1722" s="5">
        <v>3025855</v>
      </c>
      <c r="B1722" s="6">
        <v>42941</v>
      </c>
      <c r="C1722" s="7">
        <v>0.60601851851851851</v>
      </c>
      <c r="D1722" s="8">
        <v>0.60782407407407413</v>
      </c>
      <c r="E1722">
        <f t="shared" si="52"/>
        <v>1</v>
      </c>
      <c r="F1722">
        <f t="shared" si="53"/>
        <v>0</v>
      </c>
    </row>
    <row r="1723" spans="1:6" x14ac:dyDescent="0.35">
      <c r="A1723" s="9">
        <v>8773356</v>
      </c>
      <c r="B1723" s="10">
        <v>42941</v>
      </c>
      <c r="C1723" s="11">
        <v>0.60879629629629628</v>
      </c>
      <c r="D1723" s="12">
        <v>0.61106481481481478</v>
      </c>
      <c r="E1723">
        <f t="shared" si="52"/>
        <v>1</v>
      </c>
      <c r="F1723">
        <f t="shared" si="53"/>
        <v>0</v>
      </c>
    </row>
    <row r="1724" spans="1:6" x14ac:dyDescent="0.35">
      <c r="A1724" s="5">
        <v>1211446</v>
      </c>
      <c r="B1724" s="6">
        <v>42941</v>
      </c>
      <c r="C1724" s="7">
        <v>0.61202546296296301</v>
      </c>
      <c r="D1724" s="8">
        <v>0.62135416666666665</v>
      </c>
      <c r="E1724">
        <f t="shared" si="52"/>
        <v>1</v>
      </c>
      <c r="F1724">
        <f t="shared" si="53"/>
        <v>0</v>
      </c>
    </row>
    <row r="1725" spans="1:6" x14ac:dyDescent="0.35">
      <c r="A1725" s="9">
        <v>3607585</v>
      </c>
      <c r="B1725" s="10">
        <v>42941</v>
      </c>
      <c r="C1725" s="11">
        <v>0.61460648148148145</v>
      </c>
      <c r="D1725" s="12">
        <v>0.62116898148148147</v>
      </c>
      <c r="E1725">
        <f t="shared" si="52"/>
        <v>1</v>
      </c>
      <c r="F1725">
        <f t="shared" si="53"/>
        <v>0</v>
      </c>
    </row>
    <row r="1726" spans="1:6" x14ac:dyDescent="0.35">
      <c r="A1726" s="5">
        <v>5492379</v>
      </c>
      <c r="B1726" s="6">
        <v>42941</v>
      </c>
      <c r="C1726" s="7">
        <v>0.61895833333333339</v>
      </c>
      <c r="D1726" s="8">
        <v>0.61971064814814814</v>
      </c>
      <c r="E1726">
        <f t="shared" si="52"/>
        <v>1</v>
      </c>
      <c r="F1726">
        <f t="shared" si="53"/>
        <v>0</v>
      </c>
    </row>
    <row r="1727" spans="1:6" x14ac:dyDescent="0.35">
      <c r="A1727" s="9">
        <v>84589848</v>
      </c>
      <c r="B1727" s="10">
        <v>42941</v>
      </c>
      <c r="C1727" s="11">
        <v>0.61971064814814814</v>
      </c>
      <c r="D1727" s="12">
        <v>0.62334490740740744</v>
      </c>
      <c r="E1727">
        <f t="shared" si="52"/>
        <v>0</v>
      </c>
      <c r="F1727">
        <f t="shared" si="53"/>
        <v>1</v>
      </c>
    </row>
    <row r="1728" spans="1:6" x14ac:dyDescent="0.35">
      <c r="A1728" s="5">
        <v>7622848</v>
      </c>
      <c r="B1728" s="6">
        <v>42941</v>
      </c>
      <c r="C1728" s="7">
        <v>0.62008101851851849</v>
      </c>
      <c r="D1728" s="8">
        <v>0.62776620370370373</v>
      </c>
      <c r="E1728">
        <f t="shared" si="52"/>
        <v>1</v>
      </c>
      <c r="F1728">
        <f t="shared" si="53"/>
        <v>0</v>
      </c>
    </row>
    <row r="1729" spans="1:6" x14ac:dyDescent="0.35">
      <c r="A1729" s="9">
        <v>7883595</v>
      </c>
      <c r="B1729" s="10">
        <v>42941</v>
      </c>
      <c r="C1729" s="11">
        <v>0.62149305555555556</v>
      </c>
      <c r="D1729" s="12">
        <v>0.624537037037037</v>
      </c>
      <c r="E1729">
        <f t="shared" si="52"/>
        <v>1</v>
      </c>
      <c r="F1729">
        <f t="shared" si="53"/>
        <v>0</v>
      </c>
    </row>
    <row r="1730" spans="1:6" x14ac:dyDescent="0.35">
      <c r="A1730" s="5">
        <v>4804872</v>
      </c>
      <c r="B1730" s="6">
        <v>42941</v>
      </c>
      <c r="C1730" s="7">
        <v>0.62472222222222218</v>
      </c>
      <c r="D1730" s="8">
        <v>0.6360069444444445</v>
      </c>
      <c r="E1730">
        <f t="shared" si="52"/>
        <v>1</v>
      </c>
      <c r="F1730">
        <f t="shared" si="53"/>
        <v>0</v>
      </c>
    </row>
    <row r="1731" spans="1:6" x14ac:dyDescent="0.35">
      <c r="A1731" s="9">
        <v>61812355</v>
      </c>
      <c r="B1731" s="10">
        <v>42941</v>
      </c>
      <c r="C1731" s="11">
        <v>0.6292592592592593</v>
      </c>
      <c r="D1731" s="12">
        <v>0.63806712962962964</v>
      </c>
      <c r="E1731">
        <f t="shared" ref="E1731:E1794" si="54">IF(LEN(A1731)=7,1,0)</f>
        <v>0</v>
      </c>
      <c r="F1731">
        <f t="shared" ref="F1731:F1794" si="55">IF(LEN(A1731)=8,1,0)</f>
        <v>1</v>
      </c>
    </row>
    <row r="1732" spans="1:6" x14ac:dyDescent="0.35">
      <c r="A1732" s="5">
        <v>6493766</v>
      </c>
      <c r="B1732" s="6">
        <v>42942</v>
      </c>
      <c r="C1732" s="7">
        <v>0.33584490740740741</v>
      </c>
      <c r="D1732" s="8">
        <v>0.33677083333333335</v>
      </c>
      <c r="E1732">
        <f t="shared" si="54"/>
        <v>1</v>
      </c>
      <c r="F1732">
        <f t="shared" si="55"/>
        <v>0</v>
      </c>
    </row>
    <row r="1733" spans="1:6" x14ac:dyDescent="0.35">
      <c r="A1733" s="9">
        <v>4965118</v>
      </c>
      <c r="B1733" s="10">
        <v>42942</v>
      </c>
      <c r="C1733" s="11">
        <v>0.33710648148148148</v>
      </c>
      <c r="D1733" s="12">
        <v>0.34759259259259262</v>
      </c>
      <c r="E1733">
        <f t="shared" si="54"/>
        <v>1</v>
      </c>
      <c r="F1733">
        <f t="shared" si="55"/>
        <v>0</v>
      </c>
    </row>
    <row r="1734" spans="1:6" x14ac:dyDescent="0.35">
      <c r="A1734" s="5">
        <v>7973476</v>
      </c>
      <c r="B1734" s="6">
        <v>42942</v>
      </c>
      <c r="C1734" s="7">
        <v>0.34250000000000003</v>
      </c>
      <c r="D1734" s="8">
        <v>0.35003472222222221</v>
      </c>
      <c r="E1734">
        <f t="shared" si="54"/>
        <v>1</v>
      </c>
      <c r="F1734">
        <f t="shared" si="55"/>
        <v>0</v>
      </c>
    </row>
    <row r="1735" spans="1:6" x14ac:dyDescent="0.35">
      <c r="A1735" s="9">
        <v>6642574</v>
      </c>
      <c r="B1735" s="10">
        <v>42942</v>
      </c>
      <c r="C1735" s="11">
        <v>0.34575231481481483</v>
      </c>
      <c r="D1735" s="12">
        <v>0.35645833333333332</v>
      </c>
      <c r="E1735">
        <f t="shared" si="54"/>
        <v>1</v>
      </c>
      <c r="F1735">
        <f t="shared" si="55"/>
        <v>0</v>
      </c>
    </row>
    <row r="1736" spans="1:6" x14ac:dyDescent="0.35">
      <c r="A1736" s="5">
        <v>2325155</v>
      </c>
      <c r="B1736" s="6">
        <v>42942</v>
      </c>
      <c r="C1736" s="7">
        <v>0.34759259259259262</v>
      </c>
      <c r="D1736" s="8">
        <v>0.35511574074074076</v>
      </c>
      <c r="E1736">
        <f t="shared" si="54"/>
        <v>1</v>
      </c>
      <c r="F1736">
        <f t="shared" si="55"/>
        <v>0</v>
      </c>
    </row>
    <row r="1737" spans="1:6" x14ac:dyDescent="0.35">
      <c r="A1737" s="9">
        <v>1340323</v>
      </c>
      <c r="B1737" s="10">
        <v>42942</v>
      </c>
      <c r="C1737" s="11">
        <v>0.34994212962962962</v>
      </c>
      <c r="D1737" s="12">
        <v>0.35781249999999998</v>
      </c>
      <c r="E1737">
        <f t="shared" si="54"/>
        <v>1</v>
      </c>
      <c r="F1737">
        <f t="shared" si="55"/>
        <v>0</v>
      </c>
    </row>
    <row r="1738" spans="1:6" x14ac:dyDescent="0.35">
      <c r="A1738" s="5">
        <v>8957203</v>
      </c>
      <c r="B1738" s="6">
        <v>42942</v>
      </c>
      <c r="C1738" s="7">
        <v>0.35454861111111113</v>
      </c>
      <c r="D1738" s="8">
        <v>0.3629398148148148</v>
      </c>
      <c r="E1738">
        <f t="shared" si="54"/>
        <v>1</v>
      </c>
      <c r="F1738">
        <f t="shared" si="55"/>
        <v>0</v>
      </c>
    </row>
    <row r="1739" spans="1:6" x14ac:dyDescent="0.35">
      <c r="A1739" s="9">
        <v>8276893</v>
      </c>
      <c r="B1739" s="10">
        <v>42942</v>
      </c>
      <c r="C1739" s="11">
        <v>0.3590740740740741</v>
      </c>
      <c r="D1739" s="12">
        <v>0.36600694444444443</v>
      </c>
      <c r="E1739">
        <f t="shared" si="54"/>
        <v>1</v>
      </c>
      <c r="F1739">
        <f t="shared" si="55"/>
        <v>0</v>
      </c>
    </row>
    <row r="1740" spans="1:6" x14ac:dyDescent="0.35">
      <c r="A1740" s="5">
        <v>7894591002</v>
      </c>
      <c r="B1740" s="6">
        <v>42942</v>
      </c>
      <c r="C1740" s="7">
        <v>0.36476851851851849</v>
      </c>
      <c r="D1740" s="8">
        <v>0.37505787037037036</v>
      </c>
      <c r="E1740">
        <f t="shared" si="54"/>
        <v>0</v>
      </c>
      <c r="F1740">
        <f t="shared" si="55"/>
        <v>0</v>
      </c>
    </row>
    <row r="1741" spans="1:6" x14ac:dyDescent="0.35">
      <c r="A1741" s="9">
        <v>26891502</v>
      </c>
      <c r="B1741" s="10">
        <v>42942</v>
      </c>
      <c r="C1741" s="11">
        <v>0.3697685185185185</v>
      </c>
      <c r="D1741" s="12">
        <v>0.37656250000000002</v>
      </c>
      <c r="E1741">
        <f t="shared" si="54"/>
        <v>0</v>
      </c>
      <c r="F1741">
        <f t="shared" si="55"/>
        <v>1</v>
      </c>
    </row>
    <row r="1742" spans="1:6" x14ac:dyDescent="0.35">
      <c r="A1742" s="5">
        <v>71021004</v>
      </c>
      <c r="B1742" s="6">
        <v>42942</v>
      </c>
      <c r="C1742" s="7">
        <v>0.37305555555555553</v>
      </c>
      <c r="D1742" s="8">
        <v>0.38090277777777776</v>
      </c>
      <c r="E1742">
        <f t="shared" si="54"/>
        <v>0</v>
      </c>
      <c r="F1742">
        <f t="shared" si="55"/>
        <v>1</v>
      </c>
    </row>
    <row r="1743" spans="1:6" x14ac:dyDescent="0.35">
      <c r="A1743" s="9">
        <v>17314583</v>
      </c>
      <c r="B1743" s="10">
        <v>42942</v>
      </c>
      <c r="C1743" s="11">
        <v>0.37843749999999998</v>
      </c>
      <c r="D1743" s="12">
        <v>0.38879629629629631</v>
      </c>
      <c r="E1743">
        <f t="shared" si="54"/>
        <v>0</v>
      </c>
      <c r="F1743">
        <f t="shared" si="55"/>
        <v>1</v>
      </c>
    </row>
    <row r="1744" spans="1:6" x14ac:dyDescent="0.35">
      <c r="A1744" s="5">
        <v>3972159</v>
      </c>
      <c r="B1744" s="6">
        <v>42942</v>
      </c>
      <c r="C1744" s="7">
        <v>0.37895833333333334</v>
      </c>
      <c r="D1744" s="8">
        <v>0.38263888888888886</v>
      </c>
      <c r="E1744">
        <f t="shared" si="54"/>
        <v>1</v>
      </c>
      <c r="F1744">
        <f t="shared" si="55"/>
        <v>0</v>
      </c>
    </row>
    <row r="1745" spans="1:6" x14ac:dyDescent="0.35">
      <c r="A1745" s="9">
        <v>94989369</v>
      </c>
      <c r="B1745" s="10">
        <v>42942</v>
      </c>
      <c r="C1745" s="11">
        <v>0.37965277777777778</v>
      </c>
      <c r="D1745" s="12">
        <v>0.39068287037037036</v>
      </c>
      <c r="E1745">
        <f t="shared" si="54"/>
        <v>0</v>
      </c>
      <c r="F1745">
        <f t="shared" si="55"/>
        <v>1</v>
      </c>
    </row>
    <row r="1746" spans="1:6" x14ac:dyDescent="0.35">
      <c r="A1746" s="5">
        <v>4857453</v>
      </c>
      <c r="B1746" s="6">
        <v>42942</v>
      </c>
      <c r="C1746" s="7">
        <v>0.38013888888888892</v>
      </c>
      <c r="D1746" s="8">
        <v>0.385625</v>
      </c>
      <c r="E1746">
        <f t="shared" si="54"/>
        <v>1</v>
      </c>
      <c r="F1746">
        <f t="shared" si="55"/>
        <v>0</v>
      </c>
    </row>
    <row r="1747" spans="1:6" x14ac:dyDescent="0.35">
      <c r="A1747" s="9">
        <v>7980513</v>
      </c>
      <c r="B1747" s="10">
        <v>42942</v>
      </c>
      <c r="C1747" s="11">
        <v>0.38197916666666665</v>
      </c>
      <c r="D1747" s="12">
        <v>0.38288194444444446</v>
      </c>
      <c r="E1747">
        <f t="shared" si="54"/>
        <v>1</v>
      </c>
      <c r="F1747">
        <f t="shared" si="55"/>
        <v>0</v>
      </c>
    </row>
    <row r="1748" spans="1:6" x14ac:dyDescent="0.35">
      <c r="A1748" s="5">
        <v>6896175</v>
      </c>
      <c r="B1748" s="6">
        <v>42942</v>
      </c>
      <c r="C1748" s="7">
        <v>0.38309027777777777</v>
      </c>
      <c r="D1748" s="8">
        <v>0.38425925925925924</v>
      </c>
      <c r="E1748">
        <f t="shared" si="54"/>
        <v>1</v>
      </c>
      <c r="F1748">
        <f t="shared" si="55"/>
        <v>0</v>
      </c>
    </row>
    <row r="1749" spans="1:6" x14ac:dyDescent="0.35">
      <c r="A1749" s="9">
        <v>1689993</v>
      </c>
      <c r="B1749" s="10">
        <v>42942</v>
      </c>
      <c r="C1749" s="11">
        <v>0.38337962962962963</v>
      </c>
      <c r="D1749" s="12">
        <v>0.38748842592592592</v>
      </c>
      <c r="E1749">
        <f t="shared" si="54"/>
        <v>1</v>
      </c>
      <c r="F1749">
        <f t="shared" si="55"/>
        <v>0</v>
      </c>
    </row>
    <row r="1750" spans="1:6" x14ac:dyDescent="0.35">
      <c r="A1750" s="5">
        <v>1183006</v>
      </c>
      <c r="B1750" s="6">
        <v>42942</v>
      </c>
      <c r="C1750" s="7">
        <v>0.38601851851851854</v>
      </c>
      <c r="D1750" s="8">
        <v>0.39283564814814814</v>
      </c>
      <c r="E1750">
        <f t="shared" si="54"/>
        <v>1</v>
      </c>
      <c r="F1750">
        <f t="shared" si="55"/>
        <v>0</v>
      </c>
    </row>
    <row r="1751" spans="1:6" x14ac:dyDescent="0.35">
      <c r="A1751" s="9">
        <v>9446278</v>
      </c>
      <c r="B1751" s="10">
        <v>42942</v>
      </c>
      <c r="C1751" s="11">
        <v>0.38871527777777776</v>
      </c>
      <c r="D1751" s="12">
        <v>0.38982638888888888</v>
      </c>
      <c r="E1751">
        <f t="shared" si="54"/>
        <v>1</v>
      </c>
      <c r="F1751">
        <f t="shared" si="55"/>
        <v>0</v>
      </c>
    </row>
    <row r="1752" spans="1:6" x14ac:dyDescent="0.35">
      <c r="A1752" s="5">
        <v>2445944</v>
      </c>
      <c r="B1752" s="6">
        <v>42942</v>
      </c>
      <c r="C1752" s="7">
        <v>0.3895601851851852</v>
      </c>
      <c r="D1752" s="8">
        <v>0.39548611111111109</v>
      </c>
      <c r="E1752">
        <f t="shared" si="54"/>
        <v>1</v>
      </c>
      <c r="F1752">
        <f t="shared" si="55"/>
        <v>0</v>
      </c>
    </row>
    <row r="1753" spans="1:6" x14ac:dyDescent="0.35">
      <c r="A1753" s="9">
        <v>4404713</v>
      </c>
      <c r="B1753" s="10">
        <v>42942</v>
      </c>
      <c r="C1753" s="11">
        <v>0.39533564814814814</v>
      </c>
      <c r="D1753" s="12">
        <v>0.39599537037037036</v>
      </c>
      <c r="E1753">
        <f t="shared" si="54"/>
        <v>1</v>
      </c>
      <c r="F1753">
        <f t="shared" si="55"/>
        <v>0</v>
      </c>
    </row>
    <row r="1754" spans="1:6" x14ac:dyDescent="0.35">
      <c r="A1754" s="5">
        <v>6495153</v>
      </c>
      <c r="B1754" s="6">
        <v>42942</v>
      </c>
      <c r="C1754" s="7">
        <v>0.4001736111111111</v>
      </c>
      <c r="D1754" s="8">
        <v>0.40406249999999999</v>
      </c>
      <c r="E1754">
        <f t="shared" si="54"/>
        <v>1</v>
      </c>
      <c r="F1754">
        <f t="shared" si="55"/>
        <v>0</v>
      </c>
    </row>
    <row r="1755" spans="1:6" x14ac:dyDescent="0.35">
      <c r="A1755" s="9">
        <v>2684831</v>
      </c>
      <c r="B1755" s="10">
        <v>42942</v>
      </c>
      <c r="C1755" s="11">
        <v>0.40130787037037036</v>
      </c>
      <c r="D1755" s="12">
        <v>0.40658564814814813</v>
      </c>
      <c r="E1755">
        <f t="shared" si="54"/>
        <v>1</v>
      </c>
      <c r="F1755">
        <f t="shared" si="55"/>
        <v>0</v>
      </c>
    </row>
    <row r="1756" spans="1:6" x14ac:dyDescent="0.35">
      <c r="A1756" s="5">
        <v>8748493</v>
      </c>
      <c r="B1756" s="6">
        <v>42942</v>
      </c>
      <c r="C1756" s="7">
        <v>0.40415509259259258</v>
      </c>
      <c r="D1756" s="8">
        <v>0.40443287037037035</v>
      </c>
      <c r="E1756">
        <f t="shared" si="54"/>
        <v>1</v>
      </c>
      <c r="F1756">
        <f t="shared" si="55"/>
        <v>0</v>
      </c>
    </row>
    <row r="1757" spans="1:6" x14ac:dyDescent="0.35">
      <c r="A1757" s="9">
        <v>7230252</v>
      </c>
      <c r="B1757" s="10">
        <v>42942</v>
      </c>
      <c r="C1757" s="11">
        <v>0.40771990740740743</v>
      </c>
      <c r="D1757" s="12">
        <v>0.41290509259259262</v>
      </c>
      <c r="E1757">
        <f t="shared" si="54"/>
        <v>1</v>
      </c>
      <c r="F1757">
        <f t="shared" si="55"/>
        <v>0</v>
      </c>
    </row>
    <row r="1758" spans="1:6" x14ac:dyDescent="0.35">
      <c r="A1758" s="5">
        <v>5082463</v>
      </c>
      <c r="B1758" s="6">
        <v>42942</v>
      </c>
      <c r="C1758" s="7">
        <v>0.41269675925925925</v>
      </c>
      <c r="D1758" s="8">
        <v>0.42046296296296298</v>
      </c>
      <c r="E1758">
        <f t="shared" si="54"/>
        <v>1</v>
      </c>
      <c r="F1758">
        <f t="shared" si="55"/>
        <v>0</v>
      </c>
    </row>
    <row r="1759" spans="1:6" x14ac:dyDescent="0.35">
      <c r="A1759" s="9">
        <v>1830054</v>
      </c>
      <c r="B1759" s="10">
        <v>42942</v>
      </c>
      <c r="C1759" s="11">
        <v>0.41390046296296296</v>
      </c>
      <c r="D1759" s="12">
        <v>0.42016203703703703</v>
      </c>
      <c r="E1759">
        <f t="shared" si="54"/>
        <v>1</v>
      </c>
      <c r="F1759">
        <f t="shared" si="55"/>
        <v>0</v>
      </c>
    </row>
    <row r="1760" spans="1:6" x14ac:dyDescent="0.35">
      <c r="A1760" s="5">
        <v>5223970</v>
      </c>
      <c r="B1760" s="6">
        <v>42942</v>
      </c>
      <c r="C1760" s="7">
        <v>0.41413194444444446</v>
      </c>
      <c r="D1760" s="8">
        <v>0.41684027777777777</v>
      </c>
      <c r="E1760">
        <f t="shared" si="54"/>
        <v>1</v>
      </c>
      <c r="F1760">
        <f t="shared" si="55"/>
        <v>0</v>
      </c>
    </row>
    <row r="1761" spans="1:6" x14ac:dyDescent="0.35">
      <c r="A1761" s="9">
        <v>8369071681</v>
      </c>
      <c r="B1761" s="10">
        <v>42942</v>
      </c>
      <c r="C1761" s="11">
        <v>0.41935185185185186</v>
      </c>
      <c r="D1761" s="12">
        <v>0.42133101851851851</v>
      </c>
      <c r="E1761">
        <f t="shared" si="54"/>
        <v>0</v>
      </c>
      <c r="F1761">
        <f t="shared" si="55"/>
        <v>0</v>
      </c>
    </row>
    <row r="1762" spans="1:6" x14ac:dyDescent="0.35">
      <c r="A1762" s="5">
        <v>5582631</v>
      </c>
      <c r="B1762" s="6">
        <v>42942</v>
      </c>
      <c r="C1762" s="7">
        <v>0.42229166666666668</v>
      </c>
      <c r="D1762" s="8">
        <v>0.42271990740740739</v>
      </c>
      <c r="E1762">
        <f t="shared" si="54"/>
        <v>1</v>
      </c>
      <c r="F1762">
        <f t="shared" si="55"/>
        <v>0</v>
      </c>
    </row>
    <row r="1763" spans="1:6" x14ac:dyDescent="0.35">
      <c r="A1763" s="9">
        <v>68043713</v>
      </c>
      <c r="B1763" s="10">
        <v>42942</v>
      </c>
      <c r="C1763" s="11">
        <v>0.42366898148148147</v>
      </c>
      <c r="D1763" s="12">
        <v>0.42792824074074076</v>
      </c>
      <c r="E1763">
        <f t="shared" si="54"/>
        <v>0</v>
      </c>
      <c r="F1763">
        <f t="shared" si="55"/>
        <v>1</v>
      </c>
    </row>
    <row r="1764" spans="1:6" x14ac:dyDescent="0.35">
      <c r="A1764" s="5">
        <v>89263578</v>
      </c>
      <c r="B1764" s="6">
        <v>42942</v>
      </c>
      <c r="C1764" s="7">
        <v>0.42912037037037037</v>
      </c>
      <c r="D1764" s="8">
        <v>0.43753472222222223</v>
      </c>
      <c r="E1764">
        <f t="shared" si="54"/>
        <v>0</v>
      </c>
      <c r="F1764">
        <f t="shared" si="55"/>
        <v>1</v>
      </c>
    </row>
    <row r="1765" spans="1:6" x14ac:dyDescent="0.35">
      <c r="A1765" s="9">
        <v>7511410</v>
      </c>
      <c r="B1765" s="10">
        <v>42942</v>
      </c>
      <c r="C1765" s="11">
        <v>0.43304398148148149</v>
      </c>
      <c r="D1765" s="12">
        <v>0.43761574074074072</v>
      </c>
      <c r="E1765">
        <f t="shared" si="54"/>
        <v>1</v>
      </c>
      <c r="F1765">
        <f t="shared" si="55"/>
        <v>0</v>
      </c>
    </row>
    <row r="1766" spans="1:6" x14ac:dyDescent="0.35">
      <c r="A1766" s="5">
        <v>2128803</v>
      </c>
      <c r="B1766" s="6">
        <v>42942</v>
      </c>
      <c r="C1766" s="7">
        <v>0.43815972222222221</v>
      </c>
      <c r="D1766" s="8">
        <v>0.44572916666666668</v>
      </c>
      <c r="E1766">
        <f t="shared" si="54"/>
        <v>1</v>
      </c>
      <c r="F1766">
        <f t="shared" si="55"/>
        <v>0</v>
      </c>
    </row>
    <row r="1767" spans="1:6" x14ac:dyDescent="0.35">
      <c r="A1767" s="9">
        <v>3135285</v>
      </c>
      <c r="B1767" s="10">
        <v>42942</v>
      </c>
      <c r="C1767" s="11">
        <v>0.43896990740740743</v>
      </c>
      <c r="D1767" s="12">
        <v>0.44863425925925926</v>
      </c>
      <c r="E1767">
        <f t="shared" si="54"/>
        <v>1</v>
      </c>
      <c r="F1767">
        <f t="shared" si="55"/>
        <v>0</v>
      </c>
    </row>
    <row r="1768" spans="1:6" x14ac:dyDescent="0.35">
      <c r="A1768" s="5">
        <v>5231877</v>
      </c>
      <c r="B1768" s="6">
        <v>42942</v>
      </c>
      <c r="C1768" s="7">
        <v>0.44265046296296295</v>
      </c>
      <c r="D1768" s="8">
        <v>0.45337962962962963</v>
      </c>
      <c r="E1768">
        <f t="shared" si="54"/>
        <v>1</v>
      </c>
      <c r="F1768">
        <f t="shared" si="55"/>
        <v>0</v>
      </c>
    </row>
    <row r="1769" spans="1:6" x14ac:dyDescent="0.35">
      <c r="A1769" s="9">
        <v>98391891</v>
      </c>
      <c r="B1769" s="10">
        <v>42942</v>
      </c>
      <c r="C1769" s="11">
        <v>0.44289351851851849</v>
      </c>
      <c r="D1769" s="12">
        <v>0.44364583333333335</v>
      </c>
      <c r="E1769">
        <f t="shared" si="54"/>
        <v>0</v>
      </c>
      <c r="F1769">
        <f t="shared" si="55"/>
        <v>1</v>
      </c>
    </row>
    <row r="1770" spans="1:6" x14ac:dyDescent="0.35">
      <c r="A1770" s="5">
        <v>9865524</v>
      </c>
      <c r="B1770" s="6">
        <v>42942</v>
      </c>
      <c r="C1770" s="7">
        <v>0.44298611111111114</v>
      </c>
      <c r="D1770" s="8">
        <v>0.45023148148148145</v>
      </c>
      <c r="E1770">
        <f t="shared" si="54"/>
        <v>1</v>
      </c>
      <c r="F1770">
        <f t="shared" si="55"/>
        <v>0</v>
      </c>
    </row>
    <row r="1771" spans="1:6" x14ac:dyDescent="0.35">
      <c r="A1771" s="9">
        <v>7988607</v>
      </c>
      <c r="B1771" s="10">
        <v>42942</v>
      </c>
      <c r="C1771" s="11">
        <v>0.44300925925925927</v>
      </c>
      <c r="D1771" s="12">
        <v>0.4513773148148148</v>
      </c>
      <c r="E1771">
        <f t="shared" si="54"/>
        <v>1</v>
      </c>
      <c r="F1771">
        <f t="shared" si="55"/>
        <v>0</v>
      </c>
    </row>
    <row r="1772" spans="1:6" x14ac:dyDescent="0.35">
      <c r="A1772" s="5">
        <v>4599598</v>
      </c>
      <c r="B1772" s="6">
        <v>42942</v>
      </c>
      <c r="C1772" s="7">
        <v>0.44710648148148147</v>
      </c>
      <c r="D1772" s="8">
        <v>0.45658564814814817</v>
      </c>
      <c r="E1772">
        <f t="shared" si="54"/>
        <v>1</v>
      </c>
      <c r="F1772">
        <f t="shared" si="55"/>
        <v>0</v>
      </c>
    </row>
    <row r="1773" spans="1:6" x14ac:dyDescent="0.35">
      <c r="A1773" s="9">
        <v>59984179</v>
      </c>
      <c r="B1773" s="10">
        <v>42942</v>
      </c>
      <c r="C1773" s="11">
        <v>0.44815972222222222</v>
      </c>
      <c r="D1773" s="12">
        <v>0.45435185185185184</v>
      </c>
      <c r="E1773">
        <f t="shared" si="54"/>
        <v>0</v>
      </c>
      <c r="F1773">
        <f t="shared" si="55"/>
        <v>1</v>
      </c>
    </row>
    <row r="1774" spans="1:6" x14ac:dyDescent="0.35">
      <c r="A1774" s="5">
        <v>9763924</v>
      </c>
      <c r="B1774" s="6">
        <v>42942</v>
      </c>
      <c r="C1774" s="7">
        <v>0.44972222222222225</v>
      </c>
      <c r="D1774" s="8">
        <v>0.45559027777777777</v>
      </c>
      <c r="E1774">
        <f t="shared" si="54"/>
        <v>1</v>
      </c>
      <c r="F1774">
        <f t="shared" si="55"/>
        <v>0</v>
      </c>
    </row>
    <row r="1775" spans="1:6" x14ac:dyDescent="0.35">
      <c r="A1775" s="9">
        <v>1531672</v>
      </c>
      <c r="B1775" s="10">
        <v>42942</v>
      </c>
      <c r="C1775" s="11">
        <v>0.45021990740740742</v>
      </c>
      <c r="D1775" s="12">
        <v>0.46079861111111109</v>
      </c>
      <c r="E1775">
        <f t="shared" si="54"/>
        <v>1</v>
      </c>
      <c r="F1775">
        <f t="shared" si="55"/>
        <v>0</v>
      </c>
    </row>
    <row r="1776" spans="1:6" x14ac:dyDescent="0.35">
      <c r="A1776" s="5">
        <v>59723258</v>
      </c>
      <c r="B1776" s="6">
        <v>42942</v>
      </c>
      <c r="C1776" s="7">
        <v>0.4503125</v>
      </c>
      <c r="D1776" s="8">
        <v>0.4601736111111111</v>
      </c>
      <c r="E1776">
        <f t="shared" si="54"/>
        <v>0</v>
      </c>
      <c r="F1776">
        <f t="shared" si="55"/>
        <v>1</v>
      </c>
    </row>
    <row r="1777" spans="1:6" x14ac:dyDescent="0.35">
      <c r="A1777" s="9">
        <v>6878722</v>
      </c>
      <c r="B1777" s="10">
        <v>42942</v>
      </c>
      <c r="C1777" s="11">
        <v>0.45333333333333331</v>
      </c>
      <c r="D1777" s="12">
        <v>0.45443287037037039</v>
      </c>
      <c r="E1777">
        <f t="shared" si="54"/>
        <v>1</v>
      </c>
      <c r="F1777">
        <f t="shared" si="55"/>
        <v>0</v>
      </c>
    </row>
    <row r="1778" spans="1:6" x14ac:dyDescent="0.35">
      <c r="A1778" s="5">
        <v>49278984</v>
      </c>
      <c r="B1778" s="6">
        <v>42942</v>
      </c>
      <c r="C1778" s="7">
        <v>0.45531250000000001</v>
      </c>
      <c r="D1778" s="8">
        <v>0.45717592592592593</v>
      </c>
      <c r="E1778">
        <f t="shared" si="54"/>
        <v>0</v>
      </c>
      <c r="F1778">
        <f t="shared" si="55"/>
        <v>1</v>
      </c>
    </row>
    <row r="1779" spans="1:6" x14ac:dyDescent="0.35">
      <c r="A1779" s="9">
        <v>5672312</v>
      </c>
      <c r="B1779" s="10">
        <v>42942</v>
      </c>
      <c r="C1779" s="11">
        <v>0.45554398148148151</v>
      </c>
      <c r="D1779" s="12">
        <v>0.45913194444444444</v>
      </c>
      <c r="E1779">
        <f t="shared" si="54"/>
        <v>1</v>
      </c>
      <c r="F1779">
        <f t="shared" si="55"/>
        <v>0</v>
      </c>
    </row>
    <row r="1780" spans="1:6" x14ac:dyDescent="0.35">
      <c r="A1780" s="5">
        <v>9716545</v>
      </c>
      <c r="B1780" s="6">
        <v>42942</v>
      </c>
      <c r="C1780" s="7">
        <v>0.45726851851851852</v>
      </c>
      <c r="D1780" s="8">
        <v>0.46751157407407407</v>
      </c>
      <c r="E1780">
        <f t="shared" si="54"/>
        <v>1</v>
      </c>
      <c r="F1780">
        <f t="shared" si="55"/>
        <v>0</v>
      </c>
    </row>
    <row r="1781" spans="1:6" x14ac:dyDescent="0.35">
      <c r="A1781" s="9">
        <v>97953696</v>
      </c>
      <c r="B1781" s="10">
        <v>42942</v>
      </c>
      <c r="C1781" s="11">
        <v>0.46297453703703706</v>
      </c>
      <c r="D1781" s="12">
        <v>0.47129629629629627</v>
      </c>
      <c r="E1781">
        <f t="shared" si="54"/>
        <v>0</v>
      </c>
      <c r="F1781">
        <f t="shared" si="55"/>
        <v>1</v>
      </c>
    </row>
    <row r="1782" spans="1:6" x14ac:dyDescent="0.35">
      <c r="A1782" s="5">
        <v>18636086</v>
      </c>
      <c r="B1782" s="6">
        <v>42942</v>
      </c>
      <c r="C1782" s="7">
        <v>0.46431712962962962</v>
      </c>
      <c r="D1782" s="8">
        <v>0.47060185185185183</v>
      </c>
      <c r="E1782">
        <f t="shared" si="54"/>
        <v>0</v>
      </c>
      <c r="F1782">
        <f t="shared" si="55"/>
        <v>1</v>
      </c>
    </row>
    <row r="1783" spans="1:6" x14ac:dyDescent="0.35">
      <c r="A1783" s="9">
        <v>2071691</v>
      </c>
      <c r="B1783" s="10">
        <v>42942</v>
      </c>
      <c r="C1783" s="11">
        <v>0.46703703703703703</v>
      </c>
      <c r="D1783" s="12">
        <v>0.47262731481481479</v>
      </c>
      <c r="E1783">
        <f t="shared" si="54"/>
        <v>1</v>
      </c>
      <c r="F1783">
        <f t="shared" si="55"/>
        <v>0</v>
      </c>
    </row>
    <row r="1784" spans="1:6" x14ac:dyDescent="0.35">
      <c r="A1784" s="5">
        <v>8023179</v>
      </c>
      <c r="B1784" s="6">
        <v>42942</v>
      </c>
      <c r="C1784" s="7">
        <v>0.46703703703703703</v>
      </c>
      <c r="D1784" s="8">
        <v>0.47568287037037038</v>
      </c>
      <c r="E1784">
        <f t="shared" si="54"/>
        <v>1</v>
      </c>
      <c r="F1784">
        <f t="shared" si="55"/>
        <v>0</v>
      </c>
    </row>
    <row r="1785" spans="1:6" x14ac:dyDescent="0.35">
      <c r="A1785" s="9">
        <v>3533421</v>
      </c>
      <c r="B1785" s="10">
        <v>42942</v>
      </c>
      <c r="C1785" s="11">
        <v>0.47266203703703702</v>
      </c>
      <c r="D1785" s="12">
        <v>0.48297453703703702</v>
      </c>
      <c r="E1785">
        <f t="shared" si="54"/>
        <v>1</v>
      </c>
      <c r="F1785">
        <f t="shared" si="55"/>
        <v>0</v>
      </c>
    </row>
    <row r="1786" spans="1:6" x14ac:dyDescent="0.35">
      <c r="A1786" s="5">
        <v>1160932</v>
      </c>
      <c r="B1786" s="6">
        <v>42942</v>
      </c>
      <c r="C1786" s="7">
        <v>0.47515046296296298</v>
      </c>
      <c r="D1786" s="8">
        <v>0.47552083333333334</v>
      </c>
      <c r="E1786">
        <f t="shared" si="54"/>
        <v>1</v>
      </c>
      <c r="F1786">
        <f t="shared" si="55"/>
        <v>0</v>
      </c>
    </row>
    <row r="1787" spans="1:6" x14ac:dyDescent="0.35">
      <c r="A1787" s="9">
        <v>6320579</v>
      </c>
      <c r="B1787" s="10">
        <v>42942</v>
      </c>
      <c r="C1787" s="11">
        <v>0.48082175925925924</v>
      </c>
      <c r="D1787" s="12">
        <v>0.48585648148148147</v>
      </c>
      <c r="E1787">
        <f t="shared" si="54"/>
        <v>1</v>
      </c>
      <c r="F1787">
        <f t="shared" si="55"/>
        <v>0</v>
      </c>
    </row>
    <row r="1788" spans="1:6" x14ac:dyDescent="0.35">
      <c r="A1788" s="5">
        <v>6021417</v>
      </c>
      <c r="B1788" s="6">
        <v>42942</v>
      </c>
      <c r="C1788" s="7">
        <v>0.48534722222222221</v>
      </c>
      <c r="D1788" s="8">
        <v>0.48814814814814816</v>
      </c>
      <c r="E1788">
        <f t="shared" si="54"/>
        <v>1</v>
      </c>
      <c r="F1788">
        <f t="shared" si="55"/>
        <v>0</v>
      </c>
    </row>
    <row r="1789" spans="1:6" x14ac:dyDescent="0.35">
      <c r="A1789" s="9">
        <v>3638658</v>
      </c>
      <c r="B1789" s="10">
        <v>42942</v>
      </c>
      <c r="C1789" s="11">
        <v>0.48700231481481482</v>
      </c>
      <c r="D1789" s="12">
        <v>0.49305555555555558</v>
      </c>
      <c r="E1789">
        <f t="shared" si="54"/>
        <v>1</v>
      </c>
      <c r="F1789">
        <f t="shared" si="55"/>
        <v>0</v>
      </c>
    </row>
    <row r="1790" spans="1:6" x14ac:dyDescent="0.35">
      <c r="A1790" s="5">
        <v>7595348</v>
      </c>
      <c r="B1790" s="6">
        <v>42942</v>
      </c>
      <c r="C1790" s="7">
        <v>0.48849537037037039</v>
      </c>
      <c r="D1790" s="8">
        <v>0.49665509259259261</v>
      </c>
      <c r="E1790">
        <f t="shared" si="54"/>
        <v>1</v>
      </c>
      <c r="F1790">
        <f t="shared" si="55"/>
        <v>0</v>
      </c>
    </row>
    <row r="1791" spans="1:6" x14ac:dyDescent="0.35">
      <c r="A1791" s="9">
        <v>6637746981</v>
      </c>
      <c r="B1791" s="10">
        <v>42942</v>
      </c>
      <c r="C1791" s="11">
        <v>0.49020833333333336</v>
      </c>
      <c r="D1791" s="12">
        <v>0.49932870370370369</v>
      </c>
      <c r="E1791">
        <f t="shared" si="54"/>
        <v>0</v>
      </c>
      <c r="F1791">
        <f t="shared" si="55"/>
        <v>0</v>
      </c>
    </row>
    <row r="1792" spans="1:6" x14ac:dyDescent="0.35">
      <c r="A1792" s="5">
        <v>8501947</v>
      </c>
      <c r="B1792" s="6">
        <v>42942</v>
      </c>
      <c r="C1792" s="7">
        <v>0.49135416666666665</v>
      </c>
      <c r="D1792" s="8">
        <v>0.49472222222222223</v>
      </c>
      <c r="E1792">
        <f t="shared" si="54"/>
        <v>1</v>
      </c>
      <c r="F1792">
        <f t="shared" si="55"/>
        <v>0</v>
      </c>
    </row>
    <row r="1793" spans="1:6" x14ac:dyDescent="0.35">
      <c r="A1793" s="9">
        <v>85666950</v>
      </c>
      <c r="B1793" s="10">
        <v>42942</v>
      </c>
      <c r="C1793" s="11">
        <v>0.49417824074074074</v>
      </c>
      <c r="D1793" s="12">
        <v>0.50312500000000004</v>
      </c>
      <c r="E1793">
        <f t="shared" si="54"/>
        <v>0</v>
      </c>
      <c r="F1793">
        <f t="shared" si="55"/>
        <v>1</v>
      </c>
    </row>
    <row r="1794" spans="1:6" x14ac:dyDescent="0.35">
      <c r="A1794" s="5">
        <v>72289518</v>
      </c>
      <c r="B1794" s="6">
        <v>42942</v>
      </c>
      <c r="C1794" s="7">
        <v>0.49541666666666667</v>
      </c>
      <c r="D1794" s="8">
        <v>0.49947916666666664</v>
      </c>
      <c r="E1794">
        <f t="shared" si="54"/>
        <v>0</v>
      </c>
      <c r="F1794">
        <f t="shared" si="55"/>
        <v>1</v>
      </c>
    </row>
    <row r="1795" spans="1:6" x14ac:dyDescent="0.35">
      <c r="A1795" s="9">
        <v>4419123</v>
      </c>
      <c r="B1795" s="10">
        <v>42942</v>
      </c>
      <c r="C1795" s="11">
        <v>0.49952546296296296</v>
      </c>
      <c r="D1795" s="12">
        <v>0.50207175925925929</v>
      </c>
      <c r="E1795">
        <f t="shared" ref="E1795:E1858" si="56">IF(LEN(A1795)=7,1,0)</f>
        <v>1</v>
      </c>
      <c r="F1795">
        <f t="shared" ref="F1795:F1858" si="57">IF(LEN(A1795)=8,1,0)</f>
        <v>0</v>
      </c>
    </row>
    <row r="1796" spans="1:6" x14ac:dyDescent="0.35">
      <c r="A1796" s="5">
        <v>75645195</v>
      </c>
      <c r="B1796" s="6">
        <v>42942</v>
      </c>
      <c r="C1796" s="7">
        <v>0.5046180555555555</v>
      </c>
      <c r="D1796" s="8">
        <v>0.50491898148148151</v>
      </c>
      <c r="E1796">
        <f t="shared" si="56"/>
        <v>0</v>
      </c>
      <c r="F1796">
        <f t="shared" si="57"/>
        <v>1</v>
      </c>
    </row>
    <row r="1797" spans="1:6" x14ac:dyDescent="0.35">
      <c r="A1797" s="9">
        <v>4305960</v>
      </c>
      <c r="B1797" s="10">
        <v>42942</v>
      </c>
      <c r="C1797" s="11">
        <v>0.50671296296296298</v>
      </c>
      <c r="D1797" s="12">
        <v>0.51233796296296297</v>
      </c>
      <c r="E1797">
        <f t="shared" si="56"/>
        <v>1</v>
      </c>
      <c r="F1797">
        <f t="shared" si="57"/>
        <v>0</v>
      </c>
    </row>
    <row r="1798" spans="1:6" x14ac:dyDescent="0.35">
      <c r="A1798" s="5">
        <v>21681406</v>
      </c>
      <c r="B1798" s="6">
        <v>42942</v>
      </c>
      <c r="C1798" s="7">
        <v>0.50876157407407407</v>
      </c>
      <c r="D1798" s="8">
        <v>0.51472222222222219</v>
      </c>
      <c r="E1798">
        <f t="shared" si="56"/>
        <v>0</v>
      </c>
      <c r="F1798">
        <f t="shared" si="57"/>
        <v>1</v>
      </c>
    </row>
    <row r="1799" spans="1:6" x14ac:dyDescent="0.35">
      <c r="A1799" s="9">
        <v>6401011</v>
      </c>
      <c r="B1799" s="10">
        <v>42942</v>
      </c>
      <c r="C1799" s="11">
        <v>0.51140046296296293</v>
      </c>
      <c r="D1799" s="12">
        <v>0.5186574074074074</v>
      </c>
      <c r="E1799">
        <f t="shared" si="56"/>
        <v>1</v>
      </c>
      <c r="F1799">
        <f t="shared" si="57"/>
        <v>0</v>
      </c>
    </row>
    <row r="1800" spans="1:6" x14ac:dyDescent="0.35">
      <c r="A1800" s="5">
        <v>1879412</v>
      </c>
      <c r="B1800" s="6">
        <v>42942</v>
      </c>
      <c r="C1800" s="7">
        <v>0.51546296296296301</v>
      </c>
      <c r="D1800" s="8">
        <v>0.52481481481481485</v>
      </c>
      <c r="E1800">
        <f t="shared" si="56"/>
        <v>1</v>
      </c>
      <c r="F1800">
        <f t="shared" si="57"/>
        <v>0</v>
      </c>
    </row>
    <row r="1801" spans="1:6" x14ac:dyDescent="0.35">
      <c r="A1801" s="9">
        <v>6218089</v>
      </c>
      <c r="B1801" s="10">
        <v>42942</v>
      </c>
      <c r="C1801" s="11">
        <v>0.51712962962962961</v>
      </c>
      <c r="D1801" s="12">
        <v>0.52177083333333329</v>
      </c>
      <c r="E1801">
        <f t="shared" si="56"/>
        <v>1</v>
      </c>
      <c r="F1801">
        <f t="shared" si="57"/>
        <v>0</v>
      </c>
    </row>
    <row r="1802" spans="1:6" x14ac:dyDescent="0.35">
      <c r="A1802" s="5">
        <v>3408462348</v>
      </c>
      <c r="B1802" s="6">
        <v>42942</v>
      </c>
      <c r="C1802" s="7">
        <v>0.52173611111111107</v>
      </c>
      <c r="D1802" s="8">
        <v>0.52998842592592588</v>
      </c>
      <c r="E1802">
        <f t="shared" si="56"/>
        <v>0</v>
      </c>
      <c r="F1802">
        <f t="shared" si="57"/>
        <v>0</v>
      </c>
    </row>
    <row r="1803" spans="1:6" x14ac:dyDescent="0.35">
      <c r="A1803" s="9">
        <v>9535780</v>
      </c>
      <c r="B1803" s="10">
        <v>42942</v>
      </c>
      <c r="C1803" s="11">
        <v>0.52265046296296291</v>
      </c>
      <c r="D1803" s="12">
        <v>0.53091435185185187</v>
      </c>
      <c r="E1803">
        <f t="shared" si="56"/>
        <v>1</v>
      </c>
      <c r="F1803">
        <f t="shared" si="57"/>
        <v>0</v>
      </c>
    </row>
    <row r="1804" spans="1:6" x14ac:dyDescent="0.35">
      <c r="A1804" s="5">
        <v>4945889</v>
      </c>
      <c r="B1804" s="6">
        <v>42942</v>
      </c>
      <c r="C1804" s="7">
        <v>0.52790509259259255</v>
      </c>
      <c r="D1804" s="8">
        <v>0.53581018518518519</v>
      </c>
      <c r="E1804">
        <f t="shared" si="56"/>
        <v>1</v>
      </c>
      <c r="F1804">
        <f t="shared" si="57"/>
        <v>0</v>
      </c>
    </row>
    <row r="1805" spans="1:6" x14ac:dyDescent="0.35">
      <c r="A1805" s="9">
        <v>8985437</v>
      </c>
      <c r="B1805" s="10">
        <v>42942</v>
      </c>
      <c r="C1805" s="11">
        <v>0.52937500000000004</v>
      </c>
      <c r="D1805" s="12">
        <v>0.53609953703703705</v>
      </c>
      <c r="E1805">
        <f t="shared" si="56"/>
        <v>1</v>
      </c>
      <c r="F1805">
        <f t="shared" si="57"/>
        <v>0</v>
      </c>
    </row>
    <row r="1806" spans="1:6" x14ac:dyDescent="0.35">
      <c r="A1806" s="5">
        <v>57891628</v>
      </c>
      <c r="B1806" s="6">
        <v>42942</v>
      </c>
      <c r="C1806" s="7">
        <v>0.53282407407407406</v>
      </c>
      <c r="D1806" s="8">
        <v>0.53501157407407407</v>
      </c>
      <c r="E1806">
        <f t="shared" si="56"/>
        <v>0</v>
      </c>
      <c r="F1806">
        <f t="shared" si="57"/>
        <v>1</v>
      </c>
    </row>
    <row r="1807" spans="1:6" x14ac:dyDescent="0.35">
      <c r="A1807" s="9">
        <v>9772824</v>
      </c>
      <c r="B1807" s="10">
        <v>42942</v>
      </c>
      <c r="C1807" s="11">
        <v>0.53344907407407405</v>
      </c>
      <c r="D1807" s="12">
        <v>0.54386574074074079</v>
      </c>
      <c r="E1807">
        <f t="shared" si="56"/>
        <v>1</v>
      </c>
      <c r="F1807">
        <f t="shared" si="57"/>
        <v>0</v>
      </c>
    </row>
    <row r="1808" spans="1:6" x14ac:dyDescent="0.35">
      <c r="A1808" s="5">
        <v>4154521</v>
      </c>
      <c r="B1808" s="6">
        <v>42942</v>
      </c>
      <c r="C1808" s="7">
        <v>0.53439814814814812</v>
      </c>
      <c r="D1808" s="8">
        <v>0.53813657407407411</v>
      </c>
      <c r="E1808">
        <f t="shared" si="56"/>
        <v>1</v>
      </c>
      <c r="F1808">
        <f t="shared" si="57"/>
        <v>0</v>
      </c>
    </row>
    <row r="1809" spans="1:6" x14ac:dyDescent="0.35">
      <c r="A1809" s="9">
        <v>96977805</v>
      </c>
      <c r="B1809" s="10">
        <v>42942</v>
      </c>
      <c r="C1809" s="11">
        <v>0.53601851851851856</v>
      </c>
      <c r="D1809" s="12">
        <v>0.54394675925925928</v>
      </c>
      <c r="E1809">
        <f t="shared" si="56"/>
        <v>0</v>
      </c>
      <c r="F1809">
        <f t="shared" si="57"/>
        <v>1</v>
      </c>
    </row>
    <row r="1810" spans="1:6" x14ac:dyDescent="0.35">
      <c r="A1810" s="5">
        <v>24665933</v>
      </c>
      <c r="B1810" s="6">
        <v>42942</v>
      </c>
      <c r="C1810" s="7">
        <v>0.53666666666666663</v>
      </c>
      <c r="D1810" s="8">
        <v>0.5370949074074074</v>
      </c>
      <c r="E1810">
        <f t="shared" si="56"/>
        <v>0</v>
      </c>
      <c r="F1810">
        <f t="shared" si="57"/>
        <v>1</v>
      </c>
    </row>
    <row r="1811" spans="1:6" x14ac:dyDescent="0.35">
      <c r="A1811" s="9">
        <v>5465004</v>
      </c>
      <c r="B1811" s="10">
        <v>42942</v>
      </c>
      <c r="C1811" s="11">
        <v>0.54017361111111106</v>
      </c>
      <c r="D1811" s="12">
        <v>0.54915509259259254</v>
      </c>
      <c r="E1811">
        <f t="shared" si="56"/>
        <v>1</v>
      </c>
      <c r="F1811">
        <f t="shared" si="57"/>
        <v>0</v>
      </c>
    </row>
    <row r="1812" spans="1:6" x14ac:dyDescent="0.35">
      <c r="A1812" s="5">
        <v>9560827</v>
      </c>
      <c r="B1812" s="6">
        <v>42942</v>
      </c>
      <c r="C1812" s="7">
        <v>0.54069444444444448</v>
      </c>
      <c r="D1812" s="8">
        <v>0.55103009259259261</v>
      </c>
      <c r="E1812">
        <f t="shared" si="56"/>
        <v>1</v>
      </c>
      <c r="F1812">
        <f t="shared" si="57"/>
        <v>0</v>
      </c>
    </row>
    <row r="1813" spans="1:6" x14ac:dyDescent="0.35">
      <c r="A1813" s="9">
        <v>3443287</v>
      </c>
      <c r="B1813" s="10">
        <v>42942</v>
      </c>
      <c r="C1813" s="11">
        <v>0.54593749999999996</v>
      </c>
      <c r="D1813" s="12">
        <v>0.55622685185185183</v>
      </c>
      <c r="E1813">
        <f t="shared" si="56"/>
        <v>1</v>
      </c>
      <c r="F1813">
        <f t="shared" si="57"/>
        <v>0</v>
      </c>
    </row>
    <row r="1814" spans="1:6" x14ac:dyDescent="0.35">
      <c r="A1814" s="5">
        <v>7551668</v>
      </c>
      <c r="B1814" s="6">
        <v>42942</v>
      </c>
      <c r="C1814" s="7">
        <v>0.55053240740740739</v>
      </c>
      <c r="D1814" s="8">
        <v>0.55672453703703706</v>
      </c>
      <c r="E1814">
        <f t="shared" si="56"/>
        <v>1</v>
      </c>
      <c r="F1814">
        <f t="shared" si="57"/>
        <v>0</v>
      </c>
    </row>
    <row r="1815" spans="1:6" x14ac:dyDescent="0.35">
      <c r="A1815" s="9">
        <v>3189059</v>
      </c>
      <c r="B1815" s="10">
        <v>42942</v>
      </c>
      <c r="C1815" s="11">
        <v>0.55462962962962958</v>
      </c>
      <c r="D1815" s="12">
        <v>0.56101851851851847</v>
      </c>
      <c r="E1815">
        <f t="shared" si="56"/>
        <v>1</v>
      </c>
      <c r="F1815">
        <f t="shared" si="57"/>
        <v>0</v>
      </c>
    </row>
    <row r="1816" spans="1:6" x14ac:dyDescent="0.35">
      <c r="A1816" s="5">
        <v>9061957</v>
      </c>
      <c r="B1816" s="6">
        <v>42942</v>
      </c>
      <c r="C1816" s="7">
        <v>0.55604166666666666</v>
      </c>
      <c r="D1816" s="8">
        <v>0.56381944444444443</v>
      </c>
      <c r="E1816">
        <f t="shared" si="56"/>
        <v>1</v>
      </c>
      <c r="F1816">
        <f t="shared" si="57"/>
        <v>0</v>
      </c>
    </row>
    <row r="1817" spans="1:6" x14ac:dyDescent="0.35">
      <c r="A1817" s="9">
        <v>2109147679</v>
      </c>
      <c r="B1817" s="10">
        <v>42942</v>
      </c>
      <c r="C1817" s="11">
        <v>0.56098379629629624</v>
      </c>
      <c r="D1817" s="12">
        <v>0.56753472222222223</v>
      </c>
      <c r="E1817">
        <f t="shared" si="56"/>
        <v>0</v>
      </c>
      <c r="F1817">
        <f t="shared" si="57"/>
        <v>0</v>
      </c>
    </row>
    <row r="1818" spans="1:6" x14ac:dyDescent="0.35">
      <c r="A1818" s="5">
        <v>59508384</v>
      </c>
      <c r="B1818" s="6">
        <v>42942</v>
      </c>
      <c r="C1818" s="7">
        <v>0.56232638888888886</v>
      </c>
      <c r="D1818" s="8">
        <v>0.56594907407407402</v>
      </c>
      <c r="E1818">
        <f t="shared" si="56"/>
        <v>0</v>
      </c>
      <c r="F1818">
        <f t="shared" si="57"/>
        <v>1</v>
      </c>
    </row>
    <row r="1819" spans="1:6" x14ac:dyDescent="0.35">
      <c r="A1819" s="9">
        <v>48529464</v>
      </c>
      <c r="B1819" s="10">
        <v>42942</v>
      </c>
      <c r="C1819" s="11">
        <v>0.56283564814814813</v>
      </c>
      <c r="D1819" s="12">
        <v>0.56427083333333339</v>
      </c>
      <c r="E1819">
        <f t="shared" si="56"/>
        <v>0</v>
      </c>
      <c r="F1819">
        <f t="shared" si="57"/>
        <v>1</v>
      </c>
    </row>
    <row r="1820" spans="1:6" x14ac:dyDescent="0.35">
      <c r="A1820" s="5">
        <v>4082744</v>
      </c>
      <c r="B1820" s="6">
        <v>42942</v>
      </c>
      <c r="C1820" s="7">
        <v>0.56481481481481477</v>
      </c>
      <c r="D1820" s="8">
        <v>0.57565972222222217</v>
      </c>
      <c r="E1820">
        <f t="shared" si="56"/>
        <v>1</v>
      </c>
      <c r="F1820">
        <f t="shared" si="57"/>
        <v>0</v>
      </c>
    </row>
    <row r="1821" spans="1:6" x14ac:dyDescent="0.35">
      <c r="A1821" s="9">
        <v>2395447</v>
      </c>
      <c r="B1821" s="10">
        <v>42942</v>
      </c>
      <c r="C1821" s="11">
        <v>0.56805555555555554</v>
      </c>
      <c r="D1821" s="12">
        <v>0.56937499999999996</v>
      </c>
      <c r="E1821">
        <f t="shared" si="56"/>
        <v>1</v>
      </c>
      <c r="F1821">
        <f t="shared" si="57"/>
        <v>0</v>
      </c>
    </row>
    <row r="1822" spans="1:6" x14ac:dyDescent="0.35">
      <c r="A1822" s="5">
        <v>96620804</v>
      </c>
      <c r="B1822" s="6">
        <v>42942</v>
      </c>
      <c r="C1822" s="7">
        <v>0.56945601851851857</v>
      </c>
      <c r="D1822" s="8">
        <v>0.5776041666666667</v>
      </c>
      <c r="E1822">
        <f t="shared" si="56"/>
        <v>0</v>
      </c>
      <c r="F1822">
        <f t="shared" si="57"/>
        <v>1</v>
      </c>
    </row>
    <row r="1823" spans="1:6" x14ac:dyDescent="0.35">
      <c r="A1823" s="9">
        <v>9489003225</v>
      </c>
      <c r="B1823" s="10">
        <v>42942</v>
      </c>
      <c r="C1823" s="11">
        <v>0.57263888888888892</v>
      </c>
      <c r="D1823" s="12">
        <v>0.57309027777777777</v>
      </c>
      <c r="E1823">
        <f t="shared" si="56"/>
        <v>0</v>
      </c>
      <c r="F1823">
        <f t="shared" si="57"/>
        <v>0</v>
      </c>
    </row>
    <row r="1824" spans="1:6" x14ac:dyDescent="0.35">
      <c r="A1824" s="5">
        <v>6897893</v>
      </c>
      <c r="B1824" s="6">
        <v>42942</v>
      </c>
      <c r="C1824" s="7">
        <v>0.57662037037037039</v>
      </c>
      <c r="D1824" s="8">
        <v>0.58204861111111106</v>
      </c>
      <c r="E1824">
        <f t="shared" si="56"/>
        <v>1</v>
      </c>
      <c r="F1824">
        <f t="shared" si="57"/>
        <v>0</v>
      </c>
    </row>
    <row r="1825" spans="1:6" x14ac:dyDescent="0.35">
      <c r="A1825" s="9">
        <v>9759222</v>
      </c>
      <c r="B1825" s="10">
        <v>42942</v>
      </c>
      <c r="C1825" s="11">
        <v>0.58021990740740736</v>
      </c>
      <c r="D1825" s="12">
        <v>0.58726851851851847</v>
      </c>
      <c r="E1825">
        <f t="shared" si="56"/>
        <v>1</v>
      </c>
      <c r="F1825">
        <f t="shared" si="57"/>
        <v>0</v>
      </c>
    </row>
    <row r="1826" spans="1:6" x14ac:dyDescent="0.35">
      <c r="A1826" s="5">
        <v>39793981</v>
      </c>
      <c r="B1826" s="6">
        <v>42942</v>
      </c>
      <c r="C1826" s="7">
        <v>0.58101851851851849</v>
      </c>
      <c r="D1826" s="8">
        <v>0.58164351851851848</v>
      </c>
      <c r="E1826">
        <f t="shared" si="56"/>
        <v>0</v>
      </c>
      <c r="F1826">
        <f t="shared" si="57"/>
        <v>1</v>
      </c>
    </row>
    <row r="1827" spans="1:6" x14ac:dyDescent="0.35">
      <c r="A1827" s="9">
        <v>3759991</v>
      </c>
      <c r="B1827" s="10">
        <v>42942</v>
      </c>
      <c r="C1827" s="11">
        <v>0.58408564814814812</v>
      </c>
      <c r="D1827" s="12">
        <v>0.58677083333333335</v>
      </c>
      <c r="E1827">
        <f t="shared" si="56"/>
        <v>1</v>
      </c>
      <c r="F1827">
        <f t="shared" si="57"/>
        <v>0</v>
      </c>
    </row>
    <row r="1828" spans="1:6" x14ac:dyDescent="0.35">
      <c r="A1828" s="5">
        <v>37838778</v>
      </c>
      <c r="B1828" s="6">
        <v>42942</v>
      </c>
      <c r="C1828" s="7">
        <v>0.58770833333333339</v>
      </c>
      <c r="D1828" s="8">
        <v>0.59591435185185182</v>
      </c>
      <c r="E1828">
        <f t="shared" si="56"/>
        <v>0</v>
      </c>
      <c r="F1828">
        <f t="shared" si="57"/>
        <v>1</v>
      </c>
    </row>
    <row r="1829" spans="1:6" x14ac:dyDescent="0.35">
      <c r="A1829" s="9">
        <v>3785540</v>
      </c>
      <c r="B1829" s="10">
        <v>42942</v>
      </c>
      <c r="C1829" s="11">
        <v>0.59261574074074075</v>
      </c>
      <c r="D1829" s="12">
        <v>0.60343749999999996</v>
      </c>
      <c r="E1829">
        <f t="shared" si="56"/>
        <v>1</v>
      </c>
      <c r="F1829">
        <f t="shared" si="57"/>
        <v>0</v>
      </c>
    </row>
    <row r="1830" spans="1:6" x14ac:dyDescent="0.35">
      <c r="A1830" s="5">
        <v>9689833</v>
      </c>
      <c r="B1830" s="6">
        <v>42942</v>
      </c>
      <c r="C1830" s="7">
        <v>0.5932291666666667</v>
      </c>
      <c r="D1830" s="8">
        <v>0.59943287037037041</v>
      </c>
      <c r="E1830">
        <f t="shared" si="56"/>
        <v>1</v>
      </c>
      <c r="F1830">
        <f t="shared" si="57"/>
        <v>0</v>
      </c>
    </row>
    <row r="1831" spans="1:6" x14ac:dyDescent="0.35">
      <c r="A1831" s="9">
        <v>8136309</v>
      </c>
      <c r="B1831" s="10">
        <v>42942</v>
      </c>
      <c r="C1831" s="11">
        <v>0.59876157407407404</v>
      </c>
      <c r="D1831" s="12">
        <v>0.60951388888888891</v>
      </c>
      <c r="E1831">
        <f t="shared" si="56"/>
        <v>1</v>
      </c>
      <c r="F1831">
        <f t="shared" si="57"/>
        <v>0</v>
      </c>
    </row>
    <row r="1832" spans="1:6" x14ac:dyDescent="0.35">
      <c r="A1832" s="5">
        <v>1177203</v>
      </c>
      <c r="B1832" s="6">
        <v>42942</v>
      </c>
      <c r="C1832" s="7">
        <v>0.60384259259259254</v>
      </c>
      <c r="D1832" s="8">
        <v>0.60452546296296295</v>
      </c>
      <c r="E1832">
        <f t="shared" si="56"/>
        <v>1</v>
      </c>
      <c r="F1832">
        <f t="shared" si="57"/>
        <v>0</v>
      </c>
    </row>
    <row r="1833" spans="1:6" x14ac:dyDescent="0.35">
      <c r="A1833" s="9">
        <v>6060835</v>
      </c>
      <c r="B1833" s="10">
        <v>42942</v>
      </c>
      <c r="C1833" s="11">
        <v>0.60623842592592592</v>
      </c>
      <c r="D1833" s="12">
        <v>0.61055555555555552</v>
      </c>
      <c r="E1833">
        <f t="shared" si="56"/>
        <v>1</v>
      </c>
      <c r="F1833">
        <f t="shared" si="57"/>
        <v>0</v>
      </c>
    </row>
    <row r="1834" spans="1:6" x14ac:dyDescent="0.35">
      <c r="A1834" s="5">
        <v>8534481</v>
      </c>
      <c r="B1834" s="6">
        <v>42942</v>
      </c>
      <c r="C1834" s="7">
        <v>0.60950231481481476</v>
      </c>
      <c r="D1834" s="8">
        <v>0.61940972222222224</v>
      </c>
      <c r="E1834">
        <f t="shared" si="56"/>
        <v>1</v>
      </c>
      <c r="F1834">
        <f t="shared" si="57"/>
        <v>0</v>
      </c>
    </row>
    <row r="1835" spans="1:6" x14ac:dyDescent="0.35">
      <c r="A1835" s="9">
        <v>4959594</v>
      </c>
      <c r="B1835" s="10">
        <v>42942</v>
      </c>
      <c r="C1835" s="11">
        <v>0.61371527777777779</v>
      </c>
      <c r="D1835" s="12">
        <v>0.6235532407407407</v>
      </c>
      <c r="E1835">
        <f t="shared" si="56"/>
        <v>1</v>
      </c>
      <c r="F1835">
        <f t="shared" si="57"/>
        <v>0</v>
      </c>
    </row>
    <row r="1836" spans="1:6" x14ac:dyDescent="0.35">
      <c r="A1836" s="5">
        <v>1047809</v>
      </c>
      <c r="B1836" s="6">
        <v>42942</v>
      </c>
      <c r="C1836" s="7">
        <v>0.61724537037037042</v>
      </c>
      <c r="D1836" s="8">
        <v>0.62866898148148154</v>
      </c>
      <c r="E1836">
        <f t="shared" si="56"/>
        <v>1</v>
      </c>
      <c r="F1836">
        <f t="shared" si="57"/>
        <v>0</v>
      </c>
    </row>
    <row r="1837" spans="1:6" x14ac:dyDescent="0.35">
      <c r="A1837" s="9">
        <v>3437033</v>
      </c>
      <c r="B1837" s="10">
        <v>42942</v>
      </c>
      <c r="C1837" s="11">
        <v>0.62089120370370365</v>
      </c>
      <c r="D1837" s="12">
        <v>0.62159722222222225</v>
      </c>
      <c r="E1837">
        <f t="shared" si="56"/>
        <v>1</v>
      </c>
      <c r="F1837">
        <f t="shared" si="57"/>
        <v>0</v>
      </c>
    </row>
    <row r="1838" spans="1:6" x14ac:dyDescent="0.35">
      <c r="A1838" s="5">
        <v>6801890</v>
      </c>
      <c r="B1838" s="6">
        <v>42942</v>
      </c>
      <c r="C1838" s="7">
        <v>0.62467592592592591</v>
      </c>
      <c r="D1838" s="8">
        <v>0.62690972222222219</v>
      </c>
      <c r="E1838">
        <f t="shared" si="56"/>
        <v>1</v>
      </c>
      <c r="F1838">
        <f t="shared" si="57"/>
        <v>0</v>
      </c>
    </row>
    <row r="1839" spans="1:6" x14ac:dyDescent="0.35">
      <c r="A1839" s="9">
        <v>2604004</v>
      </c>
      <c r="B1839" s="10">
        <v>42942</v>
      </c>
      <c r="C1839" s="11">
        <v>0.6277314814814815</v>
      </c>
      <c r="D1839" s="12">
        <v>0.63423611111111111</v>
      </c>
      <c r="E1839">
        <f t="shared" si="56"/>
        <v>1</v>
      </c>
      <c r="F1839">
        <f t="shared" si="57"/>
        <v>0</v>
      </c>
    </row>
    <row r="1840" spans="1:6" x14ac:dyDescent="0.35">
      <c r="A1840" s="5">
        <v>4379524</v>
      </c>
      <c r="B1840" s="6">
        <v>42943</v>
      </c>
      <c r="C1840" s="7">
        <v>0.33751157407407406</v>
      </c>
      <c r="D1840" s="8">
        <v>0.33754629629629629</v>
      </c>
      <c r="E1840">
        <f t="shared" si="56"/>
        <v>1</v>
      </c>
      <c r="F1840">
        <f t="shared" si="57"/>
        <v>0</v>
      </c>
    </row>
    <row r="1841" spans="1:6" x14ac:dyDescent="0.35">
      <c r="A1841" s="9">
        <v>12377650</v>
      </c>
      <c r="B1841" s="10">
        <v>42943</v>
      </c>
      <c r="C1841" s="11">
        <v>0.33943287037037034</v>
      </c>
      <c r="D1841" s="12">
        <v>0.34292824074074074</v>
      </c>
      <c r="E1841">
        <f t="shared" si="56"/>
        <v>0</v>
      </c>
      <c r="F1841">
        <f t="shared" si="57"/>
        <v>1</v>
      </c>
    </row>
    <row r="1842" spans="1:6" x14ac:dyDescent="0.35">
      <c r="A1842" s="5">
        <v>77869622</v>
      </c>
      <c r="B1842" s="6">
        <v>42943</v>
      </c>
      <c r="C1842" s="7">
        <v>0.34219907407407407</v>
      </c>
      <c r="D1842" s="8">
        <v>0.35170138888888891</v>
      </c>
      <c r="E1842">
        <f t="shared" si="56"/>
        <v>0</v>
      </c>
      <c r="F1842">
        <f t="shared" si="57"/>
        <v>1</v>
      </c>
    </row>
    <row r="1843" spans="1:6" x14ac:dyDescent="0.35">
      <c r="A1843" s="9">
        <v>3414247278</v>
      </c>
      <c r="B1843" s="10">
        <v>42943</v>
      </c>
      <c r="C1843" s="11">
        <v>0.34658564814814813</v>
      </c>
      <c r="D1843" s="12">
        <v>0.34666666666666668</v>
      </c>
      <c r="E1843">
        <f t="shared" si="56"/>
        <v>0</v>
      </c>
      <c r="F1843">
        <f t="shared" si="57"/>
        <v>0</v>
      </c>
    </row>
    <row r="1844" spans="1:6" x14ac:dyDescent="0.35">
      <c r="A1844" s="5">
        <v>5839324907</v>
      </c>
      <c r="B1844" s="6">
        <v>42943</v>
      </c>
      <c r="C1844" s="7">
        <v>0.3490509259259259</v>
      </c>
      <c r="D1844" s="8">
        <v>0.35481481481481481</v>
      </c>
      <c r="E1844">
        <f t="shared" si="56"/>
        <v>0</v>
      </c>
      <c r="F1844">
        <f t="shared" si="57"/>
        <v>0</v>
      </c>
    </row>
    <row r="1845" spans="1:6" x14ac:dyDescent="0.35">
      <c r="A1845" s="9">
        <v>4852863</v>
      </c>
      <c r="B1845" s="10">
        <v>42943</v>
      </c>
      <c r="C1845" s="11">
        <v>0.34975694444444444</v>
      </c>
      <c r="D1845" s="12">
        <v>0.35971064814814813</v>
      </c>
      <c r="E1845">
        <f t="shared" si="56"/>
        <v>1</v>
      </c>
      <c r="F1845">
        <f t="shared" si="57"/>
        <v>0</v>
      </c>
    </row>
    <row r="1846" spans="1:6" x14ac:dyDescent="0.35">
      <c r="A1846" s="5">
        <v>3245936</v>
      </c>
      <c r="B1846" s="6">
        <v>42943</v>
      </c>
      <c r="C1846" s="7">
        <v>0.35116898148148146</v>
      </c>
      <c r="D1846" s="8">
        <v>0.35408564814814814</v>
      </c>
      <c r="E1846">
        <f t="shared" si="56"/>
        <v>1</v>
      </c>
      <c r="F1846">
        <f t="shared" si="57"/>
        <v>0</v>
      </c>
    </row>
    <row r="1847" spans="1:6" x14ac:dyDescent="0.35">
      <c r="A1847" s="9">
        <v>6674505</v>
      </c>
      <c r="B1847" s="10">
        <v>42943</v>
      </c>
      <c r="C1847" s="11">
        <v>0.35136574074074073</v>
      </c>
      <c r="D1847" s="12">
        <v>0.35390046296296296</v>
      </c>
      <c r="E1847">
        <f t="shared" si="56"/>
        <v>1</v>
      </c>
      <c r="F1847">
        <f t="shared" si="57"/>
        <v>0</v>
      </c>
    </row>
    <row r="1848" spans="1:6" x14ac:dyDescent="0.35">
      <c r="A1848" s="5">
        <v>9591892</v>
      </c>
      <c r="B1848" s="6">
        <v>42943</v>
      </c>
      <c r="C1848" s="7">
        <v>0.35487268518518517</v>
      </c>
      <c r="D1848" s="8">
        <v>0.36251157407407408</v>
      </c>
      <c r="E1848">
        <f t="shared" si="56"/>
        <v>1</v>
      </c>
      <c r="F1848">
        <f t="shared" si="57"/>
        <v>0</v>
      </c>
    </row>
    <row r="1849" spans="1:6" x14ac:dyDescent="0.35">
      <c r="A1849" s="9">
        <v>96404523</v>
      </c>
      <c r="B1849" s="10">
        <v>42943</v>
      </c>
      <c r="C1849" s="11">
        <v>0.35592592592592592</v>
      </c>
      <c r="D1849" s="12">
        <v>0.36366898148148147</v>
      </c>
      <c r="E1849">
        <f t="shared" si="56"/>
        <v>0</v>
      </c>
      <c r="F1849">
        <f t="shared" si="57"/>
        <v>1</v>
      </c>
    </row>
    <row r="1850" spans="1:6" x14ac:dyDescent="0.35">
      <c r="A1850" s="5">
        <v>1405478</v>
      </c>
      <c r="B1850" s="6">
        <v>42943</v>
      </c>
      <c r="C1850" s="7">
        <v>0.35940972222222223</v>
      </c>
      <c r="D1850" s="8">
        <v>0.36412037037037037</v>
      </c>
      <c r="E1850">
        <f t="shared" si="56"/>
        <v>1</v>
      </c>
      <c r="F1850">
        <f t="shared" si="57"/>
        <v>0</v>
      </c>
    </row>
    <row r="1851" spans="1:6" x14ac:dyDescent="0.35">
      <c r="A1851" s="9">
        <v>5900506</v>
      </c>
      <c r="B1851" s="10">
        <v>42943</v>
      </c>
      <c r="C1851" s="11">
        <v>0.36026620370370371</v>
      </c>
      <c r="D1851" s="12">
        <v>0.36319444444444443</v>
      </c>
      <c r="E1851">
        <f t="shared" si="56"/>
        <v>1</v>
      </c>
      <c r="F1851">
        <f t="shared" si="57"/>
        <v>0</v>
      </c>
    </row>
    <row r="1852" spans="1:6" x14ac:dyDescent="0.35">
      <c r="A1852" s="5">
        <v>6060835</v>
      </c>
      <c r="B1852" s="6">
        <v>42943</v>
      </c>
      <c r="C1852" s="7">
        <v>0.36148148148148146</v>
      </c>
      <c r="D1852" s="8">
        <v>0.3721990740740741</v>
      </c>
      <c r="E1852">
        <f t="shared" si="56"/>
        <v>1</v>
      </c>
      <c r="F1852">
        <f t="shared" si="57"/>
        <v>0</v>
      </c>
    </row>
    <row r="1853" spans="1:6" x14ac:dyDescent="0.35">
      <c r="A1853" s="9">
        <v>8880275</v>
      </c>
      <c r="B1853" s="10">
        <v>42943</v>
      </c>
      <c r="C1853" s="11">
        <v>0.36598379629629629</v>
      </c>
      <c r="D1853" s="12">
        <v>0.37474537037037037</v>
      </c>
      <c r="E1853">
        <f t="shared" si="56"/>
        <v>1</v>
      </c>
      <c r="F1853">
        <f t="shared" si="57"/>
        <v>0</v>
      </c>
    </row>
    <row r="1854" spans="1:6" x14ac:dyDescent="0.35">
      <c r="A1854" s="5">
        <v>57101974</v>
      </c>
      <c r="B1854" s="6">
        <v>42943</v>
      </c>
      <c r="C1854" s="7">
        <v>0.37133101851851852</v>
      </c>
      <c r="D1854" s="8">
        <v>0.37923611111111111</v>
      </c>
      <c r="E1854">
        <f t="shared" si="56"/>
        <v>0</v>
      </c>
      <c r="F1854">
        <f t="shared" si="57"/>
        <v>1</v>
      </c>
    </row>
    <row r="1855" spans="1:6" x14ac:dyDescent="0.35">
      <c r="A1855" s="9">
        <v>2096100</v>
      </c>
      <c r="B1855" s="10">
        <v>42943</v>
      </c>
      <c r="C1855" s="11">
        <v>0.3717361111111111</v>
      </c>
      <c r="D1855" s="12">
        <v>0.37253472222222223</v>
      </c>
      <c r="E1855">
        <f t="shared" si="56"/>
        <v>1</v>
      </c>
      <c r="F1855">
        <f t="shared" si="57"/>
        <v>0</v>
      </c>
    </row>
    <row r="1856" spans="1:6" x14ac:dyDescent="0.35">
      <c r="A1856" s="5">
        <v>2366545</v>
      </c>
      <c r="B1856" s="6">
        <v>42943</v>
      </c>
      <c r="C1856" s="7">
        <v>0.3737152777777778</v>
      </c>
      <c r="D1856" s="8">
        <v>0.37967592592592592</v>
      </c>
      <c r="E1856">
        <f t="shared" si="56"/>
        <v>1</v>
      </c>
      <c r="F1856">
        <f t="shared" si="57"/>
        <v>0</v>
      </c>
    </row>
    <row r="1857" spans="1:6" x14ac:dyDescent="0.35">
      <c r="A1857" s="9">
        <v>2260131</v>
      </c>
      <c r="B1857" s="10">
        <v>42943</v>
      </c>
      <c r="C1857" s="11">
        <v>0.37664351851851852</v>
      </c>
      <c r="D1857" s="12">
        <v>0.38442129629629629</v>
      </c>
      <c r="E1857">
        <f t="shared" si="56"/>
        <v>1</v>
      </c>
      <c r="F1857">
        <f t="shared" si="57"/>
        <v>0</v>
      </c>
    </row>
    <row r="1858" spans="1:6" x14ac:dyDescent="0.35">
      <c r="A1858" s="5">
        <v>75818182</v>
      </c>
      <c r="B1858" s="6">
        <v>42943</v>
      </c>
      <c r="C1858" s="7">
        <v>0.37973379629629628</v>
      </c>
      <c r="D1858" s="8">
        <v>0.38395833333333335</v>
      </c>
      <c r="E1858">
        <f t="shared" si="56"/>
        <v>0</v>
      </c>
      <c r="F1858">
        <f t="shared" si="57"/>
        <v>1</v>
      </c>
    </row>
    <row r="1859" spans="1:6" x14ac:dyDescent="0.35">
      <c r="A1859" s="9">
        <v>1247125</v>
      </c>
      <c r="B1859" s="10">
        <v>42943</v>
      </c>
      <c r="C1859" s="11">
        <v>0.38461805555555556</v>
      </c>
      <c r="D1859" s="12">
        <v>0.39339120370370373</v>
      </c>
      <c r="E1859">
        <f t="shared" ref="E1859:E1922" si="58">IF(LEN(A1859)=7,1,0)</f>
        <v>1</v>
      </c>
      <c r="F1859">
        <f t="shared" ref="F1859:F1922" si="59">IF(LEN(A1859)=8,1,0)</f>
        <v>0</v>
      </c>
    </row>
    <row r="1860" spans="1:6" x14ac:dyDescent="0.35">
      <c r="A1860" s="5">
        <v>3733011</v>
      </c>
      <c r="B1860" s="6">
        <v>42943</v>
      </c>
      <c r="C1860" s="7">
        <v>0.38571759259259258</v>
      </c>
      <c r="D1860" s="8">
        <v>0.39556712962962964</v>
      </c>
      <c r="E1860">
        <f t="shared" si="58"/>
        <v>1</v>
      </c>
      <c r="F1860">
        <f t="shared" si="59"/>
        <v>0</v>
      </c>
    </row>
    <row r="1861" spans="1:6" x14ac:dyDescent="0.35">
      <c r="A1861" s="9">
        <v>6615729</v>
      </c>
      <c r="B1861" s="10">
        <v>42943</v>
      </c>
      <c r="C1861" s="11">
        <v>0.38997685185185182</v>
      </c>
      <c r="D1861" s="12">
        <v>0.39743055555555556</v>
      </c>
      <c r="E1861">
        <f t="shared" si="58"/>
        <v>1</v>
      </c>
      <c r="F1861">
        <f t="shared" si="59"/>
        <v>0</v>
      </c>
    </row>
    <row r="1862" spans="1:6" x14ac:dyDescent="0.35">
      <c r="A1862" s="5">
        <v>6844342</v>
      </c>
      <c r="B1862" s="6">
        <v>42943</v>
      </c>
      <c r="C1862" s="7">
        <v>0.39451388888888889</v>
      </c>
      <c r="D1862" s="8">
        <v>0.39609953703703704</v>
      </c>
      <c r="E1862">
        <f t="shared" si="58"/>
        <v>1</v>
      </c>
      <c r="F1862">
        <f t="shared" si="59"/>
        <v>0</v>
      </c>
    </row>
    <row r="1863" spans="1:6" x14ac:dyDescent="0.35">
      <c r="A1863" s="9">
        <v>8369815</v>
      </c>
      <c r="B1863" s="10">
        <v>42943</v>
      </c>
      <c r="C1863" s="11">
        <v>0.3967013888888889</v>
      </c>
      <c r="D1863" s="12">
        <v>0.40182870370370372</v>
      </c>
      <c r="E1863">
        <f t="shared" si="58"/>
        <v>1</v>
      </c>
      <c r="F1863">
        <f t="shared" si="59"/>
        <v>0</v>
      </c>
    </row>
    <row r="1864" spans="1:6" x14ac:dyDescent="0.35">
      <c r="A1864" s="5">
        <v>9304830</v>
      </c>
      <c r="B1864" s="6">
        <v>42943</v>
      </c>
      <c r="C1864" s="7">
        <v>0.39812500000000001</v>
      </c>
      <c r="D1864" s="8">
        <v>0.39895833333333336</v>
      </c>
      <c r="E1864">
        <f t="shared" si="58"/>
        <v>1</v>
      </c>
      <c r="F1864">
        <f t="shared" si="59"/>
        <v>0</v>
      </c>
    </row>
    <row r="1865" spans="1:6" x14ac:dyDescent="0.35">
      <c r="A1865" s="9">
        <v>1117708</v>
      </c>
      <c r="B1865" s="10">
        <v>42943</v>
      </c>
      <c r="C1865" s="11">
        <v>0.40266203703703701</v>
      </c>
      <c r="D1865" s="12">
        <v>0.4073148148148148</v>
      </c>
      <c r="E1865">
        <f t="shared" si="58"/>
        <v>1</v>
      </c>
      <c r="F1865">
        <f t="shared" si="59"/>
        <v>0</v>
      </c>
    </row>
    <row r="1866" spans="1:6" x14ac:dyDescent="0.35">
      <c r="A1866" s="5">
        <v>6055986</v>
      </c>
      <c r="B1866" s="6">
        <v>42943</v>
      </c>
      <c r="C1866" s="7">
        <v>0.40710648148148149</v>
      </c>
      <c r="D1866" s="8">
        <v>0.40740740740740738</v>
      </c>
      <c r="E1866">
        <f t="shared" si="58"/>
        <v>1</v>
      </c>
      <c r="F1866">
        <f t="shared" si="59"/>
        <v>0</v>
      </c>
    </row>
    <row r="1867" spans="1:6" x14ac:dyDescent="0.35">
      <c r="A1867" s="9">
        <v>4569864426</v>
      </c>
      <c r="B1867" s="10">
        <v>42943</v>
      </c>
      <c r="C1867" s="11">
        <v>0.40751157407407407</v>
      </c>
      <c r="D1867" s="12">
        <v>0.41725694444444444</v>
      </c>
      <c r="E1867">
        <f t="shared" si="58"/>
        <v>0</v>
      </c>
      <c r="F1867">
        <f t="shared" si="59"/>
        <v>0</v>
      </c>
    </row>
    <row r="1868" spans="1:6" x14ac:dyDescent="0.35">
      <c r="A1868" s="5">
        <v>2781512</v>
      </c>
      <c r="B1868" s="6">
        <v>42943</v>
      </c>
      <c r="C1868" s="7">
        <v>0.41244212962962962</v>
      </c>
      <c r="D1868" s="8">
        <v>0.41619212962962965</v>
      </c>
      <c r="E1868">
        <f t="shared" si="58"/>
        <v>1</v>
      </c>
      <c r="F1868">
        <f t="shared" si="59"/>
        <v>0</v>
      </c>
    </row>
    <row r="1869" spans="1:6" x14ac:dyDescent="0.35">
      <c r="A1869" s="9">
        <v>3093964</v>
      </c>
      <c r="B1869" s="10">
        <v>42943</v>
      </c>
      <c r="C1869" s="11">
        <v>0.41363425925925928</v>
      </c>
      <c r="D1869" s="12">
        <v>0.41902777777777778</v>
      </c>
      <c r="E1869">
        <f t="shared" si="58"/>
        <v>1</v>
      </c>
      <c r="F1869">
        <f t="shared" si="59"/>
        <v>0</v>
      </c>
    </row>
    <row r="1870" spans="1:6" x14ac:dyDescent="0.35">
      <c r="A1870" s="5">
        <v>9413315</v>
      </c>
      <c r="B1870" s="6">
        <v>42943</v>
      </c>
      <c r="C1870" s="7">
        <v>0.41783564814814816</v>
      </c>
      <c r="D1870" s="8">
        <v>0.42383101851851851</v>
      </c>
      <c r="E1870">
        <f t="shared" si="58"/>
        <v>1</v>
      </c>
      <c r="F1870">
        <f t="shared" si="59"/>
        <v>0</v>
      </c>
    </row>
    <row r="1871" spans="1:6" x14ac:dyDescent="0.35">
      <c r="A1871" s="9">
        <v>1890121</v>
      </c>
      <c r="B1871" s="10">
        <v>42943</v>
      </c>
      <c r="C1871" s="11">
        <v>0.42357638888888888</v>
      </c>
      <c r="D1871" s="12">
        <v>0.43</v>
      </c>
      <c r="E1871">
        <f t="shared" si="58"/>
        <v>1</v>
      </c>
      <c r="F1871">
        <f t="shared" si="59"/>
        <v>0</v>
      </c>
    </row>
    <row r="1872" spans="1:6" x14ac:dyDescent="0.35">
      <c r="A1872" s="5">
        <v>9906846123</v>
      </c>
      <c r="B1872" s="6">
        <v>42943</v>
      </c>
      <c r="C1872" s="7">
        <v>0.424375</v>
      </c>
      <c r="D1872" s="8">
        <v>0.42505787037037035</v>
      </c>
      <c r="E1872">
        <f t="shared" si="58"/>
        <v>0</v>
      </c>
      <c r="F1872">
        <f t="shared" si="59"/>
        <v>0</v>
      </c>
    </row>
    <row r="1873" spans="1:6" x14ac:dyDescent="0.35">
      <c r="A1873" s="9">
        <v>12063341</v>
      </c>
      <c r="B1873" s="10">
        <v>42943</v>
      </c>
      <c r="C1873" s="11">
        <v>0.42849537037037039</v>
      </c>
      <c r="D1873" s="12">
        <v>0.4372800925925926</v>
      </c>
      <c r="E1873">
        <f t="shared" si="58"/>
        <v>0</v>
      </c>
      <c r="F1873">
        <f t="shared" si="59"/>
        <v>1</v>
      </c>
    </row>
    <row r="1874" spans="1:6" x14ac:dyDescent="0.35">
      <c r="A1874" s="5">
        <v>27798660</v>
      </c>
      <c r="B1874" s="6">
        <v>42943</v>
      </c>
      <c r="C1874" s="7">
        <v>0.42925925925925928</v>
      </c>
      <c r="D1874" s="8">
        <v>0.43239583333333331</v>
      </c>
      <c r="E1874">
        <f t="shared" si="58"/>
        <v>0</v>
      </c>
      <c r="F1874">
        <f t="shared" si="59"/>
        <v>1</v>
      </c>
    </row>
    <row r="1875" spans="1:6" x14ac:dyDescent="0.35">
      <c r="A1875" s="9">
        <v>37077953</v>
      </c>
      <c r="B1875" s="10">
        <v>42943</v>
      </c>
      <c r="C1875" s="11">
        <v>0.43262731481481481</v>
      </c>
      <c r="D1875" s="12">
        <v>0.43929398148148147</v>
      </c>
      <c r="E1875">
        <f t="shared" si="58"/>
        <v>0</v>
      </c>
      <c r="F1875">
        <f t="shared" si="59"/>
        <v>1</v>
      </c>
    </row>
    <row r="1876" spans="1:6" x14ac:dyDescent="0.35">
      <c r="A1876" s="5">
        <v>70606958</v>
      </c>
      <c r="B1876" s="6">
        <v>42943</v>
      </c>
      <c r="C1876" s="7">
        <v>0.43387731481481484</v>
      </c>
      <c r="D1876" s="8">
        <v>0.44252314814814814</v>
      </c>
      <c r="E1876">
        <f t="shared" si="58"/>
        <v>0</v>
      </c>
      <c r="F1876">
        <f t="shared" si="59"/>
        <v>1</v>
      </c>
    </row>
    <row r="1877" spans="1:6" x14ac:dyDescent="0.35">
      <c r="A1877" s="9">
        <v>21303266</v>
      </c>
      <c r="B1877" s="10">
        <v>42943</v>
      </c>
      <c r="C1877" s="11">
        <v>0.4384953703703704</v>
      </c>
      <c r="D1877" s="12">
        <v>0.44209490740740742</v>
      </c>
      <c r="E1877">
        <f t="shared" si="58"/>
        <v>0</v>
      </c>
      <c r="F1877">
        <f t="shared" si="59"/>
        <v>1</v>
      </c>
    </row>
    <row r="1878" spans="1:6" x14ac:dyDescent="0.35">
      <c r="A1878" s="5">
        <v>66871690</v>
      </c>
      <c r="B1878" s="6">
        <v>42943</v>
      </c>
      <c r="C1878" s="7">
        <v>0.44003472222222223</v>
      </c>
      <c r="D1878" s="8">
        <v>0.44219907407407405</v>
      </c>
      <c r="E1878">
        <f t="shared" si="58"/>
        <v>0</v>
      </c>
      <c r="F1878">
        <f t="shared" si="59"/>
        <v>1</v>
      </c>
    </row>
    <row r="1879" spans="1:6" x14ac:dyDescent="0.35">
      <c r="A1879" s="9">
        <v>88366261</v>
      </c>
      <c r="B1879" s="10">
        <v>42943</v>
      </c>
      <c r="C1879" s="11">
        <v>0.44006944444444446</v>
      </c>
      <c r="D1879" s="12">
        <v>0.44208333333333333</v>
      </c>
      <c r="E1879">
        <f t="shared" si="58"/>
        <v>0</v>
      </c>
      <c r="F1879">
        <f t="shared" si="59"/>
        <v>1</v>
      </c>
    </row>
    <row r="1880" spans="1:6" x14ac:dyDescent="0.35">
      <c r="A1880" s="5">
        <v>9506446</v>
      </c>
      <c r="B1880" s="6">
        <v>42943</v>
      </c>
      <c r="C1880" s="7">
        <v>0.44490740740740742</v>
      </c>
      <c r="D1880" s="8">
        <v>0.45071759259259259</v>
      </c>
      <c r="E1880">
        <f t="shared" si="58"/>
        <v>1</v>
      </c>
      <c r="F1880">
        <f t="shared" si="59"/>
        <v>0</v>
      </c>
    </row>
    <row r="1881" spans="1:6" x14ac:dyDescent="0.35">
      <c r="A1881" s="9">
        <v>9225807</v>
      </c>
      <c r="B1881" s="10">
        <v>42943</v>
      </c>
      <c r="C1881" s="11">
        <v>0.44996527777777778</v>
      </c>
      <c r="D1881" s="12">
        <v>0.45952546296296298</v>
      </c>
      <c r="E1881">
        <f t="shared" si="58"/>
        <v>1</v>
      </c>
      <c r="F1881">
        <f t="shared" si="59"/>
        <v>0</v>
      </c>
    </row>
    <row r="1882" spans="1:6" x14ac:dyDescent="0.35">
      <c r="A1882" s="5">
        <v>6956143</v>
      </c>
      <c r="B1882" s="6">
        <v>42943</v>
      </c>
      <c r="C1882" s="7">
        <v>0.45157407407407407</v>
      </c>
      <c r="D1882" s="8">
        <v>0.455625</v>
      </c>
      <c r="E1882">
        <f t="shared" si="58"/>
        <v>1</v>
      </c>
      <c r="F1882">
        <f t="shared" si="59"/>
        <v>0</v>
      </c>
    </row>
    <row r="1883" spans="1:6" x14ac:dyDescent="0.35">
      <c r="A1883" s="9">
        <v>1472253</v>
      </c>
      <c r="B1883" s="10">
        <v>42943</v>
      </c>
      <c r="C1883" s="11">
        <v>0.45729166666666665</v>
      </c>
      <c r="D1883" s="12">
        <v>0.46041666666666664</v>
      </c>
      <c r="E1883">
        <f t="shared" si="58"/>
        <v>1</v>
      </c>
      <c r="F1883">
        <f t="shared" si="59"/>
        <v>0</v>
      </c>
    </row>
    <row r="1884" spans="1:6" x14ac:dyDescent="0.35">
      <c r="A1884" s="5">
        <v>4025325</v>
      </c>
      <c r="B1884" s="6">
        <v>42943</v>
      </c>
      <c r="C1884" s="7">
        <v>0.46151620370370372</v>
      </c>
      <c r="D1884" s="8">
        <v>0.46604166666666669</v>
      </c>
      <c r="E1884">
        <f t="shared" si="58"/>
        <v>1</v>
      </c>
      <c r="F1884">
        <f t="shared" si="59"/>
        <v>0</v>
      </c>
    </row>
    <row r="1885" spans="1:6" x14ac:dyDescent="0.35">
      <c r="A1885" s="9">
        <v>6220398</v>
      </c>
      <c r="B1885" s="10">
        <v>42943</v>
      </c>
      <c r="C1885" s="11">
        <v>0.46175925925925926</v>
      </c>
      <c r="D1885" s="12">
        <v>0.46263888888888888</v>
      </c>
      <c r="E1885">
        <f t="shared" si="58"/>
        <v>1</v>
      </c>
      <c r="F1885">
        <f t="shared" si="59"/>
        <v>0</v>
      </c>
    </row>
    <row r="1886" spans="1:6" x14ac:dyDescent="0.35">
      <c r="A1886" s="5">
        <v>6326108</v>
      </c>
      <c r="B1886" s="6">
        <v>42943</v>
      </c>
      <c r="C1886" s="7">
        <v>0.46474537037037039</v>
      </c>
      <c r="D1886" s="8">
        <v>0.47486111111111112</v>
      </c>
      <c r="E1886">
        <f t="shared" si="58"/>
        <v>1</v>
      </c>
      <c r="F1886">
        <f t="shared" si="59"/>
        <v>0</v>
      </c>
    </row>
    <row r="1887" spans="1:6" x14ac:dyDescent="0.35">
      <c r="A1887" s="9">
        <v>88929709</v>
      </c>
      <c r="B1887" s="10">
        <v>42943</v>
      </c>
      <c r="C1887" s="11">
        <v>0.46687499999999998</v>
      </c>
      <c r="D1887" s="12">
        <v>0.47510416666666666</v>
      </c>
      <c r="E1887">
        <f t="shared" si="58"/>
        <v>0</v>
      </c>
      <c r="F1887">
        <f t="shared" si="59"/>
        <v>1</v>
      </c>
    </row>
    <row r="1888" spans="1:6" x14ac:dyDescent="0.35">
      <c r="A1888" s="5">
        <v>3004967</v>
      </c>
      <c r="B1888" s="6">
        <v>42943</v>
      </c>
      <c r="C1888" s="7">
        <v>0.4707175925925926</v>
      </c>
      <c r="D1888" s="8">
        <v>0.47547453703703701</v>
      </c>
      <c r="E1888">
        <f t="shared" si="58"/>
        <v>1</v>
      </c>
      <c r="F1888">
        <f t="shared" si="59"/>
        <v>0</v>
      </c>
    </row>
    <row r="1889" spans="1:6" x14ac:dyDescent="0.35">
      <c r="A1889" s="9">
        <v>1721264</v>
      </c>
      <c r="B1889" s="10">
        <v>42943</v>
      </c>
      <c r="C1889" s="11">
        <v>0.47394675925925928</v>
      </c>
      <c r="D1889" s="12">
        <v>0.47922453703703705</v>
      </c>
      <c r="E1889">
        <f t="shared" si="58"/>
        <v>1</v>
      </c>
      <c r="F1889">
        <f t="shared" si="59"/>
        <v>0</v>
      </c>
    </row>
    <row r="1890" spans="1:6" x14ac:dyDescent="0.35">
      <c r="A1890" s="5">
        <v>5231877</v>
      </c>
      <c r="B1890" s="6">
        <v>42943</v>
      </c>
      <c r="C1890" s="7">
        <v>0.47550925925925924</v>
      </c>
      <c r="D1890" s="8">
        <v>0.47930555555555554</v>
      </c>
      <c r="E1890">
        <f t="shared" si="58"/>
        <v>1</v>
      </c>
      <c r="F1890">
        <f t="shared" si="59"/>
        <v>0</v>
      </c>
    </row>
    <row r="1891" spans="1:6" x14ac:dyDescent="0.35">
      <c r="A1891" s="9">
        <v>92414932</v>
      </c>
      <c r="B1891" s="10">
        <v>42943</v>
      </c>
      <c r="C1891" s="11">
        <v>0.48085648148148147</v>
      </c>
      <c r="D1891" s="12">
        <v>0.48893518518518519</v>
      </c>
      <c r="E1891">
        <f t="shared" si="58"/>
        <v>0</v>
      </c>
      <c r="F1891">
        <f t="shared" si="59"/>
        <v>1</v>
      </c>
    </row>
    <row r="1892" spans="1:6" x14ac:dyDescent="0.35">
      <c r="A1892" s="5">
        <v>3202610</v>
      </c>
      <c r="B1892" s="6">
        <v>42943</v>
      </c>
      <c r="C1892" s="7">
        <v>0.48528935185185185</v>
      </c>
      <c r="D1892" s="8">
        <v>0.48694444444444446</v>
      </c>
      <c r="E1892">
        <f t="shared" si="58"/>
        <v>1</v>
      </c>
      <c r="F1892">
        <f t="shared" si="59"/>
        <v>0</v>
      </c>
    </row>
    <row r="1893" spans="1:6" x14ac:dyDescent="0.35">
      <c r="A1893" s="9">
        <v>2825289</v>
      </c>
      <c r="B1893" s="10">
        <v>42943</v>
      </c>
      <c r="C1893" s="11">
        <v>0.4855902777777778</v>
      </c>
      <c r="D1893" s="12">
        <v>0.49710648148148145</v>
      </c>
      <c r="E1893">
        <f t="shared" si="58"/>
        <v>1</v>
      </c>
      <c r="F1893">
        <f t="shared" si="59"/>
        <v>0</v>
      </c>
    </row>
    <row r="1894" spans="1:6" x14ac:dyDescent="0.35">
      <c r="A1894" s="5">
        <v>7915936</v>
      </c>
      <c r="B1894" s="6">
        <v>42943</v>
      </c>
      <c r="C1894" s="7">
        <v>0.49075231481481479</v>
      </c>
      <c r="D1894" s="8">
        <v>0.49836805555555558</v>
      </c>
      <c r="E1894">
        <f t="shared" si="58"/>
        <v>1</v>
      </c>
      <c r="F1894">
        <f t="shared" si="59"/>
        <v>0</v>
      </c>
    </row>
    <row r="1895" spans="1:6" x14ac:dyDescent="0.35">
      <c r="A1895" s="9">
        <v>3680072</v>
      </c>
      <c r="B1895" s="10">
        <v>42943</v>
      </c>
      <c r="C1895" s="11">
        <v>0.49561342592592594</v>
      </c>
      <c r="D1895" s="12">
        <v>0.49716435185185187</v>
      </c>
      <c r="E1895">
        <f t="shared" si="58"/>
        <v>1</v>
      </c>
      <c r="F1895">
        <f t="shared" si="59"/>
        <v>0</v>
      </c>
    </row>
    <row r="1896" spans="1:6" x14ac:dyDescent="0.35">
      <c r="A1896" s="5">
        <v>6980867</v>
      </c>
      <c r="B1896" s="6">
        <v>42943</v>
      </c>
      <c r="C1896" s="7">
        <v>0.49716435185185187</v>
      </c>
      <c r="D1896" s="8">
        <v>0.50270833333333331</v>
      </c>
      <c r="E1896">
        <f t="shared" si="58"/>
        <v>1</v>
      </c>
      <c r="F1896">
        <f t="shared" si="59"/>
        <v>0</v>
      </c>
    </row>
    <row r="1897" spans="1:6" x14ac:dyDescent="0.35">
      <c r="A1897" s="9">
        <v>3656681</v>
      </c>
      <c r="B1897" s="10">
        <v>42943</v>
      </c>
      <c r="C1897" s="11">
        <v>0.50123842592592593</v>
      </c>
      <c r="D1897" s="12">
        <v>0.5084143518518518</v>
      </c>
      <c r="E1897">
        <f t="shared" si="58"/>
        <v>1</v>
      </c>
      <c r="F1897">
        <f t="shared" si="59"/>
        <v>0</v>
      </c>
    </row>
    <row r="1898" spans="1:6" x14ac:dyDescent="0.35">
      <c r="A1898" s="5">
        <v>4445684</v>
      </c>
      <c r="B1898" s="6">
        <v>42943</v>
      </c>
      <c r="C1898" s="7">
        <v>0.50361111111111112</v>
      </c>
      <c r="D1898" s="8">
        <v>0.51285879629629627</v>
      </c>
      <c r="E1898">
        <f t="shared" si="58"/>
        <v>1</v>
      </c>
      <c r="F1898">
        <f t="shared" si="59"/>
        <v>0</v>
      </c>
    </row>
    <row r="1899" spans="1:6" x14ac:dyDescent="0.35">
      <c r="A1899" s="9">
        <v>9864502</v>
      </c>
      <c r="B1899" s="10">
        <v>42943</v>
      </c>
      <c r="C1899" s="11">
        <v>0.50722222222222224</v>
      </c>
      <c r="D1899" s="12">
        <v>0.50762731481481482</v>
      </c>
      <c r="E1899">
        <f t="shared" si="58"/>
        <v>1</v>
      </c>
      <c r="F1899">
        <f t="shared" si="59"/>
        <v>0</v>
      </c>
    </row>
    <row r="1900" spans="1:6" x14ac:dyDescent="0.35">
      <c r="A1900" s="5">
        <v>5881130</v>
      </c>
      <c r="B1900" s="6">
        <v>42943</v>
      </c>
      <c r="C1900" s="7">
        <v>0.51086805555555559</v>
      </c>
      <c r="D1900" s="8">
        <v>0.516087962962963</v>
      </c>
      <c r="E1900">
        <f t="shared" si="58"/>
        <v>1</v>
      </c>
      <c r="F1900">
        <f t="shared" si="59"/>
        <v>0</v>
      </c>
    </row>
    <row r="1901" spans="1:6" x14ac:dyDescent="0.35">
      <c r="A1901" s="9">
        <v>2056567</v>
      </c>
      <c r="B1901" s="10">
        <v>42943</v>
      </c>
      <c r="C1901" s="11">
        <v>0.51563657407407404</v>
      </c>
      <c r="D1901" s="12">
        <v>0.52396990740740745</v>
      </c>
      <c r="E1901">
        <f t="shared" si="58"/>
        <v>1</v>
      </c>
      <c r="F1901">
        <f t="shared" si="59"/>
        <v>0</v>
      </c>
    </row>
    <row r="1902" spans="1:6" x14ac:dyDescent="0.35">
      <c r="A1902" s="5">
        <v>62150310</v>
      </c>
      <c r="B1902" s="6">
        <v>42943</v>
      </c>
      <c r="C1902" s="7">
        <v>0.52003472222222225</v>
      </c>
      <c r="D1902" s="8">
        <v>0.52927083333333336</v>
      </c>
      <c r="E1902">
        <f t="shared" si="58"/>
        <v>0</v>
      </c>
      <c r="F1902">
        <f t="shared" si="59"/>
        <v>1</v>
      </c>
    </row>
    <row r="1903" spans="1:6" x14ac:dyDescent="0.35">
      <c r="A1903" s="9">
        <v>9340299</v>
      </c>
      <c r="B1903" s="10">
        <v>42943</v>
      </c>
      <c r="C1903" s="11">
        <v>0.52034722222222218</v>
      </c>
      <c r="D1903" s="12">
        <v>0.52137731481481486</v>
      </c>
      <c r="E1903">
        <f t="shared" si="58"/>
        <v>1</v>
      </c>
      <c r="F1903">
        <f t="shared" si="59"/>
        <v>0</v>
      </c>
    </row>
    <row r="1904" spans="1:6" x14ac:dyDescent="0.35">
      <c r="A1904" s="5">
        <v>3912924</v>
      </c>
      <c r="B1904" s="6">
        <v>42943</v>
      </c>
      <c r="C1904" s="7">
        <v>0.52368055555555559</v>
      </c>
      <c r="D1904" s="8">
        <v>0.52627314814814818</v>
      </c>
      <c r="E1904">
        <f t="shared" si="58"/>
        <v>1</v>
      </c>
      <c r="F1904">
        <f t="shared" si="59"/>
        <v>0</v>
      </c>
    </row>
    <row r="1905" spans="1:6" x14ac:dyDescent="0.35">
      <c r="A1905" s="9">
        <v>8159466</v>
      </c>
      <c r="B1905" s="10">
        <v>42943</v>
      </c>
      <c r="C1905" s="11">
        <v>0.52460648148148148</v>
      </c>
      <c r="D1905" s="12">
        <v>0.52971064814814817</v>
      </c>
      <c r="E1905">
        <f t="shared" si="58"/>
        <v>1</v>
      </c>
      <c r="F1905">
        <f t="shared" si="59"/>
        <v>0</v>
      </c>
    </row>
    <row r="1906" spans="1:6" x14ac:dyDescent="0.35">
      <c r="A1906" s="5">
        <v>7467198</v>
      </c>
      <c r="B1906" s="6">
        <v>42943</v>
      </c>
      <c r="C1906" s="7">
        <v>0.52993055555555557</v>
      </c>
      <c r="D1906" s="8">
        <v>0.53739583333333329</v>
      </c>
      <c r="E1906">
        <f t="shared" si="58"/>
        <v>1</v>
      </c>
      <c r="F1906">
        <f t="shared" si="59"/>
        <v>0</v>
      </c>
    </row>
    <row r="1907" spans="1:6" x14ac:dyDescent="0.35">
      <c r="A1907" s="9">
        <v>4703748</v>
      </c>
      <c r="B1907" s="10">
        <v>42943</v>
      </c>
      <c r="C1907" s="11">
        <v>0.53315972222222219</v>
      </c>
      <c r="D1907" s="12">
        <v>0.53454861111111107</v>
      </c>
      <c r="E1907">
        <f t="shared" si="58"/>
        <v>1</v>
      </c>
      <c r="F1907">
        <f t="shared" si="59"/>
        <v>0</v>
      </c>
    </row>
    <row r="1908" spans="1:6" x14ac:dyDescent="0.35">
      <c r="A1908" s="5">
        <v>1165705</v>
      </c>
      <c r="B1908" s="6">
        <v>42943</v>
      </c>
      <c r="C1908" s="7">
        <v>0.53666666666666663</v>
      </c>
      <c r="D1908" s="8">
        <v>0.54100694444444442</v>
      </c>
      <c r="E1908">
        <f t="shared" si="58"/>
        <v>1</v>
      </c>
      <c r="F1908">
        <f t="shared" si="59"/>
        <v>0</v>
      </c>
    </row>
    <row r="1909" spans="1:6" x14ac:dyDescent="0.35">
      <c r="A1909" s="9">
        <v>90762334</v>
      </c>
      <c r="B1909" s="10">
        <v>42943</v>
      </c>
      <c r="C1909" s="11">
        <v>0.54144675925925922</v>
      </c>
      <c r="D1909" s="12">
        <v>0.54313657407407412</v>
      </c>
      <c r="E1909">
        <f t="shared" si="58"/>
        <v>0</v>
      </c>
      <c r="F1909">
        <f t="shared" si="59"/>
        <v>1</v>
      </c>
    </row>
    <row r="1910" spans="1:6" x14ac:dyDescent="0.35">
      <c r="A1910" s="5">
        <v>16527855</v>
      </c>
      <c r="B1910" s="6">
        <v>42943</v>
      </c>
      <c r="C1910" s="7">
        <v>0.54194444444444445</v>
      </c>
      <c r="D1910" s="8">
        <v>0.5513541666666667</v>
      </c>
      <c r="E1910">
        <f t="shared" si="58"/>
        <v>0</v>
      </c>
      <c r="F1910">
        <f t="shared" si="59"/>
        <v>1</v>
      </c>
    </row>
    <row r="1911" spans="1:6" x14ac:dyDescent="0.35">
      <c r="A1911" s="9">
        <v>1055495</v>
      </c>
      <c r="B1911" s="10">
        <v>42943</v>
      </c>
      <c r="C1911" s="11">
        <v>0.54600694444444442</v>
      </c>
      <c r="D1911" s="12">
        <v>0.54866898148148147</v>
      </c>
      <c r="E1911">
        <f t="shared" si="58"/>
        <v>1</v>
      </c>
      <c r="F1911">
        <f t="shared" si="59"/>
        <v>0</v>
      </c>
    </row>
    <row r="1912" spans="1:6" x14ac:dyDescent="0.35">
      <c r="A1912" s="5">
        <v>9120318</v>
      </c>
      <c r="B1912" s="6">
        <v>42943</v>
      </c>
      <c r="C1912" s="7">
        <v>0.54690972222222223</v>
      </c>
      <c r="D1912" s="8">
        <v>0.54707175925925922</v>
      </c>
      <c r="E1912">
        <f t="shared" si="58"/>
        <v>1</v>
      </c>
      <c r="F1912">
        <f t="shared" si="59"/>
        <v>0</v>
      </c>
    </row>
    <row r="1913" spans="1:6" x14ac:dyDescent="0.35">
      <c r="A1913" s="9">
        <v>4030817</v>
      </c>
      <c r="B1913" s="10">
        <v>42943</v>
      </c>
      <c r="C1913" s="11">
        <v>0.55092592592592593</v>
      </c>
      <c r="D1913" s="12">
        <v>0.56030092592592595</v>
      </c>
      <c r="E1913">
        <f t="shared" si="58"/>
        <v>1</v>
      </c>
      <c r="F1913">
        <f t="shared" si="59"/>
        <v>0</v>
      </c>
    </row>
    <row r="1914" spans="1:6" x14ac:dyDescent="0.35">
      <c r="A1914" s="5">
        <v>1025756</v>
      </c>
      <c r="B1914" s="6">
        <v>42943</v>
      </c>
      <c r="C1914" s="7">
        <v>0.55116898148148152</v>
      </c>
      <c r="D1914" s="8">
        <v>0.56047453703703709</v>
      </c>
      <c r="E1914">
        <f t="shared" si="58"/>
        <v>1</v>
      </c>
      <c r="F1914">
        <f t="shared" si="59"/>
        <v>0</v>
      </c>
    </row>
    <row r="1915" spans="1:6" x14ac:dyDescent="0.35">
      <c r="A1915" s="9">
        <v>29880225</v>
      </c>
      <c r="B1915" s="10">
        <v>42943</v>
      </c>
      <c r="C1915" s="11">
        <v>0.55174768518518513</v>
      </c>
      <c r="D1915" s="12">
        <v>0.55920138888888893</v>
      </c>
      <c r="E1915">
        <f t="shared" si="58"/>
        <v>0</v>
      </c>
      <c r="F1915">
        <f t="shared" si="59"/>
        <v>1</v>
      </c>
    </row>
    <row r="1916" spans="1:6" x14ac:dyDescent="0.35">
      <c r="A1916" s="5">
        <v>4791902</v>
      </c>
      <c r="B1916" s="6">
        <v>42943</v>
      </c>
      <c r="C1916" s="7">
        <v>0.55718749999999995</v>
      </c>
      <c r="D1916" s="8">
        <v>0.55753472222222222</v>
      </c>
      <c r="E1916">
        <f t="shared" si="58"/>
        <v>1</v>
      </c>
      <c r="F1916">
        <f t="shared" si="59"/>
        <v>0</v>
      </c>
    </row>
    <row r="1917" spans="1:6" x14ac:dyDescent="0.35">
      <c r="A1917" s="9">
        <v>5228419</v>
      </c>
      <c r="B1917" s="10">
        <v>42943</v>
      </c>
      <c r="C1917" s="11">
        <v>0.55995370370370368</v>
      </c>
      <c r="D1917" s="12">
        <v>0.56405092592592587</v>
      </c>
      <c r="E1917">
        <f t="shared" si="58"/>
        <v>1</v>
      </c>
      <c r="F1917">
        <f t="shared" si="59"/>
        <v>0</v>
      </c>
    </row>
    <row r="1918" spans="1:6" x14ac:dyDescent="0.35">
      <c r="A1918" s="5">
        <v>8991671</v>
      </c>
      <c r="B1918" s="6">
        <v>42943</v>
      </c>
      <c r="C1918" s="7">
        <v>0.56268518518518518</v>
      </c>
      <c r="D1918" s="8">
        <v>0.56517361111111108</v>
      </c>
      <c r="E1918">
        <f t="shared" si="58"/>
        <v>1</v>
      </c>
      <c r="F1918">
        <f t="shared" si="59"/>
        <v>0</v>
      </c>
    </row>
    <row r="1919" spans="1:6" x14ac:dyDescent="0.35">
      <c r="A1919" s="9">
        <v>8045338707</v>
      </c>
      <c r="B1919" s="10">
        <v>42943</v>
      </c>
      <c r="C1919" s="11">
        <v>0.56680555555555556</v>
      </c>
      <c r="D1919" s="12">
        <v>0.56877314814814817</v>
      </c>
      <c r="E1919">
        <f t="shared" si="58"/>
        <v>0</v>
      </c>
      <c r="F1919">
        <f t="shared" si="59"/>
        <v>0</v>
      </c>
    </row>
    <row r="1920" spans="1:6" x14ac:dyDescent="0.35">
      <c r="A1920" s="5">
        <v>9192546</v>
      </c>
      <c r="B1920" s="6">
        <v>42943</v>
      </c>
      <c r="C1920" s="7">
        <v>0.57233796296296291</v>
      </c>
      <c r="D1920" s="8">
        <v>0.57620370370370366</v>
      </c>
      <c r="E1920">
        <f t="shared" si="58"/>
        <v>1</v>
      </c>
      <c r="F1920">
        <f t="shared" si="59"/>
        <v>0</v>
      </c>
    </row>
    <row r="1921" spans="1:6" x14ac:dyDescent="0.35">
      <c r="A1921" s="9">
        <v>9664752</v>
      </c>
      <c r="B1921" s="10">
        <v>42943</v>
      </c>
      <c r="C1921" s="11">
        <v>0.57563657407407409</v>
      </c>
      <c r="D1921" s="12">
        <v>0.57976851851851852</v>
      </c>
      <c r="E1921">
        <f t="shared" si="58"/>
        <v>1</v>
      </c>
      <c r="F1921">
        <f t="shared" si="59"/>
        <v>0</v>
      </c>
    </row>
    <row r="1922" spans="1:6" x14ac:dyDescent="0.35">
      <c r="A1922" s="5">
        <v>62653835</v>
      </c>
      <c r="B1922" s="6">
        <v>42943</v>
      </c>
      <c r="C1922" s="7">
        <v>0.58034722222222224</v>
      </c>
      <c r="D1922" s="8">
        <v>0.58803240740740736</v>
      </c>
      <c r="E1922">
        <f t="shared" si="58"/>
        <v>0</v>
      </c>
      <c r="F1922">
        <f t="shared" si="59"/>
        <v>1</v>
      </c>
    </row>
    <row r="1923" spans="1:6" x14ac:dyDescent="0.35">
      <c r="A1923" s="9">
        <v>6087301</v>
      </c>
      <c r="B1923" s="10">
        <v>42943</v>
      </c>
      <c r="C1923" s="11">
        <v>0.58589120370370373</v>
      </c>
      <c r="D1923" s="12">
        <v>0.59706018518518522</v>
      </c>
      <c r="E1923">
        <f t="shared" ref="E1923:E1986" si="60">IF(LEN(A1923)=7,1,0)</f>
        <v>1</v>
      </c>
      <c r="F1923">
        <f t="shared" ref="F1923:F1986" si="61">IF(LEN(A1923)=8,1,0)</f>
        <v>0</v>
      </c>
    </row>
    <row r="1924" spans="1:6" x14ac:dyDescent="0.35">
      <c r="A1924" s="5">
        <v>3864488</v>
      </c>
      <c r="B1924" s="6">
        <v>42943</v>
      </c>
      <c r="C1924" s="7">
        <v>0.58601851851851849</v>
      </c>
      <c r="D1924" s="8">
        <v>0.58971064814814811</v>
      </c>
      <c r="E1924">
        <f t="shared" si="60"/>
        <v>1</v>
      </c>
      <c r="F1924">
        <f t="shared" si="61"/>
        <v>0</v>
      </c>
    </row>
    <row r="1925" spans="1:6" x14ac:dyDescent="0.35">
      <c r="A1925" s="9">
        <v>5604405</v>
      </c>
      <c r="B1925" s="10">
        <v>42943</v>
      </c>
      <c r="C1925" s="11">
        <v>0.58655092592592595</v>
      </c>
      <c r="D1925" s="12">
        <v>0.59761574074074075</v>
      </c>
      <c r="E1925">
        <f t="shared" si="60"/>
        <v>1</v>
      </c>
      <c r="F1925">
        <f t="shared" si="61"/>
        <v>0</v>
      </c>
    </row>
    <row r="1926" spans="1:6" x14ac:dyDescent="0.35">
      <c r="A1926" s="5">
        <v>4774889</v>
      </c>
      <c r="B1926" s="6">
        <v>42943</v>
      </c>
      <c r="C1926" s="7">
        <v>0.58733796296296292</v>
      </c>
      <c r="D1926" s="8">
        <v>0.59475694444444449</v>
      </c>
      <c r="E1926">
        <f t="shared" si="60"/>
        <v>1</v>
      </c>
      <c r="F1926">
        <f t="shared" si="61"/>
        <v>0</v>
      </c>
    </row>
    <row r="1927" spans="1:6" x14ac:dyDescent="0.35">
      <c r="A1927" s="9">
        <v>4017213</v>
      </c>
      <c r="B1927" s="10">
        <v>42943</v>
      </c>
      <c r="C1927" s="11">
        <v>0.59228009259259262</v>
      </c>
      <c r="D1927" s="12">
        <v>0.60034722222222225</v>
      </c>
      <c r="E1927">
        <f t="shared" si="60"/>
        <v>1</v>
      </c>
      <c r="F1927">
        <f t="shared" si="61"/>
        <v>0</v>
      </c>
    </row>
    <row r="1928" spans="1:6" x14ac:dyDescent="0.35">
      <c r="A1928" s="5">
        <v>4720934</v>
      </c>
      <c r="B1928" s="6">
        <v>42943</v>
      </c>
      <c r="C1928" s="7">
        <v>0.59624999999999995</v>
      </c>
      <c r="D1928" s="8">
        <v>0.59810185185185183</v>
      </c>
      <c r="E1928">
        <f t="shared" si="60"/>
        <v>1</v>
      </c>
      <c r="F1928">
        <f t="shared" si="61"/>
        <v>0</v>
      </c>
    </row>
    <row r="1929" spans="1:6" x14ac:dyDescent="0.35">
      <c r="A1929" s="9">
        <v>13494237</v>
      </c>
      <c r="B1929" s="10">
        <v>42943</v>
      </c>
      <c r="C1929" s="11">
        <v>0.60160879629629627</v>
      </c>
      <c r="D1929" s="12">
        <v>0.61234953703703698</v>
      </c>
      <c r="E1929">
        <f t="shared" si="60"/>
        <v>0</v>
      </c>
      <c r="F1929">
        <f t="shared" si="61"/>
        <v>1</v>
      </c>
    </row>
    <row r="1930" spans="1:6" x14ac:dyDescent="0.35">
      <c r="A1930" s="5">
        <v>71807686</v>
      </c>
      <c r="B1930" s="6">
        <v>42943</v>
      </c>
      <c r="C1930" s="7">
        <v>0.60339120370370369</v>
      </c>
      <c r="D1930" s="8">
        <v>0.61410879629629633</v>
      </c>
      <c r="E1930">
        <f t="shared" si="60"/>
        <v>0</v>
      </c>
      <c r="F1930">
        <f t="shared" si="61"/>
        <v>1</v>
      </c>
    </row>
    <row r="1931" spans="1:6" x14ac:dyDescent="0.35">
      <c r="A1931" s="9">
        <v>7865609</v>
      </c>
      <c r="B1931" s="10">
        <v>42943</v>
      </c>
      <c r="C1931" s="11">
        <v>0.60826388888888894</v>
      </c>
      <c r="D1931" s="12">
        <v>0.61071759259259262</v>
      </c>
      <c r="E1931">
        <f t="shared" si="60"/>
        <v>1</v>
      </c>
      <c r="F1931">
        <f t="shared" si="61"/>
        <v>0</v>
      </c>
    </row>
    <row r="1932" spans="1:6" x14ac:dyDescent="0.35">
      <c r="A1932" s="5">
        <v>5318850</v>
      </c>
      <c r="B1932" s="6">
        <v>42943</v>
      </c>
      <c r="C1932" s="7">
        <v>0.61053240740740744</v>
      </c>
      <c r="D1932" s="8">
        <v>0.61406249999999996</v>
      </c>
      <c r="E1932">
        <f t="shared" si="60"/>
        <v>1</v>
      </c>
      <c r="F1932">
        <f t="shared" si="61"/>
        <v>0</v>
      </c>
    </row>
    <row r="1933" spans="1:6" x14ac:dyDescent="0.35">
      <c r="A1933" s="9">
        <v>63613334</v>
      </c>
      <c r="B1933" s="10">
        <v>42943</v>
      </c>
      <c r="C1933" s="11">
        <v>0.61393518518518519</v>
      </c>
      <c r="D1933" s="12">
        <v>0.61831018518518521</v>
      </c>
      <c r="E1933">
        <f t="shared" si="60"/>
        <v>0</v>
      </c>
      <c r="F1933">
        <f t="shared" si="61"/>
        <v>1</v>
      </c>
    </row>
    <row r="1934" spans="1:6" x14ac:dyDescent="0.35">
      <c r="A1934" s="5">
        <v>2256093</v>
      </c>
      <c r="B1934" s="6">
        <v>42943</v>
      </c>
      <c r="C1934" s="7">
        <v>0.61958333333333337</v>
      </c>
      <c r="D1934" s="8">
        <v>0.62275462962962957</v>
      </c>
      <c r="E1934">
        <f t="shared" si="60"/>
        <v>1</v>
      </c>
      <c r="F1934">
        <f t="shared" si="61"/>
        <v>0</v>
      </c>
    </row>
    <row r="1935" spans="1:6" x14ac:dyDescent="0.35">
      <c r="A1935" s="9">
        <v>7421094</v>
      </c>
      <c r="B1935" s="10">
        <v>42943</v>
      </c>
      <c r="C1935" s="11">
        <v>0.62206018518518513</v>
      </c>
      <c r="D1935" s="12">
        <v>0.62554398148148149</v>
      </c>
      <c r="E1935">
        <f t="shared" si="60"/>
        <v>1</v>
      </c>
      <c r="F1935">
        <f t="shared" si="61"/>
        <v>0</v>
      </c>
    </row>
    <row r="1936" spans="1:6" x14ac:dyDescent="0.35">
      <c r="A1936" s="5">
        <v>5376362</v>
      </c>
      <c r="B1936" s="6">
        <v>42943</v>
      </c>
      <c r="C1936" s="7">
        <v>0.6255208333333333</v>
      </c>
      <c r="D1936" s="8">
        <v>0.63026620370370368</v>
      </c>
      <c r="E1936">
        <f t="shared" si="60"/>
        <v>1</v>
      </c>
      <c r="F1936">
        <f t="shared" si="61"/>
        <v>0</v>
      </c>
    </row>
    <row r="1937" spans="1:6" x14ac:dyDescent="0.35">
      <c r="A1937" s="9">
        <v>8967842</v>
      </c>
      <c r="B1937" s="10">
        <v>42944</v>
      </c>
      <c r="C1937" s="11">
        <v>0.3369328703703704</v>
      </c>
      <c r="D1937" s="12">
        <v>0.34400462962962963</v>
      </c>
      <c r="E1937">
        <f t="shared" si="60"/>
        <v>1</v>
      </c>
      <c r="F1937">
        <f t="shared" si="61"/>
        <v>0</v>
      </c>
    </row>
    <row r="1938" spans="1:6" x14ac:dyDescent="0.35">
      <c r="A1938" s="5">
        <v>76644634</v>
      </c>
      <c r="B1938" s="6">
        <v>42944</v>
      </c>
      <c r="C1938" s="7">
        <v>0.33696759259259257</v>
      </c>
      <c r="D1938" s="8">
        <v>0.33809027777777778</v>
      </c>
      <c r="E1938">
        <f t="shared" si="60"/>
        <v>0</v>
      </c>
      <c r="F1938">
        <f t="shared" si="61"/>
        <v>1</v>
      </c>
    </row>
    <row r="1939" spans="1:6" x14ac:dyDescent="0.35">
      <c r="A1939" s="9">
        <v>7622819</v>
      </c>
      <c r="B1939" s="10">
        <v>42944</v>
      </c>
      <c r="C1939" s="11">
        <v>0.33831018518518519</v>
      </c>
      <c r="D1939" s="12">
        <v>0.34758101851851853</v>
      </c>
      <c r="E1939">
        <f t="shared" si="60"/>
        <v>1</v>
      </c>
      <c r="F1939">
        <f t="shared" si="61"/>
        <v>0</v>
      </c>
    </row>
    <row r="1940" spans="1:6" x14ac:dyDescent="0.35">
      <c r="A1940" s="5">
        <v>3524259</v>
      </c>
      <c r="B1940" s="6">
        <v>42944</v>
      </c>
      <c r="C1940" s="7">
        <v>0.33927083333333335</v>
      </c>
      <c r="D1940" s="8">
        <v>0.34861111111111109</v>
      </c>
      <c r="E1940">
        <f t="shared" si="60"/>
        <v>1</v>
      </c>
      <c r="F1940">
        <f t="shared" si="61"/>
        <v>0</v>
      </c>
    </row>
    <row r="1941" spans="1:6" x14ac:dyDescent="0.35">
      <c r="A1941" s="9">
        <v>5550678</v>
      </c>
      <c r="B1941" s="10">
        <v>42944</v>
      </c>
      <c r="C1941" s="11">
        <v>0.34497685185185184</v>
      </c>
      <c r="D1941" s="12">
        <v>0.35487268518518517</v>
      </c>
      <c r="E1941">
        <f t="shared" si="60"/>
        <v>1</v>
      </c>
      <c r="F1941">
        <f t="shared" si="61"/>
        <v>0</v>
      </c>
    </row>
    <row r="1942" spans="1:6" x14ac:dyDescent="0.35">
      <c r="A1942" s="5">
        <v>41852472</v>
      </c>
      <c r="B1942" s="6">
        <v>42944</v>
      </c>
      <c r="C1942" s="7">
        <v>0.34826388888888887</v>
      </c>
      <c r="D1942" s="8">
        <v>0.34871527777777778</v>
      </c>
      <c r="E1942">
        <f t="shared" si="60"/>
        <v>0</v>
      </c>
      <c r="F1942">
        <f t="shared" si="61"/>
        <v>1</v>
      </c>
    </row>
    <row r="1943" spans="1:6" x14ac:dyDescent="0.35">
      <c r="A1943" s="9">
        <v>8799570155</v>
      </c>
      <c r="B1943" s="10">
        <v>42944</v>
      </c>
      <c r="C1943" s="11">
        <v>0.34932870370370372</v>
      </c>
      <c r="D1943" s="12">
        <v>0.35365740740740742</v>
      </c>
      <c r="E1943">
        <f t="shared" si="60"/>
        <v>0</v>
      </c>
      <c r="F1943">
        <f t="shared" si="61"/>
        <v>0</v>
      </c>
    </row>
    <row r="1944" spans="1:6" x14ac:dyDescent="0.35">
      <c r="A1944" s="5">
        <v>9329226</v>
      </c>
      <c r="B1944" s="6">
        <v>42944</v>
      </c>
      <c r="C1944" s="7">
        <v>0.34983796296296299</v>
      </c>
      <c r="D1944" s="8">
        <v>0.35505787037037034</v>
      </c>
      <c r="E1944">
        <f t="shared" si="60"/>
        <v>1</v>
      </c>
      <c r="F1944">
        <f t="shared" si="61"/>
        <v>0</v>
      </c>
    </row>
    <row r="1945" spans="1:6" x14ac:dyDescent="0.35">
      <c r="A1945" s="9">
        <v>9219408</v>
      </c>
      <c r="B1945" s="10">
        <v>42944</v>
      </c>
      <c r="C1945" s="11">
        <v>0.35519675925925925</v>
      </c>
      <c r="D1945" s="12">
        <v>0.36072916666666666</v>
      </c>
      <c r="E1945">
        <f t="shared" si="60"/>
        <v>1</v>
      </c>
      <c r="F1945">
        <f t="shared" si="61"/>
        <v>0</v>
      </c>
    </row>
    <row r="1946" spans="1:6" x14ac:dyDescent="0.35">
      <c r="A1946" s="5">
        <v>2163209</v>
      </c>
      <c r="B1946" s="6">
        <v>42944</v>
      </c>
      <c r="C1946" s="7">
        <v>0.35749999999999998</v>
      </c>
      <c r="D1946" s="8">
        <v>0.36791666666666667</v>
      </c>
      <c r="E1946">
        <f t="shared" si="60"/>
        <v>1</v>
      </c>
      <c r="F1946">
        <f t="shared" si="61"/>
        <v>0</v>
      </c>
    </row>
    <row r="1947" spans="1:6" x14ac:dyDescent="0.35">
      <c r="A1947" s="9">
        <v>98021540</v>
      </c>
      <c r="B1947" s="10">
        <v>42944</v>
      </c>
      <c r="C1947" s="11">
        <v>0.35806712962962961</v>
      </c>
      <c r="D1947" s="12">
        <v>0.36835648148148148</v>
      </c>
      <c r="E1947">
        <f t="shared" si="60"/>
        <v>0</v>
      </c>
      <c r="F1947">
        <f t="shared" si="61"/>
        <v>1</v>
      </c>
    </row>
    <row r="1948" spans="1:6" x14ac:dyDescent="0.35">
      <c r="A1948" s="5">
        <v>58420185</v>
      </c>
      <c r="B1948" s="6">
        <v>42944</v>
      </c>
      <c r="C1948" s="7">
        <v>0.35957175925925927</v>
      </c>
      <c r="D1948" s="8">
        <v>0.3616435185185185</v>
      </c>
      <c r="E1948">
        <f t="shared" si="60"/>
        <v>0</v>
      </c>
      <c r="F1948">
        <f t="shared" si="61"/>
        <v>1</v>
      </c>
    </row>
    <row r="1949" spans="1:6" x14ac:dyDescent="0.35">
      <c r="A1949" s="9">
        <v>2188847</v>
      </c>
      <c r="B1949" s="10">
        <v>42944</v>
      </c>
      <c r="C1949" s="11">
        <v>0.36321759259259262</v>
      </c>
      <c r="D1949" s="12">
        <v>0.36689814814814814</v>
      </c>
      <c r="E1949">
        <f t="shared" si="60"/>
        <v>1</v>
      </c>
      <c r="F1949">
        <f t="shared" si="61"/>
        <v>0</v>
      </c>
    </row>
    <row r="1950" spans="1:6" x14ac:dyDescent="0.35">
      <c r="A1950" s="5">
        <v>2419817</v>
      </c>
      <c r="B1950" s="6">
        <v>42944</v>
      </c>
      <c r="C1950" s="7">
        <v>0.36768518518518517</v>
      </c>
      <c r="D1950" s="8">
        <v>0.3742476851851852</v>
      </c>
      <c r="E1950">
        <f t="shared" si="60"/>
        <v>1</v>
      </c>
      <c r="F1950">
        <f t="shared" si="61"/>
        <v>0</v>
      </c>
    </row>
    <row r="1951" spans="1:6" x14ac:dyDescent="0.35">
      <c r="A1951" s="9">
        <v>8938444</v>
      </c>
      <c r="B1951" s="10">
        <v>42944</v>
      </c>
      <c r="C1951" s="11">
        <v>0.37162037037037038</v>
      </c>
      <c r="D1951" s="12">
        <v>0.37275462962962963</v>
      </c>
      <c r="E1951">
        <f t="shared" si="60"/>
        <v>1</v>
      </c>
      <c r="F1951">
        <f t="shared" si="61"/>
        <v>0</v>
      </c>
    </row>
    <row r="1952" spans="1:6" x14ac:dyDescent="0.35">
      <c r="A1952" s="5">
        <v>8512255</v>
      </c>
      <c r="B1952" s="6">
        <v>42944</v>
      </c>
      <c r="C1952" s="7">
        <v>0.37327546296296299</v>
      </c>
      <c r="D1952" s="8">
        <v>0.37962962962962965</v>
      </c>
      <c r="E1952">
        <f t="shared" si="60"/>
        <v>1</v>
      </c>
      <c r="F1952">
        <f t="shared" si="61"/>
        <v>0</v>
      </c>
    </row>
    <row r="1953" spans="1:6" x14ac:dyDescent="0.35">
      <c r="A1953" s="9">
        <v>7488966</v>
      </c>
      <c r="B1953" s="10">
        <v>42944</v>
      </c>
      <c r="C1953" s="11">
        <v>0.37513888888888891</v>
      </c>
      <c r="D1953" s="12">
        <v>0.3775</v>
      </c>
      <c r="E1953">
        <f t="shared" si="60"/>
        <v>1</v>
      </c>
      <c r="F1953">
        <f t="shared" si="61"/>
        <v>0</v>
      </c>
    </row>
    <row r="1954" spans="1:6" x14ac:dyDescent="0.35">
      <c r="A1954" s="5">
        <v>6068132</v>
      </c>
      <c r="B1954" s="6">
        <v>42944</v>
      </c>
      <c r="C1954" s="7">
        <v>0.37793981481481481</v>
      </c>
      <c r="D1954" s="8">
        <v>0.3873611111111111</v>
      </c>
      <c r="E1954">
        <f t="shared" si="60"/>
        <v>1</v>
      </c>
      <c r="F1954">
        <f t="shared" si="61"/>
        <v>0</v>
      </c>
    </row>
    <row r="1955" spans="1:6" x14ac:dyDescent="0.35">
      <c r="A1955" s="9">
        <v>6131743</v>
      </c>
      <c r="B1955" s="10">
        <v>42944</v>
      </c>
      <c r="C1955" s="11">
        <v>0.38305555555555554</v>
      </c>
      <c r="D1955" s="12">
        <v>0.38718750000000002</v>
      </c>
      <c r="E1955">
        <f t="shared" si="60"/>
        <v>1</v>
      </c>
      <c r="F1955">
        <f t="shared" si="61"/>
        <v>0</v>
      </c>
    </row>
    <row r="1956" spans="1:6" x14ac:dyDescent="0.35">
      <c r="A1956" s="5">
        <v>71564278</v>
      </c>
      <c r="B1956" s="6">
        <v>42944</v>
      </c>
      <c r="C1956" s="7">
        <v>0.38849537037037035</v>
      </c>
      <c r="D1956" s="8">
        <v>0.39708333333333334</v>
      </c>
      <c r="E1956">
        <f t="shared" si="60"/>
        <v>0</v>
      </c>
      <c r="F1956">
        <f t="shared" si="61"/>
        <v>1</v>
      </c>
    </row>
    <row r="1957" spans="1:6" x14ac:dyDescent="0.35">
      <c r="A1957" s="9">
        <v>4529192</v>
      </c>
      <c r="B1957" s="10">
        <v>42944</v>
      </c>
      <c r="C1957" s="11">
        <v>0.39005787037037037</v>
      </c>
      <c r="D1957" s="12">
        <v>0.39561342592592591</v>
      </c>
      <c r="E1957">
        <f t="shared" si="60"/>
        <v>1</v>
      </c>
      <c r="F1957">
        <f t="shared" si="61"/>
        <v>0</v>
      </c>
    </row>
    <row r="1958" spans="1:6" x14ac:dyDescent="0.35">
      <c r="A1958" s="5">
        <v>2193730</v>
      </c>
      <c r="B1958" s="6">
        <v>42944</v>
      </c>
      <c r="C1958" s="7">
        <v>0.39269675925925923</v>
      </c>
      <c r="D1958" s="8">
        <v>0.40126157407407409</v>
      </c>
      <c r="E1958">
        <f t="shared" si="60"/>
        <v>1</v>
      </c>
      <c r="F1958">
        <f t="shared" si="61"/>
        <v>0</v>
      </c>
    </row>
    <row r="1959" spans="1:6" x14ac:dyDescent="0.35">
      <c r="A1959" s="9">
        <v>3120387</v>
      </c>
      <c r="B1959" s="10">
        <v>42944</v>
      </c>
      <c r="C1959" s="11">
        <v>0.39303240740740741</v>
      </c>
      <c r="D1959" s="12">
        <v>0.39657407407407408</v>
      </c>
      <c r="E1959">
        <f t="shared" si="60"/>
        <v>1</v>
      </c>
      <c r="F1959">
        <f t="shared" si="61"/>
        <v>0</v>
      </c>
    </row>
    <row r="1960" spans="1:6" x14ac:dyDescent="0.35">
      <c r="A1960" s="5">
        <v>5726531</v>
      </c>
      <c r="B1960" s="6">
        <v>42944</v>
      </c>
      <c r="C1960" s="7">
        <v>0.39825231481481482</v>
      </c>
      <c r="D1960" s="8">
        <v>0.39855324074074072</v>
      </c>
      <c r="E1960">
        <f t="shared" si="60"/>
        <v>1</v>
      </c>
      <c r="F1960">
        <f t="shared" si="61"/>
        <v>0</v>
      </c>
    </row>
    <row r="1961" spans="1:6" x14ac:dyDescent="0.35">
      <c r="A1961" s="9">
        <v>5076649</v>
      </c>
      <c r="B1961" s="10">
        <v>42944</v>
      </c>
      <c r="C1961" s="11">
        <v>0.39922453703703703</v>
      </c>
      <c r="D1961" s="12">
        <v>0.40482638888888889</v>
      </c>
      <c r="E1961">
        <f t="shared" si="60"/>
        <v>1</v>
      </c>
      <c r="F1961">
        <f t="shared" si="61"/>
        <v>0</v>
      </c>
    </row>
    <row r="1962" spans="1:6" x14ac:dyDescent="0.35">
      <c r="A1962" s="5">
        <v>98939809</v>
      </c>
      <c r="B1962" s="6">
        <v>42944</v>
      </c>
      <c r="C1962" s="7">
        <v>0.40277777777777779</v>
      </c>
      <c r="D1962" s="8">
        <v>0.40599537037037037</v>
      </c>
      <c r="E1962">
        <f t="shared" si="60"/>
        <v>0</v>
      </c>
      <c r="F1962">
        <f t="shared" si="61"/>
        <v>1</v>
      </c>
    </row>
    <row r="1963" spans="1:6" x14ac:dyDescent="0.35">
      <c r="A1963" s="9">
        <v>2005653</v>
      </c>
      <c r="B1963" s="10">
        <v>42944</v>
      </c>
      <c r="C1963" s="11">
        <v>0.40842592592592591</v>
      </c>
      <c r="D1963" s="12">
        <v>0.41866898148148146</v>
      </c>
      <c r="E1963">
        <f t="shared" si="60"/>
        <v>1</v>
      </c>
      <c r="F1963">
        <f t="shared" si="61"/>
        <v>0</v>
      </c>
    </row>
    <row r="1964" spans="1:6" x14ac:dyDescent="0.35">
      <c r="A1964" s="5">
        <v>4659808</v>
      </c>
      <c r="B1964" s="6">
        <v>42944</v>
      </c>
      <c r="C1964" s="7">
        <v>0.40956018518518517</v>
      </c>
      <c r="D1964" s="8">
        <v>0.41278935185185184</v>
      </c>
      <c r="E1964">
        <f t="shared" si="60"/>
        <v>1</v>
      </c>
      <c r="F1964">
        <f t="shared" si="61"/>
        <v>0</v>
      </c>
    </row>
    <row r="1965" spans="1:6" x14ac:dyDescent="0.35">
      <c r="A1965" s="9">
        <v>60113139</v>
      </c>
      <c r="B1965" s="10">
        <v>42944</v>
      </c>
      <c r="C1965" s="11">
        <v>0.41228009259259257</v>
      </c>
      <c r="D1965" s="12">
        <v>0.41718749999999999</v>
      </c>
      <c r="E1965">
        <f t="shared" si="60"/>
        <v>0</v>
      </c>
      <c r="F1965">
        <f t="shared" si="61"/>
        <v>1</v>
      </c>
    </row>
    <row r="1966" spans="1:6" x14ac:dyDescent="0.35">
      <c r="A1966" s="5">
        <v>55896338</v>
      </c>
      <c r="B1966" s="6">
        <v>42944</v>
      </c>
      <c r="C1966" s="7">
        <v>0.41521990740740738</v>
      </c>
      <c r="D1966" s="8">
        <v>0.41893518518518519</v>
      </c>
      <c r="E1966">
        <f t="shared" si="60"/>
        <v>0</v>
      </c>
      <c r="F1966">
        <f t="shared" si="61"/>
        <v>1</v>
      </c>
    </row>
    <row r="1967" spans="1:6" x14ac:dyDescent="0.35">
      <c r="A1967" s="9">
        <v>9747403</v>
      </c>
      <c r="B1967" s="10">
        <v>42944</v>
      </c>
      <c r="C1967" s="11">
        <v>0.42093750000000002</v>
      </c>
      <c r="D1967" s="12">
        <v>0.42825231481481479</v>
      </c>
      <c r="E1967">
        <f t="shared" si="60"/>
        <v>1</v>
      </c>
      <c r="F1967">
        <f t="shared" si="61"/>
        <v>0</v>
      </c>
    </row>
    <row r="1968" spans="1:6" x14ac:dyDescent="0.35">
      <c r="A1968" s="5">
        <v>5687447</v>
      </c>
      <c r="B1968" s="6">
        <v>42944</v>
      </c>
      <c r="C1968" s="7">
        <v>0.42295138888888889</v>
      </c>
      <c r="D1968" s="8">
        <v>0.42423611111111109</v>
      </c>
      <c r="E1968">
        <f t="shared" si="60"/>
        <v>1</v>
      </c>
      <c r="F1968">
        <f t="shared" si="61"/>
        <v>0</v>
      </c>
    </row>
    <row r="1969" spans="1:6" x14ac:dyDescent="0.35">
      <c r="A1969" s="9">
        <v>78940032</v>
      </c>
      <c r="B1969" s="10">
        <v>42944</v>
      </c>
      <c r="C1969" s="11">
        <v>0.42478009259259258</v>
      </c>
      <c r="D1969" s="12">
        <v>0.43118055555555557</v>
      </c>
      <c r="E1969">
        <f t="shared" si="60"/>
        <v>0</v>
      </c>
      <c r="F1969">
        <f t="shared" si="61"/>
        <v>1</v>
      </c>
    </row>
    <row r="1970" spans="1:6" x14ac:dyDescent="0.35">
      <c r="A1970" s="5">
        <v>1094486764</v>
      </c>
      <c r="B1970" s="6">
        <v>42944</v>
      </c>
      <c r="C1970" s="7">
        <v>0.42781249999999998</v>
      </c>
      <c r="D1970" s="8">
        <v>0.43763888888888891</v>
      </c>
      <c r="E1970">
        <f t="shared" si="60"/>
        <v>0</v>
      </c>
      <c r="F1970">
        <f t="shared" si="61"/>
        <v>0</v>
      </c>
    </row>
    <row r="1971" spans="1:6" x14ac:dyDescent="0.35">
      <c r="A1971" s="9">
        <v>2611045</v>
      </c>
      <c r="B1971" s="10">
        <v>42944</v>
      </c>
      <c r="C1971" s="11">
        <v>0.43131944444444442</v>
      </c>
      <c r="D1971" s="12">
        <v>0.4387152777777778</v>
      </c>
      <c r="E1971">
        <f t="shared" si="60"/>
        <v>1</v>
      </c>
      <c r="F1971">
        <f t="shared" si="61"/>
        <v>0</v>
      </c>
    </row>
    <row r="1972" spans="1:6" x14ac:dyDescent="0.35">
      <c r="A1972" s="5">
        <v>6047761</v>
      </c>
      <c r="B1972" s="6">
        <v>42944</v>
      </c>
      <c r="C1972" s="7">
        <v>0.43351851851851853</v>
      </c>
      <c r="D1972" s="8">
        <v>0.4412152777777778</v>
      </c>
      <c r="E1972">
        <f t="shared" si="60"/>
        <v>1</v>
      </c>
      <c r="F1972">
        <f t="shared" si="61"/>
        <v>0</v>
      </c>
    </row>
    <row r="1973" spans="1:6" x14ac:dyDescent="0.35">
      <c r="A1973" s="9">
        <v>4154521</v>
      </c>
      <c r="B1973" s="10">
        <v>42944</v>
      </c>
      <c r="C1973" s="11">
        <v>0.43552083333333336</v>
      </c>
      <c r="D1973" s="12">
        <v>0.44587962962962963</v>
      </c>
      <c r="E1973">
        <f t="shared" si="60"/>
        <v>1</v>
      </c>
      <c r="F1973">
        <f t="shared" si="61"/>
        <v>0</v>
      </c>
    </row>
    <row r="1974" spans="1:6" x14ac:dyDescent="0.35">
      <c r="A1974" s="5">
        <v>8895257</v>
      </c>
      <c r="B1974" s="6">
        <v>42944</v>
      </c>
      <c r="C1974" s="7">
        <v>0.43975694444444446</v>
      </c>
      <c r="D1974" s="8">
        <v>0.4472800925925926</v>
      </c>
      <c r="E1974">
        <f t="shared" si="60"/>
        <v>1</v>
      </c>
      <c r="F1974">
        <f t="shared" si="61"/>
        <v>0</v>
      </c>
    </row>
    <row r="1975" spans="1:6" x14ac:dyDescent="0.35">
      <c r="A1975" s="9">
        <v>2199311</v>
      </c>
      <c r="B1975" s="10">
        <v>42944</v>
      </c>
      <c r="C1975" s="11">
        <v>0.44490740740740742</v>
      </c>
      <c r="D1975" s="12">
        <v>0.44578703703703704</v>
      </c>
      <c r="E1975">
        <f t="shared" si="60"/>
        <v>1</v>
      </c>
      <c r="F1975">
        <f t="shared" si="61"/>
        <v>0</v>
      </c>
    </row>
    <row r="1976" spans="1:6" x14ac:dyDescent="0.35">
      <c r="A1976" s="5">
        <v>17864361</v>
      </c>
      <c r="B1976" s="6">
        <v>42944</v>
      </c>
      <c r="C1976" s="7">
        <v>0.44605324074074076</v>
      </c>
      <c r="D1976" s="8">
        <v>0.45253472222222224</v>
      </c>
      <c r="E1976">
        <f t="shared" si="60"/>
        <v>0</v>
      </c>
      <c r="F1976">
        <f t="shared" si="61"/>
        <v>1</v>
      </c>
    </row>
    <row r="1977" spans="1:6" x14ac:dyDescent="0.35">
      <c r="A1977" s="9">
        <v>6943996503</v>
      </c>
      <c r="B1977" s="10">
        <v>42944</v>
      </c>
      <c r="C1977" s="11">
        <v>0.4506134259259259</v>
      </c>
      <c r="D1977" s="12">
        <v>0.45674768518518516</v>
      </c>
      <c r="E1977">
        <f t="shared" si="60"/>
        <v>0</v>
      </c>
      <c r="F1977">
        <f t="shared" si="61"/>
        <v>0</v>
      </c>
    </row>
    <row r="1978" spans="1:6" x14ac:dyDescent="0.35">
      <c r="A1978" s="5">
        <v>9547712</v>
      </c>
      <c r="B1978" s="6">
        <v>42944</v>
      </c>
      <c r="C1978" s="7">
        <v>0.45546296296296296</v>
      </c>
      <c r="D1978" s="8">
        <v>0.46259259259259261</v>
      </c>
      <c r="E1978">
        <f t="shared" si="60"/>
        <v>1</v>
      </c>
      <c r="F1978">
        <f t="shared" si="61"/>
        <v>0</v>
      </c>
    </row>
    <row r="1979" spans="1:6" x14ac:dyDescent="0.35">
      <c r="A1979" s="9">
        <v>3925701</v>
      </c>
      <c r="B1979" s="10">
        <v>42944</v>
      </c>
      <c r="C1979" s="11">
        <v>0.45756944444444442</v>
      </c>
      <c r="D1979" s="12">
        <v>0.46141203703703704</v>
      </c>
      <c r="E1979">
        <f t="shared" si="60"/>
        <v>1</v>
      </c>
      <c r="F1979">
        <f t="shared" si="61"/>
        <v>0</v>
      </c>
    </row>
    <row r="1980" spans="1:6" x14ac:dyDescent="0.35">
      <c r="A1980" s="5">
        <v>97317489</v>
      </c>
      <c r="B1980" s="6">
        <v>42944</v>
      </c>
      <c r="C1980" s="7">
        <v>0.46269675925925924</v>
      </c>
      <c r="D1980" s="8">
        <v>0.46620370370370373</v>
      </c>
      <c r="E1980">
        <f t="shared" si="60"/>
        <v>0</v>
      </c>
      <c r="F1980">
        <f t="shared" si="61"/>
        <v>1</v>
      </c>
    </row>
    <row r="1981" spans="1:6" x14ac:dyDescent="0.35">
      <c r="A1981" s="9">
        <v>78009874</v>
      </c>
      <c r="B1981" s="10">
        <v>42944</v>
      </c>
      <c r="C1981" s="11">
        <v>0.46400462962962963</v>
      </c>
      <c r="D1981" s="12">
        <v>0.46545138888888887</v>
      </c>
      <c r="E1981">
        <f t="shared" si="60"/>
        <v>0</v>
      </c>
      <c r="F1981">
        <f t="shared" si="61"/>
        <v>1</v>
      </c>
    </row>
    <row r="1982" spans="1:6" x14ac:dyDescent="0.35">
      <c r="A1982" s="5">
        <v>8590206</v>
      </c>
      <c r="B1982" s="6">
        <v>42944</v>
      </c>
      <c r="C1982" s="7">
        <v>0.46763888888888888</v>
      </c>
      <c r="D1982" s="8">
        <v>0.47359953703703705</v>
      </c>
      <c r="E1982">
        <f t="shared" si="60"/>
        <v>1</v>
      </c>
      <c r="F1982">
        <f t="shared" si="61"/>
        <v>0</v>
      </c>
    </row>
    <row r="1983" spans="1:6" x14ac:dyDescent="0.35">
      <c r="A1983" s="9">
        <v>7273239</v>
      </c>
      <c r="B1983" s="10">
        <v>42944</v>
      </c>
      <c r="C1983" s="11">
        <v>0.47111111111111109</v>
      </c>
      <c r="D1983" s="12">
        <v>0.48017361111111112</v>
      </c>
      <c r="E1983">
        <f t="shared" si="60"/>
        <v>1</v>
      </c>
      <c r="F1983">
        <f t="shared" si="61"/>
        <v>0</v>
      </c>
    </row>
    <row r="1984" spans="1:6" x14ac:dyDescent="0.35">
      <c r="A1984" s="5">
        <v>9975967</v>
      </c>
      <c r="B1984" s="6">
        <v>42944</v>
      </c>
      <c r="C1984" s="7">
        <v>0.47454861111111113</v>
      </c>
      <c r="D1984" s="8">
        <v>0.47562500000000002</v>
      </c>
      <c r="E1984">
        <f t="shared" si="60"/>
        <v>1</v>
      </c>
      <c r="F1984">
        <f t="shared" si="61"/>
        <v>0</v>
      </c>
    </row>
    <row r="1985" spans="1:6" x14ac:dyDescent="0.35">
      <c r="A1985" s="9">
        <v>2134315</v>
      </c>
      <c r="B1985" s="10">
        <v>42944</v>
      </c>
      <c r="C1985" s="11">
        <v>0.47733796296296294</v>
      </c>
      <c r="D1985" s="12">
        <v>0.48003472222222221</v>
      </c>
      <c r="E1985">
        <f t="shared" si="60"/>
        <v>1</v>
      </c>
      <c r="F1985">
        <f t="shared" si="61"/>
        <v>0</v>
      </c>
    </row>
    <row r="1986" spans="1:6" x14ac:dyDescent="0.35">
      <c r="A1986" s="5">
        <v>6919928</v>
      </c>
      <c r="B1986" s="6">
        <v>42944</v>
      </c>
      <c r="C1986" s="7">
        <v>0.4783101851851852</v>
      </c>
      <c r="D1986" s="8">
        <v>0.48770833333333335</v>
      </c>
      <c r="E1986">
        <f t="shared" si="60"/>
        <v>1</v>
      </c>
      <c r="F1986">
        <f t="shared" si="61"/>
        <v>0</v>
      </c>
    </row>
    <row r="1987" spans="1:6" x14ac:dyDescent="0.35">
      <c r="A1987" s="9">
        <v>45081794</v>
      </c>
      <c r="B1987" s="10">
        <v>42944</v>
      </c>
      <c r="C1987" s="11">
        <v>0.47928240740740741</v>
      </c>
      <c r="D1987" s="12">
        <v>0.481875</v>
      </c>
      <c r="E1987">
        <f t="shared" ref="E1987:E2050" si="62">IF(LEN(A1987)=7,1,0)</f>
        <v>0</v>
      </c>
      <c r="F1987">
        <f t="shared" ref="F1987:F2050" si="63">IF(LEN(A1987)=8,1,0)</f>
        <v>1</v>
      </c>
    </row>
    <row r="1988" spans="1:6" x14ac:dyDescent="0.35">
      <c r="A1988" s="5">
        <v>1661633</v>
      </c>
      <c r="B1988" s="6">
        <v>42944</v>
      </c>
      <c r="C1988" s="7">
        <v>0.48042824074074075</v>
      </c>
      <c r="D1988" s="8">
        <v>0.48422453703703705</v>
      </c>
      <c r="E1988">
        <f t="shared" si="62"/>
        <v>1</v>
      </c>
      <c r="F1988">
        <f t="shared" si="63"/>
        <v>0</v>
      </c>
    </row>
    <row r="1989" spans="1:6" x14ac:dyDescent="0.35">
      <c r="A1989" s="9">
        <v>1639829</v>
      </c>
      <c r="B1989" s="10">
        <v>42944</v>
      </c>
      <c r="C1989" s="11">
        <v>0.4815740740740741</v>
      </c>
      <c r="D1989" s="12">
        <v>0.48802083333333335</v>
      </c>
      <c r="E1989">
        <f t="shared" si="62"/>
        <v>1</v>
      </c>
      <c r="F1989">
        <f t="shared" si="63"/>
        <v>0</v>
      </c>
    </row>
    <row r="1990" spans="1:6" x14ac:dyDescent="0.35">
      <c r="A1990" s="5">
        <v>8585321</v>
      </c>
      <c r="B1990" s="6">
        <v>42944</v>
      </c>
      <c r="C1990" s="7">
        <v>0.4836111111111111</v>
      </c>
      <c r="D1990" s="8">
        <v>0.48996527777777776</v>
      </c>
      <c r="E1990">
        <f t="shared" si="62"/>
        <v>1</v>
      </c>
      <c r="F1990">
        <f t="shared" si="63"/>
        <v>0</v>
      </c>
    </row>
    <row r="1991" spans="1:6" x14ac:dyDescent="0.35">
      <c r="A1991" s="9">
        <v>1661643168</v>
      </c>
      <c r="B1991" s="10">
        <v>42944</v>
      </c>
      <c r="C1991" s="11">
        <v>0.48609953703703701</v>
      </c>
      <c r="D1991" s="12">
        <v>0.48850694444444442</v>
      </c>
      <c r="E1991">
        <f t="shared" si="62"/>
        <v>0</v>
      </c>
      <c r="F1991">
        <f t="shared" si="63"/>
        <v>0</v>
      </c>
    </row>
    <row r="1992" spans="1:6" x14ac:dyDescent="0.35">
      <c r="A1992" s="5">
        <v>5136126</v>
      </c>
      <c r="B1992" s="6">
        <v>42944</v>
      </c>
      <c r="C1992" s="7">
        <v>0.49048611111111112</v>
      </c>
      <c r="D1992" s="8">
        <v>0.49685185185185188</v>
      </c>
      <c r="E1992">
        <f t="shared" si="62"/>
        <v>1</v>
      </c>
      <c r="F1992">
        <f t="shared" si="63"/>
        <v>0</v>
      </c>
    </row>
    <row r="1993" spans="1:6" x14ac:dyDescent="0.35">
      <c r="A1993" s="9">
        <v>9747700</v>
      </c>
      <c r="B1993" s="10">
        <v>42944</v>
      </c>
      <c r="C1993" s="11">
        <v>0.49305555555555558</v>
      </c>
      <c r="D1993" s="12">
        <v>0.50435185185185183</v>
      </c>
      <c r="E1993">
        <f t="shared" si="62"/>
        <v>1</v>
      </c>
      <c r="F1993">
        <f t="shared" si="63"/>
        <v>0</v>
      </c>
    </row>
    <row r="1994" spans="1:6" x14ac:dyDescent="0.35">
      <c r="A1994" s="5">
        <v>8387594</v>
      </c>
      <c r="B1994" s="6">
        <v>42944</v>
      </c>
      <c r="C1994" s="7">
        <v>0.49401620370370369</v>
      </c>
      <c r="D1994" s="8">
        <v>0.49682870370370369</v>
      </c>
      <c r="E1994">
        <f t="shared" si="62"/>
        <v>1</v>
      </c>
      <c r="F1994">
        <f t="shared" si="63"/>
        <v>0</v>
      </c>
    </row>
    <row r="1995" spans="1:6" x14ac:dyDescent="0.35">
      <c r="A1995" s="9">
        <v>65166542</v>
      </c>
      <c r="B1995" s="10">
        <v>42944</v>
      </c>
      <c r="C1995" s="11">
        <v>0.49554398148148149</v>
      </c>
      <c r="D1995" s="12">
        <v>0.49667824074074074</v>
      </c>
      <c r="E1995">
        <f t="shared" si="62"/>
        <v>0</v>
      </c>
      <c r="F1995">
        <f t="shared" si="63"/>
        <v>1</v>
      </c>
    </row>
    <row r="1996" spans="1:6" x14ac:dyDescent="0.35">
      <c r="A1996" s="5">
        <v>77607017</v>
      </c>
      <c r="B1996" s="6">
        <v>42944</v>
      </c>
      <c r="C1996" s="7">
        <v>0.49858796296296298</v>
      </c>
      <c r="D1996" s="8">
        <v>0.50891203703703702</v>
      </c>
      <c r="E1996">
        <f t="shared" si="62"/>
        <v>0</v>
      </c>
      <c r="F1996">
        <f t="shared" si="63"/>
        <v>1</v>
      </c>
    </row>
    <row r="1997" spans="1:6" x14ac:dyDescent="0.35">
      <c r="A1997" s="9">
        <v>9028434625</v>
      </c>
      <c r="B1997" s="10">
        <v>42944</v>
      </c>
      <c r="C1997" s="11">
        <v>0.50208333333333333</v>
      </c>
      <c r="D1997" s="12">
        <v>0.5110069444444445</v>
      </c>
      <c r="E1997">
        <f t="shared" si="62"/>
        <v>0</v>
      </c>
      <c r="F1997">
        <f t="shared" si="63"/>
        <v>0</v>
      </c>
    </row>
    <row r="1998" spans="1:6" x14ac:dyDescent="0.35">
      <c r="A1998" s="5">
        <v>7503173</v>
      </c>
      <c r="B1998" s="6">
        <v>42944</v>
      </c>
      <c r="C1998" s="7">
        <v>0.50390046296296298</v>
      </c>
      <c r="D1998" s="8">
        <v>0.50619212962962967</v>
      </c>
      <c r="E1998">
        <f t="shared" si="62"/>
        <v>1</v>
      </c>
      <c r="F1998">
        <f t="shared" si="63"/>
        <v>0</v>
      </c>
    </row>
    <row r="1999" spans="1:6" x14ac:dyDescent="0.35">
      <c r="A1999" s="9">
        <v>9039872</v>
      </c>
      <c r="B1999" s="10">
        <v>42944</v>
      </c>
      <c r="C1999" s="11">
        <v>0.50825231481481481</v>
      </c>
      <c r="D1999" s="12">
        <v>0.5168518518518519</v>
      </c>
      <c r="E1999">
        <f t="shared" si="62"/>
        <v>1</v>
      </c>
      <c r="F1999">
        <f t="shared" si="63"/>
        <v>0</v>
      </c>
    </row>
    <row r="2000" spans="1:6" x14ac:dyDescent="0.35">
      <c r="A2000" s="5">
        <v>45940361</v>
      </c>
      <c r="B2000" s="6">
        <v>42944</v>
      </c>
      <c r="C2000" s="7">
        <v>0.50982638888888887</v>
      </c>
      <c r="D2000" s="8">
        <v>0.51537037037037037</v>
      </c>
      <c r="E2000">
        <f t="shared" si="62"/>
        <v>0</v>
      </c>
      <c r="F2000">
        <f t="shared" si="63"/>
        <v>1</v>
      </c>
    </row>
    <row r="2001" spans="1:6" x14ac:dyDescent="0.35">
      <c r="A2001" s="9">
        <v>6242177</v>
      </c>
      <c r="B2001" s="10">
        <v>42944</v>
      </c>
      <c r="C2001" s="11">
        <v>0.5138773148148148</v>
      </c>
      <c r="D2001" s="12">
        <v>0.52096064814814813</v>
      </c>
      <c r="E2001">
        <f t="shared" si="62"/>
        <v>1</v>
      </c>
      <c r="F2001">
        <f t="shared" si="63"/>
        <v>0</v>
      </c>
    </row>
    <row r="2002" spans="1:6" x14ac:dyDescent="0.35">
      <c r="A2002" s="5">
        <v>60454232</v>
      </c>
      <c r="B2002" s="6">
        <v>42944</v>
      </c>
      <c r="C2002" s="7">
        <v>0.5149421296296296</v>
      </c>
      <c r="D2002" s="8">
        <v>0.5248032407407407</v>
      </c>
      <c r="E2002">
        <f t="shared" si="62"/>
        <v>0</v>
      </c>
      <c r="F2002">
        <f t="shared" si="63"/>
        <v>1</v>
      </c>
    </row>
    <row r="2003" spans="1:6" x14ac:dyDescent="0.35">
      <c r="A2003" s="9">
        <v>4060894</v>
      </c>
      <c r="B2003" s="10">
        <v>42944</v>
      </c>
      <c r="C2003" s="11">
        <v>0.51730324074074074</v>
      </c>
      <c r="D2003" s="12">
        <v>0.51848379629629626</v>
      </c>
      <c r="E2003">
        <f t="shared" si="62"/>
        <v>1</v>
      </c>
      <c r="F2003">
        <f t="shared" si="63"/>
        <v>0</v>
      </c>
    </row>
    <row r="2004" spans="1:6" x14ac:dyDescent="0.35">
      <c r="A2004" s="5">
        <v>8223406</v>
      </c>
      <c r="B2004" s="6">
        <v>42944</v>
      </c>
      <c r="C2004" s="7">
        <v>0.51908564814814817</v>
      </c>
      <c r="D2004" s="8">
        <v>0.51929398148148154</v>
      </c>
      <c r="E2004">
        <f t="shared" si="62"/>
        <v>1</v>
      </c>
      <c r="F2004">
        <f t="shared" si="63"/>
        <v>0</v>
      </c>
    </row>
    <row r="2005" spans="1:6" x14ac:dyDescent="0.35">
      <c r="A2005" s="9">
        <v>43109897</v>
      </c>
      <c r="B2005" s="10">
        <v>42944</v>
      </c>
      <c r="C2005" s="11">
        <v>0.52467592592592593</v>
      </c>
      <c r="D2005" s="12">
        <v>0.53178240740740745</v>
      </c>
      <c r="E2005">
        <f t="shared" si="62"/>
        <v>0</v>
      </c>
      <c r="F2005">
        <f t="shared" si="63"/>
        <v>1</v>
      </c>
    </row>
    <row r="2006" spans="1:6" x14ac:dyDescent="0.35">
      <c r="A2006" s="5">
        <v>95805020</v>
      </c>
      <c r="B2006" s="6">
        <v>42944</v>
      </c>
      <c r="C2006" s="7">
        <v>0.52603009259259259</v>
      </c>
      <c r="D2006" s="8">
        <v>0.53304398148148147</v>
      </c>
      <c r="E2006">
        <f t="shared" si="62"/>
        <v>0</v>
      </c>
      <c r="F2006">
        <f t="shared" si="63"/>
        <v>1</v>
      </c>
    </row>
    <row r="2007" spans="1:6" x14ac:dyDescent="0.35">
      <c r="A2007" s="9">
        <v>2849439</v>
      </c>
      <c r="B2007" s="10">
        <v>42944</v>
      </c>
      <c r="C2007" s="11">
        <v>0.52813657407407411</v>
      </c>
      <c r="D2007" s="12">
        <v>0.53039351851851857</v>
      </c>
      <c r="E2007">
        <f t="shared" si="62"/>
        <v>1</v>
      </c>
      <c r="F2007">
        <f t="shared" si="63"/>
        <v>0</v>
      </c>
    </row>
    <row r="2008" spans="1:6" x14ac:dyDescent="0.35">
      <c r="A2008" s="5">
        <v>9589060</v>
      </c>
      <c r="B2008" s="6">
        <v>42944</v>
      </c>
      <c r="C2008" s="7">
        <v>0.53310185185185188</v>
      </c>
      <c r="D2008" s="8">
        <v>0.53871527777777772</v>
      </c>
      <c r="E2008">
        <f t="shared" si="62"/>
        <v>1</v>
      </c>
      <c r="F2008">
        <f t="shared" si="63"/>
        <v>0</v>
      </c>
    </row>
    <row r="2009" spans="1:6" x14ac:dyDescent="0.35">
      <c r="A2009" s="9">
        <v>2603125</v>
      </c>
      <c r="B2009" s="10">
        <v>42944</v>
      </c>
      <c r="C2009" s="11">
        <v>0.53541666666666665</v>
      </c>
      <c r="D2009" s="12">
        <v>0.53666666666666663</v>
      </c>
      <c r="E2009">
        <f t="shared" si="62"/>
        <v>1</v>
      </c>
      <c r="F2009">
        <f t="shared" si="63"/>
        <v>0</v>
      </c>
    </row>
    <row r="2010" spans="1:6" x14ac:dyDescent="0.35">
      <c r="A2010" s="5">
        <v>8770898</v>
      </c>
      <c r="B2010" s="6">
        <v>42944</v>
      </c>
      <c r="C2010" s="7">
        <v>0.53773148148148153</v>
      </c>
      <c r="D2010" s="8">
        <v>0.54628472222222224</v>
      </c>
      <c r="E2010">
        <f t="shared" si="62"/>
        <v>1</v>
      </c>
      <c r="F2010">
        <f t="shared" si="63"/>
        <v>0</v>
      </c>
    </row>
    <row r="2011" spans="1:6" x14ac:dyDescent="0.35">
      <c r="A2011" s="9">
        <v>3224960</v>
      </c>
      <c r="B2011" s="10">
        <v>42944</v>
      </c>
      <c r="C2011" s="11">
        <v>0.54221064814814812</v>
      </c>
      <c r="D2011" s="12">
        <v>0.54947916666666663</v>
      </c>
      <c r="E2011">
        <f t="shared" si="62"/>
        <v>1</v>
      </c>
      <c r="F2011">
        <f t="shared" si="63"/>
        <v>0</v>
      </c>
    </row>
    <row r="2012" spans="1:6" x14ac:dyDescent="0.35">
      <c r="A2012" s="5">
        <v>4150421</v>
      </c>
      <c r="B2012" s="6">
        <v>42944</v>
      </c>
      <c r="C2012" s="7">
        <v>0.54599537037037038</v>
      </c>
      <c r="D2012" s="8">
        <v>0.54759259259259263</v>
      </c>
      <c r="E2012">
        <f t="shared" si="62"/>
        <v>1</v>
      </c>
      <c r="F2012">
        <f t="shared" si="63"/>
        <v>0</v>
      </c>
    </row>
    <row r="2013" spans="1:6" x14ac:dyDescent="0.35">
      <c r="A2013" s="9">
        <v>44302763</v>
      </c>
      <c r="B2013" s="10">
        <v>42944</v>
      </c>
      <c r="C2013" s="11">
        <v>0.54905092592592597</v>
      </c>
      <c r="D2013" s="12">
        <v>0.55343750000000003</v>
      </c>
      <c r="E2013">
        <f t="shared" si="62"/>
        <v>0</v>
      </c>
      <c r="F2013">
        <f t="shared" si="63"/>
        <v>1</v>
      </c>
    </row>
    <row r="2014" spans="1:6" x14ac:dyDescent="0.35">
      <c r="A2014" s="5">
        <v>1922212</v>
      </c>
      <c r="B2014" s="6">
        <v>42944</v>
      </c>
      <c r="C2014" s="7">
        <v>0.55334490740740738</v>
      </c>
      <c r="D2014" s="8">
        <v>0.56339120370370366</v>
      </c>
      <c r="E2014">
        <f t="shared" si="62"/>
        <v>1</v>
      </c>
      <c r="F2014">
        <f t="shared" si="63"/>
        <v>0</v>
      </c>
    </row>
    <row r="2015" spans="1:6" x14ac:dyDescent="0.35">
      <c r="A2015" s="9">
        <v>9603024</v>
      </c>
      <c r="B2015" s="10">
        <v>42944</v>
      </c>
      <c r="C2015" s="11">
        <v>0.55806712962962968</v>
      </c>
      <c r="D2015" s="12">
        <v>0.55923611111111116</v>
      </c>
      <c r="E2015">
        <f t="shared" si="62"/>
        <v>1</v>
      </c>
      <c r="F2015">
        <f t="shared" si="63"/>
        <v>0</v>
      </c>
    </row>
    <row r="2016" spans="1:6" x14ac:dyDescent="0.35">
      <c r="A2016" s="5">
        <v>1640513</v>
      </c>
      <c r="B2016" s="6">
        <v>42944</v>
      </c>
      <c r="C2016" s="7">
        <v>0.56162037037037038</v>
      </c>
      <c r="D2016" s="8">
        <v>0.56876157407407413</v>
      </c>
      <c r="E2016">
        <f t="shared" si="62"/>
        <v>1</v>
      </c>
      <c r="F2016">
        <f t="shared" si="63"/>
        <v>0</v>
      </c>
    </row>
    <row r="2017" spans="1:6" x14ac:dyDescent="0.35">
      <c r="A2017" s="9">
        <v>16592072</v>
      </c>
      <c r="B2017" s="10">
        <v>42944</v>
      </c>
      <c r="C2017" s="11">
        <v>0.56673611111111111</v>
      </c>
      <c r="D2017" s="12">
        <v>0.57725694444444442</v>
      </c>
      <c r="E2017">
        <f t="shared" si="62"/>
        <v>0</v>
      </c>
      <c r="F2017">
        <f t="shared" si="63"/>
        <v>1</v>
      </c>
    </row>
    <row r="2018" spans="1:6" x14ac:dyDescent="0.35">
      <c r="A2018" s="5">
        <v>4895290</v>
      </c>
      <c r="B2018" s="6">
        <v>42944</v>
      </c>
      <c r="C2018" s="7">
        <v>0.56821759259259264</v>
      </c>
      <c r="D2018" s="8">
        <v>0.5773611111111111</v>
      </c>
      <c r="E2018">
        <f t="shared" si="62"/>
        <v>1</v>
      </c>
      <c r="F2018">
        <f t="shared" si="63"/>
        <v>0</v>
      </c>
    </row>
    <row r="2019" spans="1:6" x14ac:dyDescent="0.35">
      <c r="A2019" s="9">
        <v>5277660</v>
      </c>
      <c r="B2019" s="10">
        <v>42944</v>
      </c>
      <c r="C2019" s="11">
        <v>0.57050925925925922</v>
      </c>
      <c r="D2019" s="12">
        <v>0.58049768518518519</v>
      </c>
      <c r="E2019">
        <f t="shared" si="62"/>
        <v>1</v>
      </c>
      <c r="F2019">
        <f t="shared" si="63"/>
        <v>0</v>
      </c>
    </row>
    <row r="2020" spans="1:6" x14ac:dyDescent="0.35">
      <c r="A2020" s="5">
        <v>8715278</v>
      </c>
      <c r="B2020" s="6">
        <v>42944</v>
      </c>
      <c r="C2020" s="7">
        <v>0.57146990740740744</v>
      </c>
      <c r="D2020" s="8">
        <v>0.57642361111111107</v>
      </c>
      <c r="E2020">
        <f t="shared" si="62"/>
        <v>1</v>
      </c>
      <c r="F2020">
        <f t="shared" si="63"/>
        <v>0</v>
      </c>
    </row>
    <row r="2021" spans="1:6" x14ac:dyDescent="0.35">
      <c r="A2021" s="9">
        <v>1462418</v>
      </c>
      <c r="B2021" s="10">
        <v>42944</v>
      </c>
      <c r="C2021" s="11">
        <v>0.57186342592592587</v>
      </c>
      <c r="D2021" s="12">
        <v>0.57379629629629625</v>
      </c>
      <c r="E2021">
        <f t="shared" si="62"/>
        <v>1</v>
      </c>
      <c r="F2021">
        <f t="shared" si="63"/>
        <v>0</v>
      </c>
    </row>
    <row r="2022" spans="1:6" x14ac:dyDescent="0.35">
      <c r="A2022" s="5">
        <v>8077806</v>
      </c>
      <c r="B2022" s="6">
        <v>42944</v>
      </c>
      <c r="C2022" s="7">
        <v>0.57629629629629631</v>
      </c>
      <c r="D2022" s="8">
        <v>0.58628472222222228</v>
      </c>
      <c r="E2022">
        <f t="shared" si="62"/>
        <v>1</v>
      </c>
      <c r="F2022">
        <f t="shared" si="63"/>
        <v>0</v>
      </c>
    </row>
    <row r="2023" spans="1:6" x14ac:dyDescent="0.35">
      <c r="A2023" s="9">
        <v>5759409</v>
      </c>
      <c r="B2023" s="10">
        <v>42944</v>
      </c>
      <c r="C2023" s="11">
        <v>0.57835648148148144</v>
      </c>
      <c r="D2023" s="12">
        <v>0.58644675925925926</v>
      </c>
      <c r="E2023">
        <f t="shared" si="62"/>
        <v>1</v>
      </c>
      <c r="F2023">
        <f t="shared" si="63"/>
        <v>0</v>
      </c>
    </row>
    <row r="2024" spans="1:6" x14ac:dyDescent="0.35">
      <c r="A2024" s="5">
        <v>6257971</v>
      </c>
      <c r="B2024" s="6">
        <v>42944</v>
      </c>
      <c r="C2024" s="7">
        <v>0.58331018518518518</v>
      </c>
      <c r="D2024" s="8">
        <v>0.58539351851851851</v>
      </c>
      <c r="E2024">
        <f t="shared" si="62"/>
        <v>1</v>
      </c>
      <c r="F2024">
        <f t="shared" si="63"/>
        <v>0</v>
      </c>
    </row>
    <row r="2025" spans="1:6" x14ac:dyDescent="0.35">
      <c r="A2025" s="9">
        <v>91129571</v>
      </c>
      <c r="B2025" s="10">
        <v>42944</v>
      </c>
      <c r="C2025" s="11">
        <v>0.58353009259259259</v>
      </c>
      <c r="D2025" s="12">
        <v>0.58950231481481485</v>
      </c>
      <c r="E2025">
        <f t="shared" si="62"/>
        <v>0</v>
      </c>
      <c r="F2025">
        <f t="shared" si="63"/>
        <v>1</v>
      </c>
    </row>
    <row r="2026" spans="1:6" x14ac:dyDescent="0.35">
      <c r="A2026" s="5">
        <v>6884037</v>
      </c>
      <c r="B2026" s="6">
        <v>42944</v>
      </c>
      <c r="C2026" s="7">
        <v>0.58892361111111113</v>
      </c>
      <c r="D2026" s="8">
        <v>0.59381944444444446</v>
      </c>
      <c r="E2026">
        <f t="shared" si="62"/>
        <v>1</v>
      </c>
      <c r="F2026">
        <f t="shared" si="63"/>
        <v>0</v>
      </c>
    </row>
    <row r="2027" spans="1:6" x14ac:dyDescent="0.35">
      <c r="A2027" s="9">
        <v>6657074</v>
      </c>
      <c r="B2027" s="10">
        <v>42944</v>
      </c>
      <c r="C2027" s="11">
        <v>0.59035879629629628</v>
      </c>
      <c r="D2027" s="12">
        <v>0.5992939814814815</v>
      </c>
      <c r="E2027">
        <f t="shared" si="62"/>
        <v>1</v>
      </c>
      <c r="F2027">
        <f t="shared" si="63"/>
        <v>0</v>
      </c>
    </row>
    <row r="2028" spans="1:6" x14ac:dyDescent="0.35">
      <c r="A2028" s="5">
        <v>2211277198</v>
      </c>
      <c r="B2028" s="6">
        <v>42944</v>
      </c>
      <c r="C2028" s="7">
        <v>0.59439814814814818</v>
      </c>
      <c r="D2028" s="8">
        <v>0.60048611111111116</v>
      </c>
      <c r="E2028">
        <f t="shared" si="62"/>
        <v>0</v>
      </c>
      <c r="F2028">
        <f t="shared" si="63"/>
        <v>0</v>
      </c>
    </row>
    <row r="2029" spans="1:6" x14ac:dyDescent="0.35">
      <c r="A2029" s="9">
        <v>26766818</v>
      </c>
      <c r="B2029" s="10">
        <v>42944</v>
      </c>
      <c r="C2029" s="11">
        <v>0.59788194444444442</v>
      </c>
      <c r="D2029" s="12">
        <v>0.60576388888888888</v>
      </c>
      <c r="E2029">
        <f t="shared" si="62"/>
        <v>0</v>
      </c>
      <c r="F2029">
        <f t="shared" si="63"/>
        <v>1</v>
      </c>
    </row>
    <row r="2030" spans="1:6" x14ac:dyDescent="0.35">
      <c r="A2030" s="5">
        <v>4473835</v>
      </c>
      <c r="B2030" s="6">
        <v>42944</v>
      </c>
      <c r="C2030" s="7">
        <v>0.60322916666666671</v>
      </c>
      <c r="D2030" s="8">
        <v>0.60628472222222218</v>
      </c>
      <c r="E2030">
        <f t="shared" si="62"/>
        <v>1</v>
      </c>
      <c r="F2030">
        <f t="shared" si="63"/>
        <v>0</v>
      </c>
    </row>
    <row r="2031" spans="1:6" x14ac:dyDescent="0.35">
      <c r="A2031" s="9">
        <v>9941776</v>
      </c>
      <c r="B2031" s="10">
        <v>42944</v>
      </c>
      <c r="C2031" s="11">
        <v>0.60745370370370366</v>
      </c>
      <c r="D2031" s="12">
        <v>0.61017361111111112</v>
      </c>
      <c r="E2031">
        <f t="shared" si="62"/>
        <v>1</v>
      </c>
      <c r="F2031">
        <f t="shared" si="63"/>
        <v>0</v>
      </c>
    </row>
    <row r="2032" spans="1:6" x14ac:dyDescent="0.35">
      <c r="A2032" s="5">
        <v>9045402</v>
      </c>
      <c r="B2032" s="6">
        <v>42944</v>
      </c>
      <c r="C2032" s="7">
        <v>0.61322916666666671</v>
      </c>
      <c r="D2032" s="8">
        <v>0.62153935185185183</v>
      </c>
      <c r="E2032">
        <f t="shared" si="62"/>
        <v>1</v>
      </c>
      <c r="F2032">
        <f t="shared" si="63"/>
        <v>0</v>
      </c>
    </row>
    <row r="2033" spans="1:6" x14ac:dyDescent="0.35">
      <c r="A2033" s="9">
        <v>7662302259</v>
      </c>
      <c r="B2033" s="10">
        <v>42944</v>
      </c>
      <c r="C2033" s="11">
        <v>0.61570601851851847</v>
      </c>
      <c r="D2033" s="12">
        <v>0.62429398148148152</v>
      </c>
      <c r="E2033">
        <f t="shared" si="62"/>
        <v>0</v>
      </c>
      <c r="F2033">
        <f t="shared" si="63"/>
        <v>0</v>
      </c>
    </row>
    <row r="2034" spans="1:6" x14ac:dyDescent="0.35">
      <c r="A2034" s="5">
        <v>2756059784</v>
      </c>
      <c r="B2034" s="6">
        <v>42944</v>
      </c>
      <c r="C2034" s="7">
        <v>0.61962962962962964</v>
      </c>
      <c r="D2034" s="8">
        <v>0.62399305555555551</v>
      </c>
      <c r="E2034">
        <f t="shared" si="62"/>
        <v>0</v>
      </c>
      <c r="F2034">
        <f t="shared" si="63"/>
        <v>0</v>
      </c>
    </row>
    <row r="2035" spans="1:6" x14ac:dyDescent="0.35">
      <c r="A2035" s="9">
        <v>8667012</v>
      </c>
      <c r="B2035" s="10">
        <v>42944</v>
      </c>
      <c r="C2035" s="11">
        <v>0.62204861111111109</v>
      </c>
      <c r="D2035" s="12">
        <v>0.62440972222222224</v>
      </c>
      <c r="E2035">
        <f t="shared" si="62"/>
        <v>1</v>
      </c>
      <c r="F2035">
        <f t="shared" si="63"/>
        <v>0</v>
      </c>
    </row>
    <row r="2036" spans="1:6" x14ac:dyDescent="0.35">
      <c r="A2036" s="5">
        <v>34964547</v>
      </c>
      <c r="B2036" s="6">
        <v>42944</v>
      </c>
      <c r="C2036" s="7">
        <v>0.62502314814814819</v>
      </c>
      <c r="D2036" s="8">
        <v>0.63574074074074072</v>
      </c>
      <c r="E2036">
        <f t="shared" si="62"/>
        <v>0</v>
      </c>
      <c r="F2036">
        <f t="shared" si="63"/>
        <v>1</v>
      </c>
    </row>
    <row r="2037" spans="1:6" x14ac:dyDescent="0.35">
      <c r="A2037" s="9">
        <v>9357185</v>
      </c>
      <c r="B2037" s="10">
        <v>42947</v>
      </c>
      <c r="C2037" s="11">
        <v>0.3342013888888889</v>
      </c>
      <c r="D2037" s="12">
        <v>0.34159722222222222</v>
      </c>
      <c r="E2037">
        <f t="shared" si="62"/>
        <v>1</v>
      </c>
      <c r="F2037">
        <f t="shared" si="63"/>
        <v>0</v>
      </c>
    </row>
    <row r="2038" spans="1:6" x14ac:dyDescent="0.35">
      <c r="A2038" s="5">
        <v>12471534</v>
      </c>
      <c r="B2038" s="6">
        <v>42947</v>
      </c>
      <c r="C2038" s="7">
        <v>0.33929398148148149</v>
      </c>
      <c r="D2038" s="8">
        <v>0.34349537037037037</v>
      </c>
      <c r="E2038">
        <f t="shared" si="62"/>
        <v>0</v>
      </c>
      <c r="F2038">
        <f t="shared" si="63"/>
        <v>1</v>
      </c>
    </row>
    <row r="2039" spans="1:6" x14ac:dyDescent="0.35">
      <c r="A2039" s="9">
        <v>1003402</v>
      </c>
      <c r="B2039" s="10">
        <v>42947</v>
      </c>
      <c r="C2039" s="11">
        <v>0.34378472222222223</v>
      </c>
      <c r="D2039" s="12">
        <v>0.34677083333333331</v>
      </c>
      <c r="E2039">
        <f t="shared" si="62"/>
        <v>1</v>
      </c>
      <c r="F2039">
        <f t="shared" si="63"/>
        <v>0</v>
      </c>
    </row>
    <row r="2040" spans="1:6" x14ac:dyDescent="0.35">
      <c r="A2040" s="5">
        <v>4509550</v>
      </c>
      <c r="B2040" s="6">
        <v>42947</v>
      </c>
      <c r="C2040" s="7">
        <v>0.34609953703703705</v>
      </c>
      <c r="D2040" s="8">
        <v>0.35118055555555555</v>
      </c>
      <c r="E2040">
        <f t="shared" si="62"/>
        <v>1</v>
      </c>
      <c r="F2040">
        <f t="shared" si="63"/>
        <v>0</v>
      </c>
    </row>
    <row r="2041" spans="1:6" x14ac:dyDescent="0.35">
      <c r="A2041" s="9">
        <v>5356824</v>
      </c>
      <c r="B2041" s="10">
        <v>42947</v>
      </c>
      <c r="C2041" s="11">
        <v>0.35167824074074072</v>
      </c>
      <c r="D2041" s="12">
        <v>0.35538194444444443</v>
      </c>
      <c r="E2041">
        <f t="shared" si="62"/>
        <v>1</v>
      </c>
      <c r="F2041">
        <f t="shared" si="63"/>
        <v>0</v>
      </c>
    </row>
    <row r="2042" spans="1:6" x14ac:dyDescent="0.35">
      <c r="A2042" s="5">
        <v>4293872</v>
      </c>
      <c r="B2042" s="6">
        <v>42947</v>
      </c>
      <c r="C2042" s="7">
        <v>0.35333333333333333</v>
      </c>
      <c r="D2042" s="8">
        <v>0.35844907407407406</v>
      </c>
      <c r="E2042">
        <f t="shared" si="62"/>
        <v>1</v>
      </c>
      <c r="F2042">
        <f t="shared" si="63"/>
        <v>0</v>
      </c>
    </row>
    <row r="2043" spans="1:6" x14ac:dyDescent="0.35">
      <c r="A2043" s="9">
        <v>5086182</v>
      </c>
      <c r="B2043" s="10">
        <v>42947</v>
      </c>
      <c r="C2043" s="11">
        <v>0.35793981481481479</v>
      </c>
      <c r="D2043" s="12">
        <v>0.36571759259259257</v>
      </c>
      <c r="E2043">
        <f t="shared" si="62"/>
        <v>1</v>
      </c>
      <c r="F2043">
        <f t="shared" si="63"/>
        <v>0</v>
      </c>
    </row>
    <row r="2044" spans="1:6" x14ac:dyDescent="0.35">
      <c r="A2044" s="5">
        <v>6175467</v>
      </c>
      <c r="B2044" s="6">
        <v>42947</v>
      </c>
      <c r="C2044" s="7">
        <v>0.35976851851851854</v>
      </c>
      <c r="D2044" s="8">
        <v>0.36883101851851852</v>
      </c>
      <c r="E2044">
        <f t="shared" si="62"/>
        <v>1</v>
      </c>
      <c r="F2044">
        <f t="shared" si="63"/>
        <v>0</v>
      </c>
    </row>
    <row r="2045" spans="1:6" x14ac:dyDescent="0.35">
      <c r="A2045" s="9">
        <v>2107985</v>
      </c>
      <c r="B2045" s="10">
        <v>42947</v>
      </c>
      <c r="C2045" s="11">
        <v>0.36394675925925923</v>
      </c>
      <c r="D2045" s="12">
        <v>0.37373842592592593</v>
      </c>
      <c r="E2045">
        <f t="shared" si="62"/>
        <v>1</v>
      </c>
      <c r="F2045">
        <f t="shared" si="63"/>
        <v>0</v>
      </c>
    </row>
    <row r="2046" spans="1:6" x14ac:dyDescent="0.35">
      <c r="A2046" s="5">
        <v>9388066</v>
      </c>
      <c r="B2046" s="6">
        <v>42947</v>
      </c>
      <c r="C2046" s="7">
        <v>0.36552083333333335</v>
      </c>
      <c r="D2046" s="8">
        <v>0.3696990740740741</v>
      </c>
      <c r="E2046">
        <f t="shared" si="62"/>
        <v>1</v>
      </c>
      <c r="F2046">
        <f t="shared" si="63"/>
        <v>0</v>
      </c>
    </row>
    <row r="2047" spans="1:6" x14ac:dyDescent="0.35">
      <c r="A2047" s="9">
        <v>4614100</v>
      </c>
      <c r="B2047" s="10">
        <v>42947</v>
      </c>
      <c r="C2047" s="11">
        <v>0.36776620370370372</v>
      </c>
      <c r="D2047" s="12">
        <v>0.37584490740740739</v>
      </c>
      <c r="E2047">
        <f t="shared" si="62"/>
        <v>1</v>
      </c>
      <c r="F2047">
        <f t="shared" si="63"/>
        <v>0</v>
      </c>
    </row>
    <row r="2048" spans="1:6" x14ac:dyDescent="0.35">
      <c r="A2048" s="5">
        <v>8279741</v>
      </c>
      <c r="B2048" s="6">
        <v>42947</v>
      </c>
      <c r="C2048" s="7">
        <v>0.37170138888888887</v>
      </c>
      <c r="D2048" s="8">
        <v>0.38305555555555554</v>
      </c>
      <c r="E2048">
        <f t="shared" si="62"/>
        <v>1</v>
      </c>
      <c r="F2048">
        <f t="shared" si="63"/>
        <v>0</v>
      </c>
    </row>
    <row r="2049" spans="1:6" x14ac:dyDescent="0.35">
      <c r="A2049" s="9">
        <v>9564752674</v>
      </c>
      <c r="B2049" s="10">
        <v>42947</v>
      </c>
      <c r="C2049" s="11">
        <v>0.37239583333333331</v>
      </c>
      <c r="D2049" s="12">
        <v>0.37680555555555556</v>
      </c>
      <c r="E2049">
        <f t="shared" si="62"/>
        <v>0</v>
      </c>
      <c r="F2049">
        <f t="shared" si="63"/>
        <v>0</v>
      </c>
    </row>
    <row r="2050" spans="1:6" x14ac:dyDescent="0.35">
      <c r="A2050" s="5">
        <v>1451455</v>
      </c>
      <c r="B2050" s="6">
        <v>42947</v>
      </c>
      <c r="C2050" s="7">
        <v>0.37714120370370369</v>
      </c>
      <c r="D2050" s="8">
        <v>0.38119212962962962</v>
      </c>
      <c r="E2050">
        <f t="shared" si="62"/>
        <v>1</v>
      </c>
      <c r="F2050">
        <f t="shared" si="63"/>
        <v>0</v>
      </c>
    </row>
    <row r="2051" spans="1:6" x14ac:dyDescent="0.35">
      <c r="A2051" s="9">
        <v>8156713</v>
      </c>
      <c r="B2051" s="10">
        <v>42947</v>
      </c>
      <c r="C2051" s="11">
        <v>0.38130787037037039</v>
      </c>
      <c r="D2051" s="12">
        <v>0.38280092592592591</v>
      </c>
      <c r="E2051">
        <f t="shared" ref="E2051:E2114" si="64">IF(LEN(A2051)=7,1,0)</f>
        <v>1</v>
      </c>
      <c r="F2051">
        <f t="shared" ref="F2051:F2114" si="65">IF(LEN(A2051)=8,1,0)</f>
        <v>0</v>
      </c>
    </row>
    <row r="2052" spans="1:6" x14ac:dyDescent="0.35">
      <c r="A2052" s="5">
        <v>24024164</v>
      </c>
      <c r="B2052" s="6">
        <v>42947</v>
      </c>
      <c r="C2052" s="7">
        <v>0.38135416666666666</v>
      </c>
      <c r="D2052" s="8">
        <v>0.38210648148148146</v>
      </c>
      <c r="E2052">
        <f t="shared" si="64"/>
        <v>0</v>
      </c>
      <c r="F2052">
        <f t="shared" si="65"/>
        <v>1</v>
      </c>
    </row>
    <row r="2053" spans="1:6" x14ac:dyDescent="0.35">
      <c r="A2053" s="9">
        <v>75122204</v>
      </c>
      <c r="B2053" s="10">
        <v>42947</v>
      </c>
      <c r="C2053" s="11">
        <v>0.38641203703703703</v>
      </c>
      <c r="D2053" s="12">
        <v>0.39549768518518519</v>
      </c>
      <c r="E2053">
        <f t="shared" si="64"/>
        <v>0</v>
      </c>
      <c r="F2053">
        <f t="shared" si="65"/>
        <v>1</v>
      </c>
    </row>
    <row r="2054" spans="1:6" x14ac:dyDescent="0.35">
      <c r="A2054" s="5">
        <v>33166727</v>
      </c>
      <c r="B2054" s="6">
        <v>42947</v>
      </c>
      <c r="C2054" s="7">
        <v>0.38927083333333334</v>
      </c>
      <c r="D2054" s="8">
        <v>0.39721064814814816</v>
      </c>
      <c r="E2054">
        <f t="shared" si="64"/>
        <v>0</v>
      </c>
      <c r="F2054">
        <f t="shared" si="65"/>
        <v>1</v>
      </c>
    </row>
    <row r="2055" spans="1:6" x14ac:dyDescent="0.35">
      <c r="A2055" s="9">
        <v>4293872</v>
      </c>
      <c r="B2055" s="10">
        <v>42947</v>
      </c>
      <c r="C2055" s="11">
        <v>0.39023148148148146</v>
      </c>
      <c r="D2055" s="12">
        <v>0.39748842592592593</v>
      </c>
      <c r="E2055">
        <f t="shared" si="64"/>
        <v>1</v>
      </c>
      <c r="F2055">
        <f t="shared" si="65"/>
        <v>0</v>
      </c>
    </row>
    <row r="2056" spans="1:6" x14ac:dyDescent="0.35">
      <c r="A2056" s="5">
        <v>3017523</v>
      </c>
      <c r="B2056" s="6">
        <v>42947</v>
      </c>
      <c r="C2056" s="7">
        <v>0.3934259259259259</v>
      </c>
      <c r="D2056" s="8">
        <v>0.40181712962962962</v>
      </c>
      <c r="E2056">
        <f t="shared" si="64"/>
        <v>1</v>
      </c>
      <c r="F2056">
        <f t="shared" si="65"/>
        <v>0</v>
      </c>
    </row>
    <row r="2057" spans="1:6" x14ac:dyDescent="0.35">
      <c r="A2057" s="9">
        <v>5087484</v>
      </c>
      <c r="B2057" s="10">
        <v>42947</v>
      </c>
      <c r="C2057" s="11">
        <v>0.39766203703703706</v>
      </c>
      <c r="D2057" s="12">
        <v>0.39957175925925925</v>
      </c>
      <c r="E2057">
        <f t="shared" si="64"/>
        <v>1</v>
      </c>
      <c r="F2057">
        <f t="shared" si="65"/>
        <v>0</v>
      </c>
    </row>
    <row r="2058" spans="1:6" x14ac:dyDescent="0.35">
      <c r="A2058" s="5">
        <v>47615054</v>
      </c>
      <c r="B2058" s="6">
        <v>42947</v>
      </c>
      <c r="C2058" s="7">
        <v>0.39878472222222222</v>
      </c>
      <c r="D2058" s="8">
        <v>0.40041666666666664</v>
      </c>
      <c r="E2058">
        <f t="shared" si="64"/>
        <v>0</v>
      </c>
      <c r="F2058">
        <f t="shared" si="65"/>
        <v>1</v>
      </c>
    </row>
    <row r="2059" spans="1:6" x14ac:dyDescent="0.35">
      <c r="A2059" s="9">
        <v>7775602353</v>
      </c>
      <c r="B2059" s="10">
        <v>42947</v>
      </c>
      <c r="C2059" s="11">
        <v>0.40313657407407405</v>
      </c>
      <c r="D2059" s="12">
        <v>0.40773148148148147</v>
      </c>
      <c r="E2059">
        <f t="shared" si="64"/>
        <v>0</v>
      </c>
      <c r="F2059">
        <f t="shared" si="65"/>
        <v>0</v>
      </c>
    </row>
    <row r="2060" spans="1:6" x14ac:dyDescent="0.35">
      <c r="A2060" s="5">
        <v>9533304954</v>
      </c>
      <c r="B2060" s="6">
        <v>42947</v>
      </c>
      <c r="C2060" s="7">
        <v>0.40328703703703705</v>
      </c>
      <c r="D2060" s="8">
        <v>0.41405092592592591</v>
      </c>
      <c r="E2060">
        <f t="shared" si="64"/>
        <v>0</v>
      </c>
      <c r="F2060">
        <f t="shared" si="65"/>
        <v>0</v>
      </c>
    </row>
    <row r="2061" spans="1:6" x14ac:dyDescent="0.35">
      <c r="A2061" s="9">
        <v>5147651</v>
      </c>
      <c r="B2061" s="10">
        <v>42947</v>
      </c>
      <c r="C2061" s="11">
        <v>0.40497685185185184</v>
      </c>
      <c r="D2061" s="12">
        <v>0.41167824074074072</v>
      </c>
      <c r="E2061">
        <f t="shared" si="64"/>
        <v>1</v>
      </c>
      <c r="F2061">
        <f t="shared" si="65"/>
        <v>0</v>
      </c>
    </row>
    <row r="2062" spans="1:6" x14ac:dyDescent="0.35">
      <c r="A2062" s="5">
        <v>7564861</v>
      </c>
      <c r="B2062" s="6">
        <v>42947</v>
      </c>
      <c r="C2062" s="7">
        <v>0.40725694444444444</v>
      </c>
      <c r="D2062" s="8">
        <v>0.41819444444444442</v>
      </c>
      <c r="E2062">
        <f t="shared" si="64"/>
        <v>1</v>
      </c>
      <c r="F2062">
        <f t="shared" si="65"/>
        <v>0</v>
      </c>
    </row>
    <row r="2063" spans="1:6" x14ac:dyDescent="0.35">
      <c r="A2063" s="9">
        <v>8163790</v>
      </c>
      <c r="B2063" s="10">
        <v>42947</v>
      </c>
      <c r="C2063" s="11">
        <v>0.40787037037037038</v>
      </c>
      <c r="D2063" s="12">
        <v>0.40846064814814814</v>
      </c>
      <c r="E2063">
        <f t="shared" si="64"/>
        <v>1</v>
      </c>
      <c r="F2063">
        <f t="shared" si="65"/>
        <v>0</v>
      </c>
    </row>
    <row r="2064" spans="1:6" x14ac:dyDescent="0.35">
      <c r="A2064" s="5">
        <v>37930610</v>
      </c>
      <c r="B2064" s="6">
        <v>42947</v>
      </c>
      <c r="C2064" s="7">
        <v>0.41334490740740742</v>
      </c>
      <c r="D2064" s="8">
        <v>0.4239236111111111</v>
      </c>
      <c r="E2064">
        <f t="shared" si="64"/>
        <v>0</v>
      </c>
      <c r="F2064">
        <f t="shared" si="65"/>
        <v>1</v>
      </c>
    </row>
    <row r="2065" spans="1:6" x14ac:dyDescent="0.35">
      <c r="A2065" s="9">
        <v>7518300</v>
      </c>
      <c r="B2065" s="10">
        <v>42947</v>
      </c>
      <c r="C2065" s="11">
        <v>0.41337962962962965</v>
      </c>
      <c r="D2065" s="12">
        <v>0.41743055555555558</v>
      </c>
      <c r="E2065">
        <f t="shared" si="64"/>
        <v>1</v>
      </c>
      <c r="F2065">
        <f t="shared" si="65"/>
        <v>0</v>
      </c>
    </row>
    <row r="2066" spans="1:6" x14ac:dyDescent="0.35">
      <c r="A2066" s="5">
        <v>9233918039</v>
      </c>
      <c r="B2066" s="6">
        <v>42947</v>
      </c>
      <c r="C2066" s="7">
        <v>0.41523148148148148</v>
      </c>
      <c r="D2066" s="8">
        <v>0.42322916666666666</v>
      </c>
      <c r="E2066">
        <f t="shared" si="64"/>
        <v>0</v>
      </c>
      <c r="F2066">
        <f t="shared" si="65"/>
        <v>0</v>
      </c>
    </row>
    <row r="2067" spans="1:6" x14ac:dyDescent="0.35">
      <c r="A2067" s="9">
        <v>5744555</v>
      </c>
      <c r="B2067" s="10">
        <v>42947</v>
      </c>
      <c r="C2067" s="11">
        <v>0.41841435185185183</v>
      </c>
      <c r="D2067" s="12">
        <v>0.42677083333333332</v>
      </c>
      <c r="E2067">
        <f t="shared" si="64"/>
        <v>1</v>
      </c>
      <c r="F2067">
        <f t="shared" si="65"/>
        <v>0</v>
      </c>
    </row>
    <row r="2068" spans="1:6" x14ac:dyDescent="0.35">
      <c r="A2068" s="5">
        <v>17005785</v>
      </c>
      <c r="B2068" s="6">
        <v>42947</v>
      </c>
      <c r="C2068" s="7">
        <v>0.41873842592592592</v>
      </c>
      <c r="D2068" s="8">
        <v>0.42502314814814812</v>
      </c>
      <c r="E2068">
        <f t="shared" si="64"/>
        <v>0</v>
      </c>
      <c r="F2068">
        <f t="shared" si="65"/>
        <v>1</v>
      </c>
    </row>
    <row r="2069" spans="1:6" x14ac:dyDescent="0.35">
      <c r="A2069" s="9">
        <v>35281950</v>
      </c>
      <c r="B2069" s="10">
        <v>42947</v>
      </c>
      <c r="C2069" s="11">
        <v>0.41952546296296295</v>
      </c>
      <c r="D2069" s="12">
        <v>0.42105324074074074</v>
      </c>
      <c r="E2069">
        <f t="shared" si="64"/>
        <v>0</v>
      </c>
      <c r="F2069">
        <f t="shared" si="65"/>
        <v>1</v>
      </c>
    </row>
    <row r="2070" spans="1:6" x14ac:dyDescent="0.35">
      <c r="A2070" s="5">
        <v>54840810</v>
      </c>
      <c r="B2070" s="6">
        <v>42947</v>
      </c>
      <c r="C2070" s="7">
        <v>0.4211111111111111</v>
      </c>
      <c r="D2070" s="8">
        <v>0.42442129629629627</v>
      </c>
      <c r="E2070">
        <f t="shared" si="64"/>
        <v>0</v>
      </c>
      <c r="F2070">
        <f t="shared" si="65"/>
        <v>1</v>
      </c>
    </row>
    <row r="2071" spans="1:6" x14ac:dyDescent="0.35">
      <c r="A2071" s="9">
        <v>3236046</v>
      </c>
      <c r="B2071" s="10">
        <v>42947</v>
      </c>
      <c r="C2071" s="11">
        <v>0.42247685185185185</v>
      </c>
      <c r="D2071" s="12">
        <v>0.4268865740740741</v>
      </c>
      <c r="E2071">
        <f t="shared" si="64"/>
        <v>1</v>
      </c>
      <c r="F2071">
        <f t="shared" si="65"/>
        <v>0</v>
      </c>
    </row>
    <row r="2072" spans="1:6" x14ac:dyDescent="0.35">
      <c r="A2072" s="5">
        <v>20149106</v>
      </c>
      <c r="B2072" s="6">
        <v>42947</v>
      </c>
      <c r="C2072" s="7">
        <v>0.42586805555555557</v>
      </c>
      <c r="D2072" s="8">
        <v>0.42711805555555554</v>
      </c>
      <c r="E2072">
        <f t="shared" si="64"/>
        <v>0</v>
      </c>
      <c r="F2072">
        <f t="shared" si="65"/>
        <v>1</v>
      </c>
    </row>
    <row r="2073" spans="1:6" x14ac:dyDescent="0.35">
      <c r="A2073" s="9">
        <v>6124638</v>
      </c>
      <c r="B2073" s="10">
        <v>42947</v>
      </c>
      <c r="C2073" s="11">
        <v>0.43162037037037038</v>
      </c>
      <c r="D2073" s="12">
        <v>0.44153935185185184</v>
      </c>
      <c r="E2073">
        <f t="shared" si="64"/>
        <v>1</v>
      </c>
      <c r="F2073">
        <f t="shared" si="65"/>
        <v>0</v>
      </c>
    </row>
    <row r="2074" spans="1:6" x14ac:dyDescent="0.35">
      <c r="A2074" s="5">
        <v>1090396060</v>
      </c>
      <c r="B2074" s="6">
        <v>42947</v>
      </c>
      <c r="C2074" s="7">
        <v>0.43663194444444442</v>
      </c>
      <c r="D2074" s="8">
        <v>0.43993055555555555</v>
      </c>
      <c r="E2074">
        <f t="shared" si="64"/>
        <v>0</v>
      </c>
      <c r="F2074">
        <f t="shared" si="65"/>
        <v>0</v>
      </c>
    </row>
    <row r="2075" spans="1:6" x14ac:dyDescent="0.35">
      <c r="A2075" s="9">
        <v>9355422</v>
      </c>
      <c r="B2075" s="10">
        <v>42947</v>
      </c>
      <c r="C2075" s="11">
        <v>0.43686342592592592</v>
      </c>
      <c r="D2075" s="12">
        <v>0.44393518518518521</v>
      </c>
      <c r="E2075">
        <f t="shared" si="64"/>
        <v>1</v>
      </c>
      <c r="F2075">
        <f t="shared" si="65"/>
        <v>0</v>
      </c>
    </row>
    <row r="2076" spans="1:6" x14ac:dyDescent="0.35">
      <c r="A2076" s="5">
        <v>9950462</v>
      </c>
      <c r="B2076" s="6">
        <v>42947</v>
      </c>
      <c r="C2076" s="7">
        <v>0.44243055555555555</v>
      </c>
      <c r="D2076" s="8">
        <v>0.45349537037037035</v>
      </c>
      <c r="E2076">
        <f t="shared" si="64"/>
        <v>1</v>
      </c>
      <c r="F2076">
        <f t="shared" si="65"/>
        <v>0</v>
      </c>
    </row>
    <row r="2077" spans="1:6" x14ac:dyDescent="0.35">
      <c r="A2077" s="9">
        <v>2474506</v>
      </c>
      <c r="B2077" s="10">
        <v>42947</v>
      </c>
      <c r="C2077" s="11">
        <v>0.44802083333333331</v>
      </c>
      <c r="D2077" s="12">
        <v>0.45892361111111113</v>
      </c>
      <c r="E2077">
        <f t="shared" si="64"/>
        <v>1</v>
      </c>
      <c r="F2077">
        <f t="shared" si="65"/>
        <v>0</v>
      </c>
    </row>
    <row r="2078" spans="1:6" x14ac:dyDescent="0.35">
      <c r="A2078" s="5">
        <v>2462682</v>
      </c>
      <c r="B2078" s="6">
        <v>42947</v>
      </c>
      <c r="C2078" s="7">
        <v>0.45243055555555556</v>
      </c>
      <c r="D2078" s="8">
        <v>0.45275462962962965</v>
      </c>
      <c r="E2078">
        <f t="shared" si="64"/>
        <v>1</v>
      </c>
      <c r="F2078">
        <f t="shared" si="65"/>
        <v>0</v>
      </c>
    </row>
    <row r="2079" spans="1:6" x14ac:dyDescent="0.35">
      <c r="A2079" s="9">
        <v>8159788</v>
      </c>
      <c r="B2079" s="10">
        <v>42947</v>
      </c>
      <c r="C2079" s="11">
        <v>0.45399305555555558</v>
      </c>
      <c r="D2079" s="12">
        <v>0.46392361111111113</v>
      </c>
      <c r="E2079">
        <f t="shared" si="64"/>
        <v>1</v>
      </c>
      <c r="F2079">
        <f t="shared" si="65"/>
        <v>0</v>
      </c>
    </row>
    <row r="2080" spans="1:6" x14ac:dyDescent="0.35">
      <c r="A2080" s="5">
        <v>8802222</v>
      </c>
      <c r="B2080" s="6">
        <v>42947</v>
      </c>
      <c r="C2080" s="7">
        <v>0.4572222222222222</v>
      </c>
      <c r="D2080" s="8">
        <v>0.45910879629629631</v>
      </c>
      <c r="E2080">
        <f t="shared" si="64"/>
        <v>1</v>
      </c>
      <c r="F2080">
        <f t="shared" si="65"/>
        <v>0</v>
      </c>
    </row>
    <row r="2081" spans="1:6" x14ac:dyDescent="0.35">
      <c r="A2081" s="9">
        <v>6384230</v>
      </c>
      <c r="B2081" s="10">
        <v>42947</v>
      </c>
      <c r="C2081" s="11">
        <v>0.45846064814814813</v>
      </c>
      <c r="D2081" s="12">
        <v>0.46900462962962963</v>
      </c>
      <c r="E2081">
        <f t="shared" si="64"/>
        <v>1</v>
      </c>
      <c r="F2081">
        <f t="shared" si="65"/>
        <v>0</v>
      </c>
    </row>
    <row r="2082" spans="1:6" x14ac:dyDescent="0.35">
      <c r="A2082" s="5">
        <v>48676568</v>
      </c>
      <c r="B2082" s="6">
        <v>42947</v>
      </c>
      <c r="C2082" s="7">
        <v>0.45945601851851853</v>
      </c>
      <c r="D2082" s="8">
        <v>0.46525462962962966</v>
      </c>
      <c r="E2082">
        <f t="shared" si="64"/>
        <v>0</v>
      </c>
      <c r="F2082">
        <f t="shared" si="65"/>
        <v>1</v>
      </c>
    </row>
    <row r="2083" spans="1:6" x14ac:dyDescent="0.35">
      <c r="A2083" s="9">
        <v>3691457</v>
      </c>
      <c r="B2083" s="10">
        <v>42947</v>
      </c>
      <c r="C2083" s="11">
        <v>0.46119212962962963</v>
      </c>
      <c r="D2083" s="12">
        <v>0.4725347222222222</v>
      </c>
      <c r="E2083">
        <f t="shared" si="64"/>
        <v>1</v>
      </c>
      <c r="F2083">
        <f t="shared" si="65"/>
        <v>0</v>
      </c>
    </row>
    <row r="2084" spans="1:6" x14ac:dyDescent="0.35">
      <c r="A2084" s="5">
        <v>3263854</v>
      </c>
      <c r="B2084" s="6">
        <v>42947</v>
      </c>
      <c r="C2084" s="7">
        <v>0.46311342592592591</v>
      </c>
      <c r="D2084" s="8">
        <v>0.46394675925925927</v>
      </c>
      <c r="E2084">
        <f t="shared" si="64"/>
        <v>1</v>
      </c>
      <c r="F2084">
        <f t="shared" si="65"/>
        <v>0</v>
      </c>
    </row>
    <row r="2085" spans="1:6" x14ac:dyDescent="0.35">
      <c r="A2085" s="9">
        <v>8489588</v>
      </c>
      <c r="B2085" s="10">
        <v>42947</v>
      </c>
      <c r="C2085" s="11">
        <v>0.46803240740740742</v>
      </c>
      <c r="D2085" s="12">
        <v>0.47423611111111114</v>
      </c>
      <c r="E2085">
        <f t="shared" si="64"/>
        <v>1</v>
      </c>
      <c r="F2085">
        <f t="shared" si="65"/>
        <v>0</v>
      </c>
    </row>
    <row r="2086" spans="1:6" x14ac:dyDescent="0.35">
      <c r="A2086" s="5">
        <v>57211290</v>
      </c>
      <c r="B2086" s="6">
        <v>42947</v>
      </c>
      <c r="C2086" s="7">
        <v>0.46987268518518521</v>
      </c>
      <c r="D2086" s="8">
        <v>0.47664351851851849</v>
      </c>
      <c r="E2086">
        <f t="shared" si="64"/>
        <v>0</v>
      </c>
      <c r="F2086">
        <f t="shared" si="65"/>
        <v>1</v>
      </c>
    </row>
    <row r="2087" spans="1:6" x14ac:dyDescent="0.35">
      <c r="A2087" s="9">
        <v>67748426</v>
      </c>
      <c r="B2087" s="10">
        <v>42947</v>
      </c>
      <c r="C2087" s="11">
        <v>0.47158564814814813</v>
      </c>
      <c r="D2087" s="12">
        <v>0.47471064814814817</v>
      </c>
      <c r="E2087">
        <f t="shared" si="64"/>
        <v>0</v>
      </c>
      <c r="F2087">
        <f t="shared" si="65"/>
        <v>1</v>
      </c>
    </row>
    <row r="2088" spans="1:6" x14ac:dyDescent="0.35">
      <c r="A2088" s="5">
        <v>7225111</v>
      </c>
      <c r="B2088" s="6">
        <v>42947</v>
      </c>
      <c r="C2088" s="7">
        <v>0.47314814814814815</v>
      </c>
      <c r="D2088" s="8">
        <v>0.47643518518518518</v>
      </c>
      <c r="E2088">
        <f t="shared" si="64"/>
        <v>1</v>
      </c>
      <c r="F2088">
        <f t="shared" si="65"/>
        <v>0</v>
      </c>
    </row>
    <row r="2089" spans="1:6" x14ac:dyDescent="0.35">
      <c r="A2089" s="9">
        <v>5418543</v>
      </c>
      <c r="B2089" s="10">
        <v>42947</v>
      </c>
      <c r="C2089" s="11">
        <v>0.47315972222222225</v>
      </c>
      <c r="D2089" s="12">
        <v>0.47687499999999999</v>
      </c>
      <c r="E2089">
        <f t="shared" si="64"/>
        <v>1</v>
      </c>
      <c r="F2089">
        <f t="shared" si="65"/>
        <v>0</v>
      </c>
    </row>
    <row r="2090" spans="1:6" x14ac:dyDescent="0.35">
      <c r="A2090" s="5">
        <v>6439414</v>
      </c>
      <c r="B2090" s="6">
        <v>42947</v>
      </c>
      <c r="C2090" s="7">
        <v>0.47349537037037037</v>
      </c>
      <c r="D2090" s="8">
        <v>0.47881944444444446</v>
      </c>
      <c r="E2090">
        <f t="shared" si="64"/>
        <v>1</v>
      </c>
      <c r="F2090">
        <f t="shared" si="65"/>
        <v>0</v>
      </c>
    </row>
    <row r="2091" spans="1:6" x14ac:dyDescent="0.35">
      <c r="A2091" s="9">
        <v>3478173</v>
      </c>
      <c r="B2091" s="10">
        <v>42947</v>
      </c>
      <c r="C2091" s="11">
        <v>0.47357638888888887</v>
      </c>
      <c r="D2091" s="12">
        <v>0.47564814814814815</v>
      </c>
      <c r="E2091">
        <f t="shared" si="64"/>
        <v>1</v>
      </c>
      <c r="F2091">
        <f t="shared" si="65"/>
        <v>0</v>
      </c>
    </row>
    <row r="2092" spans="1:6" x14ac:dyDescent="0.35">
      <c r="A2092" s="5">
        <v>3691457</v>
      </c>
      <c r="B2092" s="6">
        <v>42947</v>
      </c>
      <c r="C2092" s="7">
        <v>0.47366898148148145</v>
      </c>
      <c r="D2092" s="8">
        <v>0.48020833333333335</v>
      </c>
      <c r="E2092">
        <f t="shared" si="64"/>
        <v>1</v>
      </c>
      <c r="F2092">
        <f t="shared" si="65"/>
        <v>0</v>
      </c>
    </row>
    <row r="2093" spans="1:6" x14ac:dyDescent="0.35">
      <c r="A2093" s="9">
        <v>6717763</v>
      </c>
      <c r="B2093" s="10">
        <v>42947</v>
      </c>
      <c r="C2093" s="11">
        <v>0.47851851851851851</v>
      </c>
      <c r="D2093" s="12">
        <v>0.48517361111111112</v>
      </c>
      <c r="E2093">
        <f t="shared" si="64"/>
        <v>1</v>
      </c>
      <c r="F2093">
        <f t="shared" si="65"/>
        <v>0</v>
      </c>
    </row>
    <row r="2094" spans="1:6" x14ac:dyDescent="0.35">
      <c r="A2094" s="5">
        <v>61228399</v>
      </c>
      <c r="B2094" s="6">
        <v>42947</v>
      </c>
      <c r="C2094" s="7">
        <v>0.48053240740740738</v>
      </c>
      <c r="D2094" s="8">
        <v>0.48828703703703702</v>
      </c>
      <c r="E2094">
        <f t="shared" si="64"/>
        <v>0</v>
      </c>
      <c r="F2094">
        <f t="shared" si="65"/>
        <v>1</v>
      </c>
    </row>
    <row r="2095" spans="1:6" x14ac:dyDescent="0.35">
      <c r="A2095" s="9">
        <v>9282166</v>
      </c>
      <c r="B2095" s="10">
        <v>42947</v>
      </c>
      <c r="C2095" s="11">
        <v>0.48141203703703705</v>
      </c>
      <c r="D2095" s="12">
        <v>0.49063657407407407</v>
      </c>
      <c r="E2095">
        <f t="shared" si="64"/>
        <v>1</v>
      </c>
      <c r="F2095">
        <f t="shared" si="65"/>
        <v>0</v>
      </c>
    </row>
    <row r="2096" spans="1:6" x14ac:dyDescent="0.35">
      <c r="A2096" s="5">
        <v>6426246</v>
      </c>
      <c r="B2096" s="6">
        <v>42947</v>
      </c>
      <c r="C2096" s="7">
        <v>0.48174768518518518</v>
      </c>
      <c r="D2096" s="8">
        <v>0.48682870370370368</v>
      </c>
      <c r="E2096">
        <f t="shared" si="64"/>
        <v>1</v>
      </c>
      <c r="F2096">
        <f t="shared" si="65"/>
        <v>0</v>
      </c>
    </row>
    <row r="2097" spans="1:6" x14ac:dyDescent="0.35">
      <c r="A2097" s="9">
        <v>8585321</v>
      </c>
      <c r="B2097" s="10">
        <v>42947</v>
      </c>
      <c r="C2097" s="11">
        <v>0.48424768518518518</v>
      </c>
      <c r="D2097" s="12">
        <v>0.48873842592592592</v>
      </c>
      <c r="E2097">
        <f t="shared" si="64"/>
        <v>1</v>
      </c>
      <c r="F2097">
        <f t="shared" si="65"/>
        <v>0</v>
      </c>
    </row>
    <row r="2098" spans="1:6" x14ac:dyDescent="0.35">
      <c r="A2098" s="5">
        <v>9791237</v>
      </c>
      <c r="B2098" s="6">
        <v>42947</v>
      </c>
      <c r="C2098" s="7">
        <v>0.48635416666666664</v>
      </c>
      <c r="D2098" s="8">
        <v>0.49025462962962962</v>
      </c>
      <c r="E2098">
        <f t="shared" si="64"/>
        <v>1</v>
      </c>
      <c r="F2098">
        <f t="shared" si="65"/>
        <v>0</v>
      </c>
    </row>
    <row r="2099" spans="1:6" x14ac:dyDescent="0.35">
      <c r="A2099" s="9">
        <v>1830251</v>
      </c>
      <c r="B2099" s="10">
        <v>42947</v>
      </c>
      <c r="C2099" s="11">
        <v>0.48893518518518519</v>
      </c>
      <c r="D2099" s="12">
        <v>0.49787037037037035</v>
      </c>
      <c r="E2099">
        <f t="shared" si="64"/>
        <v>1</v>
      </c>
      <c r="F2099">
        <f t="shared" si="65"/>
        <v>0</v>
      </c>
    </row>
    <row r="2100" spans="1:6" x14ac:dyDescent="0.35">
      <c r="A2100" s="5">
        <v>42603700</v>
      </c>
      <c r="B2100" s="6">
        <v>42947</v>
      </c>
      <c r="C2100" s="7">
        <v>0.49409722222222224</v>
      </c>
      <c r="D2100" s="8">
        <v>0.50521990740740741</v>
      </c>
      <c r="E2100">
        <f t="shared" si="64"/>
        <v>0</v>
      </c>
      <c r="F2100">
        <f t="shared" si="65"/>
        <v>1</v>
      </c>
    </row>
    <row r="2101" spans="1:6" x14ac:dyDescent="0.35">
      <c r="A2101" s="9">
        <v>3983714</v>
      </c>
      <c r="B2101" s="10">
        <v>42947</v>
      </c>
      <c r="C2101" s="11">
        <v>0.49849537037037039</v>
      </c>
      <c r="D2101" s="12">
        <v>0.5092592592592593</v>
      </c>
      <c r="E2101">
        <f t="shared" si="64"/>
        <v>1</v>
      </c>
      <c r="F2101">
        <f t="shared" si="65"/>
        <v>0</v>
      </c>
    </row>
    <row r="2102" spans="1:6" x14ac:dyDescent="0.35">
      <c r="A2102" s="5">
        <v>4520226</v>
      </c>
      <c r="B2102" s="6">
        <v>42947</v>
      </c>
      <c r="C2102" s="7">
        <v>0.49903935185185183</v>
      </c>
      <c r="D2102" s="8">
        <v>0.51059027777777777</v>
      </c>
      <c r="E2102">
        <f t="shared" si="64"/>
        <v>1</v>
      </c>
      <c r="F2102">
        <f t="shared" si="65"/>
        <v>0</v>
      </c>
    </row>
    <row r="2103" spans="1:6" x14ac:dyDescent="0.35">
      <c r="A2103" s="9">
        <v>6999348</v>
      </c>
      <c r="B2103" s="10">
        <v>42947</v>
      </c>
      <c r="C2103" s="11">
        <v>0.50065972222222221</v>
      </c>
      <c r="D2103" s="12">
        <v>0.50898148148148148</v>
      </c>
      <c r="E2103">
        <f t="shared" si="64"/>
        <v>1</v>
      </c>
      <c r="F2103">
        <f t="shared" si="65"/>
        <v>0</v>
      </c>
    </row>
    <row r="2104" spans="1:6" x14ac:dyDescent="0.35">
      <c r="A2104" s="5">
        <v>3767866</v>
      </c>
      <c r="B2104" s="6">
        <v>42947</v>
      </c>
      <c r="C2104" s="7">
        <v>0.5040972222222222</v>
      </c>
      <c r="D2104" s="8">
        <v>0.50971064814814815</v>
      </c>
      <c r="E2104">
        <f t="shared" si="64"/>
        <v>1</v>
      </c>
      <c r="F2104">
        <f t="shared" si="65"/>
        <v>0</v>
      </c>
    </row>
    <row r="2105" spans="1:6" x14ac:dyDescent="0.35">
      <c r="A2105" s="9">
        <v>49342013</v>
      </c>
      <c r="B2105" s="10">
        <v>42947</v>
      </c>
      <c r="C2105" s="11">
        <v>0.50410879629629635</v>
      </c>
      <c r="D2105" s="12">
        <v>0.50539351851851855</v>
      </c>
      <c r="E2105">
        <f t="shared" si="64"/>
        <v>0</v>
      </c>
      <c r="F2105">
        <f t="shared" si="65"/>
        <v>1</v>
      </c>
    </row>
    <row r="2106" spans="1:6" x14ac:dyDescent="0.35">
      <c r="A2106" s="5">
        <v>6051341</v>
      </c>
      <c r="B2106" s="6">
        <v>42947</v>
      </c>
      <c r="C2106" s="7">
        <v>0.50980324074074079</v>
      </c>
      <c r="D2106" s="8">
        <v>0.51123842592592594</v>
      </c>
      <c r="E2106">
        <f t="shared" si="64"/>
        <v>1</v>
      </c>
      <c r="F2106">
        <f t="shared" si="65"/>
        <v>0</v>
      </c>
    </row>
    <row r="2107" spans="1:6" x14ac:dyDescent="0.35">
      <c r="A2107" s="9">
        <v>4326245</v>
      </c>
      <c r="B2107" s="10">
        <v>42947</v>
      </c>
      <c r="C2107" s="11">
        <v>0.51331018518518523</v>
      </c>
      <c r="D2107" s="12">
        <v>0.51490740740740737</v>
      </c>
      <c r="E2107">
        <f t="shared" si="64"/>
        <v>1</v>
      </c>
      <c r="F2107">
        <f t="shared" si="65"/>
        <v>0</v>
      </c>
    </row>
    <row r="2108" spans="1:6" x14ac:dyDescent="0.35">
      <c r="A2108" s="5">
        <v>5356378</v>
      </c>
      <c r="B2108" s="6">
        <v>42947</v>
      </c>
      <c r="C2108" s="7">
        <v>0.51811342592592591</v>
      </c>
      <c r="D2108" s="8">
        <v>0.51965277777777774</v>
      </c>
      <c r="E2108">
        <f t="shared" si="64"/>
        <v>1</v>
      </c>
      <c r="F2108">
        <f t="shared" si="65"/>
        <v>0</v>
      </c>
    </row>
    <row r="2109" spans="1:6" x14ac:dyDescent="0.35">
      <c r="A2109" s="9">
        <v>1302842</v>
      </c>
      <c r="B2109" s="10">
        <v>42947</v>
      </c>
      <c r="C2109" s="11">
        <v>0.52203703703703708</v>
      </c>
      <c r="D2109" s="12">
        <v>0.53162037037037035</v>
      </c>
      <c r="E2109">
        <f t="shared" si="64"/>
        <v>1</v>
      </c>
      <c r="F2109">
        <f t="shared" si="65"/>
        <v>0</v>
      </c>
    </row>
    <row r="2110" spans="1:6" x14ac:dyDescent="0.35">
      <c r="A2110" s="5">
        <v>2025194</v>
      </c>
      <c r="B2110" s="6">
        <v>42947</v>
      </c>
      <c r="C2110" s="7">
        <v>0.52238425925925924</v>
      </c>
      <c r="D2110" s="8">
        <v>0.52749999999999997</v>
      </c>
      <c r="E2110">
        <f t="shared" si="64"/>
        <v>1</v>
      </c>
      <c r="F2110">
        <f t="shared" si="65"/>
        <v>0</v>
      </c>
    </row>
    <row r="2111" spans="1:6" x14ac:dyDescent="0.35">
      <c r="A2111" s="9">
        <v>6703754</v>
      </c>
      <c r="B2111" s="10">
        <v>42947</v>
      </c>
      <c r="C2111" s="11">
        <v>0.5237384259259259</v>
      </c>
      <c r="D2111" s="12">
        <v>0.52431712962962962</v>
      </c>
      <c r="E2111">
        <f t="shared" si="64"/>
        <v>1</v>
      </c>
      <c r="F2111">
        <f t="shared" si="65"/>
        <v>0</v>
      </c>
    </row>
    <row r="2112" spans="1:6" x14ac:dyDescent="0.35">
      <c r="A2112" s="5">
        <v>86965710</v>
      </c>
      <c r="B2112" s="6">
        <v>42947</v>
      </c>
      <c r="C2112" s="7">
        <v>0.52516203703703701</v>
      </c>
      <c r="D2112" s="8">
        <v>0.52825231481481483</v>
      </c>
      <c r="E2112">
        <f t="shared" si="64"/>
        <v>0</v>
      </c>
      <c r="F2112">
        <f t="shared" si="65"/>
        <v>1</v>
      </c>
    </row>
    <row r="2113" spans="1:6" x14ac:dyDescent="0.35">
      <c r="A2113" s="9">
        <v>9797571</v>
      </c>
      <c r="B2113" s="10">
        <v>42947</v>
      </c>
      <c r="C2113" s="11">
        <v>0.53011574074074075</v>
      </c>
      <c r="D2113" s="12">
        <v>0.5342824074074074</v>
      </c>
      <c r="E2113">
        <f t="shared" si="64"/>
        <v>1</v>
      </c>
      <c r="F2113">
        <f t="shared" si="65"/>
        <v>0</v>
      </c>
    </row>
    <row r="2114" spans="1:6" x14ac:dyDescent="0.35">
      <c r="A2114" s="5">
        <v>34628061</v>
      </c>
      <c r="B2114" s="6">
        <v>42947</v>
      </c>
      <c r="C2114" s="7">
        <v>0.53206018518518516</v>
      </c>
      <c r="D2114" s="8">
        <v>0.53396990740740746</v>
      </c>
      <c r="E2114">
        <f t="shared" si="64"/>
        <v>0</v>
      </c>
      <c r="F2114">
        <f t="shared" si="65"/>
        <v>1</v>
      </c>
    </row>
    <row r="2115" spans="1:6" x14ac:dyDescent="0.35">
      <c r="A2115" s="9">
        <v>6716140</v>
      </c>
      <c r="B2115" s="10">
        <v>42947</v>
      </c>
      <c r="C2115" s="11">
        <v>0.53451388888888884</v>
      </c>
      <c r="D2115" s="12">
        <v>0.54087962962962965</v>
      </c>
      <c r="E2115">
        <f t="shared" ref="E2115:E2149" si="66">IF(LEN(A2115)=7,1,0)</f>
        <v>1</v>
      </c>
      <c r="F2115">
        <f t="shared" ref="F2115:F2149" si="67">IF(LEN(A2115)=8,1,0)</f>
        <v>0</v>
      </c>
    </row>
    <row r="2116" spans="1:6" x14ac:dyDescent="0.35">
      <c r="A2116" s="5">
        <v>9709339</v>
      </c>
      <c r="B2116" s="6">
        <v>42947</v>
      </c>
      <c r="C2116" s="7">
        <v>0.53622685185185182</v>
      </c>
      <c r="D2116" s="8">
        <v>0.54399305555555555</v>
      </c>
      <c r="E2116">
        <f t="shared" si="66"/>
        <v>1</v>
      </c>
      <c r="F2116">
        <f t="shared" si="67"/>
        <v>0</v>
      </c>
    </row>
    <row r="2117" spans="1:6" x14ac:dyDescent="0.35">
      <c r="A2117" s="9">
        <v>1331802</v>
      </c>
      <c r="B2117" s="10">
        <v>42947</v>
      </c>
      <c r="C2117" s="11">
        <v>0.5376967592592593</v>
      </c>
      <c r="D2117" s="12">
        <v>0.54113425925925929</v>
      </c>
      <c r="E2117">
        <f t="shared" si="66"/>
        <v>1</v>
      </c>
      <c r="F2117">
        <f t="shared" si="67"/>
        <v>0</v>
      </c>
    </row>
    <row r="2118" spans="1:6" x14ac:dyDescent="0.35">
      <c r="A2118" s="5">
        <v>9413315</v>
      </c>
      <c r="B2118" s="6">
        <v>42947</v>
      </c>
      <c r="C2118" s="7">
        <v>0.53961805555555553</v>
      </c>
      <c r="D2118" s="8">
        <v>0.54870370370370369</v>
      </c>
      <c r="E2118">
        <f t="shared" si="66"/>
        <v>1</v>
      </c>
      <c r="F2118">
        <f t="shared" si="67"/>
        <v>0</v>
      </c>
    </row>
    <row r="2119" spans="1:6" x14ac:dyDescent="0.35">
      <c r="A2119" s="9">
        <v>9555643</v>
      </c>
      <c r="B2119" s="10">
        <v>42947</v>
      </c>
      <c r="C2119" s="11">
        <v>0.5415740740740741</v>
      </c>
      <c r="D2119" s="12">
        <v>0.54230324074074077</v>
      </c>
      <c r="E2119">
        <f t="shared" si="66"/>
        <v>1</v>
      </c>
      <c r="F2119">
        <f t="shared" si="67"/>
        <v>0</v>
      </c>
    </row>
    <row r="2120" spans="1:6" x14ac:dyDescent="0.35">
      <c r="A2120" s="5">
        <v>4824250</v>
      </c>
      <c r="B2120" s="6">
        <v>42947</v>
      </c>
      <c r="C2120" s="7">
        <v>0.54670138888888886</v>
      </c>
      <c r="D2120" s="8">
        <v>0.55440972222222218</v>
      </c>
      <c r="E2120">
        <f t="shared" si="66"/>
        <v>1</v>
      </c>
      <c r="F2120">
        <f t="shared" si="67"/>
        <v>0</v>
      </c>
    </row>
    <row r="2121" spans="1:6" x14ac:dyDescent="0.35">
      <c r="A2121" s="9">
        <v>3931914</v>
      </c>
      <c r="B2121" s="10">
        <v>42947</v>
      </c>
      <c r="C2121" s="11">
        <v>0.55063657407407407</v>
      </c>
      <c r="D2121" s="12">
        <v>0.55451388888888886</v>
      </c>
      <c r="E2121">
        <f t="shared" si="66"/>
        <v>1</v>
      </c>
      <c r="F2121">
        <f t="shared" si="67"/>
        <v>0</v>
      </c>
    </row>
    <row r="2122" spans="1:6" x14ac:dyDescent="0.35">
      <c r="A2122" s="5">
        <v>79698655</v>
      </c>
      <c r="B2122" s="6">
        <v>42947</v>
      </c>
      <c r="C2122" s="7">
        <v>0.55182870370370374</v>
      </c>
      <c r="D2122" s="8">
        <v>0.55775462962962963</v>
      </c>
      <c r="E2122">
        <f t="shared" si="66"/>
        <v>0</v>
      </c>
      <c r="F2122">
        <f t="shared" si="67"/>
        <v>1</v>
      </c>
    </row>
    <row r="2123" spans="1:6" x14ac:dyDescent="0.35">
      <c r="A2123" s="9">
        <v>5387521845</v>
      </c>
      <c r="B2123" s="10">
        <v>42947</v>
      </c>
      <c r="C2123" s="11">
        <v>0.55717592592592591</v>
      </c>
      <c r="D2123" s="12">
        <v>0.56000000000000005</v>
      </c>
      <c r="E2123">
        <f t="shared" si="66"/>
        <v>0</v>
      </c>
      <c r="F2123">
        <f t="shared" si="67"/>
        <v>0</v>
      </c>
    </row>
    <row r="2124" spans="1:6" x14ac:dyDescent="0.35">
      <c r="A2124" s="5">
        <v>84589848</v>
      </c>
      <c r="B2124" s="6">
        <v>42947</v>
      </c>
      <c r="C2124" s="7">
        <v>0.56119212962962961</v>
      </c>
      <c r="D2124" s="8">
        <v>0.56221064814814814</v>
      </c>
      <c r="E2124">
        <f t="shared" si="66"/>
        <v>0</v>
      </c>
      <c r="F2124">
        <f t="shared" si="67"/>
        <v>1</v>
      </c>
    </row>
    <row r="2125" spans="1:6" x14ac:dyDescent="0.35">
      <c r="A2125" s="9">
        <v>1927908</v>
      </c>
      <c r="B2125" s="10">
        <v>42947</v>
      </c>
      <c r="C2125" s="11">
        <v>0.56452546296296291</v>
      </c>
      <c r="D2125" s="12">
        <v>0.5725231481481482</v>
      </c>
      <c r="E2125">
        <f t="shared" si="66"/>
        <v>1</v>
      </c>
      <c r="F2125">
        <f t="shared" si="67"/>
        <v>0</v>
      </c>
    </row>
    <row r="2126" spans="1:6" x14ac:dyDescent="0.35">
      <c r="A2126" s="5">
        <v>7975900</v>
      </c>
      <c r="B2126" s="6">
        <v>42947</v>
      </c>
      <c r="C2126" s="7">
        <v>0.56582175925925926</v>
      </c>
      <c r="D2126" s="8">
        <v>0.57314814814814818</v>
      </c>
      <c r="E2126">
        <f t="shared" si="66"/>
        <v>1</v>
      </c>
      <c r="F2126">
        <f t="shared" si="67"/>
        <v>0</v>
      </c>
    </row>
    <row r="2127" spans="1:6" x14ac:dyDescent="0.35">
      <c r="A2127" s="9">
        <v>1731500345</v>
      </c>
      <c r="B2127" s="10">
        <v>42947</v>
      </c>
      <c r="C2127" s="11">
        <v>0.56916666666666671</v>
      </c>
      <c r="D2127" s="12">
        <v>0.57851851851851854</v>
      </c>
      <c r="E2127">
        <f t="shared" si="66"/>
        <v>0</v>
      </c>
      <c r="F2127">
        <f t="shared" si="67"/>
        <v>0</v>
      </c>
    </row>
    <row r="2128" spans="1:6" x14ac:dyDescent="0.35">
      <c r="A2128" s="5">
        <v>5926011</v>
      </c>
      <c r="B2128" s="6">
        <v>42947</v>
      </c>
      <c r="C2128" s="7">
        <v>0.57268518518518519</v>
      </c>
      <c r="D2128" s="8">
        <v>0.58170138888888889</v>
      </c>
      <c r="E2128">
        <f t="shared" si="66"/>
        <v>1</v>
      </c>
      <c r="F2128">
        <f t="shared" si="67"/>
        <v>0</v>
      </c>
    </row>
    <row r="2129" spans="1:6" x14ac:dyDescent="0.35">
      <c r="A2129" s="9">
        <v>6408952</v>
      </c>
      <c r="B2129" s="10">
        <v>42947</v>
      </c>
      <c r="C2129" s="11">
        <v>0.57740740740740737</v>
      </c>
      <c r="D2129" s="12">
        <v>0.58895833333333336</v>
      </c>
      <c r="E2129">
        <f t="shared" si="66"/>
        <v>1</v>
      </c>
      <c r="F2129">
        <f t="shared" si="67"/>
        <v>0</v>
      </c>
    </row>
    <row r="2130" spans="1:6" x14ac:dyDescent="0.35">
      <c r="A2130" s="5">
        <v>53370610</v>
      </c>
      <c r="B2130" s="6">
        <v>42947</v>
      </c>
      <c r="C2130" s="7">
        <v>0.57822916666666668</v>
      </c>
      <c r="D2130" s="8">
        <v>0.57994212962962965</v>
      </c>
      <c r="E2130">
        <f t="shared" si="66"/>
        <v>0</v>
      </c>
      <c r="F2130">
        <f t="shared" si="67"/>
        <v>1</v>
      </c>
    </row>
    <row r="2131" spans="1:6" x14ac:dyDescent="0.35">
      <c r="A2131" s="9">
        <v>8060169</v>
      </c>
      <c r="B2131" s="10">
        <v>42947</v>
      </c>
      <c r="C2131" s="11">
        <v>0.57874999999999999</v>
      </c>
      <c r="D2131" s="12">
        <v>0.58307870370370374</v>
      </c>
      <c r="E2131">
        <f t="shared" si="66"/>
        <v>1</v>
      </c>
      <c r="F2131">
        <f t="shared" si="67"/>
        <v>0</v>
      </c>
    </row>
    <row r="2132" spans="1:6" x14ac:dyDescent="0.35">
      <c r="A2132" s="5">
        <v>9147613</v>
      </c>
      <c r="B2132" s="6">
        <v>42947</v>
      </c>
      <c r="C2132" s="7">
        <v>0.57952546296296292</v>
      </c>
      <c r="D2132" s="8">
        <v>0.58090277777777777</v>
      </c>
      <c r="E2132">
        <f t="shared" si="66"/>
        <v>1</v>
      </c>
      <c r="F2132">
        <f t="shared" si="67"/>
        <v>0</v>
      </c>
    </row>
    <row r="2133" spans="1:6" x14ac:dyDescent="0.35">
      <c r="A2133" s="9">
        <v>4505950</v>
      </c>
      <c r="B2133" s="10">
        <v>42947</v>
      </c>
      <c r="C2133" s="11">
        <v>0.58163194444444444</v>
      </c>
      <c r="D2133" s="12">
        <v>0.5872222222222222</v>
      </c>
      <c r="E2133">
        <f t="shared" si="66"/>
        <v>1</v>
      </c>
      <c r="F2133">
        <f t="shared" si="67"/>
        <v>0</v>
      </c>
    </row>
    <row r="2134" spans="1:6" x14ac:dyDescent="0.35">
      <c r="A2134" s="5">
        <v>3537655</v>
      </c>
      <c r="B2134" s="6">
        <v>42947</v>
      </c>
      <c r="C2134" s="7">
        <v>0.58287037037037037</v>
      </c>
      <c r="D2134" s="8">
        <v>0.58347222222222217</v>
      </c>
      <c r="E2134">
        <f t="shared" si="66"/>
        <v>1</v>
      </c>
      <c r="F2134">
        <f t="shared" si="67"/>
        <v>0</v>
      </c>
    </row>
    <row r="2135" spans="1:6" x14ac:dyDescent="0.35">
      <c r="A2135" s="9">
        <v>1583683</v>
      </c>
      <c r="B2135" s="10">
        <v>42947</v>
      </c>
      <c r="C2135" s="11">
        <v>0.58784722222222219</v>
      </c>
      <c r="D2135" s="12">
        <v>0.58940972222222221</v>
      </c>
      <c r="E2135">
        <f t="shared" si="66"/>
        <v>1</v>
      </c>
      <c r="F2135">
        <f t="shared" si="67"/>
        <v>0</v>
      </c>
    </row>
    <row r="2136" spans="1:6" x14ac:dyDescent="0.35">
      <c r="A2136" s="5">
        <v>96302157</v>
      </c>
      <c r="B2136" s="6">
        <v>42947</v>
      </c>
      <c r="C2136" s="7">
        <v>0.59052083333333338</v>
      </c>
      <c r="D2136" s="8">
        <v>0.59702546296296299</v>
      </c>
      <c r="E2136">
        <f t="shared" si="66"/>
        <v>0</v>
      </c>
      <c r="F2136">
        <f t="shared" si="67"/>
        <v>1</v>
      </c>
    </row>
    <row r="2137" spans="1:6" x14ac:dyDescent="0.35">
      <c r="A2137" s="9">
        <v>1809111</v>
      </c>
      <c r="B2137" s="10">
        <v>42947</v>
      </c>
      <c r="C2137" s="11">
        <v>0.59290509259259261</v>
      </c>
      <c r="D2137" s="12">
        <v>0.60322916666666671</v>
      </c>
      <c r="E2137">
        <f t="shared" si="66"/>
        <v>1</v>
      </c>
      <c r="F2137">
        <f t="shared" si="67"/>
        <v>0</v>
      </c>
    </row>
    <row r="2138" spans="1:6" x14ac:dyDescent="0.35">
      <c r="A2138" s="5">
        <v>8493652</v>
      </c>
      <c r="B2138" s="6">
        <v>42947</v>
      </c>
      <c r="C2138" s="7">
        <v>0.59569444444444442</v>
      </c>
      <c r="D2138" s="8">
        <v>0.60372685185185182</v>
      </c>
      <c r="E2138">
        <f t="shared" si="66"/>
        <v>1</v>
      </c>
      <c r="F2138">
        <f t="shared" si="67"/>
        <v>0</v>
      </c>
    </row>
    <row r="2139" spans="1:6" x14ac:dyDescent="0.35">
      <c r="A2139" s="9">
        <v>1026326</v>
      </c>
      <c r="B2139" s="10">
        <v>42947</v>
      </c>
      <c r="C2139" s="11">
        <v>0.59736111111111112</v>
      </c>
      <c r="D2139" s="12">
        <v>0.60046296296296298</v>
      </c>
      <c r="E2139">
        <f t="shared" si="66"/>
        <v>1</v>
      </c>
      <c r="F2139">
        <f t="shared" si="67"/>
        <v>0</v>
      </c>
    </row>
    <row r="2140" spans="1:6" x14ac:dyDescent="0.35">
      <c r="A2140" s="5">
        <v>1475165</v>
      </c>
      <c r="B2140" s="6">
        <v>42947</v>
      </c>
      <c r="C2140" s="7">
        <v>0.60197916666666662</v>
      </c>
      <c r="D2140" s="8">
        <v>0.60856481481481484</v>
      </c>
      <c r="E2140">
        <f t="shared" si="66"/>
        <v>1</v>
      </c>
      <c r="F2140">
        <f t="shared" si="67"/>
        <v>0</v>
      </c>
    </row>
    <row r="2141" spans="1:6" x14ac:dyDescent="0.35">
      <c r="A2141" s="9">
        <v>6264844</v>
      </c>
      <c r="B2141" s="10">
        <v>42947</v>
      </c>
      <c r="C2141" s="11">
        <v>0.60348379629629634</v>
      </c>
      <c r="D2141" s="12">
        <v>0.61365740740740737</v>
      </c>
      <c r="E2141">
        <f t="shared" si="66"/>
        <v>1</v>
      </c>
      <c r="F2141">
        <f t="shared" si="67"/>
        <v>0</v>
      </c>
    </row>
    <row r="2142" spans="1:6" x14ac:dyDescent="0.35">
      <c r="A2142" s="5">
        <v>9861652</v>
      </c>
      <c r="B2142" s="6">
        <v>42947</v>
      </c>
      <c r="C2142" s="7">
        <v>0.60519675925925931</v>
      </c>
      <c r="D2142" s="8">
        <v>0.61221064814814818</v>
      </c>
      <c r="E2142">
        <f t="shared" si="66"/>
        <v>1</v>
      </c>
      <c r="F2142">
        <f t="shared" si="67"/>
        <v>0</v>
      </c>
    </row>
    <row r="2143" spans="1:6" x14ac:dyDescent="0.35">
      <c r="A2143" s="9">
        <v>5446203</v>
      </c>
      <c r="B2143" s="10">
        <v>42947</v>
      </c>
      <c r="C2143" s="11">
        <v>0.60825231481481479</v>
      </c>
      <c r="D2143" s="12">
        <v>0.61048611111111106</v>
      </c>
      <c r="E2143">
        <f t="shared" si="66"/>
        <v>1</v>
      </c>
      <c r="F2143">
        <f t="shared" si="67"/>
        <v>0</v>
      </c>
    </row>
    <row r="2144" spans="1:6" x14ac:dyDescent="0.35">
      <c r="A2144" s="5">
        <v>7762020</v>
      </c>
      <c r="B2144" s="6">
        <v>42947</v>
      </c>
      <c r="C2144" s="7">
        <v>0.61159722222222224</v>
      </c>
      <c r="D2144" s="8">
        <v>0.61434027777777778</v>
      </c>
      <c r="E2144">
        <f t="shared" si="66"/>
        <v>1</v>
      </c>
      <c r="F2144">
        <f t="shared" si="67"/>
        <v>0</v>
      </c>
    </row>
    <row r="2145" spans="1:6" x14ac:dyDescent="0.35">
      <c r="A2145" s="9">
        <v>4045129075</v>
      </c>
      <c r="B2145" s="10">
        <v>42947</v>
      </c>
      <c r="C2145" s="11">
        <v>0.61328703703703702</v>
      </c>
      <c r="D2145" s="12">
        <v>0.61828703703703702</v>
      </c>
      <c r="E2145">
        <f t="shared" si="66"/>
        <v>0</v>
      </c>
      <c r="F2145">
        <f t="shared" si="67"/>
        <v>0</v>
      </c>
    </row>
    <row r="2146" spans="1:6" x14ac:dyDescent="0.35">
      <c r="A2146" s="5">
        <v>96736796</v>
      </c>
      <c r="B2146" s="6">
        <v>42947</v>
      </c>
      <c r="C2146" s="7">
        <v>0.61524305555555558</v>
      </c>
      <c r="D2146" s="8">
        <v>0.62432870370370375</v>
      </c>
      <c r="E2146">
        <f t="shared" si="66"/>
        <v>0</v>
      </c>
      <c r="F2146">
        <f t="shared" si="67"/>
        <v>1</v>
      </c>
    </row>
    <row r="2147" spans="1:6" x14ac:dyDescent="0.35">
      <c r="A2147" s="9">
        <v>1035023</v>
      </c>
      <c r="B2147" s="10">
        <v>42947</v>
      </c>
      <c r="C2147" s="11">
        <v>0.61821759259259257</v>
      </c>
      <c r="D2147" s="12">
        <v>0.62706018518518514</v>
      </c>
      <c r="E2147">
        <f t="shared" si="66"/>
        <v>1</v>
      </c>
      <c r="F2147">
        <f t="shared" si="67"/>
        <v>0</v>
      </c>
    </row>
    <row r="2148" spans="1:6" x14ac:dyDescent="0.35">
      <c r="A2148" s="5">
        <v>9941776</v>
      </c>
      <c r="B2148" s="6">
        <v>42947</v>
      </c>
      <c r="C2148" s="7">
        <v>0.62299768518518517</v>
      </c>
      <c r="D2148" s="8">
        <v>0.62311342592592589</v>
      </c>
      <c r="E2148">
        <f t="shared" si="66"/>
        <v>1</v>
      </c>
      <c r="F2148">
        <f t="shared" si="67"/>
        <v>0</v>
      </c>
    </row>
    <row r="2149" spans="1:6" x14ac:dyDescent="0.35">
      <c r="A2149" s="1">
        <v>6401011</v>
      </c>
      <c r="B2149" s="13">
        <v>42947</v>
      </c>
      <c r="C2149" s="14">
        <v>0.62693287037037038</v>
      </c>
      <c r="D2149" s="15">
        <v>0.62837962962962968</v>
      </c>
      <c r="E2149">
        <f t="shared" si="66"/>
        <v>1</v>
      </c>
      <c r="F2149">
        <f t="shared" si="67"/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33675-9DF5-473A-8819-A92EA7BC3C73}">
  <dimension ref="A1:H2149"/>
  <sheetViews>
    <sheetView workbookViewId="0">
      <selection activeCell="A62" sqref="A62"/>
    </sheetView>
  </sheetViews>
  <sheetFormatPr defaultRowHeight="14.5" x14ac:dyDescent="0.35"/>
  <cols>
    <col min="1" max="1" width="10.81640625" bestFit="1" customWidth="1"/>
    <col min="2" max="2" width="9.90625" bestFit="1" customWidth="1"/>
    <col min="3" max="3" width="12.81640625" bestFit="1" customWidth="1"/>
    <col min="4" max="4" width="13.26953125" bestFit="1" customWidth="1"/>
    <col min="5" max="5" width="20.6328125" bestFit="1" customWidth="1"/>
    <col min="6" max="6" width="21.26953125" bestFit="1" customWidth="1"/>
    <col min="8" max="8" width="13.36328125" bestFit="1" customWidth="1"/>
    <col min="9" max="9" width="9.90625" bestFit="1" customWidth="1"/>
  </cols>
  <sheetData>
    <row r="1" spans="1:8" x14ac:dyDescent="0.35">
      <c r="A1" s="2" t="s">
        <v>0</v>
      </c>
      <c r="B1" s="3" t="s">
        <v>1</v>
      </c>
      <c r="C1" s="3" t="s">
        <v>2</v>
      </c>
      <c r="D1" s="4" t="s">
        <v>3</v>
      </c>
      <c r="E1" s="16" t="s">
        <v>13</v>
      </c>
      <c r="F1" s="16" t="s">
        <v>14</v>
      </c>
    </row>
    <row r="2" spans="1:8" x14ac:dyDescent="0.35">
      <c r="A2" s="5">
        <v>3539762</v>
      </c>
      <c r="B2" s="6">
        <v>42919</v>
      </c>
      <c r="C2" s="7">
        <v>0.33673611111111112</v>
      </c>
      <c r="D2" s="8">
        <v>0.34821759259259261</v>
      </c>
      <c r="E2" s="20">
        <f>IF(F2=1,D2-C2,0)</f>
        <v>0</v>
      </c>
      <c r="F2">
        <f>IF(AND(LEN(A2)=7,LEFT(A2,2) = "12"),1,0)</f>
        <v>0</v>
      </c>
      <c r="H2">
        <f>SUM(F2:F2149)</f>
        <v>21</v>
      </c>
    </row>
    <row r="3" spans="1:8" x14ac:dyDescent="0.35">
      <c r="A3" s="9">
        <v>4546455</v>
      </c>
      <c r="B3" s="10">
        <v>42919</v>
      </c>
      <c r="C3" s="11">
        <v>0.34037037037037038</v>
      </c>
      <c r="D3" s="12">
        <v>0.34983796296296299</v>
      </c>
      <c r="E3" s="20">
        <f t="shared" ref="E3:E66" si="0">IF(F3=1,D3-C3,0)</f>
        <v>0</v>
      </c>
      <c r="F3">
        <f t="shared" ref="F3:F66" si="1">IF(AND(LEN(A3)=7,LEFT(A3,2) = "12"),1,0)</f>
        <v>0</v>
      </c>
      <c r="H3" s="20">
        <f>SUM(E2:E2149)</f>
        <v>0.13293981481481454</v>
      </c>
    </row>
    <row r="4" spans="1:8" x14ac:dyDescent="0.35">
      <c r="A4" s="5">
        <v>4546455</v>
      </c>
      <c r="B4" s="6">
        <v>42919</v>
      </c>
      <c r="C4" s="7">
        <v>0.34042824074074074</v>
      </c>
      <c r="D4" s="8">
        <v>0.35046296296296298</v>
      </c>
      <c r="E4" s="20">
        <f t="shared" si="0"/>
        <v>0</v>
      </c>
      <c r="F4">
        <f t="shared" si="1"/>
        <v>0</v>
      </c>
    </row>
    <row r="5" spans="1:8" x14ac:dyDescent="0.35">
      <c r="A5" s="9">
        <v>6900303</v>
      </c>
      <c r="B5" s="10">
        <v>42919</v>
      </c>
      <c r="C5" s="11">
        <v>0.34362268518518518</v>
      </c>
      <c r="D5" s="12">
        <v>0.3482986111111111</v>
      </c>
      <c r="E5" s="20">
        <f t="shared" si="0"/>
        <v>0</v>
      </c>
      <c r="F5">
        <f t="shared" si="1"/>
        <v>0</v>
      </c>
    </row>
    <row r="6" spans="1:8" x14ac:dyDescent="0.35">
      <c r="A6" s="5">
        <v>4250194</v>
      </c>
      <c r="B6" s="6">
        <v>42919</v>
      </c>
      <c r="C6" s="7">
        <v>0.34399305555555554</v>
      </c>
      <c r="D6" s="8">
        <v>0.34872685185185187</v>
      </c>
      <c r="E6" s="20">
        <f t="shared" si="0"/>
        <v>0</v>
      </c>
      <c r="F6">
        <f t="shared" si="1"/>
        <v>0</v>
      </c>
    </row>
    <row r="7" spans="1:8" x14ac:dyDescent="0.35">
      <c r="A7" s="9">
        <v>54586484</v>
      </c>
      <c r="B7" s="10">
        <v>42919</v>
      </c>
      <c r="C7" s="11">
        <v>0.3460185185185185</v>
      </c>
      <c r="D7" s="12">
        <v>0.34969907407407408</v>
      </c>
      <c r="E7" s="20">
        <f t="shared" si="0"/>
        <v>0</v>
      </c>
      <c r="F7">
        <f t="shared" si="1"/>
        <v>0</v>
      </c>
    </row>
    <row r="8" spans="1:8" x14ac:dyDescent="0.35">
      <c r="A8" s="5">
        <v>26204415</v>
      </c>
      <c r="B8" s="6">
        <v>42919</v>
      </c>
      <c r="C8" s="7">
        <v>0.34880787037037037</v>
      </c>
      <c r="D8" s="8">
        <v>0.35023148148148148</v>
      </c>
      <c r="E8" s="20">
        <f t="shared" si="0"/>
        <v>0</v>
      </c>
      <c r="F8">
        <f t="shared" si="1"/>
        <v>0</v>
      </c>
    </row>
    <row r="9" spans="1:8" x14ac:dyDescent="0.35">
      <c r="A9" s="9">
        <v>8596929</v>
      </c>
      <c r="B9" s="10">
        <v>42919</v>
      </c>
      <c r="C9" s="11">
        <v>0.35322916666666665</v>
      </c>
      <c r="D9" s="12">
        <v>0.35968749999999999</v>
      </c>
      <c r="E9" s="20">
        <f t="shared" si="0"/>
        <v>0</v>
      </c>
      <c r="F9">
        <f t="shared" si="1"/>
        <v>0</v>
      </c>
    </row>
    <row r="10" spans="1:8" x14ac:dyDescent="0.35">
      <c r="A10" s="5">
        <v>4546455</v>
      </c>
      <c r="B10" s="6">
        <v>42919</v>
      </c>
      <c r="C10" s="7">
        <v>0.35723379629629631</v>
      </c>
      <c r="D10" s="8">
        <v>0.36699074074074073</v>
      </c>
      <c r="E10" s="20">
        <f t="shared" si="0"/>
        <v>0</v>
      </c>
      <c r="F10">
        <f t="shared" si="1"/>
        <v>0</v>
      </c>
    </row>
    <row r="11" spans="1:8" x14ac:dyDescent="0.35">
      <c r="A11" s="9">
        <v>44937926</v>
      </c>
      <c r="B11" s="10">
        <v>42919</v>
      </c>
      <c r="C11" s="11">
        <v>0.36178240740740741</v>
      </c>
      <c r="D11" s="12">
        <v>0.37260416666666668</v>
      </c>
      <c r="E11" s="20">
        <f t="shared" si="0"/>
        <v>0</v>
      </c>
      <c r="F11">
        <f t="shared" si="1"/>
        <v>0</v>
      </c>
    </row>
    <row r="12" spans="1:8" x14ac:dyDescent="0.35">
      <c r="A12" s="5">
        <v>5816822</v>
      </c>
      <c r="B12" s="6">
        <v>42919</v>
      </c>
      <c r="C12" s="7">
        <v>0.36702546296296296</v>
      </c>
      <c r="D12" s="8">
        <v>0.37568287037037035</v>
      </c>
      <c r="E12" s="20">
        <f t="shared" si="0"/>
        <v>0</v>
      </c>
      <c r="F12">
        <f t="shared" si="1"/>
        <v>0</v>
      </c>
    </row>
    <row r="13" spans="1:8" x14ac:dyDescent="0.35">
      <c r="A13" s="9">
        <v>96191858</v>
      </c>
      <c r="B13" s="10">
        <v>42919</v>
      </c>
      <c r="C13" s="11">
        <v>0.36861111111111111</v>
      </c>
      <c r="D13" s="12">
        <v>0.37554398148148149</v>
      </c>
      <c r="E13" s="20">
        <f t="shared" si="0"/>
        <v>0</v>
      </c>
      <c r="F13">
        <f t="shared" si="1"/>
        <v>0</v>
      </c>
    </row>
    <row r="14" spans="1:8" x14ac:dyDescent="0.35">
      <c r="A14" s="5">
        <v>47261256</v>
      </c>
      <c r="B14" s="6">
        <v>42919</v>
      </c>
      <c r="C14" s="7">
        <v>0.37017361111111113</v>
      </c>
      <c r="D14" s="8">
        <v>0.37328703703703703</v>
      </c>
      <c r="E14" s="20">
        <f t="shared" si="0"/>
        <v>0</v>
      </c>
      <c r="F14">
        <f t="shared" si="1"/>
        <v>0</v>
      </c>
    </row>
    <row r="15" spans="1:8" x14ac:dyDescent="0.35">
      <c r="A15" s="9">
        <v>26204415</v>
      </c>
      <c r="B15" s="10">
        <v>42919</v>
      </c>
      <c r="C15" s="11">
        <v>0.37516203703703704</v>
      </c>
      <c r="D15" s="12">
        <v>0.38424768518518521</v>
      </c>
      <c r="E15" s="20">
        <f t="shared" si="0"/>
        <v>0</v>
      </c>
      <c r="F15">
        <f t="shared" si="1"/>
        <v>0</v>
      </c>
    </row>
    <row r="16" spans="1:8" x14ac:dyDescent="0.35">
      <c r="A16" s="5">
        <v>22747425</v>
      </c>
      <c r="B16" s="6">
        <v>42919</v>
      </c>
      <c r="C16" s="7">
        <v>0.37719907407407405</v>
      </c>
      <c r="D16" s="8">
        <v>0.38513888888888886</v>
      </c>
      <c r="E16" s="20">
        <f t="shared" si="0"/>
        <v>0</v>
      </c>
      <c r="F16">
        <f t="shared" si="1"/>
        <v>0</v>
      </c>
    </row>
    <row r="17" spans="1:6" x14ac:dyDescent="0.35">
      <c r="A17" s="9">
        <v>96191858</v>
      </c>
      <c r="B17" s="10">
        <v>42919</v>
      </c>
      <c r="C17" s="11">
        <v>0.37987268518518519</v>
      </c>
      <c r="D17" s="12">
        <v>0.38802083333333331</v>
      </c>
      <c r="E17" s="20">
        <f t="shared" si="0"/>
        <v>0</v>
      </c>
      <c r="F17">
        <f t="shared" si="1"/>
        <v>0</v>
      </c>
    </row>
    <row r="18" spans="1:6" x14ac:dyDescent="0.35">
      <c r="A18" s="5">
        <v>5816822</v>
      </c>
      <c r="B18" s="6">
        <v>42919</v>
      </c>
      <c r="C18" s="7">
        <v>0.38123842592592594</v>
      </c>
      <c r="D18" s="8">
        <v>0.38390046296296299</v>
      </c>
      <c r="E18" s="20">
        <f t="shared" si="0"/>
        <v>0</v>
      </c>
      <c r="F18">
        <f t="shared" si="1"/>
        <v>0</v>
      </c>
    </row>
    <row r="19" spans="1:6" x14ac:dyDescent="0.35">
      <c r="A19" s="9">
        <v>3352943</v>
      </c>
      <c r="B19" s="10">
        <v>42919</v>
      </c>
      <c r="C19" s="11">
        <v>0.38701388888888888</v>
      </c>
      <c r="D19" s="12">
        <v>0.3943402777777778</v>
      </c>
      <c r="E19" s="20">
        <f t="shared" si="0"/>
        <v>0</v>
      </c>
      <c r="F19">
        <f t="shared" si="1"/>
        <v>0</v>
      </c>
    </row>
    <row r="20" spans="1:6" x14ac:dyDescent="0.35">
      <c r="A20" s="5">
        <v>35634368</v>
      </c>
      <c r="B20" s="6">
        <v>42919</v>
      </c>
      <c r="C20" s="7">
        <v>0.39181712962962961</v>
      </c>
      <c r="D20" s="8">
        <v>0.40334490740740742</v>
      </c>
      <c r="E20" s="20">
        <f t="shared" si="0"/>
        <v>0</v>
      </c>
      <c r="F20">
        <f t="shared" si="1"/>
        <v>0</v>
      </c>
    </row>
    <row r="21" spans="1:6" x14ac:dyDescent="0.35">
      <c r="A21" s="9">
        <v>8313390</v>
      </c>
      <c r="B21" s="10">
        <v>42919</v>
      </c>
      <c r="C21" s="11">
        <v>0.39571759259259259</v>
      </c>
      <c r="D21" s="12">
        <v>0.39844907407407409</v>
      </c>
      <c r="E21" s="20">
        <f t="shared" si="0"/>
        <v>0</v>
      </c>
      <c r="F21">
        <f t="shared" si="1"/>
        <v>0</v>
      </c>
    </row>
    <row r="22" spans="1:6" x14ac:dyDescent="0.35">
      <c r="A22" s="5">
        <v>3954712</v>
      </c>
      <c r="B22" s="6">
        <v>42919</v>
      </c>
      <c r="C22" s="7">
        <v>0.39876157407407409</v>
      </c>
      <c r="D22" s="8">
        <v>0.40207175925925925</v>
      </c>
      <c r="E22" s="20">
        <f t="shared" si="0"/>
        <v>0</v>
      </c>
      <c r="F22">
        <f t="shared" si="1"/>
        <v>0</v>
      </c>
    </row>
    <row r="23" spans="1:6" x14ac:dyDescent="0.35">
      <c r="A23" s="9">
        <v>2109147679</v>
      </c>
      <c r="B23" s="10">
        <v>42919</v>
      </c>
      <c r="C23" s="11">
        <v>0.40035879629629628</v>
      </c>
      <c r="D23" s="12">
        <v>0.41166666666666668</v>
      </c>
      <c r="E23" s="20">
        <f t="shared" si="0"/>
        <v>0</v>
      </c>
      <c r="F23">
        <f t="shared" si="1"/>
        <v>0</v>
      </c>
    </row>
    <row r="24" spans="1:6" x14ac:dyDescent="0.35">
      <c r="A24" s="5">
        <v>1787732</v>
      </c>
      <c r="B24" s="6">
        <v>42919</v>
      </c>
      <c r="C24" s="7">
        <v>0.4052546296296296</v>
      </c>
      <c r="D24" s="8">
        <v>0.41048611111111111</v>
      </c>
      <c r="E24" s="20">
        <f t="shared" si="0"/>
        <v>0</v>
      </c>
      <c r="F24">
        <f t="shared" si="1"/>
        <v>0</v>
      </c>
    </row>
    <row r="25" spans="1:6" x14ac:dyDescent="0.35">
      <c r="A25" s="9">
        <v>7834807</v>
      </c>
      <c r="B25" s="10">
        <v>42919</v>
      </c>
      <c r="C25" s="11">
        <v>0.40980324074074076</v>
      </c>
      <c r="D25" s="12">
        <v>0.41035879629629629</v>
      </c>
      <c r="E25" s="20">
        <f t="shared" si="0"/>
        <v>0</v>
      </c>
      <c r="F25">
        <f t="shared" si="1"/>
        <v>0</v>
      </c>
    </row>
    <row r="26" spans="1:6" x14ac:dyDescent="0.35">
      <c r="A26" s="5">
        <v>33320202</v>
      </c>
      <c r="B26" s="6">
        <v>42919</v>
      </c>
      <c r="C26" s="7">
        <v>0.41506944444444444</v>
      </c>
      <c r="D26" s="8">
        <v>0.42621527777777779</v>
      </c>
      <c r="E26" s="20">
        <f t="shared" si="0"/>
        <v>0</v>
      </c>
      <c r="F26">
        <f t="shared" si="1"/>
        <v>0</v>
      </c>
    </row>
    <row r="27" spans="1:6" x14ac:dyDescent="0.35">
      <c r="A27" s="9">
        <v>1488369</v>
      </c>
      <c r="B27" s="10">
        <v>42919</v>
      </c>
      <c r="C27" s="11">
        <v>0.41612268518518519</v>
      </c>
      <c r="D27" s="12">
        <v>0.41756944444444444</v>
      </c>
      <c r="E27" s="20">
        <f t="shared" si="0"/>
        <v>0</v>
      </c>
      <c r="F27">
        <f t="shared" si="1"/>
        <v>0</v>
      </c>
    </row>
    <row r="28" spans="1:6" x14ac:dyDescent="0.35">
      <c r="A28" s="5">
        <v>2631285</v>
      </c>
      <c r="B28" s="6">
        <v>42919</v>
      </c>
      <c r="C28" s="7">
        <v>0.4176273148148148</v>
      </c>
      <c r="D28" s="8">
        <v>0.42375000000000002</v>
      </c>
      <c r="E28" s="20">
        <f t="shared" si="0"/>
        <v>0</v>
      </c>
      <c r="F28">
        <f t="shared" si="1"/>
        <v>0</v>
      </c>
    </row>
    <row r="29" spans="1:6" x14ac:dyDescent="0.35">
      <c r="A29" s="9">
        <v>7415603</v>
      </c>
      <c r="B29" s="10">
        <v>42919</v>
      </c>
      <c r="C29" s="11">
        <v>0.42078703703703701</v>
      </c>
      <c r="D29" s="12">
        <v>0.43216435185185187</v>
      </c>
      <c r="E29" s="20">
        <f t="shared" si="0"/>
        <v>0</v>
      </c>
      <c r="F29">
        <f t="shared" si="1"/>
        <v>0</v>
      </c>
    </row>
    <row r="30" spans="1:6" x14ac:dyDescent="0.35">
      <c r="A30" s="5">
        <v>96375379</v>
      </c>
      <c r="B30" s="6">
        <v>42919</v>
      </c>
      <c r="C30" s="7">
        <v>0.42447916666666669</v>
      </c>
      <c r="D30" s="8">
        <v>0.42660879629629628</v>
      </c>
      <c r="E30" s="20">
        <f t="shared" si="0"/>
        <v>0</v>
      </c>
      <c r="F30">
        <f t="shared" si="1"/>
        <v>0</v>
      </c>
    </row>
    <row r="31" spans="1:6" x14ac:dyDescent="0.35">
      <c r="A31" s="9">
        <v>6976431</v>
      </c>
      <c r="B31" s="10">
        <v>42919</v>
      </c>
      <c r="C31" s="11">
        <v>0.4281712962962963</v>
      </c>
      <c r="D31" s="12">
        <v>0.43692129629629628</v>
      </c>
      <c r="E31" s="20">
        <f t="shared" si="0"/>
        <v>0</v>
      </c>
      <c r="F31">
        <f t="shared" si="1"/>
        <v>0</v>
      </c>
    </row>
    <row r="32" spans="1:6" x14ac:dyDescent="0.35">
      <c r="A32" s="5">
        <v>4093292</v>
      </c>
      <c r="B32" s="6">
        <v>42919</v>
      </c>
      <c r="C32" s="7">
        <v>0.43038194444444444</v>
      </c>
      <c r="D32" s="8">
        <v>0.43494212962962964</v>
      </c>
      <c r="E32" s="20">
        <f t="shared" si="0"/>
        <v>0</v>
      </c>
      <c r="F32">
        <f t="shared" si="1"/>
        <v>0</v>
      </c>
    </row>
    <row r="33" spans="1:6" x14ac:dyDescent="0.35">
      <c r="A33" s="9">
        <v>6312575</v>
      </c>
      <c r="B33" s="10">
        <v>42919</v>
      </c>
      <c r="C33" s="11">
        <v>0.4309837962962963</v>
      </c>
      <c r="D33" s="12">
        <v>0.43748842592592591</v>
      </c>
      <c r="E33" s="20">
        <f t="shared" si="0"/>
        <v>0</v>
      </c>
      <c r="F33">
        <f t="shared" si="1"/>
        <v>0</v>
      </c>
    </row>
    <row r="34" spans="1:6" x14ac:dyDescent="0.35">
      <c r="A34" s="5">
        <v>38535407</v>
      </c>
      <c r="B34" s="6">
        <v>42919</v>
      </c>
      <c r="C34" s="7">
        <v>0.43593749999999998</v>
      </c>
      <c r="D34" s="8">
        <v>0.44417824074074075</v>
      </c>
      <c r="E34" s="20">
        <f t="shared" si="0"/>
        <v>0</v>
      </c>
      <c r="F34">
        <f t="shared" si="1"/>
        <v>0</v>
      </c>
    </row>
    <row r="35" spans="1:6" x14ac:dyDescent="0.35">
      <c r="A35" s="9">
        <v>38535407</v>
      </c>
      <c r="B35" s="10">
        <v>42919</v>
      </c>
      <c r="C35" s="11">
        <v>0.43824074074074076</v>
      </c>
      <c r="D35" s="12">
        <v>0.43913194444444442</v>
      </c>
      <c r="E35" s="20">
        <f t="shared" si="0"/>
        <v>0</v>
      </c>
      <c r="F35">
        <f t="shared" si="1"/>
        <v>0</v>
      </c>
    </row>
    <row r="36" spans="1:6" x14ac:dyDescent="0.35">
      <c r="A36" s="5">
        <v>9413315</v>
      </c>
      <c r="B36" s="6">
        <v>42919</v>
      </c>
      <c r="C36" s="7">
        <v>0.44313657407407409</v>
      </c>
      <c r="D36" s="8">
        <v>0.45300925925925928</v>
      </c>
      <c r="E36" s="20">
        <f t="shared" si="0"/>
        <v>0</v>
      </c>
      <c r="F36">
        <f t="shared" si="1"/>
        <v>0</v>
      </c>
    </row>
    <row r="37" spans="1:6" x14ac:dyDescent="0.35">
      <c r="A37" s="9">
        <v>8514016</v>
      </c>
      <c r="B37" s="10">
        <v>42919</v>
      </c>
      <c r="C37" s="11">
        <v>0.44778935185185187</v>
      </c>
      <c r="D37" s="12">
        <v>0.44998842592592592</v>
      </c>
      <c r="E37" s="20">
        <f t="shared" si="0"/>
        <v>0</v>
      </c>
      <c r="F37">
        <f t="shared" si="1"/>
        <v>0</v>
      </c>
    </row>
    <row r="38" spans="1:6" x14ac:dyDescent="0.35">
      <c r="A38" s="5">
        <v>40965486</v>
      </c>
      <c r="B38" s="6">
        <v>42919</v>
      </c>
      <c r="C38" s="7">
        <v>0.44945601851851852</v>
      </c>
      <c r="D38" s="8">
        <v>0.46011574074074074</v>
      </c>
      <c r="E38" s="20">
        <f t="shared" si="0"/>
        <v>0</v>
      </c>
      <c r="F38">
        <f t="shared" si="1"/>
        <v>0</v>
      </c>
    </row>
    <row r="39" spans="1:6" x14ac:dyDescent="0.35">
      <c r="A39" s="9">
        <v>4546455</v>
      </c>
      <c r="B39" s="10">
        <v>42919</v>
      </c>
      <c r="C39" s="11">
        <v>0.45270833333333332</v>
      </c>
      <c r="D39" s="12">
        <v>0.45620370370370372</v>
      </c>
      <c r="E39" s="20">
        <f t="shared" si="0"/>
        <v>0</v>
      </c>
      <c r="F39">
        <f t="shared" si="1"/>
        <v>0</v>
      </c>
    </row>
    <row r="40" spans="1:6" x14ac:dyDescent="0.35">
      <c r="A40" s="5">
        <v>1435049</v>
      </c>
      <c r="B40" s="6">
        <v>42919</v>
      </c>
      <c r="C40" s="7">
        <v>0.45494212962962965</v>
      </c>
      <c r="D40" s="8">
        <v>0.45567129629629627</v>
      </c>
      <c r="E40" s="20">
        <f t="shared" si="0"/>
        <v>0</v>
      </c>
      <c r="F40">
        <f t="shared" si="1"/>
        <v>0</v>
      </c>
    </row>
    <row r="41" spans="1:6" x14ac:dyDescent="0.35">
      <c r="A41" s="9">
        <v>85598139</v>
      </c>
      <c r="B41" s="10">
        <v>42919</v>
      </c>
      <c r="C41" s="11">
        <v>0.45608796296296295</v>
      </c>
      <c r="D41" s="12">
        <v>0.46314814814814814</v>
      </c>
      <c r="E41" s="20">
        <f t="shared" si="0"/>
        <v>0</v>
      </c>
      <c r="F41">
        <f t="shared" si="1"/>
        <v>0</v>
      </c>
    </row>
    <row r="42" spans="1:6" x14ac:dyDescent="0.35">
      <c r="A42" s="5">
        <v>1787732</v>
      </c>
      <c r="B42" s="6">
        <v>42919</v>
      </c>
      <c r="C42" s="7">
        <v>0.46151620370370372</v>
      </c>
      <c r="D42" s="8">
        <v>0.46546296296296297</v>
      </c>
      <c r="E42" s="20">
        <f t="shared" si="0"/>
        <v>0</v>
      </c>
      <c r="F42">
        <f t="shared" si="1"/>
        <v>0</v>
      </c>
    </row>
    <row r="43" spans="1:6" x14ac:dyDescent="0.35">
      <c r="A43" s="9">
        <v>1926053</v>
      </c>
      <c r="B43" s="10">
        <v>42919</v>
      </c>
      <c r="C43" s="11">
        <v>0.46155092592592595</v>
      </c>
      <c r="D43" s="12">
        <v>0.46766203703703701</v>
      </c>
      <c r="E43" s="20">
        <f t="shared" si="0"/>
        <v>0</v>
      </c>
      <c r="F43">
        <f t="shared" si="1"/>
        <v>0</v>
      </c>
    </row>
    <row r="44" spans="1:6" x14ac:dyDescent="0.35">
      <c r="A44" s="5">
        <v>82949156</v>
      </c>
      <c r="B44" s="6">
        <v>42919</v>
      </c>
      <c r="C44" s="7">
        <v>0.46224537037037039</v>
      </c>
      <c r="D44" s="8">
        <v>0.46390046296296295</v>
      </c>
      <c r="E44" s="20">
        <f t="shared" si="0"/>
        <v>0</v>
      </c>
      <c r="F44">
        <f t="shared" si="1"/>
        <v>0</v>
      </c>
    </row>
    <row r="45" spans="1:6" x14ac:dyDescent="0.35">
      <c r="A45" s="9">
        <v>73690742</v>
      </c>
      <c r="B45" s="10">
        <v>42919</v>
      </c>
      <c r="C45" s="11">
        <v>0.46766203703703701</v>
      </c>
      <c r="D45" s="12">
        <v>0.4767939814814815</v>
      </c>
      <c r="E45" s="20">
        <f t="shared" si="0"/>
        <v>0</v>
      </c>
      <c r="F45">
        <f t="shared" si="1"/>
        <v>0</v>
      </c>
    </row>
    <row r="46" spans="1:6" x14ac:dyDescent="0.35">
      <c r="A46" s="5">
        <v>5107477025</v>
      </c>
      <c r="B46" s="6">
        <v>42919</v>
      </c>
      <c r="C46" s="7">
        <v>0.47125</v>
      </c>
      <c r="D46" s="8">
        <v>0.47871527777777778</v>
      </c>
      <c r="E46" s="20">
        <f t="shared" si="0"/>
        <v>0</v>
      </c>
      <c r="F46">
        <f t="shared" si="1"/>
        <v>0</v>
      </c>
    </row>
    <row r="47" spans="1:6" x14ac:dyDescent="0.35">
      <c r="A47" s="9">
        <v>4787793</v>
      </c>
      <c r="B47" s="10">
        <v>42919</v>
      </c>
      <c r="C47" s="11">
        <v>0.47584490740740742</v>
      </c>
      <c r="D47" s="12">
        <v>0.48518518518518516</v>
      </c>
      <c r="E47" s="20">
        <f t="shared" si="0"/>
        <v>0</v>
      </c>
      <c r="F47">
        <f t="shared" si="1"/>
        <v>0</v>
      </c>
    </row>
    <row r="48" spans="1:6" x14ac:dyDescent="0.35">
      <c r="A48" s="5">
        <v>79381100</v>
      </c>
      <c r="B48" s="6">
        <v>42919</v>
      </c>
      <c r="C48" s="7">
        <v>0.48078703703703701</v>
      </c>
      <c r="D48" s="8">
        <v>0.48550925925925925</v>
      </c>
      <c r="E48" s="20">
        <f t="shared" si="0"/>
        <v>0</v>
      </c>
      <c r="F48">
        <f t="shared" si="1"/>
        <v>0</v>
      </c>
    </row>
    <row r="49" spans="1:6" x14ac:dyDescent="0.35">
      <c r="A49" s="9">
        <v>4146159</v>
      </c>
      <c r="B49" s="10">
        <v>42919</v>
      </c>
      <c r="C49" s="11">
        <v>0.48123842592592592</v>
      </c>
      <c r="D49" s="12">
        <v>0.49261574074074072</v>
      </c>
      <c r="E49" s="20">
        <f t="shared" si="0"/>
        <v>0</v>
      </c>
      <c r="F49">
        <f t="shared" si="1"/>
        <v>0</v>
      </c>
    </row>
    <row r="50" spans="1:6" x14ac:dyDescent="0.35">
      <c r="A50" s="5">
        <v>13484133</v>
      </c>
      <c r="B50" s="6">
        <v>42919</v>
      </c>
      <c r="C50" s="7">
        <v>0.48254629629629631</v>
      </c>
      <c r="D50" s="8">
        <v>0.48739583333333331</v>
      </c>
      <c r="E50" s="20">
        <f t="shared" si="0"/>
        <v>0</v>
      </c>
      <c r="F50">
        <f t="shared" si="1"/>
        <v>0</v>
      </c>
    </row>
    <row r="51" spans="1:6" x14ac:dyDescent="0.35">
      <c r="A51" s="9">
        <v>4657345</v>
      </c>
      <c r="B51" s="10">
        <v>42919</v>
      </c>
      <c r="C51" s="11">
        <v>0.48489583333333336</v>
      </c>
      <c r="D51" s="12">
        <v>0.48734953703703704</v>
      </c>
      <c r="E51" s="20">
        <f t="shared" si="0"/>
        <v>0</v>
      </c>
      <c r="F51">
        <f t="shared" si="1"/>
        <v>0</v>
      </c>
    </row>
    <row r="52" spans="1:6" x14ac:dyDescent="0.35">
      <c r="A52" s="5">
        <v>3697935</v>
      </c>
      <c r="B52" s="6">
        <v>42919</v>
      </c>
      <c r="C52" s="7">
        <v>0.49054398148148148</v>
      </c>
      <c r="D52" s="8">
        <v>0.49251157407407409</v>
      </c>
      <c r="E52" s="20">
        <f t="shared" si="0"/>
        <v>0</v>
      </c>
      <c r="F52">
        <f t="shared" si="1"/>
        <v>0</v>
      </c>
    </row>
    <row r="53" spans="1:6" x14ac:dyDescent="0.35">
      <c r="A53" s="9">
        <v>2668991</v>
      </c>
      <c r="B53" s="10">
        <v>42919</v>
      </c>
      <c r="C53" s="11">
        <v>0.49284722222222221</v>
      </c>
      <c r="D53" s="12">
        <v>0.50354166666666667</v>
      </c>
      <c r="E53" s="20">
        <f t="shared" si="0"/>
        <v>0</v>
      </c>
      <c r="F53">
        <f t="shared" si="1"/>
        <v>0</v>
      </c>
    </row>
    <row r="54" spans="1:6" x14ac:dyDescent="0.35">
      <c r="A54" s="5">
        <v>3520189</v>
      </c>
      <c r="B54" s="6">
        <v>42919</v>
      </c>
      <c r="C54" s="7">
        <v>0.49862268518518521</v>
      </c>
      <c r="D54" s="8">
        <v>0.50287037037037041</v>
      </c>
      <c r="E54" s="20">
        <f t="shared" si="0"/>
        <v>0</v>
      </c>
      <c r="F54">
        <f t="shared" si="1"/>
        <v>0</v>
      </c>
    </row>
    <row r="55" spans="1:6" x14ac:dyDescent="0.35">
      <c r="A55" s="9">
        <v>4546455</v>
      </c>
      <c r="B55" s="10">
        <v>42919</v>
      </c>
      <c r="C55" s="11">
        <v>0.50089120370370366</v>
      </c>
      <c r="D55" s="12">
        <v>0.50876157407407407</v>
      </c>
      <c r="E55" s="20">
        <f t="shared" si="0"/>
        <v>0</v>
      </c>
      <c r="F55">
        <f t="shared" si="1"/>
        <v>0</v>
      </c>
    </row>
    <row r="56" spans="1:6" x14ac:dyDescent="0.35">
      <c r="A56" s="5">
        <v>3897347</v>
      </c>
      <c r="B56" s="6">
        <v>42919</v>
      </c>
      <c r="C56" s="7">
        <v>0.50549768518518523</v>
      </c>
      <c r="D56" s="8">
        <v>0.5100231481481482</v>
      </c>
      <c r="E56" s="20">
        <f t="shared" si="0"/>
        <v>0</v>
      </c>
      <c r="F56">
        <f t="shared" si="1"/>
        <v>0</v>
      </c>
    </row>
    <row r="57" spans="1:6" x14ac:dyDescent="0.35">
      <c r="A57" s="9">
        <v>1867016</v>
      </c>
      <c r="B57" s="10">
        <v>42919</v>
      </c>
      <c r="C57" s="11">
        <v>0.50910879629629635</v>
      </c>
      <c r="D57" s="12">
        <v>0.50930555555555557</v>
      </c>
      <c r="E57" s="20">
        <f t="shared" si="0"/>
        <v>0</v>
      </c>
      <c r="F57">
        <f t="shared" si="1"/>
        <v>0</v>
      </c>
    </row>
    <row r="58" spans="1:6" x14ac:dyDescent="0.35">
      <c r="A58" s="5">
        <v>96949751</v>
      </c>
      <c r="B58" s="6">
        <v>42919</v>
      </c>
      <c r="C58" s="7">
        <v>0.51262731481481483</v>
      </c>
      <c r="D58" s="8">
        <v>0.5142592592592593</v>
      </c>
      <c r="E58" s="20">
        <f t="shared" si="0"/>
        <v>0</v>
      </c>
      <c r="F58">
        <f t="shared" si="1"/>
        <v>0</v>
      </c>
    </row>
    <row r="59" spans="1:6" x14ac:dyDescent="0.35">
      <c r="A59" s="9">
        <v>81613163</v>
      </c>
      <c r="B59" s="10">
        <v>42919</v>
      </c>
      <c r="C59" s="11">
        <v>0.5175925925925926</v>
      </c>
      <c r="D59" s="12">
        <v>0.52021990740740742</v>
      </c>
      <c r="E59" s="20">
        <f t="shared" si="0"/>
        <v>0</v>
      </c>
      <c r="F59">
        <f t="shared" si="1"/>
        <v>0</v>
      </c>
    </row>
    <row r="60" spans="1:6" x14ac:dyDescent="0.35">
      <c r="A60" s="5">
        <v>4250194</v>
      </c>
      <c r="B60" s="6">
        <v>42919</v>
      </c>
      <c r="C60" s="7">
        <v>0.52217592592592588</v>
      </c>
      <c r="D60" s="8">
        <v>0.52918981481481486</v>
      </c>
      <c r="E60" s="20">
        <f t="shared" si="0"/>
        <v>0</v>
      </c>
      <c r="F60">
        <f t="shared" si="1"/>
        <v>0</v>
      </c>
    </row>
    <row r="61" spans="1:6" x14ac:dyDescent="0.35">
      <c r="A61" s="9">
        <v>6050344</v>
      </c>
      <c r="B61" s="10">
        <v>42919</v>
      </c>
      <c r="C61" s="11">
        <v>0.52444444444444449</v>
      </c>
      <c r="D61" s="12">
        <v>0.52681712962962968</v>
      </c>
      <c r="E61" s="20">
        <f t="shared" si="0"/>
        <v>0</v>
      </c>
      <c r="F61">
        <f t="shared" si="1"/>
        <v>0</v>
      </c>
    </row>
    <row r="62" spans="1:6" x14ac:dyDescent="0.35">
      <c r="A62" s="5">
        <v>4546455</v>
      </c>
      <c r="B62" s="6">
        <v>42919</v>
      </c>
      <c r="C62" s="7">
        <v>0.5258680555555556</v>
      </c>
      <c r="D62" s="8">
        <v>0.53531249999999997</v>
      </c>
      <c r="E62" s="20">
        <f t="shared" si="0"/>
        <v>0</v>
      </c>
      <c r="F62">
        <f t="shared" si="1"/>
        <v>0</v>
      </c>
    </row>
    <row r="63" spans="1:6" x14ac:dyDescent="0.35">
      <c r="A63" s="9">
        <v>7727942</v>
      </c>
      <c r="B63" s="10">
        <v>42919</v>
      </c>
      <c r="C63" s="11">
        <v>0.53013888888888894</v>
      </c>
      <c r="D63" s="12">
        <v>0.53707175925925921</v>
      </c>
      <c r="E63" s="20">
        <f t="shared" si="0"/>
        <v>0</v>
      </c>
      <c r="F63">
        <f t="shared" si="1"/>
        <v>0</v>
      </c>
    </row>
    <row r="64" spans="1:6" x14ac:dyDescent="0.35">
      <c r="A64" s="5">
        <v>8249721</v>
      </c>
      <c r="B64" s="6">
        <v>42919</v>
      </c>
      <c r="C64" s="7">
        <v>0.53486111111111112</v>
      </c>
      <c r="D64" s="8">
        <v>0.53756944444444443</v>
      </c>
      <c r="E64" s="20">
        <f t="shared" si="0"/>
        <v>0</v>
      </c>
      <c r="F64">
        <f t="shared" si="1"/>
        <v>0</v>
      </c>
    </row>
    <row r="65" spans="1:6" x14ac:dyDescent="0.35">
      <c r="A65" s="9">
        <v>6894270</v>
      </c>
      <c r="B65" s="10">
        <v>42919</v>
      </c>
      <c r="C65" s="11">
        <v>0.53488425925925931</v>
      </c>
      <c r="D65" s="12">
        <v>0.53523148148148147</v>
      </c>
      <c r="E65" s="20">
        <f t="shared" si="0"/>
        <v>0</v>
      </c>
      <c r="F65">
        <f t="shared" si="1"/>
        <v>0</v>
      </c>
    </row>
    <row r="66" spans="1:6" x14ac:dyDescent="0.35">
      <c r="A66" s="5">
        <v>3095218</v>
      </c>
      <c r="B66" s="6">
        <v>42919</v>
      </c>
      <c r="C66" s="7">
        <v>0.5358680555555555</v>
      </c>
      <c r="D66" s="8">
        <v>0.54329861111111111</v>
      </c>
      <c r="E66" s="20">
        <f t="shared" si="0"/>
        <v>0</v>
      </c>
      <c r="F66">
        <f t="shared" si="1"/>
        <v>0</v>
      </c>
    </row>
    <row r="67" spans="1:6" x14ac:dyDescent="0.35">
      <c r="A67" s="9">
        <v>45081794</v>
      </c>
      <c r="B67" s="10">
        <v>42919</v>
      </c>
      <c r="C67" s="11">
        <v>0.54016203703703702</v>
      </c>
      <c r="D67" s="12">
        <v>0.54297453703703702</v>
      </c>
      <c r="E67" s="20">
        <f t="shared" ref="E67:E130" si="2">IF(F67=1,D67-C67,0)</f>
        <v>0</v>
      </c>
      <c r="F67">
        <f t="shared" ref="F67:F130" si="3">IF(AND(LEN(A67)=7,LEFT(A67,2) = "12"),1,0)</f>
        <v>0</v>
      </c>
    </row>
    <row r="68" spans="1:6" x14ac:dyDescent="0.35">
      <c r="A68" s="5">
        <v>3533271</v>
      </c>
      <c r="B68" s="6">
        <v>42919</v>
      </c>
      <c r="C68" s="7">
        <v>0.54280092592592588</v>
      </c>
      <c r="D68" s="8">
        <v>0.54478009259259264</v>
      </c>
      <c r="E68" s="20">
        <f t="shared" si="2"/>
        <v>0</v>
      </c>
      <c r="F68">
        <f t="shared" si="3"/>
        <v>0</v>
      </c>
    </row>
    <row r="69" spans="1:6" x14ac:dyDescent="0.35">
      <c r="A69" s="9">
        <v>7415603</v>
      </c>
      <c r="B69" s="10">
        <v>42919</v>
      </c>
      <c r="C69" s="11">
        <v>0.54848379629629629</v>
      </c>
      <c r="D69" s="12">
        <v>0.5578819444444445</v>
      </c>
      <c r="E69" s="20">
        <f t="shared" si="2"/>
        <v>0</v>
      </c>
      <c r="F69">
        <f t="shared" si="3"/>
        <v>0</v>
      </c>
    </row>
    <row r="70" spans="1:6" x14ac:dyDescent="0.35">
      <c r="A70" s="5">
        <v>9088452</v>
      </c>
      <c r="B70" s="6">
        <v>42919</v>
      </c>
      <c r="C70" s="7">
        <v>0.55283564814814812</v>
      </c>
      <c r="D70" s="8">
        <v>0.55756944444444445</v>
      </c>
      <c r="E70" s="20">
        <f t="shared" si="2"/>
        <v>0</v>
      </c>
      <c r="F70">
        <f t="shared" si="3"/>
        <v>0</v>
      </c>
    </row>
    <row r="71" spans="1:6" x14ac:dyDescent="0.35">
      <c r="A71" s="9">
        <v>3379401</v>
      </c>
      <c r="B71" s="10">
        <v>42919</v>
      </c>
      <c r="C71" s="11">
        <v>0.55576388888888884</v>
      </c>
      <c r="D71" s="12">
        <v>0.56342592592592589</v>
      </c>
      <c r="E71" s="20">
        <f t="shared" si="2"/>
        <v>0</v>
      </c>
      <c r="F71">
        <f t="shared" si="3"/>
        <v>0</v>
      </c>
    </row>
    <row r="72" spans="1:6" x14ac:dyDescent="0.35">
      <c r="A72" s="5">
        <v>73350537</v>
      </c>
      <c r="B72" s="6">
        <v>42919</v>
      </c>
      <c r="C72" s="7">
        <v>0.55722222222222217</v>
      </c>
      <c r="D72" s="8">
        <v>0.55787037037037035</v>
      </c>
      <c r="E72" s="20">
        <f t="shared" si="2"/>
        <v>0</v>
      </c>
      <c r="F72">
        <f t="shared" si="3"/>
        <v>0</v>
      </c>
    </row>
    <row r="73" spans="1:6" x14ac:dyDescent="0.35">
      <c r="A73" s="9">
        <v>83707586</v>
      </c>
      <c r="B73" s="10">
        <v>42919</v>
      </c>
      <c r="C73" s="11">
        <v>0.55803240740740745</v>
      </c>
      <c r="D73" s="12">
        <v>0.56174768518518514</v>
      </c>
      <c r="E73" s="20">
        <f t="shared" si="2"/>
        <v>0</v>
      </c>
      <c r="F73">
        <f t="shared" si="3"/>
        <v>0</v>
      </c>
    </row>
    <row r="74" spans="1:6" x14ac:dyDescent="0.35">
      <c r="A74" s="5">
        <v>5107477025</v>
      </c>
      <c r="B74" s="6">
        <v>42919</v>
      </c>
      <c r="C74" s="7">
        <v>0.55888888888888888</v>
      </c>
      <c r="D74" s="8">
        <v>0.56745370370370374</v>
      </c>
      <c r="E74" s="20">
        <f t="shared" si="2"/>
        <v>0</v>
      </c>
      <c r="F74">
        <f t="shared" si="3"/>
        <v>0</v>
      </c>
    </row>
    <row r="75" spans="1:6" x14ac:dyDescent="0.35">
      <c r="A75" s="9">
        <v>1480206</v>
      </c>
      <c r="B75" s="10">
        <v>42919</v>
      </c>
      <c r="C75" s="11">
        <v>0.5645486111111111</v>
      </c>
      <c r="D75" s="12">
        <v>0.56458333333333333</v>
      </c>
      <c r="E75" s="20">
        <f t="shared" si="2"/>
        <v>0</v>
      </c>
      <c r="F75">
        <f t="shared" si="3"/>
        <v>0</v>
      </c>
    </row>
    <row r="76" spans="1:6" x14ac:dyDescent="0.35">
      <c r="A76" s="5">
        <v>3095218</v>
      </c>
      <c r="B76" s="6">
        <v>42919</v>
      </c>
      <c r="C76" s="7">
        <v>0.56555555555555559</v>
      </c>
      <c r="D76" s="8">
        <v>0.56557870370370367</v>
      </c>
      <c r="E76" s="20">
        <f t="shared" si="2"/>
        <v>0</v>
      </c>
      <c r="F76">
        <f t="shared" si="3"/>
        <v>0</v>
      </c>
    </row>
    <row r="77" spans="1:6" x14ac:dyDescent="0.35">
      <c r="A77" s="9">
        <v>2028923</v>
      </c>
      <c r="B77" s="10">
        <v>42919</v>
      </c>
      <c r="C77" s="11">
        <v>0.56800925925925927</v>
      </c>
      <c r="D77" s="12">
        <v>0.57093749999999999</v>
      </c>
      <c r="E77" s="20">
        <f t="shared" si="2"/>
        <v>0</v>
      </c>
      <c r="F77">
        <f t="shared" si="3"/>
        <v>0</v>
      </c>
    </row>
    <row r="78" spans="1:6" x14ac:dyDescent="0.35">
      <c r="A78" s="5">
        <v>81880891</v>
      </c>
      <c r="B78" s="6">
        <v>42919</v>
      </c>
      <c r="C78" s="7">
        <v>0.57141203703703702</v>
      </c>
      <c r="D78" s="8">
        <v>0.57547453703703699</v>
      </c>
      <c r="E78" s="20">
        <f t="shared" si="2"/>
        <v>0</v>
      </c>
      <c r="F78">
        <f t="shared" si="3"/>
        <v>0</v>
      </c>
    </row>
    <row r="79" spans="1:6" x14ac:dyDescent="0.35">
      <c r="A79" s="9">
        <v>4274149</v>
      </c>
      <c r="B79" s="10">
        <v>42919</v>
      </c>
      <c r="C79" s="11">
        <v>0.5717592592592593</v>
      </c>
      <c r="D79" s="12">
        <v>0.58065972222222217</v>
      </c>
      <c r="E79" s="20">
        <f t="shared" si="2"/>
        <v>0</v>
      </c>
      <c r="F79">
        <f t="shared" si="3"/>
        <v>0</v>
      </c>
    </row>
    <row r="80" spans="1:6" x14ac:dyDescent="0.35">
      <c r="A80" s="5">
        <v>3505978</v>
      </c>
      <c r="B80" s="6">
        <v>42919</v>
      </c>
      <c r="C80" s="7">
        <v>0.57642361111111107</v>
      </c>
      <c r="D80" s="8">
        <v>0.5799305555555555</v>
      </c>
      <c r="E80" s="20">
        <f t="shared" si="2"/>
        <v>0</v>
      </c>
      <c r="F80">
        <f t="shared" si="3"/>
        <v>0</v>
      </c>
    </row>
    <row r="81" spans="1:6" x14ac:dyDescent="0.35">
      <c r="A81" s="9">
        <v>8504601</v>
      </c>
      <c r="B81" s="10">
        <v>42919</v>
      </c>
      <c r="C81" s="11">
        <v>0.57958333333333334</v>
      </c>
      <c r="D81" s="12">
        <v>0.58056712962962964</v>
      </c>
      <c r="E81" s="20">
        <f t="shared" si="2"/>
        <v>0</v>
      </c>
      <c r="F81">
        <f t="shared" si="3"/>
        <v>0</v>
      </c>
    </row>
    <row r="82" spans="1:6" x14ac:dyDescent="0.35">
      <c r="A82" s="5">
        <v>8214927</v>
      </c>
      <c r="B82" s="6">
        <v>42919</v>
      </c>
      <c r="C82" s="7">
        <v>0.5819212962962963</v>
      </c>
      <c r="D82" s="8">
        <v>0.59106481481481477</v>
      </c>
      <c r="E82" s="20">
        <f t="shared" si="2"/>
        <v>0</v>
      </c>
      <c r="F82">
        <f t="shared" si="3"/>
        <v>0</v>
      </c>
    </row>
    <row r="83" spans="1:6" x14ac:dyDescent="0.35">
      <c r="A83" s="9">
        <v>5913547</v>
      </c>
      <c r="B83" s="10">
        <v>42919</v>
      </c>
      <c r="C83" s="11">
        <v>0.58414351851851853</v>
      </c>
      <c r="D83" s="12">
        <v>0.5861574074074074</v>
      </c>
      <c r="E83" s="20">
        <f t="shared" si="2"/>
        <v>0</v>
      </c>
      <c r="F83">
        <f t="shared" si="3"/>
        <v>0</v>
      </c>
    </row>
    <row r="84" spans="1:6" x14ac:dyDescent="0.35">
      <c r="A84" s="5">
        <v>3505978</v>
      </c>
      <c r="B84" s="6">
        <v>42919</v>
      </c>
      <c r="C84" s="7">
        <v>0.58699074074074076</v>
      </c>
      <c r="D84" s="8">
        <v>0.59060185185185188</v>
      </c>
      <c r="E84" s="20">
        <f t="shared" si="2"/>
        <v>0</v>
      </c>
      <c r="F84">
        <f t="shared" si="3"/>
        <v>0</v>
      </c>
    </row>
    <row r="85" spans="1:6" x14ac:dyDescent="0.35">
      <c r="A85" s="9">
        <v>14783929</v>
      </c>
      <c r="B85" s="10">
        <v>42919</v>
      </c>
      <c r="C85" s="11">
        <v>0.5902546296296296</v>
      </c>
      <c r="D85" s="12">
        <v>0.59516203703703707</v>
      </c>
      <c r="E85" s="20">
        <f t="shared" si="2"/>
        <v>0</v>
      </c>
      <c r="F85">
        <f t="shared" si="3"/>
        <v>0</v>
      </c>
    </row>
    <row r="86" spans="1:6" x14ac:dyDescent="0.35">
      <c r="A86" s="5">
        <v>2915745</v>
      </c>
      <c r="B86" s="6">
        <v>42919</v>
      </c>
      <c r="C86" s="7">
        <v>0.59324074074074074</v>
      </c>
      <c r="D86" s="8">
        <v>0.6029282407407407</v>
      </c>
      <c r="E86" s="20">
        <f t="shared" si="2"/>
        <v>0</v>
      </c>
      <c r="F86">
        <f t="shared" si="3"/>
        <v>0</v>
      </c>
    </row>
    <row r="87" spans="1:6" x14ac:dyDescent="0.35">
      <c r="A87" s="9">
        <v>1100142</v>
      </c>
      <c r="B87" s="10">
        <v>42919</v>
      </c>
      <c r="C87" s="11">
        <v>0.59710648148148149</v>
      </c>
      <c r="D87" s="12">
        <v>0.6003356481481481</v>
      </c>
      <c r="E87" s="20">
        <f t="shared" si="2"/>
        <v>0</v>
      </c>
      <c r="F87">
        <f t="shared" si="3"/>
        <v>0</v>
      </c>
    </row>
    <row r="88" spans="1:6" x14ac:dyDescent="0.35">
      <c r="A88" s="5">
        <v>7795911</v>
      </c>
      <c r="B88" s="6">
        <v>42919</v>
      </c>
      <c r="C88" s="7">
        <v>0.60196759259259258</v>
      </c>
      <c r="D88" s="8">
        <v>0.61259259259259258</v>
      </c>
      <c r="E88" s="20">
        <f t="shared" si="2"/>
        <v>0</v>
      </c>
      <c r="F88">
        <f t="shared" si="3"/>
        <v>0</v>
      </c>
    </row>
    <row r="89" spans="1:6" x14ac:dyDescent="0.35">
      <c r="A89" s="9">
        <v>1709455</v>
      </c>
      <c r="B89" s="10">
        <v>42919</v>
      </c>
      <c r="C89" s="11">
        <v>0.60313657407407406</v>
      </c>
      <c r="D89" s="12">
        <v>0.60765046296296299</v>
      </c>
      <c r="E89" s="20">
        <f t="shared" si="2"/>
        <v>0</v>
      </c>
      <c r="F89">
        <f t="shared" si="3"/>
        <v>0</v>
      </c>
    </row>
    <row r="90" spans="1:6" x14ac:dyDescent="0.35">
      <c r="A90" s="5">
        <v>54586484</v>
      </c>
      <c r="B90" s="6">
        <v>42919</v>
      </c>
      <c r="C90" s="7">
        <v>0.60753472222222227</v>
      </c>
      <c r="D90" s="8">
        <v>0.61120370370370369</v>
      </c>
      <c r="E90" s="20">
        <f t="shared" si="2"/>
        <v>0</v>
      </c>
      <c r="F90">
        <f t="shared" si="3"/>
        <v>0</v>
      </c>
    </row>
    <row r="91" spans="1:6" x14ac:dyDescent="0.35">
      <c r="A91" s="9">
        <v>6674505</v>
      </c>
      <c r="B91" s="10">
        <v>42919</v>
      </c>
      <c r="C91" s="11">
        <v>0.61243055555555559</v>
      </c>
      <c r="D91" s="12">
        <v>0.62267361111111108</v>
      </c>
      <c r="E91" s="20">
        <f t="shared" si="2"/>
        <v>0</v>
      </c>
      <c r="F91">
        <f t="shared" si="3"/>
        <v>0</v>
      </c>
    </row>
    <row r="92" spans="1:6" x14ac:dyDescent="0.35">
      <c r="A92" s="5">
        <v>6920814</v>
      </c>
      <c r="B92" s="6">
        <v>42919</v>
      </c>
      <c r="C92" s="7">
        <v>0.6141550925925926</v>
      </c>
      <c r="D92" s="8">
        <v>0.61440972222222223</v>
      </c>
      <c r="E92" s="20">
        <f t="shared" si="2"/>
        <v>0</v>
      </c>
      <c r="F92">
        <f t="shared" si="3"/>
        <v>0</v>
      </c>
    </row>
    <row r="93" spans="1:6" x14ac:dyDescent="0.35">
      <c r="A93" s="9">
        <v>6161675</v>
      </c>
      <c r="B93" s="10">
        <v>42919</v>
      </c>
      <c r="C93" s="11">
        <v>0.61449074074074073</v>
      </c>
      <c r="D93" s="12">
        <v>0.62415509259259261</v>
      </c>
      <c r="E93" s="20">
        <f t="shared" si="2"/>
        <v>0</v>
      </c>
      <c r="F93">
        <f t="shared" si="3"/>
        <v>0</v>
      </c>
    </row>
    <row r="94" spans="1:6" x14ac:dyDescent="0.35">
      <c r="A94" s="5">
        <v>8498076</v>
      </c>
      <c r="B94" s="6">
        <v>42919</v>
      </c>
      <c r="C94" s="7">
        <v>0.61523148148148143</v>
      </c>
      <c r="D94" s="8">
        <v>0.62223379629629627</v>
      </c>
      <c r="E94" s="20">
        <f t="shared" si="2"/>
        <v>0</v>
      </c>
      <c r="F94">
        <f t="shared" si="3"/>
        <v>0</v>
      </c>
    </row>
    <row r="95" spans="1:6" x14ac:dyDescent="0.35">
      <c r="A95" s="9">
        <v>4174785</v>
      </c>
      <c r="B95" s="10">
        <v>42919</v>
      </c>
      <c r="C95" s="11">
        <v>0.61624999999999996</v>
      </c>
      <c r="D95" s="12">
        <v>0.62702546296296291</v>
      </c>
      <c r="E95" s="20">
        <f t="shared" si="2"/>
        <v>0</v>
      </c>
      <c r="F95">
        <f t="shared" si="3"/>
        <v>0</v>
      </c>
    </row>
    <row r="96" spans="1:6" x14ac:dyDescent="0.35">
      <c r="A96" s="5">
        <v>3776937</v>
      </c>
      <c r="B96" s="6">
        <v>42919</v>
      </c>
      <c r="C96" s="7">
        <v>0.61767361111111108</v>
      </c>
      <c r="D96" s="8">
        <v>0.6234143518518519</v>
      </c>
      <c r="E96" s="20">
        <f t="shared" si="2"/>
        <v>0</v>
      </c>
      <c r="F96">
        <f t="shared" si="3"/>
        <v>0</v>
      </c>
    </row>
    <row r="97" spans="1:6" x14ac:dyDescent="0.35">
      <c r="A97" s="9">
        <v>2636055</v>
      </c>
      <c r="B97" s="10">
        <v>42919</v>
      </c>
      <c r="C97" s="11">
        <v>0.62174768518518519</v>
      </c>
      <c r="D97" s="12">
        <v>0.62206018518518513</v>
      </c>
      <c r="E97" s="20">
        <f t="shared" si="2"/>
        <v>0</v>
      </c>
      <c r="F97">
        <f t="shared" si="3"/>
        <v>0</v>
      </c>
    </row>
    <row r="98" spans="1:6" x14ac:dyDescent="0.35">
      <c r="A98" s="5">
        <v>4555937</v>
      </c>
      <c r="B98" s="6">
        <v>42919</v>
      </c>
      <c r="C98" s="7">
        <v>0.62645833333333334</v>
      </c>
      <c r="D98" s="8">
        <v>0.63792824074074073</v>
      </c>
      <c r="E98" s="20">
        <f t="shared" si="2"/>
        <v>0</v>
      </c>
      <c r="F98">
        <f t="shared" si="3"/>
        <v>0</v>
      </c>
    </row>
    <row r="99" spans="1:6" x14ac:dyDescent="0.35">
      <c r="A99" s="9">
        <v>80306197</v>
      </c>
      <c r="B99" s="10">
        <v>42920</v>
      </c>
      <c r="C99" s="11">
        <v>0.33644675925925926</v>
      </c>
      <c r="D99" s="12">
        <v>0.33884259259259258</v>
      </c>
      <c r="E99" s="20">
        <f t="shared" si="2"/>
        <v>0</v>
      </c>
      <c r="F99">
        <f t="shared" si="3"/>
        <v>0</v>
      </c>
    </row>
    <row r="100" spans="1:6" x14ac:dyDescent="0.35">
      <c r="A100" s="5">
        <v>99162491</v>
      </c>
      <c r="B100" s="6">
        <v>42920</v>
      </c>
      <c r="C100" s="7">
        <v>0.33944444444444444</v>
      </c>
      <c r="D100" s="8">
        <v>0.35085648148148146</v>
      </c>
      <c r="E100" s="20">
        <f t="shared" si="2"/>
        <v>0</v>
      </c>
      <c r="F100">
        <f t="shared" si="3"/>
        <v>0</v>
      </c>
    </row>
    <row r="101" spans="1:6" x14ac:dyDescent="0.35">
      <c r="A101" s="9">
        <v>2109147679</v>
      </c>
      <c r="B101" s="10">
        <v>42920</v>
      </c>
      <c r="C101" s="11">
        <v>0.34505787037037039</v>
      </c>
      <c r="D101" s="12">
        <v>0.35395833333333332</v>
      </c>
      <c r="E101" s="20">
        <f t="shared" si="2"/>
        <v>0</v>
      </c>
      <c r="F101">
        <f t="shared" si="3"/>
        <v>0</v>
      </c>
    </row>
    <row r="102" spans="1:6" x14ac:dyDescent="0.35">
      <c r="A102" s="5">
        <v>9422310</v>
      </c>
      <c r="B102" s="6">
        <v>42920</v>
      </c>
      <c r="C102" s="7">
        <v>0.35071759259259261</v>
      </c>
      <c r="D102" s="8">
        <v>0.36206018518518518</v>
      </c>
      <c r="E102" s="20">
        <f t="shared" si="2"/>
        <v>0</v>
      </c>
      <c r="F102">
        <f t="shared" si="3"/>
        <v>0</v>
      </c>
    </row>
    <row r="103" spans="1:6" x14ac:dyDescent="0.35">
      <c r="A103" s="9">
        <v>20679187</v>
      </c>
      <c r="B103" s="10">
        <v>42920</v>
      </c>
      <c r="C103" s="11">
        <v>0.35372685185185188</v>
      </c>
      <c r="D103" s="12">
        <v>0.3595949074074074</v>
      </c>
      <c r="E103" s="20">
        <f t="shared" si="2"/>
        <v>0</v>
      </c>
      <c r="F103">
        <f t="shared" si="3"/>
        <v>0</v>
      </c>
    </row>
    <row r="104" spans="1:6" x14ac:dyDescent="0.35">
      <c r="A104" s="5">
        <v>6087997</v>
      </c>
      <c r="B104" s="6">
        <v>42920</v>
      </c>
      <c r="C104" s="7">
        <v>0.35653935185185187</v>
      </c>
      <c r="D104" s="8">
        <v>0.36062499999999997</v>
      </c>
      <c r="E104" s="20">
        <f t="shared" si="2"/>
        <v>0</v>
      </c>
      <c r="F104">
        <f t="shared" si="3"/>
        <v>0</v>
      </c>
    </row>
    <row r="105" spans="1:6" x14ac:dyDescent="0.35">
      <c r="A105" s="9">
        <v>20679187</v>
      </c>
      <c r="B105" s="10">
        <v>42920</v>
      </c>
      <c r="C105" s="11">
        <v>0.35850694444444442</v>
      </c>
      <c r="D105" s="12">
        <v>0.36371527777777779</v>
      </c>
      <c r="E105" s="20">
        <f t="shared" si="2"/>
        <v>0</v>
      </c>
      <c r="F105">
        <f t="shared" si="3"/>
        <v>0</v>
      </c>
    </row>
    <row r="106" spans="1:6" x14ac:dyDescent="0.35">
      <c r="A106" s="5">
        <v>5253133</v>
      </c>
      <c r="B106" s="6">
        <v>42920</v>
      </c>
      <c r="C106" s="7">
        <v>0.35986111111111113</v>
      </c>
      <c r="D106" s="8">
        <v>0.36961805555555555</v>
      </c>
      <c r="E106" s="20">
        <f t="shared" si="2"/>
        <v>0</v>
      </c>
      <c r="F106">
        <f t="shared" si="3"/>
        <v>0</v>
      </c>
    </row>
    <row r="107" spans="1:6" x14ac:dyDescent="0.35">
      <c r="A107" s="9">
        <v>96949751</v>
      </c>
      <c r="B107" s="10">
        <v>42920</v>
      </c>
      <c r="C107" s="11">
        <v>0.36465277777777777</v>
      </c>
      <c r="D107" s="12">
        <v>0.36525462962962962</v>
      </c>
      <c r="E107" s="20">
        <f t="shared" si="2"/>
        <v>0</v>
      </c>
      <c r="F107">
        <f t="shared" si="3"/>
        <v>0</v>
      </c>
    </row>
    <row r="108" spans="1:6" x14ac:dyDescent="0.35">
      <c r="A108" s="5">
        <v>1508356</v>
      </c>
      <c r="B108" s="6">
        <v>42920</v>
      </c>
      <c r="C108" s="7">
        <v>0.37013888888888891</v>
      </c>
      <c r="D108" s="8">
        <v>0.38033564814814813</v>
      </c>
      <c r="E108" s="20">
        <f t="shared" si="2"/>
        <v>0</v>
      </c>
      <c r="F108">
        <f t="shared" si="3"/>
        <v>0</v>
      </c>
    </row>
    <row r="109" spans="1:6" x14ac:dyDescent="0.35">
      <c r="A109" s="9">
        <v>9171025</v>
      </c>
      <c r="B109" s="10">
        <v>42920</v>
      </c>
      <c r="C109" s="11">
        <v>0.37292824074074077</v>
      </c>
      <c r="D109" s="12">
        <v>0.38390046296296299</v>
      </c>
      <c r="E109" s="20">
        <f t="shared" si="2"/>
        <v>0</v>
      </c>
      <c r="F109">
        <f t="shared" si="3"/>
        <v>0</v>
      </c>
    </row>
    <row r="110" spans="1:6" x14ac:dyDescent="0.35">
      <c r="A110" s="5">
        <v>7191598</v>
      </c>
      <c r="B110" s="6">
        <v>42920</v>
      </c>
      <c r="C110" s="7">
        <v>0.37559027777777776</v>
      </c>
      <c r="D110" s="8">
        <v>0.37986111111111109</v>
      </c>
      <c r="E110" s="20">
        <f t="shared" si="2"/>
        <v>0</v>
      </c>
      <c r="F110">
        <f t="shared" si="3"/>
        <v>0</v>
      </c>
    </row>
    <row r="111" spans="1:6" x14ac:dyDescent="0.35">
      <c r="A111" s="9">
        <v>3505978</v>
      </c>
      <c r="B111" s="10">
        <v>42920</v>
      </c>
      <c r="C111" s="11">
        <v>0.37769675925925927</v>
      </c>
      <c r="D111" s="12">
        <v>0.38211805555555556</v>
      </c>
      <c r="E111" s="20">
        <f t="shared" si="2"/>
        <v>0</v>
      </c>
      <c r="F111">
        <f t="shared" si="3"/>
        <v>0</v>
      </c>
    </row>
    <row r="112" spans="1:6" x14ac:dyDescent="0.35">
      <c r="A112" s="5">
        <v>90533733</v>
      </c>
      <c r="B112" s="6">
        <v>42920</v>
      </c>
      <c r="C112" s="7">
        <v>0.38092592592592595</v>
      </c>
      <c r="D112" s="8">
        <v>0.38866898148148149</v>
      </c>
      <c r="E112" s="20">
        <f t="shared" si="2"/>
        <v>0</v>
      </c>
      <c r="F112">
        <f t="shared" si="3"/>
        <v>0</v>
      </c>
    </row>
    <row r="113" spans="1:6" x14ac:dyDescent="0.35">
      <c r="A113" s="9">
        <v>6859181</v>
      </c>
      <c r="B113" s="10">
        <v>42920</v>
      </c>
      <c r="C113" s="11">
        <v>0.38188657407407406</v>
      </c>
      <c r="D113" s="12">
        <v>0.38545138888888891</v>
      </c>
      <c r="E113" s="20">
        <f t="shared" si="2"/>
        <v>0</v>
      </c>
      <c r="F113">
        <f t="shared" si="3"/>
        <v>0</v>
      </c>
    </row>
    <row r="114" spans="1:6" x14ac:dyDescent="0.35">
      <c r="A114" s="5">
        <v>7207066</v>
      </c>
      <c r="B114" s="6">
        <v>42920</v>
      </c>
      <c r="C114" s="7">
        <v>0.3862962962962963</v>
      </c>
      <c r="D114" s="8">
        <v>0.3883449074074074</v>
      </c>
      <c r="E114" s="20">
        <f t="shared" si="2"/>
        <v>0</v>
      </c>
      <c r="F114">
        <f t="shared" si="3"/>
        <v>0</v>
      </c>
    </row>
    <row r="115" spans="1:6" x14ac:dyDescent="0.35">
      <c r="A115" s="9">
        <v>4230507</v>
      </c>
      <c r="B115" s="10">
        <v>42920</v>
      </c>
      <c r="C115" s="11">
        <v>0.38763888888888887</v>
      </c>
      <c r="D115" s="12">
        <v>0.39317129629629627</v>
      </c>
      <c r="E115" s="20">
        <f t="shared" si="2"/>
        <v>0</v>
      </c>
      <c r="F115">
        <f t="shared" si="3"/>
        <v>0</v>
      </c>
    </row>
    <row r="116" spans="1:6" x14ac:dyDescent="0.35">
      <c r="A116" s="5">
        <v>2915745</v>
      </c>
      <c r="B116" s="6">
        <v>42920</v>
      </c>
      <c r="C116" s="7">
        <v>0.39210648148148147</v>
      </c>
      <c r="D116" s="8">
        <v>0.39277777777777778</v>
      </c>
      <c r="E116" s="20">
        <f t="shared" si="2"/>
        <v>0</v>
      </c>
      <c r="F116">
        <f t="shared" si="3"/>
        <v>0</v>
      </c>
    </row>
    <row r="117" spans="1:6" x14ac:dyDescent="0.35">
      <c r="A117" s="9">
        <v>2235911</v>
      </c>
      <c r="B117" s="10">
        <v>42920</v>
      </c>
      <c r="C117" s="11">
        <v>0.39656249999999998</v>
      </c>
      <c r="D117" s="12">
        <v>0.40236111111111111</v>
      </c>
      <c r="E117" s="20">
        <f t="shared" si="2"/>
        <v>0</v>
      </c>
      <c r="F117">
        <f t="shared" si="3"/>
        <v>0</v>
      </c>
    </row>
    <row r="118" spans="1:6" x14ac:dyDescent="0.35">
      <c r="A118" s="5">
        <v>1611389</v>
      </c>
      <c r="B118" s="6">
        <v>42920</v>
      </c>
      <c r="C118" s="7">
        <v>0.39879629629629632</v>
      </c>
      <c r="D118" s="8">
        <v>0.41033564814814816</v>
      </c>
      <c r="E118" s="20">
        <f t="shared" si="2"/>
        <v>0</v>
      </c>
      <c r="F118">
        <f t="shared" si="3"/>
        <v>0</v>
      </c>
    </row>
    <row r="119" spans="1:6" x14ac:dyDescent="0.35">
      <c r="A119" s="9">
        <v>9052652</v>
      </c>
      <c r="B119" s="10">
        <v>42920</v>
      </c>
      <c r="C119" s="11">
        <v>0.3997337962962963</v>
      </c>
      <c r="D119" s="12">
        <v>0.40465277777777775</v>
      </c>
      <c r="E119" s="20">
        <f t="shared" si="2"/>
        <v>0</v>
      </c>
      <c r="F119">
        <f t="shared" si="3"/>
        <v>0</v>
      </c>
    </row>
    <row r="120" spans="1:6" x14ac:dyDescent="0.35">
      <c r="A120" s="5">
        <v>93611539</v>
      </c>
      <c r="B120" s="6">
        <v>42920</v>
      </c>
      <c r="C120" s="7">
        <v>0.40133101851851855</v>
      </c>
      <c r="D120" s="8">
        <v>0.40964120370370372</v>
      </c>
      <c r="E120" s="20">
        <f t="shared" si="2"/>
        <v>0</v>
      </c>
      <c r="F120">
        <f t="shared" si="3"/>
        <v>0</v>
      </c>
    </row>
    <row r="121" spans="1:6" x14ac:dyDescent="0.35">
      <c r="A121" s="9">
        <v>68966479</v>
      </c>
      <c r="B121" s="10">
        <v>42920</v>
      </c>
      <c r="C121" s="11">
        <v>0.40493055555555557</v>
      </c>
      <c r="D121" s="12">
        <v>0.40618055555555554</v>
      </c>
      <c r="E121" s="20">
        <f t="shared" si="2"/>
        <v>0</v>
      </c>
      <c r="F121">
        <f t="shared" si="3"/>
        <v>0</v>
      </c>
    </row>
    <row r="122" spans="1:6" x14ac:dyDescent="0.35">
      <c r="A122" s="5">
        <v>79381100</v>
      </c>
      <c r="B122" s="6">
        <v>42920</v>
      </c>
      <c r="C122" s="7">
        <v>0.40614583333333332</v>
      </c>
      <c r="D122" s="8">
        <v>0.41761574074074076</v>
      </c>
      <c r="E122" s="20">
        <f t="shared" si="2"/>
        <v>0</v>
      </c>
      <c r="F122">
        <f t="shared" si="3"/>
        <v>0</v>
      </c>
    </row>
    <row r="123" spans="1:6" x14ac:dyDescent="0.35">
      <c r="A123" s="9">
        <v>4697138</v>
      </c>
      <c r="B123" s="10">
        <v>42920</v>
      </c>
      <c r="C123" s="11">
        <v>0.40737268518518521</v>
      </c>
      <c r="D123" s="12">
        <v>0.4102777777777778</v>
      </c>
      <c r="E123" s="20">
        <f t="shared" si="2"/>
        <v>0</v>
      </c>
      <c r="F123">
        <f t="shared" si="3"/>
        <v>0</v>
      </c>
    </row>
    <row r="124" spans="1:6" x14ac:dyDescent="0.35">
      <c r="A124" s="5">
        <v>5786740</v>
      </c>
      <c r="B124" s="6">
        <v>42920</v>
      </c>
      <c r="C124" s="7">
        <v>0.40796296296296297</v>
      </c>
      <c r="D124" s="8">
        <v>0.41495370370370371</v>
      </c>
      <c r="E124" s="20">
        <f t="shared" si="2"/>
        <v>0</v>
      </c>
      <c r="F124">
        <f t="shared" si="3"/>
        <v>0</v>
      </c>
    </row>
    <row r="125" spans="1:6" x14ac:dyDescent="0.35">
      <c r="A125" s="9">
        <v>7727942</v>
      </c>
      <c r="B125" s="10">
        <v>42920</v>
      </c>
      <c r="C125" s="11">
        <v>0.41097222222222224</v>
      </c>
      <c r="D125" s="12">
        <v>0.41613425925925923</v>
      </c>
      <c r="E125" s="20">
        <f t="shared" si="2"/>
        <v>0</v>
      </c>
      <c r="F125">
        <f t="shared" si="3"/>
        <v>0</v>
      </c>
    </row>
    <row r="126" spans="1:6" x14ac:dyDescent="0.35">
      <c r="A126" s="5">
        <v>8384647</v>
      </c>
      <c r="B126" s="6">
        <v>42920</v>
      </c>
      <c r="C126" s="7">
        <v>0.4110300925925926</v>
      </c>
      <c r="D126" s="8">
        <v>0.42162037037037037</v>
      </c>
      <c r="E126" s="20">
        <f t="shared" si="2"/>
        <v>0</v>
      </c>
      <c r="F126">
        <f t="shared" si="3"/>
        <v>0</v>
      </c>
    </row>
    <row r="127" spans="1:6" x14ac:dyDescent="0.35">
      <c r="A127" s="9">
        <v>1858872516</v>
      </c>
      <c r="B127" s="10">
        <v>42920</v>
      </c>
      <c r="C127" s="11">
        <v>0.41510416666666666</v>
      </c>
      <c r="D127" s="12">
        <v>0.41668981481481482</v>
      </c>
      <c r="E127" s="20">
        <f t="shared" si="2"/>
        <v>0</v>
      </c>
      <c r="F127">
        <f t="shared" si="3"/>
        <v>0</v>
      </c>
    </row>
    <row r="128" spans="1:6" x14ac:dyDescent="0.35">
      <c r="A128" s="5">
        <v>4546455</v>
      </c>
      <c r="B128" s="6">
        <v>42920</v>
      </c>
      <c r="C128" s="7">
        <v>0.41912037037037037</v>
      </c>
      <c r="D128" s="8">
        <v>0.42031249999999998</v>
      </c>
      <c r="E128" s="20">
        <f t="shared" si="2"/>
        <v>0</v>
      </c>
      <c r="F128">
        <f t="shared" si="3"/>
        <v>0</v>
      </c>
    </row>
    <row r="129" spans="1:6" x14ac:dyDescent="0.35">
      <c r="A129" s="9">
        <v>2668991</v>
      </c>
      <c r="B129" s="10">
        <v>42920</v>
      </c>
      <c r="C129" s="11">
        <v>0.42249999999999999</v>
      </c>
      <c r="D129" s="12">
        <v>0.42834490740740738</v>
      </c>
      <c r="E129" s="20">
        <f t="shared" si="2"/>
        <v>0</v>
      </c>
      <c r="F129">
        <f t="shared" si="3"/>
        <v>0</v>
      </c>
    </row>
    <row r="130" spans="1:6" x14ac:dyDescent="0.35">
      <c r="A130" s="5">
        <v>5528648</v>
      </c>
      <c r="B130" s="6">
        <v>42920</v>
      </c>
      <c r="C130" s="7">
        <v>0.42591435185185184</v>
      </c>
      <c r="D130" s="8">
        <v>0.43486111111111109</v>
      </c>
      <c r="E130" s="20">
        <f t="shared" si="2"/>
        <v>0</v>
      </c>
      <c r="F130">
        <f t="shared" si="3"/>
        <v>0</v>
      </c>
    </row>
    <row r="131" spans="1:6" x14ac:dyDescent="0.35">
      <c r="A131" s="9">
        <v>2157195</v>
      </c>
      <c r="B131" s="10">
        <v>42920</v>
      </c>
      <c r="C131" s="11">
        <v>0.42942129629629627</v>
      </c>
      <c r="D131" s="12">
        <v>0.4349189814814815</v>
      </c>
      <c r="E131" s="20">
        <f t="shared" ref="E131:E194" si="4">IF(F131=1,D131-C131,0)</f>
        <v>0</v>
      </c>
      <c r="F131">
        <f t="shared" ref="F131:F194" si="5">IF(AND(LEN(A131)=7,LEFT(A131,2) = "12"),1,0)</f>
        <v>0</v>
      </c>
    </row>
    <row r="132" spans="1:6" x14ac:dyDescent="0.35">
      <c r="A132" s="5">
        <v>7747085</v>
      </c>
      <c r="B132" s="6">
        <v>42920</v>
      </c>
      <c r="C132" s="7">
        <v>0.43247685185185186</v>
      </c>
      <c r="D132" s="8">
        <v>0.43613425925925925</v>
      </c>
      <c r="E132" s="20">
        <f t="shared" si="4"/>
        <v>0</v>
      </c>
      <c r="F132">
        <f t="shared" si="5"/>
        <v>0</v>
      </c>
    </row>
    <row r="133" spans="1:6" x14ac:dyDescent="0.35">
      <c r="A133" s="9">
        <v>6865106</v>
      </c>
      <c r="B133" s="10">
        <v>42920</v>
      </c>
      <c r="C133" s="11">
        <v>0.43741898148148151</v>
      </c>
      <c r="D133" s="12">
        <v>0.44848379629629631</v>
      </c>
      <c r="E133" s="20">
        <f t="shared" si="4"/>
        <v>0</v>
      </c>
      <c r="F133">
        <f t="shared" si="5"/>
        <v>0</v>
      </c>
    </row>
    <row r="134" spans="1:6" x14ac:dyDescent="0.35">
      <c r="A134" s="5">
        <v>8819206</v>
      </c>
      <c r="B134" s="6">
        <v>42920</v>
      </c>
      <c r="C134" s="7">
        <v>0.44068287037037035</v>
      </c>
      <c r="D134" s="8">
        <v>0.44912037037037039</v>
      </c>
      <c r="E134" s="20">
        <f t="shared" si="4"/>
        <v>0</v>
      </c>
      <c r="F134">
        <f t="shared" si="5"/>
        <v>0</v>
      </c>
    </row>
    <row r="135" spans="1:6" x14ac:dyDescent="0.35">
      <c r="A135" s="9">
        <v>3990337</v>
      </c>
      <c r="B135" s="10">
        <v>42920</v>
      </c>
      <c r="C135" s="11">
        <v>0.44158564814814816</v>
      </c>
      <c r="D135" s="12">
        <v>0.4470601851851852</v>
      </c>
      <c r="E135" s="20">
        <f t="shared" si="4"/>
        <v>0</v>
      </c>
      <c r="F135">
        <f t="shared" si="5"/>
        <v>0</v>
      </c>
    </row>
    <row r="136" spans="1:6" x14ac:dyDescent="0.35">
      <c r="A136" s="5">
        <v>4238684</v>
      </c>
      <c r="B136" s="6">
        <v>42920</v>
      </c>
      <c r="C136" s="7">
        <v>0.44466435185185182</v>
      </c>
      <c r="D136" s="8">
        <v>0.4535763888888889</v>
      </c>
      <c r="E136" s="20">
        <f t="shared" si="4"/>
        <v>0</v>
      </c>
      <c r="F136">
        <f t="shared" si="5"/>
        <v>0</v>
      </c>
    </row>
    <row r="137" spans="1:6" x14ac:dyDescent="0.35">
      <c r="A137" s="9">
        <v>86774913</v>
      </c>
      <c r="B137" s="10">
        <v>42920</v>
      </c>
      <c r="C137" s="11">
        <v>0.44548611111111114</v>
      </c>
      <c r="D137" s="12">
        <v>0.4541898148148148</v>
      </c>
      <c r="E137" s="20">
        <f t="shared" si="4"/>
        <v>0</v>
      </c>
      <c r="F137">
        <f t="shared" si="5"/>
        <v>0</v>
      </c>
    </row>
    <row r="138" spans="1:6" x14ac:dyDescent="0.35">
      <c r="A138" s="5">
        <v>93696449</v>
      </c>
      <c r="B138" s="6">
        <v>42920</v>
      </c>
      <c r="C138" s="7">
        <v>0.45063657407407409</v>
      </c>
      <c r="D138" s="8">
        <v>0.45581018518518518</v>
      </c>
      <c r="E138" s="20">
        <f t="shared" si="4"/>
        <v>0</v>
      </c>
      <c r="F138">
        <f t="shared" si="5"/>
        <v>0</v>
      </c>
    </row>
    <row r="139" spans="1:6" x14ac:dyDescent="0.35">
      <c r="A139" s="9">
        <v>1269611</v>
      </c>
      <c r="B139" s="10">
        <v>42920</v>
      </c>
      <c r="C139" s="11">
        <v>0.45596064814814813</v>
      </c>
      <c r="D139" s="12">
        <v>0.46010416666666665</v>
      </c>
      <c r="E139" s="20">
        <f t="shared" si="4"/>
        <v>4.1435185185185186E-3</v>
      </c>
      <c r="F139">
        <f t="shared" si="5"/>
        <v>1</v>
      </c>
    </row>
    <row r="140" spans="1:6" x14ac:dyDescent="0.35">
      <c r="A140" s="5">
        <v>4623731</v>
      </c>
      <c r="B140" s="6">
        <v>42920</v>
      </c>
      <c r="C140" s="7">
        <v>0.46053240740740742</v>
      </c>
      <c r="D140" s="8">
        <v>0.47131944444444446</v>
      </c>
      <c r="E140" s="20">
        <f t="shared" si="4"/>
        <v>0</v>
      </c>
      <c r="F140">
        <f t="shared" si="5"/>
        <v>0</v>
      </c>
    </row>
    <row r="141" spans="1:6" x14ac:dyDescent="0.35">
      <c r="A141" s="9">
        <v>4623731</v>
      </c>
      <c r="B141" s="10">
        <v>42920</v>
      </c>
      <c r="C141" s="11">
        <v>0.46423611111111113</v>
      </c>
      <c r="D141" s="12">
        <v>0.46842592592592591</v>
      </c>
      <c r="E141" s="20">
        <f t="shared" si="4"/>
        <v>0</v>
      </c>
      <c r="F141">
        <f t="shared" si="5"/>
        <v>0</v>
      </c>
    </row>
    <row r="142" spans="1:6" x14ac:dyDescent="0.35">
      <c r="A142" s="5">
        <v>3127402</v>
      </c>
      <c r="B142" s="6">
        <v>42920</v>
      </c>
      <c r="C142" s="7">
        <v>0.46861111111111109</v>
      </c>
      <c r="D142" s="8">
        <v>0.47747685185185185</v>
      </c>
      <c r="E142" s="20">
        <f t="shared" si="4"/>
        <v>0</v>
      </c>
      <c r="F142">
        <f t="shared" si="5"/>
        <v>0</v>
      </c>
    </row>
    <row r="143" spans="1:6" x14ac:dyDescent="0.35">
      <c r="A143" s="9">
        <v>1714791</v>
      </c>
      <c r="B143" s="10">
        <v>42920</v>
      </c>
      <c r="C143" s="11">
        <v>0.47230324074074076</v>
      </c>
      <c r="D143" s="12">
        <v>0.47288194444444442</v>
      </c>
      <c r="E143" s="20">
        <f t="shared" si="4"/>
        <v>0</v>
      </c>
      <c r="F143">
        <f t="shared" si="5"/>
        <v>0</v>
      </c>
    </row>
    <row r="144" spans="1:6" x14ac:dyDescent="0.35">
      <c r="A144" s="5">
        <v>7768277</v>
      </c>
      <c r="B144" s="6">
        <v>42920</v>
      </c>
      <c r="C144" s="7">
        <v>0.47453703703703703</v>
      </c>
      <c r="D144" s="8">
        <v>0.4800462962962963</v>
      </c>
      <c r="E144" s="20">
        <f t="shared" si="4"/>
        <v>0</v>
      </c>
      <c r="F144">
        <f t="shared" si="5"/>
        <v>0</v>
      </c>
    </row>
    <row r="145" spans="1:6" x14ac:dyDescent="0.35">
      <c r="A145" s="9">
        <v>4371394</v>
      </c>
      <c r="B145" s="10">
        <v>42920</v>
      </c>
      <c r="C145" s="11">
        <v>0.47967592592592595</v>
      </c>
      <c r="D145" s="12">
        <v>0.48236111111111113</v>
      </c>
      <c r="E145" s="20">
        <f t="shared" si="4"/>
        <v>0</v>
      </c>
      <c r="F145">
        <f t="shared" si="5"/>
        <v>0</v>
      </c>
    </row>
    <row r="146" spans="1:6" x14ac:dyDescent="0.35">
      <c r="A146" s="5">
        <v>9803545</v>
      </c>
      <c r="B146" s="6">
        <v>42920</v>
      </c>
      <c r="C146" s="7">
        <v>0.47978009259259258</v>
      </c>
      <c r="D146" s="8">
        <v>0.49125000000000002</v>
      </c>
      <c r="E146" s="20">
        <f t="shared" si="4"/>
        <v>0</v>
      </c>
      <c r="F146">
        <f t="shared" si="5"/>
        <v>0</v>
      </c>
    </row>
    <row r="147" spans="1:6" x14ac:dyDescent="0.35">
      <c r="A147" s="9">
        <v>4176704</v>
      </c>
      <c r="B147" s="10">
        <v>42920</v>
      </c>
      <c r="C147" s="11">
        <v>0.47983796296296294</v>
      </c>
      <c r="D147" s="12">
        <v>0.48949074074074073</v>
      </c>
      <c r="E147" s="20">
        <f t="shared" si="4"/>
        <v>0</v>
      </c>
      <c r="F147">
        <f t="shared" si="5"/>
        <v>0</v>
      </c>
    </row>
    <row r="148" spans="1:6" x14ac:dyDescent="0.35">
      <c r="A148" s="5">
        <v>90271112</v>
      </c>
      <c r="B148" s="6">
        <v>42920</v>
      </c>
      <c r="C148" s="7">
        <v>0.4805787037037037</v>
      </c>
      <c r="D148" s="8">
        <v>0.48696759259259259</v>
      </c>
      <c r="E148" s="20">
        <f t="shared" si="4"/>
        <v>0</v>
      </c>
      <c r="F148">
        <f t="shared" si="5"/>
        <v>0</v>
      </c>
    </row>
    <row r="149" spans="1:6" x14ac:dyDescent="0.35">
      <c r="A149" s="9">
        <v>8136309</v>
      </c>
      <c r="B149" s="10">
        <v>42920</v>
      </c>
      <c r="C149" s="11">
        <v>0.48189814814814813</v>
      </c>
      <c r="D149" s="12">
        <v>0.49115740740740743</v>
      </c>
      <c r="E149" s="20">
        <f t="shared" si="4"/>
        <v>0</v>
      </c>
      <c r="F149">
        <f t="shared" si="5"/>
        <v>0</v>
      </c>
    </row>
    <row r="150" spans="1:6" x14ac:dyDescent="0.35">
      <c r="A150" s="5">
        <v>3178616</v>
      </c>
      <c r="B150" s="6">
        <v>42920</v>
      </c>
      <c r="C150" s="7">
        <v>0.48312500000000003</v>
      </c>
      <c r="D150" s="8">
        <v>0.49138888888888888</v>
      </c>
      <c r="E150" s="20">
        <f t="shared" si="4"/>
        <v>0</v>
      </c>
      <c r="F150">
        <f t="shared" si="5"/>
        <v>0</v>
      </c>
    </row>
    <row r="151" spans="1:6" x14ac:dyDescent="0.35">
      <c r="A151" s="9">
        <v>27791497</v>
      </c>
      <c r="B151" s="10">
        <v>42920</v>
      </c>
      <c r="C151" s="11">
        <v>0.48803240740740739</v>
      </c>
      <c r="D151" s="12">
        <v>0.49682870370370369</v>
      </c>
      <c r="E151" s="20">
        <f t="shared" si="4"/>
        <v>0</v>
      </c>
      <c r="F151">
        <f t="shared" si="5"/>
        <v>0</v>
      </c>
    </row>
    <row r="152" spans="1:6" x14ac:dyDescent="0.35">
      <c r="A152" s="5">
        <v>4738129</v>
      </c>
      <c r="B152" s="6">
        <v>42920</v>
      </c>
      <c r="C152" s="7">
        <v>0.48979166666666668</v>
      </c>
      <c r="D152" s="8">
        <v>0.500462962962963</v>
      </c>
      <c r="E152" s="20">
        <f t="shared" si="4"/>
        <v>0</v>
      </c>
      <c r="F152">
        <f t="shared" si="5"/>
        <v>0</v>
      </c>
    </row>
    <row r="153" spans="1:6" x14ac:dyDescent="0.35">
      <c r="A153" s="9">
        <v>54840810</v>
      </c>
      <c r="B153" s="10">
        <v>42920</v>
      </c>
      <c r="C153" s="11">
        <v>0.49430555555555555</v>
      </c>
      <c r="D153" s="12">
        <v>0.50231481481481477</v>
      </c>
      <c r="E153" s="20">
        <f t="shared" si="4"/>
        <v>0</v>
      </c>
      <c r="F153">
        <f t="shared" si="5"/>
        <v>0</v>
      </c>
    </row>
    <row r="154" spans="1:6" x14ac:dyDescent="0.35">
      <c r="A154" s="5">
        <v>8885606</v>
      </c>
      <c r="B154" s="6">
        <v>42920</v>
      </c>
      <c r="C154" s="7">
        <v>0.49984953703703705</v>
      </c>
      <c r="D154" s="8">
        <v>0.50960648148148147</v>
      </c>
      <c r="E154" s="20">
        <f t="shared" si="4"/>
        <v>0</v>
      </c>
      <c r="F154">
        <f t="shared" si="5"/>
        <v>0</v>
      </c>
    </row>
    <row r="155" spans="1:6" x14ac:dyDescent="0.35">
      <c r="A155" s="9">
        <v>6730442</v>
      </c>
      <c r="B155" s="10">
        <v>42920</v>
      </c>
      <c r="C155" s="11">
        <v>0.50063657407407403</v>
      </c>
      <c r="D155" s="12">
        <v>0.50876157407407407</v>
      </c>
      <c r="E155" s="20">
        <f t="shared" si="4"/>
        <v>0</v>
      </c>
      <c r="F155">
        <f t="shared" si="5"/>
        <v>0</v>
      </c>
    </row>
    <row r="156" spans="1:6" x14ac:dyDescent="0.35">
      <c r="A156" s="5">
        <v>3326913</v>
      </c>
      <c r="B156" s="6">
        <v>42920</v>
      </c>
      <c r="C156" s="7">
        <v>0.50594907407407408</v>
      </c>
      <c r="D156" s="8">
        <v>0.5154050925925926</v>
      </c>
      <c r="E156" s="20">
        <f t="shared" si="4"/>
        <v>0</v>
      </c>
      <c r="F156">
        <f t="shared" si="5"/>
        <v>0</v>
      </c>
    </row>
    <row r="157" spans="1:6" x14ac:dyDescent="0.35">
      <c r="A157" s="9">
        <v>9865716</v>
      </c>
      <c r="B157" s="10">
        <v>42920</v>
      </c>
      <c r="C157" s="11">
        <v>0.51076388888888891</v>
      </c>
      <c r="D157" s="12">
        <v>0.51890046296296299</v>
      </c>
      <c r="E157" s="20">
        <f t="shared" si="4"/>
        <v>0</v>
      </c>
      <c r="F157">
        <f t="shared" si="5"/>
        <v>0</v>
      </c>
    </row>
    <row r="158" spans="1:6" x14ac:dyDescent="0.35">
      <c r="A158" s="5">
        <v>73284745</v>
      </c>
      <c r="B158" s="6">
        <v>42920</v>
      </c>
      <c r="C158" s="7">
        <v>0.51451388888888894</v>
      </c>
      <c r="D158" s="8">
        <v>0.51857638888888891</v>
      </c>
      <c r="E158" s="20">
        <f t="shared" si="4"/>
        <v>0</v>
      </c>
      <c r="F158">
        <f t="shared" si="5"/>
        <v>0</v>
      </c>
    </row>
    <row r="159" spans="1:6" x14ac:dyDescent="0.35">
      <c r="A159" s="9">
        <v>1761255</v>
      </c>
      <c r="B159" s="10">
        <v>42920</v>
      </c>
      <c r="C159" s="11">
        <v>0.51958333333333329</v>
      </c>
      <c r="D159" s="12">
        <v>0.52266203703703706</v>
      </c>
      <c r="E159" s="20">
        <f t="shared" si="4"/>
        <v>0</v>
      </c>
      <c r="F159">
        <f t="shared" si="5"/>
        <v>0</v>
      </c>
    </row>
    <row r="160" spans="1:6" x14ac:dyDescent="0.35">
      <c r="A160" s="5">
        <v>48625903</v>
      </c>
      <c r="B160" s="6">
        <v>42920</v>
      </c>
      <c r="C160" s="7">
        <v>0.52303240740740742</v>
      </c>
      <c r="D160" s="8">
        <v>0.523900462962963</v>
      </c>
      <c r="E160" s="20">
        <f t="shared" si="4"/>
        <v>0</v>
      </c>
      <c r="F160">
        <f t="shared" si="5"/>
        <v>0</v>
      </c>
    </row>
    <row r="161" spans="1:6" x14ac:dyDescent="0.35">
      <c r="A161" s="9">
        <v>2235911</v>
      </c>
      <c r="B161" s="10">
        <v>42920</v>
      </c>
      <c r="C161" s="11">
        <v>0.52454861111111106</v>
      </c>
      <c r="D161" s="12">
        <v>0.53546296296296292</v>
      </c>
      <c r="E161" s="20">
        <f t="shared" si="4"/>
        <v>0</v>
      </c>
      <c r="F161">
        <f t="shared" si="5"/>
        <v>0</v>
      </c>
    </row>
    <row r="162" spans="1:6" x14ac:dyDescent="0.35">
      <c r="A162" s="5">
        <v>18036364</v>
      </c>
      <c r="B162" s="6">
        <v>42920</v>
      </c>
      <c r="C162" s="7">
        <v>0.53015046296296298</v>
      </c>
      <c r="D162" s="8">
        <v>0.53275462962962961</v>
      </c>
      <c r="E162" s="20">
        <f t="shared" si="4"/>
        <v>0</v>
      </c>
      <c r="F162">
        <f t="shared" si="5"/>
        <v>0</v>
      </c>
    </row>
    <row r="163" spans="1:6" x14ac:dyDescent="0.35">
      <c r="A163" s="9">
        <v>38063903</v>
      </c>
      <c r="B163" s="10">
        <v>42920</v>
      </c>
      <c r="C163" s="11">
        <v>0.53465277777777775</v>
      </c>
      <c r="D163" s="12">
        <v>0.53925925925925922</v>
      </c>
      <c r="E163" s="20">
        <f t="shared" si="4"/>
        <v>0</v>
      </c>
      <c r="F163">
        <f t="shared" si="5"/>
        <v>0</v>
      </c>
    </row>
    <row r="164" spans="1:6" x14ac:dyDescent="0.35">
      <c r="A164" s="5">
        <v>4555937</v>
      </c>
      <c r="B164" s="6">
        <v>42920</v>
      </c>
      <c r="C164" s="7">
        <v>0.53748842592592594</v>
      </c>
      <c r="D164" s="8">
        <v>0.54775462962962962</v>
      </c>
      <c r="E164" s="20">
        <f t="shared" si="4"/>
        <v>0</v>
      </c>
      <c r="F164">
        <f t="shared" si="5"/>
        <v>0</v>
      </c>
    </row>
    <row r="165" spans="1:6" x14ac:dyDescent="0.35">
      <c r="A165" s="9">
        <v>9422310</v>
      </c>
      <c r="B165" s="10">
        <v>42920</v>
      </c>
      <c r="C165" s="11">
        <v>0.54137731481481477</v>
      </c>
      <c r="D165" s="12">
        <v>0.5506712962962963</v>
      </c>
      <c r="E165" s="20">
        <f t="shared" si="4"/>
        <v>0</v>
      </c>
      <c r="F165">
        <f t="shared" si="5"/>
        <v>0</v>
      </c>
    </row>
    <row r="166" spans="1:6" x14ac:dyDescent="0.35">
      <c r="A166" s="5">
        <v>16999529</v>
      </c>
      <c r="B166" s="6">
        <v>42920</v>
      </c>
      <c r="C166" s="7">
        <v>0.54395833333333332</v>
      </c>
      <c r="D166" s="8">
        <v>0.54451388888888885</v>
      </c>
      <c r="E166" s="20">
        <f t="shared" si="4"/>
        <v>0</v>
      </c>
      <c r="F166">
        <f t="shared" si="5"/>
        <v>0</v>
      </c>
    </row>
    <row r="167" spans="1:6" x14ac:dyDescent="0.35">
      <c r="A167" s="9">
        <v>8385222</v>
      </c>
      <c r="B167" s="10">
        <v>42920</v>
      </c>
      <c r="C167" s="11">
        <v>0.5455092592592593</v>
      </c>
      <c r="D167" s="12">
        <v>0.54748842592592595</v>
      </c>
      <c r="E167" s="20">
        <f t="shared" si="4"/>
        <v>0</v>
      </c>
      <c r="F167">
        <f t="shared" si="5"/>
        <v>0</v>
      </c>
    </row>
    <row r="168" spans="1:6" x14ac:dyDescent="0.35">
      <c r="A168" s="5">
        <v>8086847</v>
      </c>
      <c r="B168" s="6">
        <v>42920</v>
      </c>
      <c r="C168" s="7">
        <v>0.54909722222222224</v>
      </c>
      <c r="D168" s="8">
        <v>0.5524768518518518</v>
      </c>
      <c r="E168" s="20">
        <f t="shared" si="4"/>
        <v>0</v>
      </c>
      <c r="F168">
        <f t="shared" si="5"/>
        <v>0</v>
      </c>
    </row>
    <row r="169" spans="1:6" x14ac:dyDescent="0.35">
      <c r="A169" s="9">
        <v>5215912</v>
      </c>
      <c r="B169" s="10">
        <v>42920</v>
      </c>
      <c r="C169" s="11">
        <v>0.5512731481481481</v>
      </c>
      <c r="D169" s="12">
        <v>0.55435185185185187</v>
      </c>
      <c r="E169" s="20">
        <f t="shared" si="4"/>
        <v>0</v>
      </c>
      <c r="F169">
        <f t="shared" si="5"/>
        <v>0</v>
      </c>
    </row>
    <row r="170" spans="1:6" x14ac:dyDescent="0.35">
      <c r="A170" s="5">
        <v>1973826522</v>
      </c>
      <c r="B170" s="6">
        <v>42920</v>
      </c>
      <c r="C170" s="7">
        <v>0.5553703703703704</v>
      </c>
      <c r="D170" s="8">
        <v>0.55833333333333335</v>
      </c>
      <c r="E170" s="20">
        <f t="shared" si="4"/>
        <v>0</v>
      </c>
      <c r="F170">
        <f t="shared" si="5"/>
        <v>0</v>
      </c>
    </row>
    <row r="171" spans="1:6" x14ac:dyDescent="0.35">
      <c r="A171" s="9">
        <v>2255197</v>
      </c>
      <c r="B171" s="10">
        <v>42920</v>
      </c>
      <c r="C171" s="11">
        <v>0.55905092592592598</v>
      </c>
      <c r="D171" s="12">
        <v>0.56342592592592589</v>
      </c>
      <c r="E171" s="20">
        <f t="shared" si="4"/>
        <v>0</v>
      </c>
      <c r="F171">
        <f t="shared" si="5"/>
        <v>0</v>
      </c>
    </row>
    <row r="172" spans="1:6" x14ac:dyDescent="0.35">
      <c r="A172" s="5">
        <v>6719542</v>
      </c>
      <c r="B172" s="6">
        <v>42920</v>
      </c>
      <c r="C172" s="7">
        <v>0.5638657407407407</v>
      </c>
      <c r="D172" s="8">
        <v>0.56425925925925924</v>
      </c>
      <c r="E172" s="20">
        <f t="shared" si="4"/>
        <v>0</v>
      </c>
      <c r="F172">
        <f t="shared" si="5"/>
        <v>0</v>
      </c>
    </row>
    <row r="173" spans="1:6" x14ac:dyDescent="0.35">
      <c r="A173" s="9">
        <v>1837797</v>
      </c>
      <c r="B173" s="10">
        <v>42920</v>
      </c>
      <c r="C173" s="11">
        <v>0.5688657407407407</v>
      </c>
      <c r="D173" s="12">
        <v>0.57524305555555555</v>
      </c>
      <c r="E173" s="20">
        <f t="shared" si="4"/>
        <v>0</v>
      </c>
      <c r="F173">
        <f t="shared" si="5"/>
        <v>0</v>
      </c>
    </row>
    <row r="174" spans="1:6" x14ac:dyDescent="0.35">
      <c r="A174" s="5">
        <v>6772052</v>
      </c>
      <c r="B174" s="6">
        <v>42920</v>
      </c>
      <c r="C174" s="7">
        <v>0.57204861111111116</v>
      </c>
      <c r="D174" s="8">
        <v>0.57371527777777775</v>
      </c>
      <c r="E174" s="20">
        <f t="shared" si="4"/>
        <v>0</v>
      </c>
      <c r="F174">
        <f t="shared" si="5"/>
        <v>0</v>
      </c>
    </row>
    <row r="175" spans="1:6" x14ac:dyDescent="0.35">
      <c r="A175" s="9">
        <v>6495517</v>
      </c>
      <c r="B175" s="10">
        <v>42920</v>
      </c>
      <c r="C175" s="11">
        <v>0.57347222222222227</v>
      </c>
      <c r="D175" s="12">
        <v>0.58420138888888884</v>
      </c>
      <c r="E175" s="20">
        <f t="shared" si="4"/>
        <v>0</v>
      </c>
      <c r="F175">
        <f t="shared" si="5"/>
        <v>0</v>
      </c>
    </row>
    <row r="176" spans="1:6" x14ac:dyDescent="0.35">
      <c r="A176" s="5">
        <v>6275284312</v>
      </c>
      <c r="B176" s="6">
        <v>42920</v>
      </c>
      <c r="C176" s="7">
        <v>0.57861111111111108</v>
      </c>
      <c r="D176" s="8">
        <v>0.58296296296296302</v>
      </c>
      <c r="E176" s="20">
        <f t="shared" si="4"/>
        <v>0</v>
      </c>
      <c r="F176">
        <f t="shared" si="5"/>
        <v>0</v>
      </c>
    </row>
    <row r="177" spans="1:6" x14ac:dyDescent="0.35">
      <c r="A177" s="9">
        <v>5997385</v>
      </c>
      <c r="B177" s="10">
        <v>42920</v>
      </c>
      <c r="C177" s="11">
        <v>0.58136574074074077</v>
      </c>
      <c r="D177" s="12">
        <v>0.58156249999999998</v>
      </c>
      <c r="E177" s="20">
        <f t="shared" si="4"/>
        <v>0</v>
      </c>
      <c r="F177">
        <f t="shared" si="5"/>
        <v>0</v>
      </c>
    </row>
    <row r="178" spans="1:6" x14ac:dyDescent="0.35">
      <c r="A178" s="5">
        <v>54586484</v>
      </c>
      <c r="B178" s="6">
        <v>42920</v>
      </c>
      <c r="C178" s="7">
        <v>0.58335648148148145</v>
      </c>
      <c r="D178" s="8">
        <v>0.5841319444444445</v>
      </c>
      <c r="E178" s="20">
        <f t="shared" si="4"/>
        <v>0</v>
      </c>
      <c r="F178">
        <f t="shared" si="5"/>
        <v>0</v>
      </c>
    </row>
    <row r="179" spans="1:6" x14ac:dyDescent="0.35">
      <c r="A179" s="9">
        <v>8449157</v>
      </c>
      <c r="B179" s="10">
        <v>42920</v>
      </c>
      <c r="C179" s="11">
        <v>0.58377314814814818</v>
      </c>
      <c r="D179" s="12">
        <v>0.59186342592592589</v>
      </c>
      <c r="E179" s="20">
        <f t="shared" si="4"/>
        <v>0</v>
      </c>
      <c r="F179">
        <f t="shared" si="5"/>
        <v>0</v>
      </c>
    </row>
    <row r="180" spans="1:6" x14ac:dyDescent="0.35">
      <c r="A180" s="5">
        <v>1301099</v>
      </c>
      <c r="B180" s="6">
        <v>42920</v>
      </c>
      <c r="C180" s="7">
        <v>0.58452546296296293</v>
      </c>
      <c r="D180" s="8">
        <v>0.58862268518518523</v>
      </c>
      <c r="E180" s="20">
        <f t="shared" si="4"/>
        <v>0</v>
      </c>
      <c r="F180">
        <f t="shared" si="5"/>
        <v>0</v>
      </c>
    </row>
    <row r="181" spans="1:6" x14ac:dyDescent="0.35">
      <c r="A181" s="9">
        <v>1774304298</v>
      </c>
      <c r="B181" s="10">
        <v>42920</v>
      </c>
      <c r="C181" s="11">
        <v>0.58452546296296293</v>
      </c>
      <c r="D181" s="12">
        <v>0.59087962962962959</v>
      </c>
      <c r="E181" s="20">
        <f t="shared" si="4"/>
        <v>0</v>
      </c>
      <c r="F181">
        <f t="shared" si="5"/>
        <v>0</v>
      </c>
    </row>
    <row r="182" spans="1:6" x14ac:dyDescent="0.35">
      <c r="A182" s="5">
        <v>52165701</v>
      </c>
      <c r="B182" s="6">
        <v>42920</v>
      </c>
      <c r="C182" s="7">
        <v>0.59018518518518515</v>
      </c>
      <c r="D182" s="8">
        <v>0.60047453703703701</v>
      </c>
      <c r="E182" s="20">
        <f t="shared" si="4"/>
        <v>0</v>
      </c>
      <c r="F182">
        <f t="shared" si="5"/>
        <v>0</v>
      </c>
    </row>
    <row r="183" spans="1:6" x14ac:dyDescent="0.35">
      <c r="A183" s="9">
        <v>49158974</v>
      </c>
      <c r="B183" s="10">
        <v>42920</v>
      </c>
      <c r="C183" s="11">
        <v>0.59425925925925926</v>
      </c>
      <c r="D183" s="12">
        <v>0.59886574074074073</v>
      </c>
      <c r="E183" s="20">
        <f t="shared" si="4"/>
        <v>0</v>
      </c>
      <c r="F183">
        <f t="shared" si="5"/>
        <v>0</v>
      </c>
    </row>
    <row r="184" spans="1:6" x14ac:dyDescent="0.35">
      <c r="A184" s="5">
        <v>6231537</v>
      </c>
      <c r="B184" s="6">
        <v>42920</v>
      </c>
      <c r="C184" s="7">
        <v>0.59767361111111106</v>
      </c>
      <c r="D184" s="8">
        <v>0.6026273148148148</v>
      </c>
      <c r="E184" s="20">
        <f t="shared" si="4"/>
        <v>0</v>
      </c>
      <c r="F184">
        <f t="shared" si="5"/>
        <v>0</v>
      </c>
    </row>
    <row r="185" spans="1:6" x14ac:dyDescent="0.35">
      <c r="A185" s="9">
        <v>6965661375</v>
      </c>
      <c r="B185" s="10">
        <v>42920</v>
      </c>
      <c r="C185" s="11">
        <v>0.59995370370370371</v>
      </c>
      <c r="D185" s="12">
        <v>0.60442129629629626</v>
      </c>
      <c r="E185" s="20">
        <f t="shared" si="4"/>
        <v>0</v>
      </c>
      <c r="F185">
        <f t="shared" si="5"/>
        <v>0</v>
      </c>
    </row>
    <row r="186" spans="1:6" x14ac:dyDescent="0.35">
      <c r="A186" s="5">
        <v>4555937</v>
      </c>
      <c r="B186" s="6">
        <v>42920</v>
      </c>
      <c r="C186" s="7">
        <v>0.60509259259259263</v>
      </c>
      <c r="D186" s="8">
        <v>0.60509259259259263</v>
      </c>
      <c r="E186" s="20">
        <f t="shared" si="4"/>
        <v>0</v>
      </c>
      <c r="F186">
        <f t="shared" si="5"/>
        <v>0</v>
      </c>
    </row>
    <row r="187" spans="1:6" x14ac:dyDescent="0.35">
      <c r="A187" s="9">
        <v>8831940</v>
      </c>
      <c r="B187" s="10">
        <v>42920</v>
      </c>
      <c r="C187" s="11">
        <v>0.6066435185185185</v>
      </c>
      <c r="D187" s="12">
        <v>0.61133101851851857</v>
      </c>
      <c r="E187" s="20">
        <f t="shared" si="4"/>
        <v>0</v>
      </c>
      <c r="F187">
        <f t="shared" si="5"/>
        <v>0</v>
      </c>
    </row>
    <row r="188" spans="1:6" x14ac:dyDescent="0.35">
      <c r="A188" s="5">
        <v>7421868</v>
      </c>
      <c r="B188" s="6">
        <v>42920</v>
      </c>
      <c r="C188" s="7">
        <v>0.61136574074074079</v>
      </c>
      <c r="D188" s="8">
        <v>0.61636574074074069</v>
      </c>
      <c r="E188" s="20">
        <f t="shared" si="4"/>
        <v>0</v>
      </c>
      <c r="F188">
        <f t="shared" si="5"/>
        <v>0</v>
      </c>
    </row>
    <row r="189" spans="1:6" x14ac:dyDescent="0.35">
      <c r="A189" s="9">
        <v>5131341</v>
      </c>
      <c r="B189" s="10">
        <v>42920</v>
      </c>
      <c r="C189" s="11">
        <v>0.61186342592592591</v>
      </c>
      <c r="D189" s="12">
        <v>0.61896990740740743</v>
      </c>
      <c r="E189" s="20">
        <f t="shared" si="4"/>
        <v>0</v>
      </c>
      <c r="F189">
        <f t="shared" si="5"/>
        <v>0</v>
      </c>
    </row>
    <row r="190" spans="1:6" x14ac:dyDescent="0.35">
      <c r="A190" s="5">
        <v>3121850</v>
      </c>
      <c r="B190" s="6">
        <v>42920</v>
      </c>
      <c r="C190" s="7">
        <v>0.61410879629629633</v>
      </c>
      <c r="D190" s="8">
        <v>0.6216666666666667</v>
      </c>
      <c r="E190" s="20">
        <f t="shared" si="4"/>
        <v>0</v>
      </c>
      <c r="F190">
        <f t="shared" si="5"/>
        <v>0</v>
      </c>
    </row>
    <row r="191" spans="1:6" x14ac:dyDescent="0.35">
      <c r="A191" s="9">
        <v>6905863</v>
      </c>
      <c r="B191" s="10">
        <v>42920</v>
      </c>
      <c r="C191" s="11">
        <v>0.6186342592592593</v>
      </c>
      <c r="D191" s="12">
        <v>0.62296296296296294</v>
      </c>
      <c r="E191" s="20">
        <f t="shared" si="4"/>
        <v>0</v>
      </c>
      <c r="F191">
        <f t="shared" si="5"/>
        <v>0</v>
      </c>
    </row>
    <row r="192" spans="1:6" x14ac:dyDescent="0.35">
      <c r="A192" s="5">
        <v>2514802</v>
      </c>
      <c r="B192" s="6">
        <v>42920</v>
      </c>
      <c r="C192" s="7">
        <v>0.6186342592592593</v>
      </c>
      <c r="D192" s="8">
        <v>0.6265856481481481</v>
      </c>
      <c r="E192" s="20">
        <f t="shared" si="4"/>
        <v>0</v>
      </c>
      <c r="F192">
        <f t="shared" si="5"/>
        <v>0</v>
      </c>
    </row>
    <row r="193" spans="1:6" x14ac:dyDescent="0.35">
      <c r="A193" s="9">
        <v>93696449</v>
      </c>
      <c r="B193" s="10">
        <v>42920</v>
      </c>
      <c r="C193" s="11">
        <v>0.6227314814814815</v>
      </c>
      <c r="D193" s="12">
        <v>0.63056712962962957</v>
      </c>
      <c r="E193" s="20">
        <f t="shared" si="4"/>
        <v>0</v>
      </c>
      <c r="F193">
        <f t="shared" si="5"/>
        <v>0</v>
      </c>
    </row>
    <row r="194" spans="1:6" x14ac:dyDescent="0.35">
      <c r="A194" s="5">
        <v>3931464</v>
      </c>
      <c r="B194" s="6">
        <v>42920</v>
      </c>
      <c r="C194" s="7">
        <v>0.62381944444444448</v>
      </c>
      <c r="D194" s="8">
        <v>0.6322106481481482</v>
      </c>
      <c r="E194" s="20">
        <f t="shared" si="4"/>
        <v>0</v>
      </c>
      <c r="F194">
        <f t="shared" si="5"/>
        <v>0</v>
      </c>
    </row>
    <row r="195" spans="1:6" x14ac:dyDescent="0.35">
      <c r="A195" s="9">
        <v>1583683</v>
      </c>
      <c r="B195" s="10">
        <v>42920</v>
      </c>
      <c r="C195" s="11">
        <v>0.6275694444444444</v>
      </c>
      <c r="D195" s="12">
        <v>0.63215277777777779</v>
      </c>
      <c r="E195" s="20">
        <f t="shared" ref="E195:E258" si="6">IF(F195=1,D195-C195,0)</f>
        <v>0</v>
      </c>
      <c r="F195">
        <f t="shared" ref="F195:F258" si="7">IF(AND(LEN(A195)=7,LEFT(A195,2) = "12"),1,0)</f>
        <v>0</v>
      </c>
    </row>
    <row r="196" spans="1:6" x14ac:dyDescent="0.35">
      <c r="A196" s="5">
        <v>52165701</v>
      </c>
      <c r="B196" s="6">
        <v>42921</v>
      </c>
      <c r="C196" s="7">
        <v>0.33545138888888887</v>
      </c>
      <c r="D196" s="8">
        <v>0.3435300925925926</v>
      </c>
      <c r="E196" s="20">
        <f t="shared" si="6"/>
        <v>0</v>
      </c>
      <c r="F196">
        <f t="shared" si="7"/>
        <v>0</v>
      </c>
    </row>
    <row r="197" spans="1:6" x14ac:dyDescent="0.35">
      <c r="A197" s="9">
        <v>1521041994</v>
      </c>
      <c r="B197" s="10">
        <v>42921</v>
      </c>
      <c r="C197" s="11">
        <v>0.34099537037037037</v>
      </c>
      <c r="D197" s="12">
        <v>0.34749999999999998</v>
      </c>
      <c r="E197" s="20">
        <f t="shared" si="6"/>
        <v>0</v>
      </c>
      <c r="F197">
        <f t="shared" si="7"/>
        <v>0</v>
      </c>
    </row>
    <row r="198" spans="1:6" x14ac:dyDescent="0.35">
      <c r="A198" s="5">
        <v>9187410</v>
      </c>
      <c r="B198" s="6">
        <v>42921</v>
      </c>
      <c r="C198" s="7">
        <v>0.34662037037037036</v>
      </c>
      <c r="D198" s="8">
        <v>0.34908564814814813</v>
      </c>
      <c r="E198" s="20">
        <f t="shared" si="6"/>
        <v>0</v>
      </c>
      <c r="F198">
        <f t="shared" si="7"/>
        <v>0</v>
      </c>
    </row>
    <row r="199" spans="1:6" x14ac:dyDescent="0.35">
      <c r="A199" s="9">
        <v>8228350</v>
      </c>
      <c r="B199" s="10">
        <v>42921</v>
      </c>
      <c r="C199" s="11">
        <v>0.34667824074074072</v>
      </c>
      <c r="D199" s="12">
        <v>0.3473148148148148</v>
      </c>
      <c r="E199" s="20">
        <f t="shared" si="6"/>
        <v>0</v>
      </c>
      <c r="F199">
        <f t="shared" si="7"/>
        <v>0</v>
      </c>
    </row>
    <row r="200" spans="1:6" x14ac:dyDescent="0.35">
      <c r="A200" s="5">
        <v>8313390</v>
      </c>
      <c r="B200" s="6">
        <v>42921</v>
      </c>
      <c r="C200" s="7">
        <v>0.34903935185185186</v>
      </c>
      <c r="D200" s="8">
        <v>0.35381944444444446</v>
      </c>
      <c r="E200" s="20">
        <f t="shared" si="6"/>
        <v>0</v>
      </c>
      <c r="F200">
        <f t="shared" si="7"/>
        <v>0</v>
      </c>
    </row>
    <row r="201" spans="1:6" x14ac:dyDescent="0.35">
      <c r="A201" s="9">
        <v>5508903</v>
      </c>
      <c r="B201" s="10">
        <v>42921</v>
      </c>
      <c r="C201" s="11">
        <v>0.34915509259259259</v>
      </c>
      <c r="D201" s="12">
        <v>0.3605902777777778</v>
      </c>
      <c r="E201" s="20">
        <f t="shared" si="6"/>
        <v>0</v>
      </c>
      <c r="F201">
        <f t="shared" si="7"/>
        <v>0</v>
      </c>
    </row>
    <row r="202" spans="1:6" x14ac:dyDescent="0.35">
      <c r="A202" s="5">
        <v>3102910</v>
      </c>
      <c r="B202" s="6">
        <v>42921</v>
      </c>
      <c r="C202" s="7">
        <v>0.35150462962962964</v>
      </c>
      <c r="D202" s="8">
        <v>0.35672453703703705</v>
      </c>
      <c r="E202" s="20">
        <f t="shared" si="6"/>
        <v>0</v>
      </c>
      <c r="F202">
        <f t="shared" si="7"/>
        <v>0</v>
      </c>
    </row>
    <row r="203" spans="1:6" x14ac:dyDescent="0.35">
      <c r="A203" s="9">
        <v>45948073</v>
      </c>
      <c r="B203" s="10">
        <v>42921</v>
      </c>
      <c r="C203" s="11">
        <v>0.35574074074074075</v>
      </c>
      <c r="D203" s="12">
        <v>0.36162037037037037</v>
      </c>
      <c r="E203" s="20">
        <f t="shared" si="6"/>
        <v>0</v>
      </c>
      <c r="F203">
        <f t="shared" si="7"/>
        <v>0</v>
      </c>
    </row>
    <row r="204" spans="1:6" x14ac:dyDescent="0.35">
      <c r="A204" s="5">
        <v>73690742</v>
      </c>
      <c r="B204" s="6">
        <v>42921</v>
      </c>
      <c r="C204" s="7">
        <v>0.35829861111111111</v>
      </c>
      <c r="D204" s="8">
        <v>0.36826388888888889</v>
      </c>
      <c r="E204" s="20">
        <f t="shared" si="6"/>
        <v>0</v>
      </c>
      <c r="F204">
        <f t="shared" si="7"/>
        <v>0</v>
      </c>
    </row>
    <row r="205" spans="1:6" x14ac:dyDescent="0.35">
      <c r="A205" s="9">
        <v>58037769</v>
      </c>
      <c r="B205" s="10">
        <v>42921</v>
      </c>
      <c r="C205" s="11">
        <v>0.36261574074074077</v>
      </c>
      <c r="D205" s="12">
        <v>0.36730324074074072</v>
      </c>
      <c r="E205" s="20">
        <f t="shared" si="6"/>
        <v>0</v>
      </c>
      <c r="F205">
        <f t="shared" si="7"/>
        <v>0</v>
      </c>
    </row>
    <row r="206" spans="1:6" x14ac:dyDescent="0.35">
      <c r="A206" s="5">
        <v>3434934</v>
      </c>
      <c r="B206" s="6">
        <v>42921</v>
      </c>
      <c r="C206" s="7">
        <v>0.36760416666666668</v>
      </c>
      <c r="D206" s="8">
        <v>0.37854166666666667</v>
      </c>
      <c r="E206" s="20">
        <f t="shared" si="6"/>
        <v>0</v>
      </c>
      <c r="F206">
        <f t="shared" si="7"/>
        <v>0</v>
      </c>
    </row>
    <row r="207" spans="1:6" x14ac:dyDescent="0.35">
      <c r="A207" s="9">
        <v>4963499</v>
      </c>
      <c r="B207" s="10">
        <v>42921</v>
      </c>
      <c r="C207" s="11">
        <v>0.37008101851851855</v>
      </c>
      <c r="D207" s="12">
        <v>0.37175925925925923</v>
      </c>
      <c r="E207" s="20">
        <f t="shared" si="6"/>
        <v>0</v>
      </c>
      <c r="F207">
        <f t="shared" si="7"/>
        <v>0</v>
      </c>
    </row>
    <row r="208" spans="1:6" x14ac:dyDescent="0.35">
      <c r="A208" s="5">
        <v>7904403</v>
      </c>
      <c r="B208" s="6">
        <v>42921</v>
      </c>
      <c r="C208" s="7">
        <v>0.37361111111111112</v>
      </c>
      <c r="D208" s="8">
        <v>0.3772800925925926</v>
      </c>
      <c r="E208" s="20">
        <f t="shared" si="6"/>
        <v>0</v>
      </c>
      <c r="F208">
        <f t="shared" si="7"/>
        <v>0</v>
      </c>
    </row>
    <row r="209" spans="1:6" x14ac:dyDescent="0.35">
      <c r="A209" s="9">
        <v>4389240</v>
      </c>
      <c r="B209" s="10">
        <v>42921</v>
      </c>
      <c r="C209" s="11">
        <v>0.37711805555555555</v>
      </c>
      <c r="D209" s="12">
        <v>0.37886574074074075</v>
      </c>
      <c r="E209" s="20">
        <f t="shared" si="6"/>
        <v>0</v>
      </c>
      <c r="F209">
        <f t="shared" si="7"/>
        <v>0</v>
      </c>
    </row>
    <row r="210" spans="1:6" x14ac:dyDescent="0.35">
      <c r="A210" s="5">
        <v>68647339</v>
      </c>
      <c r="B210" s="6">
        <v>42921</v>
      </c>
      <c r="C210" s="7">
        <v>0.38180555555555556</v>
      </c>
      <c r="D210" s="8">
        <v>0.39295138888888886</v>
      </c>
      <c r="E210" s="20">
        <f t="shared" si="6"/>
        <v>0</v>
      </c>
      <c r="F210">
        <f t="shared" si="7"/>
        <v>0</v>
      </c>
    </row>
    <row r="211" spans="1:6" x14ac:dyDescent="0.35">
      <c r="A211" s="9">
        <v>8461631</v>
      </c>
      <c r="B211" s="10">
        <v>42921</v>
      </c>
      <c r="C211" s="11">
        <v>0.38335648148148149</v>
      </c>
      <c r="D211" s="12">
        <v>0.38451388888888888</v>
      </c>
      <c r="E211" s="20">
        <f t="shared" si="6"/>
        <v>0</v>
      </c>
      <c r="F211">
        <f t="shared" si="7"/>
        <v>0</v>
      </c>
    </row>
    <row r="212" spans="1:6" x14ac:dyDescent="0.35">
      <c r="A212" s="5">
        <v>3087246</v>
      </c>
      <c r="B212" s="6">
        <v>42921</v>
      </c>
      <c r="C212" s="7">
        <v>0.38633101851851853</v>
      </c>
      <c r="D212" s="8">
        <v>0.39391203703703703</v>
      </c>
      <c r="E212" s="20">
        <f t="shared" si="6"/>
        <v>0</v>
      </c>
      <c r="F212">
        <f t="shared" si="7"/>
        <v>0</v>
      </c>
    </row>
    <row r="213" spans="1:6" x14ac:dyDescent="0.35">
      <c r="A213" s="9">
        <v>9321082</v>
      </c>
      <c r="B213" s="10">
        <v>42921</v>
      </c>
      <c r="C213" s="11">
        <v>0.38976851851851851</v>
      </c>
      <c r="D213" s="12">
        <v>0.40090277777777777</v>
      </c>
      <c r="E213" s="20">
        <f t="shared" si="6"/>
        <v>0</v>
      </c>
      <c r="F213">
        <f t="shared" si="7"/>
        <v>0</v>
      </c>
    </row>
    <row r="214" spans="1:6" x14ac:dyDescent="0.35">
      <c r="A214" s="5">
        <v>4941247888</v>
      </c>
      <c r="B214" s="6">
        <v>42921</v>
      </c>
      <c r="C214" s="7">
        <v>0.39114583333333336</v>
      </c>
      <c r="D214" s="8">
        <v>0.39870370370370373</v>
      </c>
      <c r="E214" s="20">
        <f t="shared" si="6"/>
        <v>0</v>
      </c>
      <c r="F214">
        <f t="shared" si="7"/>
        <v>0</v>
      </c>
    </row>
    <row r="215" spans="1:6" x14ac:dyDescent="0.35">
      <c r="A215" s="9">
        <v>13484133</v>
      </c>
      <c r="B215" s="10">
        <v>42921</v>
      </c>
      <c r="C215" s="11">
        <v>0.3959375</v>
      </c>
      <c r="D215" s="12">
        <v>0.3982060185185185</v>
      </c>
      <c r="E215" s="20">
        <f t="shared" si="6"/>
        <v>0</v>
      </c>
      <c r="F215">
        <f t="shared" si="7"/>
        <v>0</v>
      </c>
    </row>
    <row r="216" spans="1:6" x14ac:dyDescent="0.35">
      <c r="A216" s="5">
        <v>9610703</v>
      </c>
      <c r="B216" s="6">
        <v>42921</v>
      </c>
      <c r="C216" s="7">
        <v>0.40074074074074073</v>
      </c>
      <c r="D216" s="8">
        <v>0.40766203703703702</v>
      </c>
      <c r="E216" s="20">
        <f t="shared" si="6"/>
        <v>0</v>
      </c>
      <c r="F216">
        <f t="shared" si="7"/>
        <v>0</v>
      </c>
    </row>
    <row r="217" spans="1:6" x14ac:dyDescent="0.35">
      <c r="A217" s="9">
        <v>7236035</v>
      </c>
      <c r="B217" s="10">
        <v>42921</v>
      </c>
      <c r="C217" s="11">
        <v>0.40517361111111111</v>
      </c>
      <c r="D217" s="12">
        <v>0.41189814814814812</v>
      </c>
      <c r="E217" s="20">
        <f t="shared" si="6"/>
        <v>0</v>
      </c>
      <c r="F217">
        <f t="shared" si="7"/>
        <v>0</v>
      </c>
    </row>
    <row r="218" spans="1:6" x14ac:dyDescent="0.35">
      <c r="A218" s="5">
        <v>7236035</v>
      </c>
      <c r="B218" s="6">
        <v>42921</v>
      </c>
      <c r="C218" s="7">
        <v>0.4089814814814815</v>
      </c>
      <c r="D218" s="8">
        <v>0.41927083333333331</v>
      </c>
      <c r="E218" s="20">
        <f t="shared" si="6"/>
        <v>0</v>
      </c>
      <c r="F218">
        <f t="shared" si="7"/>
        <v>0</v>
      </c>
    </row>
    <row r="219" spans="1:6" x14ac:dyDescent="0.35">
      <c r="A219" s="9">
        <v>2675422</v>
      </c>
      <c r="B219" s="10">
        <v>42921</v>
      </c>
      <c r="C219" s="11">
        <v>0.41393518518518518</v>
      </c>
      <c r="D219" s="12">
        <v>0.42075231481481479</v>
      </c>
      <c r="E219" s="20">
        <f t="shared" si="6"/>
        <v>0</v>
      </c>
      <c r="F219">
        <f t="shared" si="7"/>
        <v>0</v>
      </c>
    </row>
    <row r="220" spans="1:6" x14ac:dyDescent="0.35">
      <c r="A220" s="5">
        <v>99056276</v>
      </c>
      <c r="B220" s="6">
        <v>42921</v>
      </c>
      <c r="C220" s="7">
        <v>0.41749999999999998</v>
      </c>
      <c r="D220" s="8">
        <v>0.42891203703703706</v>
      </c>
      <c r="E220" s="20">
        <f t="shared" si="6"/>
        <v>0</v>
      </c>
      <c r="F220">
        <f t="shared" si="7"/>
        <v>0</v>
      </c>
    </row>
    <row r="221" spans="1:6" x14ac:dyDescent="0.35">
      <c r="A221" s="9">
        <v>1715377</v>
      </c>
      <c r="B221" s="10">
        <v>42921</v>
      </c>
      <c r="C221" s="11">
        <v>0.41847222222222225</v>
      </c>
      <c r="D221" s="12">
        <v>0.42833333333333334</v>
      </c>
      <c r="E221" s="20">
        <f t="shared" si="6"/>
        <v>0</v>
      </c>
      <c r="F221">
        <f t="shared" si="7"/>
        <v>0</v>
      </c>
    </row>
    <row r="222" spans="1:6" x14ac:dyDescent="0.35">
      <c r="A222" s="5">
        <v>6700458395</v>
      </c>
      <c r="B222" s="6">
        <v>42921</v>
      </c>
      <c r="C222" s="7">
        <v>0.42149305555555555</v>
      </c>
      <c r="D222" s="8">
        <v>0.42678240740740742</v>
      </c>
      <c r="E222" s="20">
        <f t="shared" si="6"/>
        <v>0</v>
      </c>
      <c r="F222">
        <f t="shared" si="7"/>
        <v>0</v>
      </c>
    </row>
    <row r="223" spans="1:6" x14ac:dyDescent="0.35">
      <c r="A223" s="9">
        <v>2211277198</v>
      </c>
      <c r="B223" s="10">
        <v>42921</v>
      </c>
      <c r="C223" s="11">
        <v>0.42168981481481482</v>
      </c>
      <c r="D223" s="12">
        <v>0.42326388888888888</v>
      </c>
      <c r="E223" s="20">
        <f t="shared" si="6"/>
        <v>0</v>
      </c>
      <c r="F223">
        <f t="shared" si="7"/>
        <v>0</v>
      </c>
    </row>
    <row r="224" spans="1:6" x14ac:dyDescent="0.35">
      <c r="A224" s="5">
        <v>9866373</v>
      </c>
      <c r="B224" s="6">
        <v>42921</v>
      </c>
      <c r="C224" s="7">
        <v>0.42202546296296295</v>
      </c>
      <c r="D224" s="8">
        <v>0.42905092592592592</v>
      </c>
      <c r="E224" s="20">
        <f t="shared" si="6"/>
        <v>0</v>
      </c>
      <c r="F224">
        <f t="shared" si="7"/>
        <v>0</v>
      </c>
    </row>
    <row r="225" spans="1:6" x14ac:dyDescent="0.35">
      <c r="A225" s="9">
        <v>4526057</v>
      </c>
      <c r="B225" s="10">
        <v>42921</v>
      </c>
      <c r="C225" s="11">
        <v>0.42313657407407407</v>
      </c>
      <c r="D225" s="12">
        <v>0.42508101851851854</v>
      </c>
      <c r="E225" s="20">
        <f t="shared" si="6"/>
        <v>0</v>
      </c>
      <c r="F225">
        <f t="shared" si="7"/>
        <v>0</v>
      </c>
    </row>
    <row r="226" spans="1:6" x14ac:dyDescent="0.35">
      <c r="A226" s="5">
        <v>70786056</v>
      </c>
      <c r="B226" s="6">
        <v>42921</v>
      </c>
      <c r="C226" s="7">
        <v>0.42357638888888888</v>
      </c>
      <c r="D226" s="8">
        <v>0.4253587962962963</v>
      </c>
      <c r="E226" s="20">
        <f t="shared" si="6"/>
        <v>0</v>
      </c>
      <c r="F226">
        <f t="shared" si="7"/>
        <v>0</v>
      </c>
    </row>
    <row r="227" spans="1:6" x14ac:dyDescent="0.35">
      <c r="A227" s="9">
        <v>9874705</v>
      </c>
      <c r="B227" s="10">
        <v>42921</v>
      </c>
      <c r="C227" s="11">
        <v>0.4274074074074074</v>
      </c>
      <c r="D227" s="12">
        <v>0.43408564814814815</v>
      </c>
      <c r="E227" s="20">
        <f t="shared" si="6"/>
        <v>0</v>
      </c>
      <c r="F227">
        <f t="shared" si="7"/>
        <v>0</v>
      </c>
    </row>
    <row r="228" spans="1:6" x14ac:dyDescent="0.35">
      <c r="A228" s="5">
        <v>2506618</v>
      </c>
      <c r="B228" s="6">
        <v>42921</v>
      </c>
      <c r="C228" s="7">
        <v>0.43084490740740738</v>
      </c>
      <c r="D228" s="8">
        <v>0.43738425925925928</v>
      </c>
      <c r="E228" s="20">
        <f t="shared" si="6"/>
        <v>0</v>
      </c>
      <c r="F228">
        <f t="shared" si="7"/>
        <v>0</v>
      </c>
    </row>
    <row r="229" spans="1:6" x14ac:dyDescent="0.35">
      <c r="A229" s="9">
        <v>6312575</v>
      </c>
      <c r="B229" s="10">
        <v>42921</v>
      </c>
      <c r="C229" s="11">
        <v>0.43234953703703705</v>
      </c>
      <c r="D229" s="12">
        <v>0.44233796296296296</v>
      </c>
      <c r="E229" s="20">
        <f t="shared" si="6"/>
        <v>0</v>
      </c>
      <c r="F229">
        <f t="shared" si="7"/>
        <v>0</v>
      </c>
    </row>
    <row r="230" spans="1:6" x14ac:dyDescent="0.35">
      <c r="A230" s="5">
        <v>9620895</v>
      </c>
      <c r="B230" s="6">
        <v>42921</v>
      </c>
      <c r="C230" s="7">
        <v>0.4362847222222222</v>
      </c>
      <c r="D230" s="8">
        <v>0.44714120370370369</v>
      </c>
      <c r="E230" s="20">
        <f t="shared" si="6"/>
        <v>0</v>
      </c>
      <c r="F230">
        <f t="shared" si="7"/>
        <v>0</v>
      </c>
    </row>
    <row r="231" spans="1:6" x14ac:dyDescent="0.35">
      <c r="A231" s="9">
        <v>8187780</v>
      </c>
      <c r="B231" s="10">
        <v>42921</v>
      </c>
      <c r="C231" s="11">
        <v>0.43898148148148147</v>
      </c>
      <c r="D231" s="12">
        <v>0.44800925925925927</v>
      </c>
      <c r="E231" s="20">
        <f t="shared" si="6"/>
        <v>0</v>
      </c>
      <c r="F231">
        <f t="shared" si="7"/>
        <v>0</v>
      </c>
    </row>
    <row r="232" spans="1:6" x14ac:dyDescent="0.35">
      <c r="A232" s="5">
        <v>4176999</v>
      </c>
      <c r="B232" s="6">
        <v>42921</v>
      </c>
      <c r="C232" s="7">
        <v>0.44148148148148147</v>
      </c>
      <c r="D232" s="8">
        <v>0.45222222222222225</v>
      </c>
      <c r="E232" s="20">
        <f t="shared" si="6"/>
        <v>0</v>
      </c>
      <c r="F232">
        <f t="shared" si="7"/>
        <v>0</v>
      </c>
    </row>
    <row r="233" spans="1:6" x14ac:dyDescent="0.35">
      <c r="A233" s="9">
        <v>9937257</v>
      </c>
      <c r="B233" s="10">
        <v>42921</v>
      </c>
      <c r="C233" s="11">
        <v>0.44383101851851853</v>
      </c>
      <c r="D233" s="12">
        <v>0.44697916666666665</v>
      </c>
      <c r="E233" s="20">
        <f t="shared" si="6"/>
        <v>0</v>
      </c>
      <c r="F233">
        <f t="shared" si="7"/>
        <v>0</v>
      </c>
    </row>
    <row r="234" spans="1:6" x14ac:dyDescent="0.35">
      <c r="A234" s="5">
        <v>4363716</v>
      </c>
      <c r="B234" s="6">
        <v>42921</v>
      </c>
      <c r="C234" s="7">
        <v>0.44436342592592593</v>
      </c>
      <c r="D234" s="8">
        <v>0.45106481481481481</v>
      </c>
      <c r="E234" s="20">
        <f t="shared" si="6"/>
        <v>0</v>
      </c>
      <c r="F234">
        <f t="shared" si="7"/>
        <v>0</v>
      </c>
    </row>
    <row r="235" spans="1:6" x14ac:dyDescent="0.35">
      <c r="A235" s="9">
        <v>96323047</v>
      </c>
      <c r="B235" s="10">
        <v>42921</v>
      </c>
      <c r="C235" s="11">
        <v>0.44962962962962966</v>
      </c>
      <c r="D235" s="12">
        <v>0.45341435185185186</v>
      </c>
      <c r="E235" s="20">
        <f t="shared" si="6"/>
        <v>0</v>
      </c>
      <c r="F235">
        <f t="shared" si="7"/>
        <v>0</v>
      </c>
    </row>
    <row r="236" spans="1:6" x14ac:dyDescent="0.35">
      <c r="A236" s="5">
        <v>2750193</v>
      </c>
      <c r="B236" s="6">
        <v>42921</v>
      </c>
      <c r="C236" s="7">
        <v>0.45445601851851852</v>
      </c>
      <c r="D236" s="8">
        <v>0.455625</v>
      </c>
      <c r="E236" s="20">
        <f t="shared" si="6"/>
        <v>0</v>
      </c>
      <c r="F236">
        <f t="shared" si="7"/>
        <v>0</v>
      </c>
    </row>
    <row r="237" spans="1:6" x14ac:dyDescent="0.35">
      <c r="A237" s="9">
        <v>7973319</v>
      </c>
      <c r="B237" s="10">
        <v>42921</v>
      </c>
      <c r="C237" s="11">
        <v>0.45565972222222223</v>
      </c>
      <c r="D237" s="12">
        <v>0.46090277777777777</v>
      </c>
      <c r="E237" s="20">
        <f t="shared" si="6"/>
        <v>0</v>
      </c>
      <c r="F237">
        <f t="shared" si="7"/>
        <v>0</v>
      </c>
    </row>
    <row r="238" spans="1:6" x14ac:dyDescent="0.35">
      <c r="A238" s="5">
        <v>1908394</v>
      </c>
      <c r="B238" s="6">
        <v>42921</v>
      </c>
      <c r="C238" s="7">
        <v>0.45825231481481482</v>
      </c>
      <c r="D238" s="8">
        <v>0.46818287037037037</v>
      </c>
      <c r="E238" s="20">
        <f t="shared" si="6"/>
        <v>0</v>
      </c>
      <c r="F238">
        <f t="shared" si="7"/>
        <v>0</v>
      </c>
    </row>
    <row r="239" spans="1:6" x14ac:dyDescent="0.35">
      <c r="A239" s="9">
        <v>19116274</v>
      </c>
      <c r="B239" s="10">
        <v>42921</v>
      </c>
      <c r="C239" s="11">
        <v>0.46032407407407405</v>
      </c>
      <c r="D239" s="12">
        <v>0.46797453703703706</v>
      </c>
      <c r="E239" s="20">
        <f t="shared" si="6"/>
        <v>0</v>
      </c>
      <c r="F239">
        <f t="shared" si="7"/>
        <v>0</v>
      </c>
    </row>
    <row r="240" spans="1:6" x14ac:dyDescent="0.35">
      <c r="A240" s="5">
        <v>1235622</v>
      </c>
      <c r="B240" s="6">
        <v>42921</v>
      </c>
      <c r="C240" s="7">
        <v>0.46460648148148148</v>
      </c>
      <c r="D240" s="8">
        <v>0.47087962962962965</v>
      </c>
      <c r="E240" s="20">
        <f t="shared" si="6"/>
        <v>6.2731481481481666E-3</v>
      </c>
      <c r="F240">
        <f t="shared" si="7"/>
        <v>1</v>
      </c>
    </row>
    <row r="241" spans="1:6" x14ac:dyDescent="0.35">
      <c r="A241" s="9">
        <v>1926053</v>
      </c>
      <c r="B241" s="10">
        <v>42921</v>
      </c>
      <c r="C241" s="11">
        <v>0.46751157407407407</v>
      </c>
      <c r="D241" s="12">
        <v>0.46879629629629632</v>
      </c>
      <c r="E241" s="20">
        <f t="shared" si="6"/>
        <v>0</v>
      </c>
      <c r="F241">
        <f t="shared" si="7"/>
        <v>0</v>
      </c>
    </row>
    <row r="242" spans="1:6" x14ac:dyDescent="0.35">
      <c r="A242" s="5">
        <v>1458287</v>
      </c>
      <c r="B242" s="6">
        <v>42921</v>
      </c>
      <c r="C242" s="7">
        <v>0.47060185185185183</v>
      </c>
      <c r="D242" s="8">
        <v>0.47584490740740742</v>
      </c>
      <c r="E242" s="20">
        <f t="shared" si="6"/>
        <v>0</v>
      </c>
      <c r="F242">
        <f t="shared" si="7"/>
        <v>0</v>
      </c>
    </row>
    <row r="243" spans="1:6" x14ac:dyDescent="0.35">
      <c r="A243" s="9">
        <v>3758539398</v>
      </c>
      <c r="B243" s="10">
        <v>42921</v>
      </c>
      <c r="C243" s="11">
        <v>0.47296296296296297</v>
      </c>
      <c r="D243" s="12">
        <v>0.47506944444444443</v>
      </c>
      <c r="E243" s="20">
        <f t="shared" si="6"/>
        <v>0</v>
      </c>
      <c r="F243">
        <f t="shared" si="7"/>
        <v>0</v>
      </c>
    </row>
    <row r="244" spans="1:6" x14ac:dyDescent="0.35">
      <c r="A244" s="5">
        <v>8471021</v>
      </c>
      <c r="B244" s="6">
        <v>42921</v>
      </c>
      <c r="C244" s="7">
        <v>0.47431712962962963</v>
      </c>
      <c r="D244" s="8">
        <v>0.47746527777777775</v>
      </c>
      <c r="E244" s="20">
        <f t="shared" si="6"/>
        <v>0</v>
      </c>
      <c r="F244">
        <f t="shared" si="7"/>
        <v>0</v>
      </c>
    </row>
    <row r="245" spans="1:6" x14ac:dyDescent="0.35">
      <c r="A245" s="9">
        <v>4039284</v>
      </c>
      <c r="B245" s="10">
        <v>42921</v>
      </c>
      <c r="C245" s="11">
        <v>0.47684027777777777</v>
      </c>
      <c r="D245" s="12">
        <v>0.4824074074074074</v>
      </c>
      <c r="E245" s="20">
        <f t="shared" si="6"/>
        <v>0</v>
      </c>
      <c r="F245">
        <f t="shared" si="7"/>
        <v>0</v>
      </c>
    </row>
    <row r="246" spans="1:6" x14ac:dyDescent="0.35">
      <c r="A246" s="5">
        <v>3177370</v>
      </c>
      <c r="B246" s="6">
        <v>42921</v>
      </c>
      <c r="C246" s="7">
        <v>0.47972222222222222</v>
      </c>
      <c r="D246" s="8">
        <v>0.48660879629629628</v>
      </c>
      <c r="E246" s="20">
        <f t="shared" si="6"/>
        <v>0</v>
      </c>
      <c r="F246">
        <f t="shared" si="7"/>
        <v>0</v>
      </c>
    </row>
    <row r="247" spans="1:6" x14ac:dyDescent="0.35">
      <c r="A247" s="9">
        <v>7236035</v>
      </c>
      <c r="B247" s="10">
        <v>42921</v>
      </c>
      <c r="C247" s="11">
        <v>0.48149305555555555</v>
      </c>
      <c r="D247" s="12">
        <v>0.48582175925925924</v>
      </c>
      <c r="E247" s="20">
        <f t="shared" si="6"/>
        <v>0</v>
      </c>
      <c r="F247">
        <f t="shared" si="7"/>
        <v>0</v>
      </c>
    </row>
    <row r="248" spans="1:6" x14ac:dyDescent="0.35">
      <c r="A248" s="5">
        <v>6689117</v>
      </c>
      <c r="B248" s="6">
        <v>42921</v>
      </c>
      <c r="C248" s="7">
        <v>0.48554398148148148</v>
      </c>
      <c r="D248" s="8">
        <v>0.49553240740740739</v>
      </c>
      <c r="E248" s="20">
        <f t="shared" si="6"/>
        <v>0</v>
      </c>
      <c r="F248">
        <f t="shared" si="7"/>
        <v>0</v>
      </c>
    </row>
    <row r="249" spans="1:6" x14ac:dyDescent="0.35">
      <c r="A249" s="9">
        <v>4824267</v>
      </c>
      <c r="B249" s="10">
        <v>42921</v>
      </c>
      <c r="C249" s="11">
        <v>0.4871875</v>
      </c>
      <c r="D249" s="12">
        <v>0.49509259259259258</v>
      </c>
      <c r="E249" s="20">
        <f t="shared" si="6"/>
        <v>0</v>
      </c>
      <c r="F249">
        <f t="shared" si="7"/>
        <v>0</v>
      </c>
    </row>
    <row r="250" spans="1:6" x14ac:dyDescent="0.35">
      <c r="A250" s="5">
        <v>6978234</v>
      </c>
      <c r="B250" s="6">
        <v>42921</v>
      </c>
      <c r="C250" s="7">
        <v>0.48873842592592592</v>
      </c>
      <c r="D250" s="8">
        <v>0.49131944444444442</v>
      </c>
      <c r="E250" s="20">
        <f t="shared" si="6"/>
        <v>0</v>
      </c>
      <c r="F250">
        <f t="shared" si="7"/>
        <v>0</v>
      </c>
    </row>
    <row r="251" spans="1:6" x14ac:dyDescent="0.35">
      <c r="A251" s="9">
        <v>2158377</v>
      </c>
      <c r="B251" s="10">
        <v>42921</v>
      </c>
      <c r="C251" s="11">
        <v>0.49149305555555556</v>
      </c>
      <c r="D251" s="12">
        <v>0.49283564814814818</v>
      </c>
      <c r="E251" s="20">
        <f t="shared" si="6"/>
        <v>0</v>
      </c>
      <c r="F251">
        <f t="shared" si="7"/>
        <v>0</v>
      </c>
    </row>
    <row r="252" spans="1:6" x14ac:dyDescent="0.35">
      <c r="A252" s="5">
        <v>73970924</v>
      </c>
      <c r="B252" s="6">
        <v>42921</v>
      </c>
      <c r="C252" s="7">
        <v>0.49336805555555557</v>
      </c>
      <c r="D252" s="8">
        <v>0.49403935185185183</v>
      </c>
      <c r="E252" s="20">
        <f t="shared" si="6"/>
        <v>0</v>
      </c>
      <c r="F252">
        <f t="shared" si="7"/>
        <v>0</v>
      </c>
    </row>
    <row r="253" spans="1:6" x14ac:dyDescent="0.35">
      <c r="A253" s="9">
        <v>6927270</v>
      </c>
      <c r="B253" s="10">
        <v>42921</v>
      </c>
      <c r="C253" s="11">
        <v>0.49571759259259257</v>
      </c>
      <c r="D253" s="12">
        <v>0.50516203703703699</v>
      </c>
      <c r="E253" s="20">
        <f t="shared" si="6"/>
        <v>0</v>
      </c>
      <c r="F253">
        <f t="shared" si="7"/>
        <v>0</v>
      </c>
    </row>
    <row r="254" spans="1:6" x14ac:dyDescent="0.35">
      <c r="A254" s="5">
        <v>7318247385</v>
      </c>
      <c r="B254" s="6">
        <v>42921</v>
      </c>
      <c r="C254" s="7">
        <v>0.49596064814814816</v>
      </c>
      <c r="D254" s="8">
        <v>0.49886574074074075</v>
      </c>
      <c r="E254" s="20">
        <f t="shared" si="6"/>
        <v>0</v>
      </c>
      <c r="F254">
        <f t="shared" si="7"/>
        <v>0</v>
      </c>
    </row>
    <row r="255" spans="1:6" x14ac:dyDescent="0.35">
      <c r="A255" s="9">
        <v>1579531</v>
      </c>
      <c r="B255" s="10">
        <v>42921</v>
      </c>
      <c r="C255" s="11">
        <v>0.50134259259259262</v>
      </c>
      <c r="D255" s="12">
        <v>0.50873842592592589</v>
      </c>
      <c r="E255" s="20">
        <f t="shared" si="6"/>
        <v>0</v>
      </c>
      <c r="F255">
        <f t="shared" si="7"/>
        <v>0</v>
      </c>
    </row>
    <row r="256" spans="1:6" x14ac:dyDescent="0.35">
      <c r="A256" s="5">
        <v>9593481</v>
      </c>
      <c r="B256" s="6">
        <v>42921</v>
      </c>
      <c r="C256" s="7">
        <v>0.50179398148148147</v>
      </c>
      <c r="D256" s="8">
        <v>0.50248842592592591</v>
      </c>
      <c r="E256" s="20">
        <f t="shared" si="6"/>
        <v>0</v>
      </c>
      <c r="F256">
        <f t="shared" si="7"/>
        <v>0</v>
      </c>
    </row>
    <row r="257" spans="1:6" x14ac:dyDescent="0.35">
      <c r="A257" s="9">
        <v>6657074</v>
      </c>
      <c r="B257" s="10">
        <v>42921</v>
      </c>
      <c r="C257" s="11">
        <v>0.50288194444444445</v>
      </c>
      <c r="D257" s="12">
        <v>0.51248842592592592</v>
      </c>
      <c r="E257" s="20">
        <f t="shared" si="6"/>
        <v>0</v>
      </c>
      <c r="F257">
        <f t="shared" si="7"/>
        <v>0</v>
      </c>
    </row>
    <row r="258" spans="1:6" x14ac:dyDescent="0.35">
      <c r="A258" s="5">
        <v>1488369</v>
      </c>
      <c r="B258" s="6">
        <v>42921</v>
      </c>
      <c r="C258" s="7">
        <v>0.50457175925925923</v>
      </c>
      <c r="D258" s="8">
        <v>0.51533564814814814</v>
      </c>
      <c r="E258" s="20">
        <f t="shared" si="6"/>
        <v>0</v>
      </c>
      <c r="F258">
        <f t="shared" si="7"/>
        <v>0</v>
      </c>
    </row>
    <row r="259" spans="1:6" x14ac:dyDescent="0.35">
      <c r="A259" s="9">
        <v>1797960</v>
      </c>
      <c r="B259" s="10">
        <v>42921</v>
      </c>
      <c r="C259" s="11">
        <v>0.51026620370370368</v>
      </c>
      <c r="D259" s="12">
        <v>0.51557870370370373</v>
      </c>
      <c r="E259" s="20">
        <f t="shared" ref="E259:E322" si="8">IF(F259=1,D259-C259,0)</f>
        <v>0</v>
      </c>
      <c r="F259">
        <f t="shared" ref="F259:F322" si="9">IF(AND(LEN(A259)=7,LEFT(A259,2) = "12"),1,0)</f>
        <v>0</v>
      </c>
    </row>
    <row r="260" spans="1:6" x14ac:dyDescent="0.35">
      <c r="A260" s="5">
        <v>65923776</v>
      </c>
      <c r="B260" s="6">
        <v>42921</v>
      </c>
      <c r="C260" s="7">
        <v>0.51388888888888884</v>
      </c>
      <c r="D260" s="8">
        <v>0.51673611111111106</v>
      </c>
      <c r="E260" s="20">
        <f t="shared" si="8"/>
        <v>0</v>
      </c>
      <c r="F260">
        <f t="shared" si="9"/>
        <v>0</v>
      </c>
    </row>
    <row r="261" spans="1:6" x14ac:dyDescent="0.35">
      <c r="A261" s="9">
        <v>3407358</v>
      </c>
      <c r="B261" s="10">
        <v>42921</v>
      </c>
      <c r="C261" s="11">
        <v>0.51827546296296301</v>
      </c>
      <c r="D261" s="12">
        <v>0.51986111111111111</v>
      </c>
      <c r="E261" s="20">
        <f t="shared" si="8"/>
        <v>0</v>
      </c>
      <c r="F261">
        <f t="shared" si="9"/>
        <v>0</v>
      </c>
    </row>
    <row r="262" spans="1:6" x14ac:dyDescent="0.35">
      <c r="A262" s="5">
        <v>1887758</v>
      </c>
      <c r="B262" s="6">
        <v>42921</v>
      </c>
      <c r="C262" s="7">
        <v>0.51884259259259258</v>
      </c>
      <c r="D262" s="8">
        <v>0.52637731481481487</v>
      </c>
      <c r="E262" s="20">
        <f t="shared" si="8"/>
        <v>0</v>
      </c>
      <c r="F262">
        <f t="shared" si="9"/>
        <v>0</v>
      </c>
    </row>
    <row r="263" spans="1:6" x14ac:dyDescent="0.35">
      <c r="A263" s="9">
        <v>9983997</v>
      </c>
      <c r="B263" s="10">
        <v>42921</v>
      </c>
      <c r="C263" s="11">
        <v>0.5242013888888889</v>
      </c>
      <c r="D263" s="12">
        <v>0.53452546296296299</v>
      </c>
      <c r="E263" s="20">
        <f t="shared" si="8"/>
        <v>0</v>
      </c>
      <c r="F263">
        <f t="shared" si="9"/>
        <v>0</v>
      </c>
    </row>
    <row r="264" spans="1:6" x14ac:dyDescent="0.35">
      <c r="A264" s="5">
        <v>3539762</v>
      </c>
      <c r="B264" s="6">
        <v>42921</v>
      </c>
      <c r="C264" s="7">
        <v>0.5250231481481481</v>
      </c>
      <c r="D264" s="8">
        <v>0.5264699074074074</v>
      </c>
      <c r="E264" s="20">
        <f t="shared" si="8"/>
        <v>0</v>
      </c>
      <c r="F264">
        <f t="shared" si="9"/>
        <v>0</v>
      </c>
    </row>
    <row r="265" spans="1:6" x14ac:dyDescent="0.35">
      <c r="A265" s="9">
        <v>58067439</v>
      </c>
      <c r="B265" s="10">
        <v>42921</v>
      </c>
      <c r="C265" s="11">
        <v>0.52607638888888886</v>
      </c>
      <c r="D265" s="12">
        <v>0.52662037037037035</v>
      </c>
      <c r="E265" s="20">
        <f t="shared" si="8"/>
        <v>0</v>
      </c>
      <c r="F265">
        <f t="shared" si="9"/>
        <v>0</v>
      </c>
    </row>
    <row r="266" spans="1:6" x14ac:dyDescent="0.35">
      <c r="A266" s="5">
        <v>6760428735</v>
      </c>
      <c r="B266" s="6">
        <v>42921</v>
      </c>
      <c r="C266" s="7">
        <v>0.52811342592592592</v>
      </c>
      <c r="D266" s="8">
        <v>0.53195601851851848</v>
      </c>
      <c r="E266" s="20">
        <f t="shared" si="8"/>
        <v>0</v>
      </c>
      <c r="F266">
        <f t="shared" si="9"/>
        <v>0</v>
      </c>
    </row>
    <row r="267" spans="1:6" x14ac:dyDescent="0.35">
      <c r="A267" s="9">
        <v>9803006</v>
      </c>
      <c r="B267" s="10">
        <v>42921</v>
      </c>
      <c r="C267" s="11">
        <v>0.53233796296296299</v>
      </c>
      <c r="D267" s="12">
        <v>0.54116898148148151</v>
      </c>
      <c r="E267" s="20">
        <f t="shared" si="8"/>
        <v>0</v>
      </c>
      <c r="F267">
        <f t="shared" si="9"/>
        <v>0</v>
      </c>
    </row>
    <row r="268" spans="1:6" x14ac:dyDescent="0.35">
      <c r="A268" s="5">
        <v>5312081</v>
      </c>
      <c r="B268" s="6">
        <v>42921</v>
      </c>
      <c r="C268" s="7">
        <v>0.53372685185185187</v>
      </c>
      <c r="D268" s="8">
        <v>0.53991898148148143</v>
      </c>
      <c r="E268" s="20">
        <f t="shared" si="8"/>
        <v>0</v>
      </c>
      <c r="F268">
        <f t="shared" si="9"/>
        <v>0</v>
      </c>
    </row>
    <row r="269" spans="1:6" x14ac:dyDescent="0.35">
      <c r="A269" s="9">
        <v>7114306</v>
      </c>
      <c r="B269" s="10">
        <v>42921</v>
      </c>
      <c r="C269" s="11">
        <v>0.53607638888888887</v>
      </c>
      <c r="D269" s="12">
        <v>0.54104166666666664</v>
      </c>
      <c r="E269" s="20">
        <f t="shared" si="8"/>
        <v>0</v>
      </c>
      <c r="F269">
        <f t="shared" si="9"/>
        <v>0</v>
      </c>
    </row>
    <row r="270" spans="1:6" x14ac:dyDescent="0.35">
      <c r="A270" s="5">
        <v>7594764</v>
      </c>
      <c r="B270" s="6">
        <v>42921</v>
      </c>
      <c r="C270" s="7">
        <v>0.53850694444444447</v>
      </c>
      <c r="D270" s="8">
        <v>0.53944444444444439</v>
      </c>
      <c r="E270" s="20">
        <f t="shared" si="8"/>
        <v>0</v>
      </c>
      <c r="F270">
        <f t="shared" si="9"/>
        <v>0</v>
      </c>
    </row>
    <row r="271" spans="1:6" x14ac:dyDescent="0.35">
      <c r="A271" s="9">
        <v>3004571</v>
      </c>
      <c r="B271" s="10">
        <v>42921</v>
      </c>
      <c r="C271" s="11">
        <v>0.54194444444444445</v>
      </c>
      <c r="D271" s="12">
        <v>0.54666666666666663</v>
      </c>
      <c r="E271" s="20">
        <f t="shared" si="8"/>
        <v>0</v>
      </c>
      <c r="F271">
        <f t="shared" si="9"/>
        <v>0</v>
      </c>
    </row>
    <row r="272" spans="1:6" x14ac:dyDescent="0.35">
      <c r="A272" s="5">
        <v>6689117</v>
      </c>
      <c r="B272" s="6">
        <v>42921</v>
      </c>
      <c r="C272" s="7">
        <v>0.54609953703703706</v>
      </c>
      <c r="D272" s="8">
        <v>0.55435185185185187</v>
      </c>
      <c r="E272" s="20">
        <f t="shared" si="8"/>
        <v>0</v>
      </c>
      <c r="F272">
        <f t="shared" si="9"/>
        <v>0</v>
      </c>
    </row>
    <row r="273" spans="1:6" x14ac:dyDescent="0.35">
      <c r="A273" s="9">
        <v>1081610</v>
      </c>
      <c r="B273" s="10">
        <v>42921</v>
      </c>
      <c r="C273" s="11">
        <v>0.54809027777777775</v>
      </c>
      <c r="D273" s="12">
        <v>0.55568287037037034</v>
      </c>
      <c r="E273" s="20">
        <f t="shared" si="8"/>
        <v>0</v>
      </c>
      <c r="F273">
        <f t="shared" si="9"/>
        <v>0</v>
      </c>
    </row>
    <row r="274" spans="1:6" x14ac:dyDescent="0.35">
      <c r="A274" s="5">
        <v>20220216</v>
      </c>
      <c r="B274" s="6">
        <v>42921</v>
      </c>
      <c r="C274" s="7">
        <v>0.54857638888888893</v>
      </c>
      <c r="D274" s="8">
        <v>0.55879629629629635</v>
      </c>
      <c r="E274" s="20">
        <f t="shared" si="8"/>
        <v>0</v>
      </c>
      <c r="F274">
        <f t="shared" si="9"/>
        <v>0</v>
      </c>
    </row>
    <row r="275" spans="1:6" x14ac:dyDescent="0.35">
      <c r="A275" s="9">
        <v>79890857</v>
      </c>
      <c r="B275" s="10">
        <v>42921</v>
      </c>
      <c r="C275" s="11">
        <v>0.54859953703703701</v>
      </c>
      <c r="D275" s="12">
        <v>0.55990740740740741</v>
      </c>
      <c r="E275" s="20">
        <f t="shared" si="8"/>
        <v>0</v>
      </c>
      <c r="F275">
        <f t="shared" si="9"/>
        <v>0</v>
      </c>
    </row>
    <row r="276" spans="1:6" x14ac:dyDescent="0.35">
      <c r="A276" s="5">
        <v>4600571814</v>
      </c>
      <c r="B276" s="6">
        <v>42921</v>
      </c>
      <c r="C276" s="7">
        <v>0.55166666666666664</v>
      </c>
      <c r="D276" s="8">
        <v>0.55865740740740744</v>
      </c>
      <c r="E276" s="20">
        <f t="shared" si="8"/>
        <v>0</v>
      </c>
      <c r="F276">
        <f t="shared" si="9"/>
        <v>0</v>
      </c>
    </row>
    <row r="277" spans="1:6" x14ac:dyDescent="0.35">
      <c r="A277" s="9">
        <v>1579531</v>
      </c>
      <c r="B277" s="10">
        <v>42921</v>
      </c>
      <c r="C277" s="11">
        <v>0.55266203703703709</v>
      </c>
      <c r="D277" s="12">
        <v>0.56405092592592587</v>
      </c>
      <c r="E277" s="20">
        <f t="shared" si="8"/>
        <v>0</v>
      </c>
      <c r="F277">
        <f t="shared" si="9"/>
        <v>0</v>
      </c>
    </row>
    <row r="278" spans="1:6" x14ac:dyDescent="0.35">
      <c r="A278" s="5">
        <v>7110850</v>
      </c>
      <c r="B278" s="6">
        <v>42921</v>
      </c>
      <c r="C278" s="7">
        <v>0.55269675925925921</v>
      </c>
      <c r="D278" s="8">
        <v>0.56355324074074076</v>
      </c>
      <c r="E278" s="20">
        <f t="shared" si="8"/>
        <v>0</v>
      </c>
      <c r="F278">
        <f t="shared" si="9"/>
        <v>0</v>
      </c>
    </row>
    <row r="279" spans="1:6" x14ac:dyDescent="0.35">
      <c r="A279" s="9">
        <v>18036364</v>
      </c>
      <c r="B279" s="10">
        <v>42921</v>
      </c>
      <c r="C279" s="11">
        <v>0.55847222222222226</v>
      </c>
      <c r="D279" s="12">
        <v>0.56166666666666665</v>
      </c>
      <c r="E279" s="20">
        <f t="shared" si="8"/>
        <v>0</v>
      </c>
      <c r="F279">
        <f t="shared" si="9"/>
        <v>0</v>
      </c>
    </row>
    <row r="280" spans="1:6" x14ac:dyDescent="0.35">
      <c r="A280" s="5">
        <v>6712006</v>
      </c>
      <c r="B280" s="6">
        <v>42921</v>
      </c>
      <c r="C280" s="7">
        <v>0.56106481481481485</v>
      </c>
      <c r="D280" s="8">
        <v>0.56716435185185188</v>
      </c>
      <c r="E280" s="20">
        <f t="shared" si="8"/>
        <v>0</v>
      </c>
      <c r="F280">
        <f t="shared" si="9"/>
        <v>0</v>
      </c>
    </row>
    <row r="281" spans="1:6" x14ac:dyDescent="0.35">
      <c r="A281" s="9">
        <v>5646830</v>
      </c>
      <c r="B281" s="10">
        <v>42921</v>
      </c>
      <c r="C281" s="11">
        <v>0.56361111111111106</v>
      </c>
      <c r="D281" s="12">
        <v>0.57469907407407406</v>
      </c>
      <c r="E281" s="20">
        <f t="shared" si="8"/>
        <v>0</v>
      </c>
      <c r="F281">
        <f t="shared" si="9"/>
        <v>0</v>
      </c>
    </row>
    <row r="282" spans="1:6" x14ac:dyDescent="0.35">
      <c r="A282" s="5">
        <v>38535407</v>
      </c>
      <c r="B282" s="6">
        <v>42921</v>
      </c>
      <c r="C282" s="7">
        <v>0.56568287037037035</v>
      </c>
      <c r="D282" s="8">
        <v>0.56981481481481477</v>
      </c>
      <c r="E282" s="20">
        <f t="shared" si="8"/>
        <v>0</v>
      </c>
      <c r="F282">
        <f t="shared" si="9"/>
        <v>0</v>
      </c>
    </row>
    <row r="283" spans="1:6" x14ac:dyDescent="0.35">
      <c r="A283" s="9">
        <v>66871690</v>
      </c>
      <c r="B283" s="10">
        <v>42921</v>
      </c>
      <c r="C283" s="11">
        <v>0.56703703703703701</v>
      </c>
      <c r="D283" s="12">
        <v>0.57664351851851847</v>
      </c>
      <c r="E283" s="20">
        <f t="shared" si="8"/>
        <v>0</v>
      </c>
      <c r="F283">
        <f t="shared" si="9"/>
        <v>0</v>
      </c>
    </row>
    <row r="284" spans="1:6" x14ac:dyDescent="0.35">
      <c r="A284" s="5">
        <v>7085993</v>
      </c>
      <c r="B284" s="6">
        <v>42921</v>
      </c>
      <c r="C284" s="7">
        <v>0.57192129629629629</v>
      </c>
      <c r="D284" s="8">
        <v>0.57506944444444441</v>
      </c>
      <c r="E284" s="20">
        <f t="shared" si="8"/>
        <v>0</v>
      </c>
      <c r="F284">
        <f t="shared" si="9"/>
        <v>0</v>
      </c>
    </row>
    <row r="285" spans="1:6" x14ac:dyDescent="0.35">
      <c r="A285" s="9">
        <v>2890720</v>
      </c>
      <c r="B285" s="10">
        <v>42921</v>
      </c>
      <c r="C285" s="11">
        <v>0.57589120370370372</v>
      </c>
      <c r="D285" s="12">
        <v>0.57648148148148148</v>
      </c>
      <c r="E285" s="20">
        <f t="shared" si="8"/>
        <v>0</v>
      </c>
      <c r="F285">
        <f t="shared" si="9"/>
        <v>0</v>
      </c>
    </row>
    <row r="286" spans="1:6" x14ac:dyDescent="0.35">
      <c r="A286" s="5">
        <v>8375968</v>
      </c>
      <c r="B286" s="6">
        <v>42921</v>
      </c>
      <c r="C286" s="7">
        <v>0.5786458333333333</v>
      </c>
      <c r="D286" s="8">
        <v>0.57954861111111111</v>
      </c>
      <c r="E286" s="20">
        <f t="shared" si="8"/>
        <v>0</v>
      </c>
      <c r="F286">
        <f t="shared" si="9"/>
        <v>0</v>
      </c>
    </row>
    <row r="287" spans="1:6" x14ac:dyDescent="0.35">
      <c r="A287" s="9">
        <v>1119740</v>
      </c>
      <c r="B287" s="10">
        <v>42921</v>
      </c>
      <c r="C287" s="11">
        <v>0.57876157407407403</v>
      </c>
      <c r="D287" s="12">
        <v>0.5811574074074074</v>
      </c>
      <c r="E287" s="20">
        <f t="shared" si="8"/>
        <v>0</v>
      </c>
      <c r="F287">
        <f t="shared" si="9"/>
        <v>0</v>
      </c>
    </row>
    <row r="288" spans="1:6" x14ac:dyDescent="0.35">
      <c r="A288" s="5">
        <v>3796958</v>
      </c>
      <c r="B288" s="6">
        <v>42921</v>
      </c>
      <c r="C288" s="7">
        <v>0.57901620370370366</v>
      </c>
      <c r="D288" s="8">
        <v>0.58940972222222221</v>
      </c>
      <c r="E288" s="20">
        <f t="shared" si="8"/>
        <v>0</v>
      </c>
      <c r="F288">
        <f t="shared" si="9"/>
        <v>0</v>
      </c>
    </row>
    <row r="289" spans="1:6" x14ac:dyDescent="0.35">
      <c r="A289" s="9">
        <v>8010775</v>
      </c>
      <c r="B289" s="10">
        <v>42921</v>
      </c>
      <c r="C289" s="11">
        <v>0.58275462962962965</v>
      </c>
      <c r="D289" s="12">
        <v>0.5852546296296296</v>
      </c>
      <c r="E289" s="20">
        <f t="shared" si="8"/>
        <v>0</v>
      </c>
      <c r="F289">
        <f t="shared" si="9"/>
        <v>0</v>
      </c>
    </row>
    <row r="290" spans="1:6" x14ac:dyDescent="0.35">
      <c r="A290" s="5">
        <v>46023878</v>
      </c>
      <c r="B290" s="6">
        <v>42921</v>
      </c>
      <c r="C290" s="7">
        <v>0.58829861111111115</v>
      </c>
      <c r="D290" s="8">
        <v>0.59641203703703705</v>
      </c>
      <c r="E290" s="20">
        <f t="shared" si="8"/>
        <v>0</v>
      </c>
      <c r="F290">
        <f t="shared" si="9"/>
        <v>0</v>
      </c>
    </row>
    <row r="291" spans="1:6" x14ac:dyDescent="0.35">
      <c r="A291" s="9">
        <v>3379007610</v>
      </c>
      <c r="B291" s="10">
        <v>42921</v>
      </c>
      <c r="C291" s="11">
        <v>0.59281249999999996</v>
      </c>
      <c r="D291" s="12">
        <v>0.59871527777777778</v>
      </c>
      <c r="E291" s="20">
        <f t="shared" si="8"/>
        <v>0</v>
      </c>
      <c r="F291">
        <f t="shared" si="9"/>
        <v>0</v>
      </c>
    </row>
    <row r="292" spans="1:6" x14ac:dyDescent="0.35">
      <c r="A292" s="5">
        <v>2890519255</v>
      </c>
      <c r="B292" s="6">
        <v>42921</v>
      </c>
      <c r="C292" s="7">
        <v>0.59557870370370369</v>
      </c>
      <c r="D292" s="8">
        <v>0.59930555555555554</v>
      </c>
      <c r="E292" s="20">
        <f t="shared" si="8"/>
        <v>0</v>
      </c>
      <c r="F292">
        <f t="shared" si="9"/>
        <v>0</v>
      </c>
    </row>
    <row r="293" spans="1:6" x14ac:dyDescent="0.35">
      <c r="A293" s="9">
        <v>27858818</v>
      </c>
      <c r="B293" s="10">
        <v>42921</v>
      </c>
      <c r="C293" s="11">
        <v>0.59718749999999998</v>
      </c>
      <c r="D293" s="12">
        <v>0.60711805555555554</v>
      </c>
      <c r="E293" s="20">
        <f t="shared" si="8"/>
        <v>0</v>
      </c>
      <c r="F293">
        <f t="shared" si="9"/>
        <v>0</v>
      </c>
    </row>
    <row r="294" spans="1:6" x14ac:dyDescent="0.35">
      <c r="A294" s="5">
        <v>5076649</v>
      </c>
      <c r="B294" s="6">
        <v>42921</v>
      </c>
      <c r="C294" s="7">
        <v>0.59803240740740737</v>
      </c>
      <c r="D294" s="8">
        <v>0.60223379629629625</v>
      </c>
      <c r="E294" s="20">
        <f t="shared" si="8"/>
        <v>0</v>
      </c>
      <c r="F294">
        <f t="shared" si="9"/>
        <v>0</v>
      </c>
    </row>
    <row r="295" spans="1:6" x14ac:dyDescent="0.35">
      <c r="A295" s="9">
        <v>70367818</v>
      </c>
      <c r="B295" s="10">
        <v>42921</v>
      </c>
      <c r="C295" s="11">
        <v>0.5982291666666667</v>
      </c>
      <c r="D295" s="12">
        <v>0.60077546296296291</v>
      </c>
      <c r="E295" s="20">
        <f t="shared" si="8"/>
        <v>0</v>
      </c>
      <c r="F295">
        <f t="shared" si="9"/>
        <v>0</v>
      </c>
    </row>
    <row r="296" spans="1:6" x14ac:dyDescent="0.35">
      <c r="A296" s="5">
        <v>9788998</v>
      </c>
      <c r="B296" s="6">
        <v>42921</v>
      </c>
      <c r="C296" s="7">
        <v>0.60070601851851857</v>
      </c>
      <c r="D296" s="8">
        <v>0.6075694444444445</v>
      </c>
      <c r="E296" s="20">
        <f t="shared" si="8"/>
        <v>0</v>
      </c>
      <c r="F296">
        <f t="shared" si="9"/>
        <v>0</v>
      </c>
    </row>
    <row r="297" spans="1:6" x14ac:dyDescent="0.35">
      <c r="A297" s="9">
        <v>1951101</v>
      </c>
      <c r="B297" s="10">
        <v>42921</v>
      </c>
      <c r="C297" s="11">
        <v>0.60379629629629628</v>
      </c>
      <c r="D297" s="12">
        <v>0.6139930555555555</v>
      </c>
      <c r="E297" s="20">
        <f t="shared" si="8"/>
        <v>0</v>
      </c>
      <c r="F297">
        <f t="shared" si="9"/>
        <v>0</v>
      </c>
    </row>
    <row r="298" spans="1:6" x14ac:dyDescent="0.35">
      <c r="A298" s="5">
        <v>4546455</v>
      </c>
      <c r="B298" s="6">
        <v>42921</v>
      </c>
      <c r="C298" s="7">
        <v>0.6040740740740741</v>
      </c>
      <c r="D298" s="8">
        <v>0.61181712962962964</v>
      </c>
      <c r="E298" s="20">
        <f t="shared" si="8"/>
        <v>0</v>
      </c>
      <c r="F298">
        <f t="shared" si="9"/>
        <v>0</v>
      </c>
    </row>
    <row r="299" spans="1:6" x14ac:dyDescent="0.35">
      <c r="A299" s="9">
        <v>12687991</v>
      </c>
      <c r="B299" s="10">
        <v>42921</v>
      </c>
      <c r="C299" s="11">
        <v>0.60660879629629627</v>
      </c>
      <c r="D299" s="12">
        <v>0.6086921296296296</v>
      </c>
      <c r="E299" s="20">
        <f t="shared" si="8"/>
        <v>0</v>
      </c>
      <c r="F299">
        <f t="shared" si="9"/>
        <v>0</v>
      </c>
    </row>
    <row r="300" spans="1:6" x14ac:dyDescent="0.35">
      <c r="A300" s="5">
        <v>4328583</v>
      </c>
      <c r="B300" s="6">
        <v>42921</v>
      </c>
      <c r="C300" s="7">
        <v>0.60927083333333332</v>
      </c>
      <c r="D300" s="8">
        <v>0.61127314814814815</v>
      </c>
      <c r="E300" s="20">
        <f t="shared" si="8"/>
        <v>0</v>
      </c>
      <c r="F300">
        <f t="shared" si="9"/>
        <v>0</v>
      </c>
    </row>
    <row r="301" spans="1:6" x14ac:dyDescent="0.35">
      <c r="A301" s="9">
        <v>2184116</v>
      </c>
      <c r="B301" s="10">
        <v>42921</v>
      </c>
      <c r="C301" s="11">
        <v>0.61251157407407408</v>
      </c>
      <c r="D301" s="12">
        <v>0.61998842592592596</v>
      </c>
      <c r="E301" s="20">
        <f t="shared" si="8"/>
        <v>0</v>
      </c>
      <c r="F301">
        <f t="shared" si="9"/>
        <v>0</v>
      </c>
    </row>
    <row r="302" spans="1:6" x14ac:dyDescent="0.35">
      <c r="A302" s="5">
        <v>24724570</v>
      </c>
      <c r="B302" s="6">
        <v>42921</v>
      </c>
      <c r="C302" s="7">
        <v>0.61430555555555555</v>
      </c>
      <c r="D302" s="8">
        <v>0.61843749999999997</v>
      </c>
      <c r="E302" s="20">
        <f t="shared" si="8"/>
        <v>0</v>
      </c>
      <c r="F302">
        <f t="shared" si="9"/>
        <v>0</v>
      </c>
    </row>
    <row r="303" spans="1:6" x14ac:dyDescent="0.35">
      <c r="A303" s="9">
        <v>4843076</v>
      </c>
      <c r="B303" s="10">
        <v>42921</v>
      </c>
      <c r="C303" s="11">
        <v>0.61957175925925922</v>
      </c>
      <c r="D303" s="12">
        <v>0.62241898148148145</v>
      </c>
      <c r="E303" s="20">
        <f t="shared" si="8"/>
        <v>0</v>
      </c>
      <c r="F303">
        <f t="shared" si="9"/>
        <v>0</v>
      </c>
    </row>
    <row r="304" spans="1:6" x14ac:dyDescent="0.35">
      <c r="A304" s="5">
        <v>7795911</v>
      </c>
      <c r="B304" s="6">
        <v>42921</v>
      </c>
      <c r="C304" s="7">
        <v>0.62047453703703703</v>
      </c>
      <c r="D304" s="8">
        <v>0.62715277777777778</v>
      </c>
      <c r="E304" s="20">
        <f t="shared" si="8"/>
        <v>0</v>
      </c>
      <c r="F304">
        <f t="shared" si="9"/>
        <v>0</v>
      </c>
    </row>
    <row r="305" spans="1:6" x14ac:dyDescent="0.35">
      <c r="A305" s="9">
        <v>42722517</v>
      </c>
      <c r="B305" s="10">
        <v>42921</v>
      </c>
      <c r="C305" s="11">
        <v>0.62094907407407407</v>
      </c>
      <c r="D305" s="12">
        <v>0.62687499999999996</v>
      </c>
      <c r="E305" s="20">
        <f t="shared" si="8"/>
        <v>0</v>
      </c>
      <c r="F305">
        <f t="shared" si="9"/>
        <v>0</v>
      </c>
    </row>
    <row r="306" spans="1:6" x14ac:dyDescent="0.35">
      <c r="A306" s="5">
        <v>9697189</v>
      </c>
      <c r="B306" s="6">
        <v>42921</v>
      </c>
      <c r="C306" s="7">
        <v>0.62251157407407409</v>
      </c>
      <c r="D306" s="8">
        <v>0.6234143518518519</v>
      </c>
      <c r="E306" s="20">
        <f t="shared" si="8"/>
        <v>0</v>
      </c>
      <c r="F306">
        <f t="shared" si="9"/>
        <v>0</v>
      </c>
    </row>
    <row r="307" spans="1:6" x14ac:dyDescent="0.35">
      <c r="A307" s="9">
        <v>4471203</v>
      </c>
      <c r="B307" s="10">
        <v>42921</v>
      </c>
      <c r="C307" s="11">
        <v>0.62403935185185189</v>
      </c>
      <c r="D307" s="12">
        <v>0.62936342592592598</v>
      </c>
      <c r="E307" s="20">
        <f t="shared" si="8"/>
        <v>0</v>
      </c>
      <c r="F307">
        <f t="shared" si="9"/>
        <v>0</v>
      </c>
    </row>
    <row r="308" spans="1:6" x14ac:dyDescent="0.35">
      <c r="A308" s="5">
        <v>1439114</v>
      </c>
      <c r="B308" s="6">
        <v>42921</v>
      </c>
      <c r="C308" s="7">
        <v>0.62589120370370366</v>
      </c>
      <c r="D308" s="8">
        <v>0.62774305555555554</v>
      </c>
      <c r="E308" s="20">
        <f t="shared" si="8"/>
        <v>0</v>
      </c>
      <c r="F308">
        <f t="shared" si="9"/>
        <v>0</v>
      </c>
    </row>
    <row r="309" spans="1:6" x14ac:dyDescent="0.35">
      <c r="A309" s="9">
        <v>5822881</v>
      </c>
      <c r="B309" s="10">
        <v>42922</v>
      </c>
      <c r="C309" s="11">
        <v>0.33555555555555555</v>
      </c>
      <c r="D309" s="12">
        <v>0.34137731481481481</v>
      </c>
      <c r="E309" s="20">
        <f t="shared" si="8"/>
        <v>0</v>
      </c>
      <c r="F309">
        <f t="shared" si="9"/>
        <v>0</v>
      </c>
    </row>
    <row r="310" spans="1:6" x14ac:dyDescent="0.35">
      <c r="A310" s="5">
        <v>6027120</v>
      </c>
      <c r="B310" s="6">
        <v>42922</v>
      </c>
      <c r="C310" s="7">
        <v>0.33814814814814814</v>
      </c>
      <c r="D310" s="8">
        <v>0.34232638888888889</v>
      </c>
      <c r="E310" s="20">
        <f t="shared" si="8"/>
        <v>0</v>
      </c>
      <c r="F310">
        <f t="shared" si="9"/>
        <v>0</v>
      </c>
    </row>
    <row r="311" spans="1:6" x14ac:dyDescent="0.35">
      <c r="A311" s="9">
        <v>2790475</v>
      </c>
      <c r="B311" s="10">
        <v>42922</v>
      </c>
      <c r="C311" s="11">
        <v>0.34349537037037037</v>
      </c>
      <c r="D311" s="12">
        <v>0.34965277777777776</v>
      </c>
      <c r="E311" s="20">
        <f t="shared" si="8"/>
        <v>0</v>
      </c>
      <c r="F311">
        <f t="shared" si="9"/>
        <v>0</v>
      </c>
    </row>
    <row r="312" spans="1:6" x14ac:dyDescent="0.35">
      <c r="A312" s="5">
        <v>30893038</v>
      </c>
      <c r="B312" s="6">
        <v>42922</v>
      </c>
      <c r="C312" s="7">
        <v>0.34708333333333335</v>
      </c>
      <c r="D312" s="8">
        <v>0.34912037037037036</v>
      </c>
      <c r="E312" s="20">
        <f t="shared" si="8"/>
        <v>0</v>
      </c>
      <c r="F312">
        <f t="shared" si="9"/>
        <v>0</v>
      </c>
    </row>
    <row r="313" spans="1:6" x14ac:dyDescent="0.35">
      <c r="A313" s="9">
        <v>5076649</v>
      </c>
      <c r="B313" s="10">
        <v>42922</v>
      </c>
      <c r="C313" s="11">
        <v>0.35163194444444446</v>
      </c>
      <c r="D313" s="12">
        <v>0.35670138888888892</v>
      </c>
      <c r="E313" s="20">
        <f t="shared" si="8"/>
        <v>0</v>
      </c>
      <c r="F313">
        <f t="shared" si="9"/>
        <v>0</v>
      </c>
    </row>
    <row r="314" spans="1:6" x14ac:dyDescent="0.35">
      <c r="A314" s="5">
        <v>5013602</v>
      </c>
      <c r="B314" s="6">
        <v>42922</v>
      </c>
      <c r="C314" s="7">
        <v>0.35531249999999998</v>
      </c>
      <c r="D314" s="8">
        <v>0.3630902777777778</v>
      </c>
      <c r="E314" s="20">
        <f t="shared" si="8"/>
        <v>0</v>
      </c>
      <c r="F314">
        <f t="shared" si="9"/>
        <v>0</v>
      </c>
    </row>
    <row r="315" spans="1:6" x14ac:dyDescent="0.35">
      <c r="A315" s="9">
        <v>5696056</v>
      </c>
      <c r="B315" s="10">
        <v>42922</v>
      </c>
      <c r="C315" s="11">
        <v>0.36097222222222225</v>
      </c>
      <c r="D315" s="12">
        <v>0.36534722222222221</v>
      </c>
      <c r="E315" s="20">
        <f t="shared" si="8"/>
        <v>0</v>
      </c>
      <c r="F315">
        <f t="shared" si="9"/>
        <v>0</v>
      </c>
    </row>
    <row r="316" spans="1:6" x14ac:dyDescent="0.35">
      <c r="A316" s="5">
        <v>11274735</v>
      </c>
      <c r="B316" s="6">
        <v>42922</v>
      </c>
      <c r="C316" s="7">
        <v>0.36618055555555556</v>
      </c>
      <c r="D316" s="8">
        <v>0.37038194444444444</v>
      </c>
      <c r="E316" s="20">
        <f t="shared" si="8"/>
        <v>0</v>
      </c>
      <c r="F316">
        <f t="shared" si="9"/>
        <v>0</v>
      </c>
    </row>
    <row r="317" spans="1:6" x14ac:dyDescent="0.35">
      <c r="A317" s="9">
        <v>1158631</v>
      </c>
      <c r="B317" s="10">
        <v>42922</v>
      </c>
      <c r="C317" s="11">
        <v>0.3664351851851852</v>
      </c>
      <c r="D317" s="12">
        <v>0.37646990740740743</v>
      </c>
      <c r="E317" s="20">
        <f t="shared" si="8"/>
        <v>0</v>
      </c>
      <c r="F317">
        <f t="shared" si="9"/>
        <v>0</v>
      </c>
    </row>
    <row r="318" spans="1:6" x14ac:dyDescent="0.35">
      <c r="A318" s="5">
        <v>6009110</v>
      </c>
      <c r="B318" s="6">
        <v>42922</v>
      </c>
      <c r="C318" s="7">
        <v>0.37092592592592594</v>
      </c>
      <c r="D318" s="8">
        <v>0.37193287037037037</v>
      </c>
      <c r="E318" s="20">
        <f t="shared" si="8"/>
        <v>0</v>
      </c>
      <c r="F318">
        <f t="shared" si="9"/>
        <v>0</v>
      </c>
    </row>
    <row r="319" spans="1:6" x14ac:dyDescent="0.35">
      <c r="A319" s="9">
        <v>6644360383</v>
      </c>
      <c r="B319" s="10">
        <v>42922</v>
      </c>
      <c r="C319" s="11">
        <v>0.37333333333333335</v>
      </c>
      <c r="D319" s="12">
        <v>0.37968750000000001</v>
      </c>
      <c r="E319" s="20">
        <f t="shared" si="8"/>
        <v>0</v>
      </c>
      <c r="F319">
        <f t="shared" si="9"/>
        <v>0</v>
      </c>
    </row>
    <row r="320" spans="1:6" x14ac:dyDescent="0.35">
      <c r="A320" s="5">
        <v>6045882</v>
      </c>
      <c r="B320" s="6">
        <v>42922</v>
      </c>
      <c r="C320" s="7">
        <v>0.37799768518518517</v>
      </c>
      <c r="D320" s="8">
        <v>0.38377314814814817</v>
      </c>
      <c r="E320" s="20">
        <f t="shared" si="8"/>
        <v>0</v>
      </c>
      <c r="F320">
        <f t="shared" si="9"/>
        <v>0</v>
      </c>
    </row>
    <row r="321" spans="1:6" x14ac:dyDescent="0.35">
      <c r="A321" s="9">
        <v>4113351</v>
      </c>
      <c r="B321" s="10">
        <v>42922</v>
      </c>
      <c r="C321" s="11">
        <v>0.37913194444444442</v>
      </c>
      <c r="D321" s="12">
        <v>0.3800115740740741</v>
      </c>
      <c r="E321" s="20">
        <f t="shared" si="8"/>
        <v>0</v>
      </c>
      <c r="F321">
        <f t="shared" si="9"/>
        <v>0</v>
      </c>
    </row>
    <row r="322" spans="1:6" x14ac:dyDescent="0.35">
      <c r="A322" s="5">
        <v>9777118</v>
      </c>
      <c r="B322" s="6">
        <v>42922</v>
      </c>
      <c r="C322" s="7">
        <v>0.38156250000000003</v>
      </c>
      <c r="D322" s="8">
        <v>0.3878240740740741</v>
      </c>
      <c r="E322" s="20">
        <f t="shared" si="8"/>
        <v>0</v>
      </c>
      <c r="F322">
        <f t="shared" si="9"/>
        <v>0</v>
      </c>
    </row>
    <row r="323" spans="1:6" x14ac:dyDescent="0.35">
      <c r="A323" s="9">
        <v>1659814</v>
      </c>
      <c r="B323" s="10">
        <v>42922</v>
      </c>
      <c r="C323" s="11">
        <v>0.38416666666666666</v>
      </c>
      <c r="D323" s="12">
        <v>0.39554398148148145</v>
      </c>
      <c r="E323" s="20">
        <f t="shared" ref="E323:E386" si="10">IF(F323=1,D323-C323,0)</f>
        <v>0</v>
      </c>
      <c r="F323">
        <f t="shared" ref="F323:F386" si="11">IF(AND(LEN(A323)=7,LEFT(A323,2) = "12"),1,0)</f>
        <v>0</v>
      </c>
    </row>
    <row r="324" spans="1:6" x14ac:dyDescent="0.35">
      <c r="A324" s="5">
        <v>26204415</v>
      </c>
      <c r="B324" s="6">
        <v>42922</v>
      </c>
      <c r="C324" s="7">
        <v>0.38806712962962964</v>
      </c>
      <c r="D324" s="8">
        <v>0.39144675925925926</v>
      </c>
      <c r="E324" s="20">
        <f t="shared" si="10"/>
        <v>0</v>
      </c>
      <c r="F324">
        <f t="shared" si="11"/>
        <v>0</v>
      </c>
    </row>
    <row r="325" spans="1:6" x14ac:dyDescent="0.35">
      <c r="A325" s="9">
        <v>8471544</v>
      </c>
      <c r="B325" s="10">
        <v>42922</v>
      </c>
      <c r="C325" s="11">
        <v>0.38960648148148147</v>
      </c>
      <c r="D325" s="12">
        <v>0.39498842592592592</v>
      </c>
      <c r="E325" s="20">
        <f t="shared" si="10"/>
        <v>0</v>
      </c>
      <c r="F325">
        <f t="shared" si="11"/>
        <v>0</v>
      </c>
    </row>
    <row r="326" spans="1:6" x14ac:dyDescent="0.35">
      <c r="A326" s="5">
        <v>3379401</v>
      </c>
      <c r="B326" s="6">
        <v>42922</v>
      </c>
      <c r="C326" s="7">
        <v>0.39466435185185184</v>
      </c>
      <c r="D326" s="8">
        <v>0.40501157407407407</v>
      </c>
      <c r="E326" s="20">
        <f t="shared" si="10"/>
        <v>0</v>
      </c>
      <c r="F326">
        <f t="shared" si="11"/>
        <v>0</v>
      </c>
    </row>
    <row r="327" spans="1:6" x14ac:dyDescent="0.35">
      <c r="A327" s="9">
        <v>5912377607</v>
      </c>
      <c r="B327" s="10">
        <v>42922</v>
      </c>
      <c r="C327" s="11">
        <v>0.39613425925925927</v>
      </c>
      <c r="D327" s="12">
        <v>0.39868055555555554</v>
      </c>
      <c r="E327" s="20">
        <f t="shared" si="10"/>
        <v>0</v>
      </c>
      <c r="F327">
        <f t="shared" si="11"/>
        <v>0</v>
      </c>
    </row>
    <row r="328" spans="1:6" x14ac:dyDescent="0.35">
      <c r="A328" s="5">
        <v>77705897</v>
      </c>
      <c r="B328" s="6">
        <v>42922</v>
      </c>
      <c r="C328" s="7">
        <v>0.39956018518518521</v>
      </c>
      <c r="D328" s="8">
        <v>0.40025462962962965</v>
      </c>
      <c r="E328" s="20">
        <f t="shared" si="10"/>
        <v>0</v>
      </c>
      <c r="F328">
        <f t="shared" si="11"/>
        <v>0</v>
      </c>
    </row>
    <row r="329" spans="1:6" x14ac:dyDescent="0.35">
      <c r="A329" s="9">
        <v>5894865</v>
      </c>
      <c r="B329" s="10">
        <v>42922</v>
      </c>
      <c r="C329" s="11">
        <v>0.40255787037037039</v>
      </c>
      <c r="D329" s="12">
        <v>0.40554398148148146</v>
      </c>
      <c r="E329" s="20">
        <f t="shared" si="10"/>
        <v>0</v>
      </c>
      <c r="F329">
        <f t="shared" si="11"/>
        <v>0</v>
      </c>
    </row>
    <row r="330" spans="1:6" x14ac:dyDescent="0.35">
      <c r="A330" s="5">
        <v>7449832</v>
      </c>
      <c r="B330" s="6">
        <v>42922</v>
      </c>
      <c r="C330" s="7">
        <v>0.40559027777777779</v>
      </c>
      <c r="D330" s="8">
        <v>0.41425925925925927</v>
      </c>
      <c r="E330" s="20">
        <f t="shared" si="10"/>
        <v>0</v>
      </c>
      <c r="F330">
        <f t="shared" si="11"/>
        <v>0</v>
      </c>
    </row>
    <row r="331" spans="1:6" x14ac:dyDescent="0.35">
      <c r="A331" s="9">
        <v>49390412</v>
      </c>
      <c r="B331" s="10">
        <v>42922</v>
      </c>
      <c r="C331" s="11">
        <v>0.40645833333333331</v>
      </c>
      <c r="D331" s="12">
        <v>0.41598379629629628</v>
      </c>
      <c r="E331" s="20">
        <f t="shared" si="10"/>
        <v>0</v>
      </c>
      <c r="F331">
        <f t="shared" si="11"/>
        <v>0</v>
      </c>
    </row>
    <row r="332" spans="1:6" x14ac:dyDescent="0.35">
      <c r="A332" s="5">
        <v>6156594</v>
      </c>
      <c r="B332" s="6">
        <v>42922</v>
      </c>
      <c r="C332" s="7">
        <v>0.41142361111111109</v>
      </c>
      <c r="D332" s="8">
        <v>0.42168981481481482</v>
      </c>
      <c r="E332" s="20">
        <f t="shared" si="10"/>
        <v>0</v>
      </c>
      <c r="F332">
        <f t="shared" si="11"/>
        <v>0</v>
      </c>
    </row>
    <row r="333" spans="1:6" x14ac:dyDescent="0.35">
      <c r="A333" s="9">
        <v>5006675</v>
      </c>
      <c r="B333" s="10">
        <v>42922</v>
      </c>
      <c r="C333" s="11">
        <v>0.4129976851851852</v>
      </c>
      <c r="D333" s="12">
        <v>0.41953703703703704</v>
      </c>
      <c r="E333" s="20">
        <f t="shared" si="10"/>
        <v>0</v>
      </c>
      <c r="F333">
        <f t="shared" si="11"/>
        <v>0</v>
      </c>
    </row>
    <row r="334" spans="1:6" x14ac:dyDescent="0.35">
      <c r="A334" s="5">
        <v>2096180</v>
      </c>
      <c r="B334" s="6">
        <v>42922</v>
      </c>
      <c r="C334" s="7">
        <v>0.41351851851851851</v>
      </c>
      <c r="D334" s="8">
        <v>0.41670138888888891</v>
      </c>
      <c r="E334" s="20">
        <f t="shared" si="10"/>
        <v>0</v>
      </c>
      <c r="F334">
        <f t="shared" si="11"/>
        <v>0</v>
      </c>
    </row>
    <row r="335" spans="1:6" x14ac:dyDescent="0.35">
      <c r="A335" s="9">
        <v>8214927</v>
      </c>
      <c r="B335" s="10">
        <v>42922</v>
      </c>
      <c r="C335" s="11">
        <v>0.41638888888888886</v>
      </c>
      <c r="D335" s="12">
        <v>0.42116898148148146</v>
      </c>
      <c r="E335" s="20">
        <f t="shared" si="10"/>
        <v>0</v>
      </c>
      <c r="F335">
        <f t="shared" si="11"/>
        <v>0</v>
      </c>
    </row>
    <row r="336" spans="1:6" x14ac:dyDescent="0.35">
      <c r="A336" s="5">
        <v>5816822</v>
      </c>
      <c r="B336" s="6">
        <v>42922</v>
      </c>
      <c r="C336" s="7">
        <v>0.41684027777777777</v>
      </c>
      <c r="D336" s="8">
        <v>0.4230902777777778</v>
      </c>
      <c r="E336" s="20">
        <f t="shared" si="10"/>
        <v>0</v>
      </c>
      <c r="F336">
        <f t="shared" si="11"/>
        <v>0</v>
      </c>
    </row>
    <row r="337" spans="1:6" x14ac:dyDescent="0.35">
      <c r="A337" s="9">
        <v>9683894</v>
      </c>
      <c r="B337" s="10">
        <v>42922</v>
      </c>
      <c r="C337" s="11">
        <v>0.42046296296296298</v>
      </c>
      <c r="D337" s="12">
        <v>0.42086805555555556</v>
      </c>
      <c r="E337" s="20">
        <f t="shared" si="10"/>
        <v>0</v>
      </c>
      <c r="F337">
        <f t="shared" si="11"/>
        <v>0</v>
      </c>
    </row>
    <row r="338" spans="1:6" x14ac:dyDescent="0.35">
      <c r="A338" s="5">
        <v>2808052</v>
      </c>
      <c r="B338" s="6">
        <v>42922</v>
      </c>
      <c r="C338" s="7">
        <v>0.42144675925925928</v>
      </c>
      <c r="D338" s="8">
        <v>0.43079861111111112</v>
      </c>
      <c r="E338" s="20">
        <f t="shared" si="10"/>
        <v>0</v>
      </c>
      <c r="F338">
        <f t="shared" si="11"/>
        <v>0</v>
      </c>
    </row>
    <row r="339" spans="1:6" x14ac:dyDescent="0.35">
      <c r="A339" s="9">
        <v>18084593</v>
      </c>
      <c r="B339" s="10">
        <v>42922</v>
      </c>
      <c r="C339" s="11">
        <v>0.42482638888888891</v>
      </c>
      <c r="D339" s="12">
        <v>0.43292824074074077</v>
      </c>
      <c r="E339" s="20">
        <f t="shared" si="10"/>
        <v>0</v>
      </c>
      <c r="F339">
        <f t="shared" si="11"/>
        <v>0</v>
      </c>
    </row>
    <row r="340" spans="1:6" x14ac:dyDescent="0.35">
      <c r="A340" s="5">
        <v>1390402</v>
      </c>
      <c r="B340" s="6">
        <v>42922</v>
      </c>
      <c r="C340" s="7">
        <v>0.42880787037037038</v>
      </c>
      <c r="D340" s="8">
        <v>0.44034722222222222</v>
      </c>
      <c r="E340" s="20">
        <f t="shared" si="10"/>
        <v>0</v>
      </c>
      <c r="F340">
        <f t="shared" si="11"/>
        <v>0</v>
      </c>
    </row>
    <row r="341" spans="1:6" x14ac:dyDescent="0.35">
      <c r="A341" s="9">
        <v>44200961</v>
      </c>
      <c r="B341" s="10">
        <v>42922</v>
      </c>
      <c r="C341" s="11">
        <v>0.42920138888888887</v>
      </c>
      <c r="D341" s="12">
        <v>0.43532407407407409</v>
      </c>
      <c r="E341" s="20">
        <f t="shared" si="10"/>
        <v>0</v>
      </c>
      <c r="F341">
        <f t="shared" si="11"/>
        <v>0</v>
      </c>
    </row>
    <row r="342" spans="1:6" x14ac:dyDescent="0.35">
      <c r="A342" s="5">
        <v>5859235</v>
      </c>
      <c r="B342" s="6">
        <v>42922</v>
      </c>
      <c r="C342" s="7">
        <v>0.43037037037037035</v>
      </c>
      <c r="D342" s="8">
        <v>0.4344675925925926</v>
      </c>
      <c r="E342" s="20">
        <f t="shared" si="10"/>
        <v>0</v>
      </c>
      <c r="F342">
        <f t="shared" si="11"/>
        <v>0</v>
      </c>
    </row>
    <row r="343" spans="1:6" x14ac:dyDescent="0.35">
      <c r="A343" s="9">
        <v>51855396</v>
      </c>
      <c r="B343" s="10">
        <v>42922</v>
      </c>
      <c r="C343" s="11">
        <v>0.43266203703703704</v>
      </c>
      <c r="D343" s="12">
        <v>0.44364583333333335</v>
      </c>
      <c r="E343" s="20">
        <f t="shared" si="10"/>
        <v>0</v>
      </c>
      <c r="F343">
        <f t="shared" si="11"/>
        <v>0</v>
      </c>
    </row>
    <row r="344" spans="1:6" x14ac:dyDescent="0.35">
      <c r="A344" s="5">
        <v>8768896</v>
      </c>
      <c r="B344" s="6">
        <v>42922</v>
      </c>
      <c r="C344" s="7">
        <v>0.43590277777777775</v>
      </c>
      <c r="D344" s="8">
        <v>0.44127314814814816</v>
      </c>
      <c r="E344" s="20">
        <f t="shared" si="10"/>
        <v>0</v>
      </c>
      <c r="F344">
        <f t="shared" si="11"/>
        <v>0</v>
      </c>
    </row>
    <row r="345" spans="1:6" x14ac:dyDescent="0.35">
      <c r="A345" s="9">
        <v>9088045</v>
      </c>
      <c r="B345" s="10">
        <v>42922</v>
      </c>
      <c r="C345" s="11">
        <v>0.44063657407407408</v>
      </c>
      <c r="D345" s="12">
        <v>0.44285879629629632</v>
      </c>
      <c r="E345" s="20">
        <f t="shared" si="10"/>
        <v>0</v>
      </c>
      <c r="F345">
        <f t="shared" si="11"/>
        <v>0</v>
      </c>
    </row>
    <row r="346" spans="1:6" x14ac:dyDescent="0.35">
      <c r="A346" s="5">
        <v>9872216</v>
      </c>
      <c r="B346" s="6">
        <v>42922</v>
      </c>
      <c r="C346" s="7">
        <v>0.44200231481481483</v>
      </c>
      <c r="D346" s="8">
        <v>0.44886574074074076</v>
      </c>
      <c r="E346" s="20">
        <f t="shared" si="10"/>
        <v>0</v>
      </c>
      <c r="F346">
        <f t="shared" si="11"/>
        <v>0</v>
      </c>
    </row>
    <row r="347" spans="1:6" x14ac:dyDescent="0.35">
      <c r="A347" s="9">
        <v>8369815</v>
      </c>
      <c r="B347" s="10">
        <v>42922</v>
      </c>
      <c r="C347" s="11">
        <v>0.44350694444444444</v>
      </c>
      <c r="D347" s="12">
        <v>0.44528935185185187</v>
      </c>
      <c r="E347" s="20">
        <f t="shared" si="10"/>
        <v>0</v>
      </c>
      <c r="F347">
        <f t="shared" si="11"/>
        <v>0</v>
      </c>
    </row>
    <row r="348" spans="1:6" x14ac:dyDescent="0.35">
      <c r="A348" s="5">
        <v>3370151</v>
      </c>
      <c r="B348" s="6">
        <v>42922</v>
      </c>
      <c r="C348" s="7">
        <v>0.44452546296296297</v>
      </c>
      <c r="D348" s="8">
        <v>0.44923611111111111</v>
      </c>
      <c r="E348" s="20">
        <f t="shared" si="10"/>
        <v>0</v>
      </c>
      <c r="F348">
        <f t="shared" si="11"/>
        <v>0</v>
      </c>
    </row>
    <row r="349" spans="1:6" x14ac:dyDescent="0.35">
      <c r="A349" s="9">
        <v>1488369</v>
      </c>
      <c r="B349" s="10">
        <v>42922</v>
      </c>
      <c r="C349" s="11">
        <v>0.44871527777777775</v>
      </c>
      <c r="D349" s="12">
        <v>0.45627314814814812</v>
      </c>
      <c r="E349" s="20">
        <f t="shared" si="10"/>
        <v>0</v>
      </c>
      <c r="F349">
        <f t="shared" si="11"/>
        <v>0</v>
      </c>
    </row>
    <row r="350" spans="1:6" x14ac:dyDescent="0.35">
      <c r="A350" s="5">
        <v>4132754</v>
      </c>
      <c r="B350" s="6">
        <v>42922</v>
      </c>
      <c r="C350" s="7">
        <v>0.45281250000000001</v>
      </c>
      <c r="D350" s="8">
        <v>0.45374999999999999</v>
      </c>
      <c r="E350" s="20">
        <f t="shared" si="10"/>
        <v>0</v>
      </c>
      <c r="F350">
        <f t="shared" si="11"/>
        <v>0</v>
      </c>
    </row>
    <row r="351" spans="1:6" x14ac:dyDescent="0.35">
      <c r="A351" s="9">
        <v>66638685</v>
      </c>
      <c r="B351" s="10">
        <v>42922</v>
      </c>
      <c r="C351" s="11">
        <v>0.45401620370370371</v>
      </c>
      <c r="D351" s="12">
        <v>0.46406249999999999</v>
      </c>
      <c r="E351" s="20">
        <f t="shared" si="10"/>
        <v>0</v>
      </c>
      <c r="F351">
        <f t="shared" si="11"/>
        <v>0</v>
      </c>
    </row>
    <row r="352" spans="1:6" x14ac:dyDescent="0.35">
      <c r="A352" s="5">
        <v>6818507</v>
      </c>
      <c r="B352" s="6">
        <v>42922</v>
      </c>
      <c r="C352" s="7">
        <v>0.4584259259259259</v>
      </c>
      <c r="D352" s="8">
        <v>0.46380787037037036</v>
      </c>
      <c r="E352" s="20">
        <f t="shared" si="10"/>
        <v>0</v>
      </c>
      <c r="F352">
        <f t="shared" si="11"/>
        <v>0</v>
      </c>
    </row>
    <row r="353" spans="1:6" x14ac:dyDescent="0.35">
      <c r="A353" s="9">
        <v>93611539</v>
      </c>
      <c r="B353" s="10">
        <v>42922</v>
      </c>
      <c r="C353" s="11">
        <v>0.45853009259259259</v>
      </c>
      <c r="D353" s="12">
        <v>0.46674768518518517</v>
      </c>
      <c r="E353" s="20">
        <f t="shared" si="10"/>
        <v>0</v>
      </c>
      <c r="F353">
        <f t="shared" si="11"/>
        <v>0</v>
      </c>
    </row>
    <row r="354" spans="1:6" x14ac:dyDescent="0.35">
      <c r="A354" s="5">
        <v>2890519255</v>
      </c>
      <c r="B354" s="6">
        <v>42922</v>
      </c>
      <c r="C354" s="7">
        <v>0.4613888888888889</v>
      </c>
      <c r="D354" s="8">
        <v>0.46836805555555555</v>
      </c>
      <c r="E354" s="20">
        <f t="shared" si="10"/>
        <v>0</v>
      </c>
      <c r="F354">
        <f t="shared" si="11"/>
        <v>0</v>
      </c>
    </row>
    <row r="355" spans="1:6" x14ac:dyDescent="0.35">
      <c r="A355" s="9">
        <v>66336445</v>
      </c>
      <c r="B355" s="10">
        <v>42922</v>
      </c>
      <c r="C355" s="11">
        <v>0.46322916666666669</v>
      </c>
      <c r="D355" s="12">
        <v>0.4642013888888889</v>
      </c>
      <c r="E355" s="20">
        <f t="shared" si="10"/>
        <v>0</v>
      </c>
      <c r="F355">
        <f t="shared" si="11"/>
        <v>0</v>
      </c>
    </row>
    <row r="356" spans="1:6" x14ac:dyDescent="0.35">
      <c r="A356" s="5">
        <v>9356324</v>
      </c>
      <c r="B356" s="6">
        <v>42922</v>
      </c>
      <c r="C356" s="7">
        <v>0.46339120370370368</v>
      </c>
      <c r="D356" s="8">
        <v>0.47425925925925927</v>
      </c>
      <c r="E356" s="20">
        <f t="shared" si="10"/>
        <v>0</v>
      </c>
      <c r="F356">
        <f t="shared" si="11"/>
        <v>0</v>
      </c>
    </row>
    <row r="357" spans="1:6" x14ac:dyDescent="0.35">
      <c r="A357" s="9">
        <v>5111892302</v>
      </c>
      <c r="B357" s="10">
        <v>42922</v>
      </c>
      <c r="C357" s="11">
        <v>0.46871527777777777</v>
      </c>
      <c r="D357" s="12">
        <v>0.47319444444444442</v>
      </c>
      <c r="E357" s="20">
        <f t="shared" si="10"/>
        <v>0</v>
      </c>
      <c r="F357">
        <f t="shared" si="11"/>
        <v>0</v>
      </c>
    </row>
    <row r="358" spans="1:6" x14ac:dyDescent="0.35">
      <c r="A358" s="5">
        <v>2435007</v>
      </c>
      <c r="B358" s="6">
        <v>42922</v>
      </c>
      <c r="C358" s="7">
        <v>0.47395833333333331</v>
      </c>
      <c r="D358" s="8">
        <v>0.47423611111111114</v>
      </c>
      <c r="E358" s="20">
        <f t="shared" si="10"/>
        <v>0</v>
      </c>
      <c r="F358">
        <f t="shared" si="11"/>
        <v>0</v>
      </c>
    </row>
    <row r="359" spans="1:6" x14ac:dyDescent="0.35">
      <c r="A359" s="9">
        <v>6694568</v>
      </c>
      <c r="B359" s="10">
        <v>42922</v>
      </c>
      <c r="C359" s="11">
        <v>0.47865740740740742</v>
      </c>
      <c r="D359" s="12">
        <v>0.48923611111111109</v>
      </c>
      <c r="E359" s="20">
        <f t="shared" si="10"/>
        <v>0</v>
      </c>
      <c r="F359">
        <f t="shared" si="11"/>
        <v>0</v>
      </c>
    </row>
    <row r="360" spans="1:6" x14ac:dyDescent="0.35">
      <c r="A360" s="5">
        <v>6420583</v>
      </c>
      <c r="B360" s="6">
        <v>42922</v>
      </c>
      <c r="C360" s="7">
        <v>0.48</v>
      </c>
      <c r="D360" s="8">
        <v>0.48539351851851853</v>
      </c>
      <c r="E360" s="20">
        <f t="shared" si="10"/>
        <v>0</v>
      </c>
      <c r="F360">
        <f t="shared" si="11"/>
        <v>0</v>
      </c>
    </row>
    <row r="361" spans="1:6" x14ac:dyDescent="0.35">
      <c r="A361" s="9">
        <v>19835498</v>
      </c>
      <c r="B361" s="10">
        <v>42922</v>
      </c>
      <c r="C361" s="11">
        <v>0.48478009259259258</v>
      </c>
      <c r="D361" s="12">
        <v>0.49233796296296295</v>
      </c>
      <c r="E361" s="20">
        <f t="shared" si="10"/>
        <v>0</v>
      </c>
      <c r="F361">
        <f t="shared" si="11"/>
        <v>0</v>
      </c>
    </row>
    <row r="362" spans="1:6" x14ac:dyDescent="0.35">
      <c r="A362" s="5">
        <v>6663334</v>
      </c>
      <c r="B362" s="6">
        <v>42922</v>
      </c>
      <c r="C362" s="7">
        <v>0.48605324074074074</v>
      </c>
      <c r="D362" s="8">
        <v>0.49381944444444442</v>
      </c>
      <c r="E362" s="20">
        <f t="shared" si="10"/>
        <v>0</v>
      </c>
      <c r="F362">
        <f t="shared" si="11"/>
        <v>0</v>
      </c>
    </row>
    <row r="363" spans="1:6" x14ac:dyDescent="0.35">
      <c r="A363" s="9">
        <v>44765837</v>
      </c>
      <c r="B363" s="10">
        <v>42922</v>
      </c>
      <c r="C363" s="11">
        <v>0.4887037037037037</v>
      </c>
      <c r="D363" s="12">
        <v>0.49343749999999997</v>
      </c>
      <c r="E363" s="20">
        <f t="shared" si="10"/>
        <v>0</v>
      </c>
      <c r="F363">
        <f t="shared" si="11"/>
        <v>0</v>
      </c>
    </row>
    <row r="364" spans="1:6" x14ac:dyDescent="0.35">
      <c r="A364" s="5">
        <v>2469778</v>
      </c>
      <c r="B364" s="6">
        <v>42922</v>
      </c>
      <c r="C364" s="7">
        <v>0.49236111111111114</v>
      </c>
      <c r="D364" s="8">
        <v>0.49780092592592595</v>
      </c>
      <c r="E364" s="20">
        <f t="shared" si="10"/>
        <v>0</v>
      </c>
      <c r="F364">
        <f t="shared" si="11"/>
        <v>0</v>
      </c>
    </row>
    <row r="365" spans="1:6" x14ac:dyDescent="0.35">
      <c r="A365" s="9">
        <v>1959826</v>
      </c>
      <c r="B365" s="10">
        <v>42922</v>
      </c>
      <c r="C365" s="11">
        <v>0.49372685185185183</v>
      </c>
      <c r="D365" s="12">
        <v>0.50436342592592598</v>
      </c>
      <c r="E365" s="20">
        <f t="shared" si="10"/>
        <v>0</v>
      </c>
      <c r="F365">
        <f t="shared" si="11"/>
        <v>0</v>
      </c>
    </row>
    <row r="366" spans="1:6" x14ac:dyDescent="0.35">
      <c r="A366" s="5">
        <v>37032078</v>
      </c>
      <c r="B366" s="6">
        <v>42922</v>
      </c>
      <c r="C366" s="7">
        <v>0.49387731481481484</v>
      </c>
      <c r="D366" s="8">
        <v>0.50420138888888888</v>
      </c>
      <c r="E366" s="20">
        <f t="shared" si="10"/>
        <v>0</v>
      </c>
      <c r="F366">
        <f t="shared" si="11"/>
        <v>0</v>
      </c>
    </row>
    <row r="367" spans="1:6" x14ac:dyDescent="0.35">
      <c r="A367" s="9">
        <v>6516512</v>
      </c>
      <c r="B367" s="10">
        <v>42922</v>
      </c>
      <c r="C367" s="11">
        <v>0.49438657407407405</v>
      </c>
      <c r="D367" s="12">
        <v>0.49909722222222225</v>
      </c>
      <c r="E367" s="20">
        <f t="shared" si="10"/>
        <v>0</v>
      </c>
      <c r="F367">
        <f t="shared" si="11"/>
        <v>0</v>
      </c>
    </row>
    <row r="368" spans="1:6" x14ac:dyDescent="0.35">
      <c r="A368" s="5">
        <v>4726561</v>
      </c>
      <c r="B368" s="6">
        <v>42922</v>
      </c>
      <c r="C368" s="7">
        <v>0.49910879629629629</v>
      </c>
      <c r="D368" s="8">
        <v>0.5009837962962963</v>
      </c>
      <c r="E368" s="20">
        <f t="shared" si="10"/>
        <v>0</v>
      </c>
      <c r="F368">
        <f t="shared" si="11"/>
        <v>0</v>
      </c>
    </row>
    <row r="369" spans="1:6" x14ac:dyDescent="0.35">
      <c r="A369" s="9">
        <v>9685747</v>
      </c>
      <c r="B369" s="10">
        <v>42922</v>
      </c>
      <c r="C369" s="11">
        <v>0.50342592592592594</v>
      </c>
      <c r="D369" s="12">
        <v>0.51392361111111107</v>
      </c>
      <c r="E369" s="20">
        <f t="shared" si="10"/>
        <v>0</v>
      </c>
      <c r="F369">
        <f t="shared" si="11"/>
        <v>0</v>
      </c>
    </row>
    <row r="370" spans="1:6" x14ac:dyDescent="0.35">
      <c r="A370" s="5">
        <v>7507354</v>
      </c>
      <c r="B370" s="6">
        <v>42922</v>
      </c>
      <c r="C370" s="7">
        <v>0.50700231481481484</v>
      </c>
      <c r="D370" s="8">
        <v>0.51186342592592593</v>
      </c>
      <c r="E370" s="20">
        <f t="shared" si="10"/>
        <v>0</v>
      </c>
      <c r="F370">
        <f t="shared" si="11"/>
        <v>0</v>
      </c>
    </row>
    <row r="371" spans="1:6" x14ac:dyDescent="0.35">
      <c r="A371" s="9">
        <v>8605742</v>
      </c>
      <c r="B371" s="10">
        <v>42922</v>
      </c>
      <c r="C371" s="11">
        <v>0.5119097222222222</v>
      </c>
      <c r="D371" s="12">
        <v>0.52288194444444447</v>
      </c>
      <c r="E371" s="20">
        <f t="shared" si="10"/>
        <v>0</v>
      </c>
      <c r="F371">
        <f t="shared" si="11"/>
        <v>0</v>
      </c>
    </row>
    <row r="372" spans="1:6" x14ac:dyDescent="0.35">
      <c r="A372" s="5">
        <v>4681236</v>
      </c>
      <c r="B372" s="6">
        <v>42922</v>
      </c>
      <c r="C372" s="7">
        <v>0.51452546296296298</v>
      </c>
      <c r="D372" s="8">
        <v>0.51570601851851849</v>
      </c>
      <c r="E372" s="20">
        <f t="shared" si="10"/>
        <v>0</v>
      </c>
      <c r="F372">
        <f t="shared" si="11"/>
        <v>0</v>
      </c>
    </row>
    <row r="373" spans="1:6" x14ac:dyDescent="0.35">
      <c r="A373" s="9">
        <v>3590468</v>
      </c>
      <c r="B373" s="10">
        <v>42922</v>
      </c>
      <c r="C373" s="11">
        <v>0.51556712962962958</v>
      </c>
      <c r="D373" s="12">
        <v>0.52572916666666669</v>
      </c>
      <c r="E373" s="20">
        <f t="shared" si="10"/>
        <v>0</v>
      </c>
      <c r="F373">
        <f t="shared" si="11"/>
        <v>0</v>
      </c>
    </row>
    <row r="374" spans="1:6" x14ac:dyDescent="0.35">
      <c r="A374" s="5">
        <v>9878283</v>
      </c>
      <c r="B374" s="6">
        <v>42922</v>
      </c>
      <c r="C374" s="7">
        <v>0.51858796296296295</v>
      </c>
      <c r="D374" s="8">
        <v>0.52776620370370375</v>
      </c>
      <c r="E374" s="20">
        <f t="shared" si="10"/>
        <v>0</v>
      </c>
      <c r="F374">
        <f t="shared" si="11"/>
        <v>0</v>
      </c>
    </row>
    <row r="375" spans="1:6" x14ac:dyDescent="0.35">
      <c r="A375" s="9">
        <v>5991516</v>
      </c>
      <c r="B375" s="10">
        <v>42922</v>
      </c>
      <c r="C375" s="11">
        <v>0.52217592592592588</v>
      </c>
      <c r="D375" s="12">
        <v>0.53173611111111108</v>
      </c>
      <c r="E375" s="20">
        <f t="shared" si="10"/>
        <v>0</v>
      </c>
      <c r="F375">
        <f t="shared" si="11"/>
        <v>0</v>
      </c>
    </row>
    <row r="376" spans="1:6" x14ac:dyDescent="0.35">
      <c r="A376" s="5">
        <v>1240369</v>
      </c>
      <c r="B376" s="6">
        <v>42922</v>
      </c>
      <c r="C376" s="7">
        <v>0.52767361111111111</v>
      </c>
      <c r="D376" s="8">
        <v>0.52850694444444446</v>
      </c>
      <c r="E376" s="20">
        <f t="shared" si="10"/>
        <v>8.3333333333335258E-4</v>
      </c>
      <c r="F376">
        <f t="shared" si="11"/>
        <v>1</v>
      </c>
    </row>
    <row r="377" spans="1:6" x14ac:dyDescent="0.35">
      <c r="A377" s="9">
        <v>25133293</v>
      </c>
      <c r="B377" s="10">
        <v>42922</v>
      </c>
      <c r="C377" s="11">
        <v>0.528900462962963</v>
      </c>
      <c r="D377" s="12">
        <v>0.53740740740740744</v>
      </c>
      <c r="E377" s="20">
        <f t="shared" si="10"/>
        <v>0</v>
      </c>
      <c r="F377">
        <f t="shared" si="11"/>
        <v>0</v>
      </c>
    </row>
    <row r="378" spans="1:6" x14ac:dyDescent="0.35">
      <c r="A378" s="5">
        <v>5036422</v>
      </c>
      <c r="B378" s="6">
        <v>42922</v>
      </c>
      <c r="C378" s="7">
        <v>0.52986111111111112</v>
      </c>
      <c r="D378" s="8">
        <v>0.53047453703703706</v>
      </c>
      <c r="E378" s="20">
        <f t="shared" si="10"/>
        <v>0</v>
      </c>
      <c r="F378">
        <f t="shared" si="11"/>
        <v>0</v>
      </c>
    </row>
    <row r="379" spans="1:6" x14ac:dyDescent="0.35">
      <c r="A379" s="9">
        <v>4283724</v>
      </c>
      <c r="B379" s="10">
        <v>42922</v>
      </c>
      <c r="C379" s="11">
        <v>0.53134259259259264</v>
      </c>
      <c r="D379" s="12">
        <v>0.53738425925925926</v>
      </c>
      <c r="E379" s="20">
        <f t="shared" si="10"/>
        <v>0</v>
      </c>
      <c r="F379">
        <f t="shared" si="11"/>
        <v>0</v>
      </c>
    </row>
    <row r="380" spans="1:6" x14ac:dyDescent="0.35">
      <c r="A380" s="5">
        <v>5856822</v>
      </c>
      <c r="B380" s="6">
        <v>42922</v>
      </c>
      <c r="C380" s="7">
        <v>0.533599537037037</v>
      </c>
      <c r="D380" s="8">
        <v>0.53469907407407402</v>
      </c>
      <c r="E380" s="20">
        <f t="shared" si="10"/>
        <v>0</v>
      </c>
      <c r="F380">
        <f t="shared" si="11"/>
        <v>0</v>
      </c>
    </row>
    <row r="381" spans="1:6" x14ac:dyDescent="0.35">
      <c r="A381" s="9">
        <v>7880396</v>
      </c>
      <c r="B381" s="10">
        <v>42922</v>
      </c>
      <c r="C381" s="11">
        <v>0.53796296296296298</v>
      </c>
      <c r="D381" s="12">
        <v>0.54479166666666667</v>
      </c>
      <c r="E381" s="20">
        <f t="shared" si="10"/>
        <v>0</v>
      </c>
      <c r="F381">
        <f t="shared" si="11"/>
        <v>0</v>
      </c>
    </row>
    <row r="382" spans="1:6" x14ac:dyDescent="0.35">
      <c r="A382" s="5">
        <v>2201085</v>
      </c>
      <c r="B382" s="6">
        <v>42922</v>
      </c>
      <c r="C382" s="7">
        <v>0.54072916666666671</v>
      </c>
      <c r="D382" s="8">
        <v>0.544525462962963</v>
      </c>
      <c r="E382" s="20">
        <f t="shared" si="10"/>
        <v>0</v>
      </c>
      <c r="F382">
        <f t="shared" si="11"/>
        <v>0</v>
      </c>
    </row>
    <row r="383" spans="1:6" x14ac:dyDescent="0.35">
      <c r="A383" s="9">
        <v>30893038</v>
      </c>
      <c r="B383" s="10">
        <v>42922</v>
      </c>
      <c r="C383" s="11">
        <v>0.54082175925925924</v>
      </c>
      <c r="D383" s="12">
        <v>0.54995370370370367</v>
      </c>
      <c r="E383" s="20">
        <f t="shared" si="10"/>
        <v>0</v>
      </c>
      <c r="F383">
        <f t="shared" si="11"/>
        <v>0</v>
      </c>
    </row>
    <row r="384" spans="1:6" x14ac:dyDescent="0.35">
      <c r="A384" s="5">
        <v>9319894</v>
      </c>
      <c r="B384" s="6">
        <v>42922</v>
      </c>
      <c r="C384" s="7">
        <v>0.54207175925925921</v>
      </c>
      <c r="D384" s="8">
        <v>0.54953703703703705</v>
      </c>
      <c r="E384" s="20">
        <f t="shared" si="10"/>
        <v>0</v>
      </c>
      <c r="F384">
        <f t="shared" si="11"/>
        <v>0</v>
      </c>
    </row>
    <row r="385" spans="1:6" x14ac:dyDescent="0.35">
      <c r="A385" s="9">
        <v>3211876</v>
      </c>
      <c r="B385" s="10">
        <v>42922</v>
      </c>
      <c r="C385" s="11">
        <v>0.54693287037037042</v>
      </c>
      <c r="D385" s="12">
        <v>0.54781250000000004</v>
      </c>
      <c r="E385" s="20">
        <f t="shared" si="10"/>
        <v>0</v>
      </c>
      <c r="F385">
        <f t="shared" si="11"/>
        <v>0</v>
      </c>
    </row>
    <row r="386" spans="1:6" x14ac:dyDescent="0.35">
      <c r="A386" s="5">
        <v>4736016</v>
      </c>
      <c r="B386" s="6">
        <v>42922</v>
      </c>
      <c r="C386" s="7">
        <v>0.55115740740740737</v>
      </c>
      <c r="D386" s="8">
        <v>0.55248842592592595</v>
      </c>
      <c r="E386" s="20">
        <f t="shared" si="10"/>
        <v>0</v>
      </c>
      <c r="F386">
        <f t="shared" si="11"/>
        <v>0</v>
      </c>
    </row>
    <row r="387" spans="1:6" x14ac:dyDescent="0.35">
      <c r="A387" s="9">
        <v>8063487</v>
      </c>
      <c r="B387" s="10">
        <v>42922</v>
      </c>
      <c r="C387" s="11">
        <v>0.55269675925925921</v>
      </c>
      <c r="D387" s="12">
        <v>0.56017361111111108</v>
      </c>
      <c r="E387" s="20">
        <f t="shared" ref="E387:E450" si="12">IF(F387=1,D387-C387,0)</f>
        <v>0</v>
      </c>
      <c r="F387">
        <f t="shared" ref="F387:F450" si="13">IF(AND(LEN(A387)=7,LEFT(A387,2) = "12"),1,0)</f>
        <v>0</v>
      </c>
    </row>
    <row r="388" spans="1:6" x14ac:dyDescent="0.35">
      <c r="A388" s="5">
        <v>1319121</v>
      </c>
      <c r="B388" s="6">
        <v>42922</v>
      </c>
      <c r="C388" s="7">
        <v>0.55652777777777773</v>
      </c>
      <c r="D388" s="8">
        <v>0.55682870370370374</v>
      </c>
      <c r="E388" s="20">
        <f t="shared" si="12"/>
        <v>0</v>
      </c>
      <c r="F388">
        <f t="shared" si="13"/>
        <v>0</v>
      </c>
    </row>
    <row r="389" spans="1:6" x14ac:dyDescent="0.35">
      <c r="A389" s="9">
        <v>5026277</v>
      </c>
      <c r="B389" s="10">
        <v>42922</v>
      </c>
      <c r="C389" s="11">
        <v>0.55969907407407404</v>
      </c>
      <c r="D389" s="12">
        <v>0.5655324074074074</v>
      </c>
      <c r="E389" s="20">
        <f t="shared" si="12"/>
        <v>0</v>
      </c>
      <c r="F389">
        <f t="shared" si="13"/>
        <v>0</v>
      </c>
    </row>
    <row r="390" spans="1:6" x14ac:dyDescent="0.35">
      <c r="A390" s="5">
        <v>8768896</v>
      </c>
      <c r="B390" s="6">
        <v>42922</v>
      </c>
      <c r="C390" s="7">
        <v>0.55982638888888892</v>
      </c>
      <c r="D390" s="8">
        <v>0.57039351851851849</v>
      </c>
      <c r="E390" s="20">
        <f t="shared" si="12"/>
        <v>0</v>
      </c>
      <c r="F390">
        <f t="shared" si="13"/>
        <v>0</v>
      </c>
    </row>
    <row r="391" spans="1:6" x14ac:dyDescent="0.35">
      <c r="A391" s="9">
        <v>48661666</v>
      </c>
      <c r="B391" s="10">
        <v>42922</v>
      </c>
      <c r="C391" s="11">
        <v>0.56123842592592588</v>
      </c>
      <c r="D391" s="12">
        <v>0.56376157407407412</v>
      </c>
      <c r="E391" s="20">
        <f t="shared" si="12"/>
        <v>0</v>
      </c>
      <c r="F391">
        <f t="shared" si="13"/>
        <v>0</v>
      </c>
    </row>
    <row r="392" spans="1:6" x14ac:dyDescent="0.35">
      <c r="A392" s="5">
        <v>9304830</v>
      </c>
      <c r="B392" s="6">
        <v>42922</v>
      </c>
      <c r="C392" s="7">
        <v>0.56671296296296292</v>
      </c>
      <c r="D392" s="8">
        <v>0.56832175925925921</v>
      </c>
      <c r="E392" s="20">
        <f t="shared" si="12"/>
        <v>0</v>
      </c>
      <c r="F392">
        <f t="shared" si="13"/>
        <v>0</v>
      </c>
    </row>
    <row r="393" spans="1:6" x14ac:dyDescent="0.35">
      <c r="A393" s="9">
        <v>3040267</v>
      </c>
      <c r="B393" s="10">
        <v>42922</v>
      </c>
      <c r="C393" s="11">
        <v>0.56738425925925928</v>
      </c>
      <c r="D393" s="12">
        <v>0.578587962962963</v>
      </c>
      <c r="E393" s="20">
        <f t="shared" si="12"/>
        <v>0</v>
      </c>
      <c r="F393">
        <f t="shared" si="13"/>
        <v>0</v>
      </c>
    </row>
    <row r="394" spans="1:6" x14ac:dyDescent="0.35">
      <c r="A394" s="5">
        <v>8405954</v>
      </c>
      <c r="B394" s="6">
        <v>42922</v>
      </c>
      <c r="C394" s="7">
        <v>0.57164351851851847</v>
      </c>
      <c r="D394" s="8">
        <v>0.57528935185185182</v>
      </c>
      <c r="E394" s="20">
        <f t="shared" si="12"/>
        <v>0</v>
      </c>
      <c r="F394">
        <f t="shared" si="13"/>
        <v>0</v>
      </c>
    </row>
    <row r="395" spans="1:6" x14ac:dyDescent="0.35">
      <c r="A395" s="9">
        <v>75873682</v>
      </c>
      <c r="B395" s="10">
        <v>42922</v>
      </c>
      <c r="C395" s="11">
        <v>0.57399305555555558</v>
      </c>
      <c r="D395" s="12">
        <v>0.58403935185185185</v>
      </c>
      <c r="E395" s="20">
        <f t="shared" si="12"/>
        <v>0</v>
      </c>
      <c r="F395">
        <f t="shared" si="13"/>
        <v>0</v>
      </c>
    </row>
    <row r="396" spans="1:6" x14ac:dyDescent="0.35">
      <c r="A396" s="5">
        <v>5984039</v>
      </c>
      <c r="B396" s="6">
        <v>42922</v>
      </c>
      <c r="C396" s="7">
        <v>0.57586805555555554</v>
      </c>
      <c r="D396" s="8">
        <v>0.57981481481481478</v>
      </c>
      <c r="E396" s="20">
        <f t="shared" si="12"/>
        <v>0</v>
      </c>
      <c r="F396">
        <f t="shared" si="13"/>
        <v>0</v>
      </c>
    </row>
    <row r="397" spans="1:6" x14ac:dyDescent="0.35">
      <c r="A397" s="9">
        <v>9807682</v>
      </c>
      <c r="B397" s="10">
        <v>42922</v>
      </c>
      <c r="C397" s="11">
        <v>0.57592592592592595</v>
      </c>
      <c r="D397" s="12">
        <v>0.57924768518518521</v>
      </c>
      <c r="E397" s="20">
        <f t="shared" si="12"/>
        <v>0</v>
      </c>
      <c r="F397">
        <f t="shared" si="13"/>
        <v>0</v>
      </c>
    </row>
    <row r="398" spans="1:6" x14ac:dyDescent="0.35">
      <c r="A398" s="5">
        <v>3029994</v>
      </c>
      <c r="B398" s="6">
        <v>42922</v>
      </c>
      <c r="C398" s="7">
        <v>0.57737268518518514</v>
      </c>
      <c r="D398" s="8">
        <v>0.58391203703703709</v>
      </c>
      <c r="E398" s="20">
        <f t="shared" si="12"/>
        <v>0</v>
      </c>
      <c r="F398">
        <f t="shared" si="13"/>
        <v>0</v>
      </c>
    </row>
    <row r="399" spans="1:6" x14ac:dyDescent="0.35">
      <c r="A399" s="9">
        <v>9415767851</v>
      </c>
      <c r="B399" s="10">
        <v>42922</v>
      </c>
      <c r="C399" s="11">
        <v>0.5827430555555555</v>
      </c>
      <c r="D399" s="12">
        <v>0.58309027777777778</v>
      </c>
      <c r="E399" s="20">
        <f t="shared" si="12"/>
        <v>0</v>
      </c>
      <c r="F399">
        <f t="shared" si="13"/>
        <v>0</v>
      </c>
    </row>
    <row r="400" spans="1:6" x14ac:dyDescent="0.35">
      <c r="A400" s="5">
        <v>2388040</v>
      </c>
      <c r="B400" s="6">
        <v>42922</v>
      </c>
      <c r="C400" s="7">
        <v>0.58496527777777774</v>
      </c>
      <c r="D400" s="8">
        <v>0.59334490740740742</v>
      </c>
      <c r="E400" s="20">
        <f t="shared" si="12"/>
        <v>0</v>
      </c>
      <c r="F400">
        <f t="shared" si="13"/>
        <v>0</v>
      </c>
    </row>
    <row r="401" spans="1:6" x14ac:dyDescent="0.35">
      <c r="A401" s="9">
        <v>41974998</v>
      </c>
      <c r="B401" s="10">
        <v>42922</v>
      </c>
      <c r="C401" s="11">
        <v>0.58890046296296295</v>
      </c>
      <c r="D401" s="12">
        <v>0.59614583333333337</v>
      </c>
      <c r="E401" s="20">
        <f t="shared" si="12"/>
        <v>0</v>
      </c>
      <c r="F401">
        <f t="shared" si="13"/>
        <v>0</v>
      </c>
    </row>
    <row r="402" spans="1:6" x14ac:dyDescent="0.35">
      <c r="A402" s="5">
        <v>8400710</v>
      </c>
      <c r="B402" s="6">
        <v>42922</v>
      </c>
      <c r="C402" s="7">
        <v>0.59182870370370366</v>
      </c>
      <c r="D402" s="8">
        <v>0.59376157407407404</v>
      </c>
      <c r="E402" s="20">
        <f t="shared" si="12"/>
        <v>0</v>
      </c>
      <c r="F402">
        <f t="shared" si="13"/>
        <v>0</v>
      </c>
    </row>
    <row r="403" spans="1:6" x14ac:dyDescent="0.35">
      <c r="A403" s="9">
        <v>1088377750</v>
      </c>
      <c r="B403" s="10">
        <v>42922</v>
      </c>
      <c r="C403" s="11">
        <v>0.59666666666666668</v>
      </c>
      <c r="D403" s="12">
        <v>0.5975462962962963</v>
      </c>
      <c r="E403" s="20">
        <f t="shared" si="12"/>
        <v>0</v>
      </c>
      <c r="F403">
        <f t="shared" si="13"/>
        <v>0</v>
      </c>
    </row>
    <row r="404" spans="1:6" x14ac:dyDescent="0.35">
      <c r="A404" s="5">
        <v>62016185</v>
      </c>
      <c r="B404" s="6">
        <v>42922</v>
      </c>
      <c r="C404" s="7">
        <v>0.60146990740740736</v>
      </c>
      <c r="D404" s="8">
        <v>0.60932870370370373</v>
      </c>
      <c r="E404" s="20">
        <f t="shared" si="12"/>
        <v>0</v>
      </c>
      <c r="F404">
        <f t="shared" si="13"/>
        <v>0</v>
      </c>
    </row>
    <row r="405" spans="1:6" x14ac:dyDescent="0.35">
      <c r="A405" s="9">
        <v>4002406</v>
      </c>
      <c r="B405" s="10">
        <v>42922</v>
      </c>
      <c r="C405" s="11">
        <v>0.60247685185185185</v>
      </c>
      <c r="D405" s="12">
        <v>0.60782407407407413</v>
      </c>
      <c r="E405" s="20">
        <f t="shared" si="12"/>
        <v>0</v>
      </c>
      <c r="F405">
        <f t="shared" si="13"/>
        <v>0</v>
      </c>
    </row>
    <row r="406" spans="1:6" x14ac:dyDescent="0.35">
      <c r="A406" s="5">
        <v>2394144</v>
      </c>
      <c r="B406" s="6">
        <v>42922</v>
      </c>
      <c r="C406" s="7">
        <v>0.60774305555555552</v>
      </c>
      <c r="D406" s="8">
        <v>0.61297453703703708</v>
      </c>
      <c r="E406" s="20">
        <f t="shared" si="12"/>
        <v>0</v>
      </c>
      <c r="F406">
        <f t="shared" si="13"/>
        <v>0</v>
      </c>
    </row>
    <row r="407" spans="1:6" x14ac:dyDescent="0.35">
      <c r="A407" s="9">
        <v>9763924</v>
      </c>
      <c r="B407" s="10">
        <v>42922</v>
      </c>
      <c r="C407" s="11">
        <v>0.611724537037037</v>
      </c>
      <c r="D407" s="12">
        <v>0.62217592592592597</v>
      </c>
      <c r="E407" s="20">
        <f t="shared" si="12"/>
        <v>0</v>
      </c>
      <c r="F407">
        <f t="shared" si="13"/>
        <v>0</v>
      </c>
    </row>
    <row r="408" spans="1:6" x14ac:dyDescent="0.35">
      <c r="A408" s="5">
        <v>7977726</v>
      </c>
      <c r="B408" s="6">
        <v>42922</v>
      </c>
      <c r="C408" s="7">
        <v>0.6139930555555555</v>
      </c>
      <c r="D408" s="8">
        <v>0.62364583333333334</v>
      </c>
      <c r="E408" s="20">
        <f t="shared" si="12"/>
        <v>0</v>
      </c>
      <c r="F408">
        <f t="shared" si="13"/>
        <v>0</v>
      </c>
    </row>
    <row r="409" spans="1:6" x14ac:dyDescent="0.35">
      <c r="A409" s="9">
        <v>7219884</v>
      </c>
      <c r="B409" s="10">
        <v>42922</v>
      </c>
      <c r="C409" s="11">
        <v>0.61871527777777779</v>
      </c>
      <c r="D409" s="12">
        <v>0.62458333333333338</v>
      </c>
      <c r="E409" s="20">
        <f t="shared" si="12"/>
        <v>0</v>
      </c>
      <c r="F409">
        <f t="shared" si="13"/>
        <v>0</v>
      </c>
    </row>
    <row r="410" spans="1:6" x14ac:dyDescent="0.35">
      <c r="A410" s="5">
        <v>8211396842</v>
      </c>
      <c r="B410" s="6">
        <v>42922</v>
      </c>
      <c r="C410" s="7">
        <v>0.6237731481481481</v>
      </c>
      <c r="D410" s="8">
        <v>0.63299768518518518</v>
      </c>
      <c r="E410" s="20">
        <f t="shared" si="12"/>
        <v>0</v>
      </c>
      <c r="F410">
        <f t="shared" si="13"/>
        <v>0</v>
      </c>
    </row>
    <row r="411" spans="1:6" x14ac:dyDescent="0.35">
      <c r="A411" s="9">
        <v>4860618</v>
      </c>
      <c r="B411" s="10">
        <v>42922</v>
      </c>
      <c r="C411" s="11">
        <v>0.62396990740740743</v>
      </c>
      <c r="D411" s="12">
        <v>0.62693287037037038</v>
      </c>
      <c r="E411" s="20">
        <f t="shared" si="12"/>
        <v>0</v>
      </c>
      <c r="F411">
        <f t="shared" si="13"/>
        <v>0</v>
      </c>
    </row>
    <row r="412" spans="1:6" x14ac:dyDescent="0.35">
      <c r="A412" s="5">
        <v>6772052</v>
      </c>
      <c r="B412" s="6">
        <v>42922</v>
      </c>
      <c r="C412" s="7">
        <v>0.62491898148148151</v>
      </c>
      <c r="D412" s="8">
        <v>0.63265046296296301</v>
      </c>
      <c r="E412" s="20">
        <f t="shared" si="12"/>
        <v>0</v>
      </c>
      <c r="F412">
        <f t="shared" si="13"/>
        <v>0</v>
      </c>
    </row>
    <row r="413" spans="1:6" x14ac:dyDescent="0.35">
      <c r="A413" s="9">
        <v>6290575</v>
      </c>
      <c r="B413" s="10">
        <v>42922</v>
      </c>
      <c r="C413" s="11">
        <v>0.62614583333333329</v>
      </c>
      <c r="D413" s="12">
        <v>0.6318287037037037</v>
      </c>
      <c r="E413" s="20">
        <f t="shared" si="12"/>
        <v>0</v>
      </c>
      <c r="F413">
        <f t="shared" si="13"/>
        <v>0</v>
      </c>
    </row>
    <row r="414" spans="1:6" x14ac:dyDescent="0.35">
      <c r="A414" s="5">
        <v>13972929</v>
      </c>
      <c r="B414" s="6">
        <v>42923</v>
      </c>
      <c r="C414" s="7">
        <v>0.33677083333333335</v>
      </c>
      <c r="D414" s="8">
        <v>0.34700231481481481</v>
      </c>
      <c r="E414" s="20">
        <f t="shared" si="12"/>
        <v>0</v>
      </c>
      <c r="F414">
        <f t="shared" si="13"/>
        <v>0</v>
      </c>
    </row>
    <row r="415" spans="1:6" x14ac:dyDescent="0.35">
      <c r="A415" s="9">
        <v>7663988</v>
      </c>
      <c r="B415" s="10">
        <v>42923</v>
      </c>
      <c r="C415" s="11">
        <v>0.34092592592592591</v>
      </c>
      <c r="D415" s="12">
        <v>0.3448148148148148</v>
      </c>
      <c r="E415" s="20">
        <f t="shared" si="12"/>
        <v>0</v>
      </c>
      <c r="F415">
        <f t="shared" si="13"/>
        <v>0</v>
      </c>
    </row>
    <row r="416" spans="1:6" x14ac:dyDescent="0.35">
      <c r="A416" s="5">
        <v>90532439</v>
      </c>
      <c r="B416" s="6">
        <v>42923</v>
      </c>
      <c r="C416" s="7">
        <v>0.34288194444444442</v>
      </c>
      <c r="D416" s="8">
        <v>0.34506944444444443</v>
      </c>
      <c r="E416" s="20">
        <f t="shared" si="12"/>
        <v>0</v>
      </c>
      <c r="F416">
        <f t="shared" si="13"/>
        <v>0</v>
      </c>
    </row>
    <row r="417" spans="1:6" x14ac:dyDescent="0.35">
      <c r="A417" s="9">
        <v>5505912</v>
      </c>
      <c r="B417" s="10">
        <v>42923</v>
      </c>
      <c r="C417" s="11">
        <v>0.34465277777777775</v>
      </c>
      <c r="D417" s="12">
        <v>0.34819444444444442</v>
      </c>
      <c r="E417" s="20">
        <f t="shared" si="12"/>
        <v>0</v>
      </c>
      <c r="F417">
        <f t="shared" si="13"/>
        <v>0</v>
      </c>
    </row>
    <row r="418" spans="1:6" x14ac:dyDescent="0.35">
      <c r="A418" s="5">
        <v>5505912</v>
      </c>
      <c r="B418" s="6">
        <v>42923</v>
      </c>
      <c r="C418" s="7">
        <v>0.34848379629629628</v>
      </c>
      <c r="D418" s="8">
        <v>0.35015046296296298</v>
      </c>
      <c r="E418" s="20">
        <f t="shared" si="12"/>
        <v>0</v>
      </c>
      <c r="F418">
        <f t="shared" si="13"/>
        <v>0</v>
      </c>
    </row>
    <row r="419" spans="1:6" x14ac:dyDescent="0.35">
      <c r="A419" s="9">
        <v>70678482</v>
      </c>
      <c r="B419" s="10">
        <v>42923</v>
      </c>
      <c r="C419" s="11">
        <v>0.35130787037037037</v>
      </c>
      <c r="D419" s="12">
        <v>0.35899305555555555</v>
      </c>
      <c r="E419" s="20">
        <f t="shared" si="12"/>
        <v>0</v>
      </c>
      <c r="F419">
        <f t="shared" si="13"/>
        <v>0</v>
      </c>
    </row>
    <row r="420" spans="1:6" x14ac:dyDescent="0.35">
      <c r="A420" s="5">
        <v>6578914</v>
      </c>
      <c r="B420" s="6">
        <v>42923</v>
      </c>
      <c r="C420" s="7">
        <v>0.35699074074074072</v>
      </c>
      <c r="D420" s="8">
        <v>0.36546296296296299</v>
      </c>
      <c r="E420" s="20">
        <f t="shared" si="12"/>
        <v>0</v>
      </c>
      <c r="F420">
        <f t="shared" si="13"/>
        <v>0</v>
      </c>
    </row>
    <row r="421" spans="1:6" x14ac:dyDescent="0.35">
      <c r="A421" s="9">
        <v>3444629</v>
      </c>
      <c r="B421" s="10">
        <v>42923</v>
      </c>
      <c r="C421" s="11">
        <v>0.36015046296296294</v>
      </c>
      <c r="D421" s="12">
        <v>0.36656250000000001</v>
      </c>
      <c r="E421" s="20">
        <f t="shared" si="12"/>
        <v>0</v>
      </c>
      <c r="F421">
        <f t="shared" si="13"/>
        <v>0</v>
      </c>
    </row>
    <row r="422" spans="1:6" x14ac:dyDescent="0.35">
      <c r="A422" s="5">
        <v>95211263</v>
      </c>
      <c r="B422" s="6">
        <v>42923</v>
      </c>
      <c r="C422" s="7">
        <v>0.36069444444444443</v>
      </c>
      <c r="D422" s="8">
        <v>0.36572916666666666</v>
      </c>
      <c r="E422" s="20">
        <f t="shared" si="12"/>
        <v>0</v>
      </c>
      <c r="F422">
        <f t="shared" si="13"/>
        <v>0</v>
      </c>
    </row>
    <row r="423" spans="1:6" x14ac:dyDescent="0.35">
      <c r="A423" s="9">
        <v>9468070</v>
      </c>
      <c r="B423" s="10">
        <v>42923</v>
      </c>
      <c r="C423" s="11">
        <v>0.36225694444444445</v>
      </c>
      <c r="D423" s="12">
        <v>0.36364583333333333</v>
      </c>
      <c r="E423" s="20">
        <f t="shared" si="12"/>
        <v>0</v>
      </c>
      <c r="F423">
        <f t="shared" si="13"/>
        <v>0</v>
      </c>
    </row>
    <row r="424" spans="1:6" x14ac:dyDescent="0.35">
      <c r="A424" s="5">
        <v>31516318</v>
      </c>
      <c r="B424" s="6">
        <v>42923</v>
      </c>
      <c r="C424" s="7">
        <v>0.36267361111111113</v>
      </c>
      <c r="D424" s="8">
        <v>0.36622685185185183</v>
      </c>
      <c r="E424" s="20">
        <f t="shared" si="12"/>
        <v>0</v>
      </c>
      <c r="F424">
        <f t="shared" si="13"/>
        <v>0</v>
      </c>
    </row>
    <row r="425" spans="1:6" x14ac:dyDescent="0.35">
      <c r="A425" s="9">
        <v>9865716</v>
      </c>
      <c r="B425" s="10">
        <v>42923</v>
      </c>
      <c r="C425" s="11">
        <v>0.36584490740740738</v>
      </c>
      <c r="D425" s="12">
        <v>0.37709490740740742</v>
      </c>
      <c r="E425" s="20">
        <f t="shared" si="12"/>
        <v>0</v>
      </c>
      <c r="F425">
        <f t="shared" si="13"/>
        <v>0</v>
      </c>
    </row>
    <row r="426" spans="1:6" x14ac:dyDescent="0.35">
      <c r="A426" s="5">
        <v>8163790</v>
      </c>
      <c r="B426" s="6">
        <v>42923</v>
      </c>
      <c r="C426" s="7">
        <v>0.36885416666666665</v>
      </c>
      <c r="D426" s="8">
        <v>0.36932870370370369</v>
      </c>
      <c r="E426" s="20">
        <f t="shared" si="12"/>
        <v>0</v>
      </c>
      <c r="F426">
        <f t="shared" si="13"/>
        <v>0</v>
      </c>
    </row>
    <row r="427" spans="1:6" x14ac:dyDescent="0.35">
      <c r="A427" s="9">
        <v>18070008</v>
      </c>
      <c r="B427" s="10">
        <v>42923</v>
      </c>
      <c r="C427" s="11">
        <v>0.36996527777777777</v>
      </c>
      <c r="D427" s="12">
        <v>0.37149305555555556</v>
      </c>
      <c r="E427" s="20">
        <f t="shared" si="12"/>
        <v>0</v>
      </c>
      <c r="F427">
        <f t="shared" si="13"/>
        <v>0</v>
      </c>
    </row>
    <row r="428" spans="1:6" x14ac:dyDescent="0.35">
      <c r="A428" s="5">
        <v>1119740</v>
      </c>
      <c r="B428" s="6">
        <v>42923</v>
      </c>
      <c r="C428" s="7">
        <v>0.37112268518518521</v>
      </c>
      <c r="D428" s="8">
        <v>0.37534722222222222</v>
      </c>
      <c r="E428" s="20">
        <f t="shared" si="12"/>
        <v>0</v>
      </c>
      <c r="F428">
        <f t="shared" si="13"/>
        <v>0</v>
      </c>
    </row>
    <row r="429" spans="1:6" x14ac:dyDescent="0.35">
      <c r="A429" s="9">
        <v>94634526</v>
      </c>
      <c r="B429" s="10">
        <v>42923</v>
      </c>
      <c r="C429" s="11">
        <v>0.3721990740740741</v>
      </c>
      <c r="D429" s="12">
        <v>0.37956018518518519</v>
      </c>
      <c r="E429" s="20">
        <f t="shared" si="12"/>
        <v>0</v>
      </c>
      <c r="F429">
        <f t="shared" si="13"/>
        <v>0</v>
      </c>
    </row>
    <row r="430" spans="1:6" x14ac:dyDescent="0.35">
      <c r="A430" s="5">
        <v>67964973</v>
      </c>
      <c r="B430" s="6">
        <v>42923</v>
      </c>
      <c r="C430" s="7">
        <v>0.37445601851851851</v>
      </c>
      <c r="D430" s="8">
        <v>0.38145833333333334</v>
      </c>
      <c r="E430" s="20">
        <f t="shared" si="12"/>
        <v>0</v>
      </c>
      <c r="F430">
        <f t="shared" si="13"/>
        <v>0</v>
      </c>
    </row>
    <row r="431" spans="1:6" x14ac:dyDescent="0.35">
      <c r="A431" s="9">
        <v>3505978</v>
      </c>
      <c r="B431" s="10">
        <v>42923</v>
      </c>
      <c r="C431" s="11">
        <v>0.3767476851851852</v>
      </c>
      <c r="D431" s="12">
        <v>0.38192129629629629</v>
      </c>
      <c r="E431" s="20">
        <f t="shared" si="12"/>
        <v>0</v>
      </c>
      <c r="F431">
        <f t="shared" si="13"/>
        <v>0</v>
      </c>
    </row>
    <row r="432" spans="1:6" x14ac:dyDescent="0.35">
      <c r="A432" s="5">
        <v>8685299481</v>
      </c>
      <c r="B432" s="6">
        <v>42923</v>
      </c>
      <c r="C432" s="7">
        <v>0.3778009259259259</v>
      </c>
      <c r="D432" s="8">
        <v>0.37927083333333333</v>
      </c>
      <c r="E432" s="20">
        <f t="shared" si="12"/>
        <v>0</v>
      </c>
      <c r="F432">
        <f t="shared" si="13"/>
        <v>0</v>
      </c>
    </row>
    <row r="433" spans="1:6" x14ac:dyDescent="0.35">
      <c r="A433" s="9">
        <v>8863988</v>
      </c>
      <c r="B433" s="10">
        <v>42923</v>
      </c>
      <c r="C433" s="11">
        <v>0.37998842592592591</v>
      </c>
      <c r="D433" s="12">
        <v>0.38434027777777779</v>
      </c>
      <c r="E433" s="20">
        <f t="shared" si="12"/>
        <v>0</v>
      </c>
      <c r="F433">
        <f t="shared" si="13"/>
        <v>0</v>
      </c>
    </row>
    <row r="434" spans="1:6" x14ac:dyDescent="0.35">
      <c r="A434" s="5">
        <v>29121099</v>
      </c>
      <c r="B434" s="6">
        <v>42923</v>
      </c>
      <c r="C434" s="7">
        <v>0.3835763888888889</v>
      </c>
      <c r="D434" s="8">
        <v>0.38965277777777779</v>
      </c>
      <c r="E434" s="20">
        <f t="shared" si="12"/>
        <v>0</v>
      </c>
      <c r="F434">
        <f t="shared" si="13"/>
        <v>0</v>
      </c>
    </row>
    <row r="435" spans="1:6" x14ac:dyDescent="0.35">
      <c r="A435" s="9">
        <v>2814524</v>
      </c>
      <c r="B435" s="10">
        <v>42923</v>
      </c>
      <c r="C435" s="11">
        <v>0.38922453703703702</v>
      </c>
      <c r="D435" s="12">
        <v>0.39096064814814813</v>
      </c>
      <c r="E435" s="20">
        <f t="shared" si="12"/>
        <v>0</v>
      </c>
      <c r="F435">
        <f t="shared" si="13"/>
        <v>0</v>
      </c>
    </row>
    <row r="436" spans="1:6" x14ac:dyDescent="0.35">
      <c r="A436" s="5">
        <v>5341697748</v>
      </c>
      <c r="B436" s="6">
        <v>42923</v>
      </c>
      <c r="C436" s="7">
        <v>0.39091435185185186</v>
      </c>
      <c r="D436" s="8">
        <v>0.39620370370370372</v>
      </c>
      <c r="E436" s="20">
        <f t="shared" si="12"/>
        <v>0</v>
      </c>
      <c r="F436">
        <f t="shared" si="13"/>
        <v>0</v>
      </c>
    </row>
    <row r="437" spans="1:6" x14ac:dyDescent="0.35">
      <c r="A437" s="9">
        <v>4102482</v>
      </c>
      <c r="B437" s="10">
        <v>42923</v>
      </c>
      <c r="C437" s="11">
        <v>0.39196759259259262</v>
      </c>
      <c r="D437" s="12">
        <v>0.39486111111111111</v>
      </c>
      <c r="E437" s="20">
        <f t="shared" si="12"/>
        <v>0</v>
      </c>
      <c r="F437">
        <f t="shared" si="13"/>
        <v>0</v>
      </c>
    </row>
    <row r="438" spans="1:6" x14ac:dyDescent="0.35">
      <c r="A438" s="5">
        <v>5636281</v>
      </c>
      <c r="B438" s="6">
        <v>42923</v>
      </c>
      <c r="C438" s="7">
        <v>0.39731481481481479</v>
      </c>
      <c r="D438" s="8">
        <v>0.40688657407407408</v>
      </c>
      <c r="E438" s="20">
        <f t="shared" si="12"/>
        <v>0</v>
      </c>
      <c r="F438">
        <f t="shared" si="13"/>
        <v>0</v>
      </c>
    </row>
    <row r="439" spans="1:6" x14ac:dyDescent="0.35">
      <c r="A439" s="9">
        <v>7715424</v>
      </c>
      <c r="B439" s="10">
        <v>42923</v>
      </c>
      <c r="C439" s="11">
        <v>0.40283564814814815</v>
      </c>
      <c r="D439" s="12">
        <v>0.41091435185185188</v>
      </c>
      <c r="E439" s="20">
        <f t="shared" si="12"/>
        <v>0</v>
      </c>
      <c r="F439">
        <f t="shared" si="13"/>
        <v>0</v>
      </c>
    </row>
    <row r="440" spans="1:6" x14ac:dyDescent="0.35">
      <c r="A440" s="5">
        <v>3811342</v>
      </c>
      <c r="B440" s="6">
        <v>42923</v>
      </c>
      <c r="C440" s="7">
        <v>0.4039814814814815</v>
      </c>
      <c r="D440" s="8">
        <v>0.41211805555555553</v>
      </c>
      <c r="E440" s="20">
        <f t="shared" si="12"/>
        <v>0</v>
      </c>
      <c r="F440">
        <f t="shared" si="13"/>
        <v>0</v>
      </c>
    </row>
    <row r="441" spans="1:6" x14ac:dyDescent="0.35">
      <c r="A441" s="9">
        <v>8177683</v>
      </c>
      <c r="B441" s="10">
        <v>42923</v>
      </c>
      <c r="C441" s="11">
        <v>0.40534722222222225</v>
      </c>
      <c r="D441" s="12">
        <v>0.40887731481481482</v>
      </c>
      <c r="E441" s="20">
        <f t="shared" si="12"/>
        <v>0</v>
      </c>
      <c r="F441">
        <f t="shared" si="13"/>
        <v>0</v>
      </c>
    </row>
    <row r="442" spans="1:6" x14ac:dyDescent="0.35">
      <c r="A442" s="5">
        <v>51367705</v>
      </c>
      <c r="B442" s="6">
        <v>42923</v>
      </c>
      <c r="C442" s="7">
        <v>0.41025462962962961</v>
      </c>
      <c r="D442" s="8">
        <v>0.41064814814814815</v>
      </c>
      <c r="E442" s="20">
        <f t="shared" si="12"/>
        <v>0</v>
      </c>
      <c r="F442">
        <f t="shared" si="13"/>
        <v>0</v>
      </c>
    </row>
    <row r="443" spans="1:6" x14ac:dyDescent="0.35">
      <c r="A443" s="9">
        <v>7646265</v>
      </c>
      <c r="B443" s="10">
        <v>42923</v>
      </c>
      <c r="C443" s="11">
        <v>0.4103472222222222</v>
      </c>
      <c r="D443" s="12">
        <v>0.41578703703703701</v>
      </c>
      <c r="E443" s="20">
        <f t="shared" si="12"/>
        <v>0</v>
      </c>
      <c r="F443">
        <f t="shared" si="13"/>
        <v>0</v>
      </c>
    </row>
    <row r="444" spans="1:6" x14ac:dyDescent="0.35">
      <c r="A444" s="5">
        <v>37906881</v>
      </c>
      <c r="B444" s="6">
        <v>42923</v>
      </c>
      <c r="C444" s="7">
        <v>0.41248842592592594</v>
      </c>
      <c r="D444" s="8">
        <v>0.41328703703703706</v>
      </c>
      <c r="E444" s="20">
        <f t="shared" si="12"/>
        <v>0</v>
      </c>
      <c r="F444">
        <f t="shared" si="13"/>
        <v>0</v>
      </c>
    </row>
    <row r="445" spans="1:6" x14ac:dyDescent="0.35">
      <c r="A445" s="9">
        <v>9740908</v>
      </c>
      <c r="B445" s="10">
        <v>42923</v>
      </c>
      <c r="C445" s="11">
        <v>0.41260416666666666</v>
      </c>
      <c r="D445" s="12">
        <v>0.41520833333333335</v>
      </c>
      <c r="E445" s="20">
        <f t="shared" si="12"/>
        <v>0</v>
      </c>
      <c r="F445">
        <f t="shared" si="13"/>
        <v>0</v>
      </c>
    </row>
    <row r="446" spans="1:6" x14ac:dyDescent="0.35">
      <c r="A446" s="5">
        <v>45948073</v>
      </c>
      <c r="B446" s="6">
        <v>42923</v>
      </c>
      <c r="C446" s="7">
        <v>0.41680555555555554</v>
      </c>
      <c r="D446" s="8">
        <v>0.4243865740740741</v>
      </c>
      <c r="E446" s="20">
        <f t="shared" si="12"/>
        <v>0</v>
      </c>
      <c r="F446">
        <f t="shared" si="13"/>
        <v>0</v>
      </c>
    </row>
    <row r="447" spans="1:6" x14ac:dyDescent="0.35">
      <c r="A447" s="9">
        <v>8070345</v>
      </c>
      <c r="B447" s="10">
        <v>42923</v>
      </c>
      <c r="C447" s="11">
        <v>0.41829861111111111</v>
      </c>
      <c r="D447" s="12">
        <v>0.42706018518518518</v>
      </c>
      <c r="E447" s="20">
        <f t="shared" si="12"/>
        <v>0</v>
      </c>
      <c r="F447">
        <f t="shared" si="13"/>
        <v>0</v>
      </c>
    </row>
    <row r="448" spans="1:6" x14ac:dyDescent="0.35">
      <c r="A448" s="5">
        <v>52214055</v>
      </c>
      <c r="B448" s="6">
        <v>42923</v>
      </c>
      <c r="C448" s="7">
        <v>0.4199074074074074</v>
      </c>
      <c r="D448" s="8">
        <v>0.42357638888888888</v>
      </c>
      <c r="E448" s="20">
        <f t="shared" si="12"/>
        <v>0</v>
      </c>
      <c r="F448">
        <f t="shared" si="13"/>
        <v>0</v>
      </c>
    </row>
    <row r="449" spans="1:6" x14ac:dyDescent="0.35">
      <c r="A449" s="9">
        <v>8434044</v>
      </c>
      <c r="B449" s="10">
        <v>42923</v>
      </c>
      <c r="C449" s="11">
        <v>0.42149305555555555</v>
      </c>
      <c r="D449" s="12">
        <v>0.42736111111111114</v>
      </c>
      <c r="E449" s="20">
        <f t="shared" si="12"/>
        <v>0</v>
      </c>
      <c r="F449">
        <f t="shared" si="13"/>
        <v>0</v>
      </c>
    </row>
    <row r="450" spans="1:6" x14ac:dyDescent="0.35">
      <c r="A450" s="5">
        <v>4702334</v>
      </c>
      <c r="B450" s="6">
        <v>42923</v>
      </c>
      <c r="C450" s="7">
        <v>0.4255902777777778</v>
      </c>
      <c r="D450" s="8">
        <v>0.43464120370370368</v>
      </c>
      <c r="E450" s="20">
        <f t="shared" si="12"/>
        <v>0</v>
      </c>
      <c r="F450">
        <f t="shared" si="13"/>
        <v>0</v>
      </c>
    </row>
    <row r="451" spans="1:6" x14ac:dyDescent="0.35">
      <c r="A451" s="9">
        <v>1308483040</v>
      </c>
      <c r="B451" s="10">
        <v>42923</v>
      </c>
      <c r="C451" s="11">
        <v>0.43016203703703704</v>
      </c>
      <c r="D451" s="12">
        <v>0.44123842592592594</v>
      </c>
      <c r="E451" s="20">
        <f t="shared" ref="E451:E514" si="14">IF(F451=1,D451-C451,0)</f>
        <v>0</v>
      </c>
      <c r="F451">
        <f t="shared" ref="F451:F514" si="15">IF(AND(LEN(A451)=7,LEFT(A451,2) = "12"),1,0)</f>
        <v>0</v>
      </c>
    </row>
    <row r="452" spans="1:6" x14ac:dyDescent="0.35">
      <c r="A452" s="5">
        <v>34556399</v>
      </c>
      <c r="B452" s="6">
        <v>42923</v>
      </c>
      <c r="C452" s="7">
        <v>0.43146990740740743</v>
      </c>
      <c r="D452" s="8">
        <v>0.43192129629629628</v>
      </c>
      <c r="E452" s="20">
        <f t="shared" si="14"/>
        <v>0</v>
      </c>
      <c r="F452">
        <f t="shared" si="15"/>
        <v>0</v>
      </c>
    </row>
    <row r="453" spans="1:6" x14ac:dyDescent="0.35">
      <c r="A453" s="9">
        <v>48676568</v>
      </c>
      <c r="B453" s="10">
        <v>42923</v>
      </c>
      <c r="C453" s="11">
        <v>0.43313657407407408</v>
      </c>
      <c r="D453" s="12">
        <v>0.43811342592592595</v>
      </c>
      <c r="E453" s="20">
        <f t="shared" si="14"/>
        <v>0</v>
      </c>
      <c r="F453">
        <f t="shared" si="15"/>
        <v>0</v>
      </c>
    </row>
    <row r="454" spans="1:6" x14ac:dyDescent="0.35">
      <c r="A454" s="5">
        <v>1887758</v>
      </c>
      <c r="B454" s="6">
        <v>42923</v>
      </c>
      <c r="C454" s="7">
        <v>0.43752314814814813</v>
      </c>
      <c r="D454" s="8">
        <v>0.44806712962962963</v>
      </c>
      <c r="E454" s="20">
        <f t="shared" si="14"/>
        <v>0</v>
      </c>
      <c r="F454">
        <f t="shared" si="15"/>
        <v>0</v>
      </c>
    </row>
    <row r="455" spans="1:6" x14ac:dyDescent="0.35">
      <c r="A455" s="9">
        <v>3505978</v>
      </c>
      <c r="B455" s="10">
        <v>42923</v>
      </c>
      <c r="C455" s="11">
        <v>0.44184027777777779</v>
      </c>
      <c r="D455" s="12">
        <v>0.44582175925925926</v>
      </c>
      <c r="E455" s="20">
        <f t="shared" si="14"/>
        <v>0</v>
      </c>
      <c r="F455">
        <f t="shared" si="15"/>
        <v>0</v>
      </c>
    </row>
    <row r="456" spans="1:6" x14ac:dyDescent="0.35">
      <c r="A456" s="5">
        <v>4405604</v>
      </c>
      <c r="B456" s="6">
        <v>42923</v>
      </c>
      <c r="C456" s="7">
        <v>0.44543981481481482</v>
      </c>
      <c r="D456" s="8">
        <v>0.45271990740740742</v>
      </c>
      <c r="E456" s="20">
        <f t="shared" si="14"/>
        <v>0</v>
      </c>
      <c r="F456">
        <f t="shared" si="15"/>
        <v>0</v>
      </c>
    </row>
    <row r="457" spans="1:6" x14ac:dyDescent="0.35">
      <c r="A457" s="9">
        <v>2327418</v>
      </c>
      <c r="B457" s="10">
        <v>42923</v>
      </c>
      <c r="C457" s="11">
        <v>0.44775462962962964</v>
      </c>
      <c r="D457" s="12">
        <v>0.45450231481481479</v>
      </c>
      <c r="E457" s="20">
        <f t="shared" si="14"/>
        <v>0</v>
      </c>
      <c r="F457">
        <f t="shared" si="15"/>
        <v>0</v>
      </c>
    </row>
    <row r="458" spans="1:6" x14ac:dyDescent="0.35">
      <c r="A458" s="5">
        <v>5205087</v>
      </c>
      <c r="B458" s="6">
        <v>42923</v>
      </c>
      <c r="C458" s="7">
        <v>0.44927083333333334</v>
      </c>
      <c r="D458" s="8">
        <v>0.45666666666666667</v>
      </c>
      <c r="E458" s="20">
        <f t="shared" si="14"/>
        <v>0</v>
      </c>
      <c r="F458">
        <f t="shared" si="15"/>
        <v>0</v>
      </c>
    </row>
    <row r="459" spans="1:6" x14ac:dyDescent="0.35">
      <c r="A459" s="9">
        <v>1936989939</v>
      </c>
      <c r="B459" s="10">
        <v>42923</v>
      </c>
      <c r="C459" s="11">
        <v>0.45091435185185186</v>
      </c>
      <c r="D459" s="12">
        <v>0.4586574074074074</v>
      </c>
      <c r="E459" s="20">
        <f t="shared" si="14"/>
        <v>0</v>
      </c>
      <c r="F459">
        <f t="shared" si="15"/>
        <v>0</v>
      </c>
    </row>
    <row r="460" spans="1:6" x14ac:dyDescent="0.35">
      <c r="A460" s="5">
        <v>2722706</v>
      </c>
      <c r="B460" s="6">
        <v>42923</v>
      </c>
      <c r="C460" s="7">
        <v>0.45416666666666666</v>
      </c>
      <c r="D460" s="8">
        <v>0.46155092592592595</v>
      </c>
      <c r="E460" s="20">
        <f t="shared" si="14"/>
        <v>0</v>
      </c>
      <c r="F460">
        <f t="shared" si="15"/>
        <v>0</v>
      </c>
    </row>
    <row r="461" spans="1:6" x14ac:dyDescent="0.35">
      <c r="A461" s="9">
        <v>3018218</v>
      </c>
      <c r="B461" s="10">
        <v>42923</v>
      </c>
      <c r="C461" s="11">
        <v>0.45950231481481479</v>
      </c>
      <c r="D461" s="12">
        <v>0.46091435185185187</v>
      </c>
      <c r="E461" s="20">
        <f t="shared" si="14"/>
        <v>0</v>
      </c>
      <c r="F461">
        <f t="shared" si="15"/>
        <v>0</v>
      </c>
    </row>
    <row r="462" spans="1:6" x14ac:dyDescent="0.35">
      <c r="A462" s="5">
        <v>3765658</v>
      </c>
      <c r="B462" s="6">
        <v>42923</v>
      </c>
      <c r="C462" s="7">
        <v>0.45981481481481479</v>
      </c>
      <c r="D462" s="8">
        <v>0.46148148148148149</v>
      </c>
      <c r="E462" s="20">
        <f t="shared" si="14"/>
        <v>0</v>
      </c>
      <c r="F462">
        <f t="shared" si="15"/>
        <v>0</v>
      </c>
    </row>
    <row r="463" spans="1:6" x14ac:dyDescent="0.35">
      <c r="A463" s="9">
        <v>43109897</v>
      </c>
      <c r="B463" s="10">
        <v>42923</v>
      </c>
      <c r="C463" s="11">
        <v>0.46357638888888891</v>
      </c>
      <c r="D463" s="12">
        <v>0.46807870370370369</v>
      </c>
      <c r="E463" s="20">
        <f t="shared" si="14"/>
        <v>0</v>
      </c>
      <c r="F463">
        <f t="shared" si="15"/>
        <v>0</v>
      </c>
    </row>
    <row r="464" spans="1:6" x14ac:dyDescent="0.35">
      <c r="A464" s="5">
        <v>3178616</v>
      </c>
      <c r="B464" s="6">
        <v>42923</v>
      </c>
      <c r="C464" s="7">
        <v>0.46891203703703704</v>
      </c>
      <c r="D464" s="8">
        <v>0.47209490740740739</v>
      </c>
      <c r="E464" s="20">
        <f t="shared" si="14"/>
        <v>0</v>
      </c>
      <c r="F464">
        <f t="shared" si="15"/>
        <v>0</v>
      </c>
    </row>
    <row r="465" spans="1:6" x14ac:dyDescent="0.35">
      <c r="A465" s="9">
        <v>71207090</v>
      </c>
      <c r="B465" s="10">
        <v>42923</v>
      </c>
      <c r="C465" s="11">
        <v>0.47127314814814814</v>
      </c>
      <c r="D465" s="12">
        <v>0.47475694444444444</v>
      </c>
      <c r="E465" s="20">
        <f t="shared" si="14"/>
        <v>0</v>
      </c>
      <c r="F465">
        <f t="shared" si="15"/>
        <v>0</v>
      </c>
    </row>
    <row r="466" spans="1:6" x14ac:dyDescent="0.35">
      <c r="A466" s="5">
        <v>3465997</v>
      </c>
      <c r="B466" s="6">
        <v>42923</v>
      </c>
      <c r="C466" s="7">
        <v>0.47285879629629629</v>
      </c>
      <c r="D466" s="8">
        <v>0.47479166666666667</v>
      </c>
      <c r="E466" s="20">
        <f t="shared" si="14"/>
        <v>0</v>
      </c>
      <c r="F466">
        <f t="shared" si="15"/>
        <v>0</v>
      </c>
    </row>
    <row r="467" spans="1:6" x14ac:dyDescent="0.35">
      <c r="A467" s="9">
        <v>17490780</v>
      </c>
      <c r="B467" s="10">
        <v>42923</v>
      </c>
      <c r="C467" s="11">
        <v>0.47409722222222223</v>
      </c>
      <c r="D467" s="12">
        <v>0.48534722222222221</v>
      </c>
      <c r="E467" s="20">
        <f t="shared" si="14"/>
        <v>0</v>
      </c>
      <c r="F467">
        <f t="shared" si="15"/>
        <v>0</v>
      </c>
    </row>
    <row r="468" spans="1:6" x14ac:dyDescent="0.35">
      <c r="A468" s="5">
        <v>9805082</v>
      </c>
      <c r="B468" s="6">
        <v>42923</v>
      </c>
      <c r="C468" s="7">
        <v>0.47561342592592593</v>
      </c>
      <c r="D468" s="8">
        <v>0.47950231481481481</v>
      </c>
      <c r="E468" s="20">
        <f t="shared" si="14"/>
        <v>0</v>
      </c>
      <c r="F468">
        <f t="shared" si="15"/>
        <v>0</v>
      </c>
    </row>
    <row r="469" spans="1:6" x14ac:dyDescent="0.35">
      <c r="A469" s="9">
        <v>6333547</v>
      </c>
      <c r="B469" s="10">
        <v>42923</v>
      </c>
      <c r="C469" s="11">
        <v>0.4788425925925926</v>
      </c>
      <c r="D469" s="12">
        <v>0.48685185185185187</v>
      </c>
      <c r="E469" s="20">
        <f t="shared" si="14"/>
        <v>0</v>
      </c>
      <c r="F469">
        <f t="shared" si="15"/>
        <v>0</v>
      </c>
    </row>
    <row r="470" spans="1:6" x14ac:dyDescent="0.35">
      <c r="A470" s="5">
        <v>8424969</v>
      </c>
      <c r="B470" s="6">
        <v>42923</v>
      </c>
      <c r="C470" s="7">
        <v>0.48380787037037037</v>
      </c>
      <c r="D470" s="8">
        <v>0.49267361111111113</v>
      </c>
      <c r="E470" s="20">
        <f t="shared" si="14"/>
        <v>0</v>
      </c>
      <c r="F470">
        <f t="shared" si="15"/>
        <v>0</v>
      </c>
    </row>
    <row r="471" spans="1:6" x14ac:dyDescent="0.35">
      <c r="A471" s="9">
        <v>41210751</v>
      </c>
      <c r="B471" s="10">
        <v>42923</v>
      </c>
      <c r="C471" s="11">
        <v>0.48699074074074072</v>
      </c>
      <c r="D471" s="12">
        <v>0.48884259259259261</v>
      </c>
      <c r="E471" s="20">
        <f t="shared" si="14"/>
        <v>0</v>
      </c>
      <c r="F471">
        <f t="shared" si="15"/>
        <v>0</v>
      </c>
    </row>
    <row r="472" spans="1:6" x14ac:dyDescent="0.35">
      <c r="A472" s="5">
        <v>9321082</v>
      </c>
      <c r="B472" s="6">
        <v>42923</v>
      </c>
      <c r="C472" s="7">
        <v>0.49206018518518518</v>
      </c>
      <c r="D472" s="8">
        <v>0.50086805555555558</v>
      </c>
      <c r="E472" s="20">
        <f t="shared" si="14"/>
        <v>0</v>
      </c>
      <c r="F472">
        <f t="shared" si="15"/>
        <v>0</v>
      </c>
    </row>
    <row r="473" spans="1:6" x14ac:dyDescent="0.35">
      <c r="A473" s="9">
        <v>80907155</v>
      </c>
      <c r="B473" s="10">
        <v>42923</v>
      </c>
      <c r="C473" s="11">
        <v>0.49668981481481483</v>
      </c>
      <c r="D473" s="12">
        <v>0.50266203703703705</v>
      </c>
      <c r="E473" s="20">
        <f t="shared" si="14"/>
        <v>0</v>
      </c>
      <c r="F473">
        <f t="shared" si="15"/>
        <v>0</v>
      </c>
    </row>
    <row r="474" spans="1:6" x14ac:dyDescent="0.35">
      <c r="A474" s="5">
        <v>16303399</v>
      </c>
      <c r="B474" s="6">
        <v>42923</v>
      </c>
      <c r="C474" s="7">
        <v>0.50232638888888892</v>
      </c>
      <c r="D474" s="8">
        <v>0.50351851851851848</v>
      </c>
      <c r="E474" s="20">
        <f t="shared" si="14"/>
        <v>0</v>
      </c>
      <c r="F474">
        <f t="shared" si="15"/>
        <v>0</v>
      </c>
    </row>
    <row r="475" spans="1:6" x14ac:dyDescent="0.35">
      <c r="A475" s="9">
        <v>7841442</v>
      </c>
      <c r="B475" s="10">
        <v>42923</v>
      </c>
      <c r="C475" s="11">
        <v>0.50498842592592597</v>
      </c>
      <c r="D475" s="12">
        <v>0.50807870370370367</v>
      </c>
      <c r="E475" s="20">
        <f t="shared" si="14"/>
        <v>0</v>
      </c>
      <c r="F475">
        <f t="shared" si="15"/>
        <v>0</v>
      </c>
    </row>
    <row r="476" spans="1:6" x14ac:dyDescent="0.35">
      <c r="A476" s="5">
        <v>5512237</v>
      </c>
      <c r="B476" s="6">
        <v>42923</v>
      </c>
      <c r="C476" s="7">
        <v>0.50883101851851853</v>
      </c>
      <c r="D476" s="8">
        <v>0.50998842592592597</v>
      </c>
      <c r="E476" s="20">
        <f t="shared" si="14"/>
        <v>0</v>
      </c>
      <c r="F476">
        <f t="shared" si="15"/>
        <v>0</v>
      </c>
    </row>
    <row r="477" spans="1:6" x14ac:dyDescent="0.35">
      <c r="A477" s="9">
        <v>2557668</v>
      </c>
      <c r="B477" s="10">
        <v>42923</v>
      </c>
      <c r="C477" s="11">
        <v>0.51253472222222218</v>
      </c>
      <c r="D477" s="12">
        <v>0.51974537037037039</v>
      </c>
      <c r="E477" s="20">
        <f t="shared" si="14"/>
        <v>0</v>
      </c>
      <c r="F477">
        <f t="shared" si="15"/>
        <v>0</v>
      </c>
    </row>
    <row r="478" spans="1:6" x14ac:dyDescent="0.35">
      <c r="A478" s="5">
        <v>4469748</v>
      </c>
      <c r="B478" s="6">
        <v>42923</v>
      </c>
      <c r="C478" s="7">
        <v>0.51744212962962965</v>
      </c>
      <c r="D478" s="8">
        <v>0.52157407407407408</v>
      </c>
      <c r="E478" s="20">
        <f t="shared" si="14"/>
        <v>0</v>
      </c>
      <c r="F478">
        <f t="shared" si="15"/>
        <v>0</v>
      </c>
    </row>
    <row r="479" spans="1:6" x14ac:dyDescent="0.35">
      <c r="A479" s="9">
        <v>7773546</v>
      </c>
      <c r="B479" s="10">
        <v>42923</v>
      </c>
      <c r="C479" s="11">
        <v>0.51883101851851854</v>
      </c>
      <c r="D479" s="12">
        <v>0.52545138888888887</v>
      </c>
      <c r="E479" s="20">
        <f t="shared" si="14"/>
        <v>0</v>
      </c>
      <c r="F479">
        <f t="shared" si="15"/>
        <v>0</v>
      </c>
    </row>
    <row r="480" spans="1:6" x14ac:dyDescent="0.35">
      <c r="A480" s="5">
        <v>9521805</v>
      </c>
      <c r="B480" s="6">
        <v>42923</v>
      </c>
      <c r="C480" s="7">
        <v>0.52357638888888891</v>
      </c>
      <c r="D480" s="8">
        <v>0.53096064814814814</v>
      </c>
      <c r="E480" s="20">
        <f t="shared" si="14"/>
        <v>0</v>
      </c>
      <c r="F480">
        <f t="shared" si="15"/>
        <v>0</v>
      </c>
    </row>
    <row r="481" spans="1:6" x14ac:dyDescent="0.35">
      <c r="A481" s="9">
        <v>1640140</v>
      </c>
      <c r="B481" s="10">
        <v>42923</v>
      </c>
      <c r="C481" s="11">
        <v>0.52484953703703707</v>
      </c>
      <c r="D481" s="12">
        <v>0.53331018518518514</v>
      </c>
      <c r="E481" s="20">
        <f t="shared" si="14"/>
        <v>0</v>
      </c>
      <c r="F481">
        <f t="shared" si="15"/>
        <v>0</v>
      </c>
    </row>
    <row r="482" spans="1:6" x14ac:dyDescent="0.35">
      <c r="A482" s="5">
        <v>5415372</v>
      </c>
      <c r="B482" s="6">
        <v>42923</v>
      </c>
      <c r="C482" s="7">
        <v>0.52690972222222221</v>
      </c>
      <c r="D482" s="8">
        <v>0.53266203703703707</v>
      </c>
      <c r="E482" s="20">
        <f t="shared" si="14"/>
        <v>0</v>
      </c>
      <c r="F482">
        <f t="shared" si="15"/>
        <v>0</v>
      </c>
    </row>
    <row r="483" spans="1:6" x14ac:dyDescent="0.35">
      <c r="A483" s="9">
        <v>23504109</v>
      </c>
      <c r="B483" s="10">
        <v>42923</v>
      </c>
      <c r="C483" s="11">
        <v>0.52921296296296294</v>
      </c>
      <c r="D483" s="12">
        <v>0.53706018518518517</v>
      </c>
      <c r="E483" s="20">
        <f t="shared" si="14"/>
        <v>0</v>
      </c>
      <c r="F483">
        <f t="shared" si="15"/>
        <v>0</v>
      </c>
    </row>
    <row r="484" spans="1:6" x14ac:dyDescent="0.35">
      <c r="A484" s="5">
        <v>7914439</v>
      </c>
      <c r="B484" s="6">
        <v>42923</v>
      </c>
      <c r="C484" s="7">
        <v>0.52964120370370371</v>
      </c>
      <c r="D484" s="8">
        <v>0.53607638888888887</v>
      </c>
      <c r="E484" s="20">
        <f t="shared" si="14"/>
        <v>0</v>
      </c>
      <c r="F484">
        <f t="shared" si="15"/>
        <v>0</v>
      </c>
    </row>
    <row r="485" spans="1:6" x14ac:dyDescent="0.35">
      <c r="A485" s="9">
        <v>3900921</v>
      </c>
      <c r="B485" s="10">
        <v>42923</v>
      </c>
      <c r="C485" s="11">
        <v>0.52968749999999998</v>
      </c>
      <c r="D485" s="12">
        <v>0.53865740740740742</v>
      </c>
      <c r="E485" s="20">
        <f t="shared" si="14"/>
        <v>0</v>
      </c>
      <c r="F485">
        <f t="shared" si="15"/>
        <v>0</v>
      </c>
    </row>
    <row r="486" spans="1:6" x14ac:dyDescent="0.35">
      <c r="A486" s="5">
        <v>1081610</v>
      </c>
      <c r="B486" s="6">
        <v>42923</v>
      </c>
      <c r="C486" s="7">
        <v>0.53372685185185187</v>
      </c>
      <c r="D486" s="8">
        <v>0.54082175925925924</v>
      </c>
      <c r="E486" s="20">
        <f t="shared" si="14"/>
        <v>0</v>
      </c>
      <c r="F486">
        <f t="shared" si="15"/>
        <v>0</v>
      </c>
    </row>
    <row r="487" spans="1:6" x14ac:dyDescent="0.35">
      <c r="A487" s="9">
        <v>9176754</v>
      </c>
      <c r="B487" s="10">
        <v>42923</v>
      </c>
      <c r="C487" s="11">
        <v>0.5345833333333333</v>
      </c>
      <c r="D487" s="12">
        <v>0.54532407407407413</v>
      </c>
      <c r="E487" s="20">
        <f t="shared" si="14"/>
        <v>0</v>
      </c>
      <c r="F487">
        <f t="shared" si="15"/>
        <v>0</v>
      </c>
    </row>
    <row r="488" spans="1:6" x14ac:dyDescent="0.35">
      <c r="A488" s="5">
        <v>1814327</v>
      </c>
      <c r="B488" s="6">
        <v>42923</v>
      </c>
      <c r="C488" s="7">
        <v>0.5385416666666667</v>
      </c>
      <c r="D488" s="8">
        <v>0.53870370370370368</v>
      </c>
      <c r="E488" s="20">
        <f t="shared" si="14"/>
        <v>0</v>
      </c>
      <c r="F488">
        <f t="shared" si="15"/>
        <v>0</v>
      </c>
    </row>
    <row r="489" spans="1:6" x14ac:dyDescent="0.35">
      <c r="A489" s="9">
        <v>87702896</v>
      </c>
      <c r="B489" s="10">
        <v>42923</v>
      </c>
      <c r="C489" s="11">
        <v>0.54137731481481477</v>
      </c>
      <c r="D489" s="12">
        <v>0.55253472222222222</v>
      </c>
      <c r="E489" s="20">
        <f t="shared" si="14"/>
        <v>0</v>
      </c>
      <c r="F489">
        <f t="shared" si="15"/>
        <v>0</v>
      </c>
    </row>
    <row r="490" spans="1:6" x14ac:dyDescent="0.35">
      <c r="A490" s="5">
        <v>4131448</v>
      </c>
      <c r="B490" s="6">
        <v>42923</v>
      </c>
      <c r="C490" s="7">
        <v>0.54305555555555551</v>
      </c>
      <c r="D490" s="8">
        <v>0.5444444444444444</v>
      </c>
      <c r="E490" s="20">
        <f t="shared" si="14"/>
        <v>0</v>
      </c>
      <c r="F490">
        <f t="shared" si="15"/>
        <v>0</v>
      </c>
    </row>
    <row r="491" spans="1:6" x14ac:dyDescent="0.35">
      <c r="A491" s="9">
        <v>97798921</v>
      </c>
      <c r="B491" s="10">
        <v>42923</v>
      </c>
      <c r="C491" s="11">
        <v>0.5434606481481481</v>
      </c>
      <c r="D491" s="12">
        <v>0.55003472222222227</v>
      </c>
      <c r="E491" s="20">
        <f t="shared" si="14"/>
        <v>0</v>
      </c>
      <c r="F491">
        <f t="shared" si="15"/>
        <v>0</v>
      </c>
    </row>
    <row r="492" spans="1:6" x14ac:dyDescent="0.35">
      <c r="A492" s="5">
        <v>97798921</v>
      </c>
      <c r="B492" s="6">
        <v>42923</v>
      </c>
      <c r="C492" s="7">
        <v>0.54372685185185188</v>
      </c>
      <c r="D492" s="8">
        <v>0.54856481481481478</v>
      </c>
      <c r="E492" s="20">
        <f t="shared" si="14"/>
        <v>0</v>
      </c>
      <c r="F492">
        <f t="shared" si="15"/>
        <v>0</v>
      </c>
    </row>
    <row r="493" spans="1:6" x14ac:dyDescent="0.35">
      <c r="A493" s="9">
        <v>3919087</v>
      </c>
      <c r="B493" s="10">
        <v>42923</v>
      </c>
      <c r="C493" s="11">
        <v>0.54379629629629633</v>
      </c>
      <c r="D493" s="12">
        <v>0.54679398148148151</v>
      </c>
      <c r="E493" s="20">
        <f t="shared" si="14"/>
        <v>0</v>
      </c>
      <c r="F493">
        <f t="shared" si="15"/>
        <v>0</v>
      </c>
    </row>
    <row r="494" spans="1:6" x14ac:dyDescent="0.35">
      <c r="A494" s="5">
        <v>2619219</v>
      </c>
      <c r="B494" s="6">
        <v>42923</v>
      </c>
      <c r="C494" s="7">
        <v>0.54752314814814818</v>
      </c>
      <c r="D494" s="8">
        <v>0.5486805555555555</v>
      </c>
      <c r="E494" s="20">
        <f t="shared" si="14"/>
        <v>0</v>
      </c>
      <c r="F494">
        <f t="shared" si="15"/>
        <v>0</v>
      </c>
    </row>
    <row r="495" spans="1:6" x14ac:dyDescent="0.35">
      <c r="A495" s="9">
        <v>54536153</v>
      </c>
      <c r="B495" s="10">
        <v>42923</v>
      </c>
      <c r="C495" s="11">
        <v>0.54858796296296297</v>
      </c>
      <c r="D495" s="12">
        <v>0.55723379629629632</v>
      </c>
      <c r="E495" s="20">
        <f t="shared" si="14"/>
        <v>0</v>
      </c>
      <c r="F495">
        <f t="shared" si="15"/>
        <v>0</v>
      </c>
    </row>
    <row r="496" spans="1:6" x14ac:dyDescent="0.35">
      <c r="A496" s="5">
        <v>6813775</v>
      </c>
      <c r="B496" s="6">
        <v>42923</v>
      </c>
      <c r="C496" s="7">
        <v>0.55363425925925924</v>
      </c>
      <c r="D496" s="8">
        <v>0.55819444444444444</v>
      </c>
      <c r="E496" s="20">
        <f t="shared" si="14"/>
        <v>0</v>
      </c>
      <c r="F496">
        <f t="shared" si="15"/>
        <v>0</v>
      </c>
    </row>
    <row r="497" spans="1:6" x14ac:dyDescent="0.35">
      <c r="A497" s="9">
        <v>72312196</v>
      </c>
      <c r="B497" s="10">
        <v>42923</v>
      </c>
      <c r="C497" s="11">
        <v>0.55532407407407403</v>
      </c>
      <c r="D497" s="12">
        <v>0.56598379629629625</v>
      </c>
      <c r="E497" s="20">
        <f t="shared" si="14"/>
        <v>0</v>
      </c>
      <c r="F497">
        <f t="shared" si="15"/>
        <v>0</v>
      </c>
    </row>
    <row r="498" spans="1:6" x14ac:dyDescent="0.35">
      <c r="A498" s="5">
        <v>2235911</v>
      </c>
      <c r="B498" s="6">
        <v>42923</v>
      </c>
      <c r="C498" s="7">
        <v>0.56019675925925927</v>
      </c>
      <c r="D498" s="8">
        <v>0.56783564814814813</v>
      </c>
      <c r="E498" s="20">
        <f t="shared" si="14"/>
        <v>0</v>
      </c>
      <c r="F498">
        <f t="shared" si="15"/>
        <v>0</v>
      </c>
    </row>
    <row r="499" spans="1:6" x14ac:dyDescent="0.35">
      <c r="A499" s="9">
        <v>9532678004</v>
      </c>
      <c r="B499" s="10">
        <v>42923</v>
      </c>
      <c r="C499" s="11">
        <v>0.56347222222222226</v>
      </c>
      <c r="D499" s="12">
        <v>0.57157407407407412</v>
      </c>
      <c r="E499" s="20">
        <f t="shared" si="14"/>
        <v>0</v>
      </c>
      <c r="F499">
        <f t="shared" si="15"/>
        <v>0</v>
      </c>
    </row>
    <row r="500" spans="1:6" x14ac:dyDescent="0.35">
      <c r="A500" s="5">
        <v>4653709</v>
      </c>
      <c r="B500" s="6">
        <v>42923</v>
      </c>
      <c r="C500" s="7">
        <v>0.56795138888888885</v>
      </c>
      <c r="D500" s="8">
        <v>0.57596064814814818</v>
      </c>
      <c r="E500" s="20">
        <f t="shared" si="14"/>
        <v>0</v>
      </c>
      <c r="F500">
        <f t="shared" si="15"/>
        <v>0</v>
      </c>
    </row>
    <row r="501" spans="1:6" x14ac:dyDescent="0.35">
      <c r="A501" s="9">
        <v>1734512</v>
      </c>
      <c r="B501" s="10">
        <v>42923</v>
      </c>
      <c r="C501" s="11">
        <v>0.57093749999999999</v>
      </c>
      <c r="D501" s="12">
        <v>0.5765393518518519</v>
      </c>
      <c r="E501" s="20">
        <f t="shared" si="14"/>
        <v>0</v>
      </c>
      <c r="F501">
        <f t="shared" si="15"/>
        <v>0</v>
      </c>
    </row>
    <row r="502" spans="1:6" x14ac:dyDescent="0.35">
      <c r="A502" s="5">
        <v>6741642</v>
      </c>
      <c r="B502" s="6">
        <v>42923</v>
      </c>
      <c r="C502" s="7">
        <v>0.57523148148148151</v>
      </c>
      <c r="D502" s="8">
        <v>0.57535879629629627</v>
      </c>
      <c r="E502" s="20">
        <f t="shared" si="14"/>
        <v>0</v>
      </c>
      <c r="F502">
        <f t="shared" si="15"/>
        <v>0</v>
      </c>
    </row>
    <row r="503" spans="1:6" x14ac:dyDescent="0.35">
      <c r="A503" s="9">
        <v>45862784</v>
      </c>
      <c r="B503" s="10">
        <v>42923</v>
      </c>
      <c r="C503" s="11">
        <v>0.57768518518518519</v>
      </c>
      <c r="D503" s="12">
        <v>0.58636574074074077</v>
      </c>
      <c r="E503" s="20">
        <f t="shared" si="14"/>
        <v>0</v>
      </c>
      <c r="F503">
        <f t="shared" si="15"/>
        <v>0</v>
      </c>
    </row>
    <row r="504" spans="1:6" x14ac:dyDescent="0.35">
      <c r="A504" s="5">
        <v>25147401</v>
      </c>
      <c r="B504" s="6">
        <v>42923</v>
      </c>
      <c r="C504" s="7">
        <v>0.57922453703703702</v>
      </c>
      <c r="D504" s="8">
        <v>0.58821759259259254</v>
      </c>
      <c r="E504" s="20">
        <f t="shared" si="14"/>
        <v>0</v>
      </c>
      <c r="F504">
        <f t="shared" si="15"/>
        <v>0</v>
      </c>
    </row>
    <row r="505" spans="1:6" x14ac:dyDescent="0.35">
      <c r="A505" s="9">
        <v>4963499</v>
      </c>
      <c r="B505" s="10">
        <v>42923</v>
      </c>
      <c r="C505" s="11">
        <v>0.58484953703703701</v>
      </c>
      <c r="D505" s="12">
        <v>0.5869212962962963</v>
      </c>
      <c r="E505" s="20">
        <f t="shared" si="14"/>
        <v>0</v>
      </c>
      <c r="F505">
        <f t="shared" si="15"/>
        <v>0</v>
      </c>
    </row>
    <row r="506" spans="1:6" x14ac:dyDescent="0.35">
      <c r="A506" s="5">
        <v>7432767</v>
      </c>
      <c r="B506" s="6">
        <v>42923</v>
      </c>
      <c r="C506" s="7">
        <v>0.58508101851851857</v>
      </c>
      <c r="D506" s="8">
        <v>0.58635416666666662</v>
      </c>
      <c r="E506" s="20">
        <f t="shared" si="14"/>
        <v>0</v>
      </c>
      <c r="F506">
        <f t="shared" si="15"/>
        <v>0</v>
      </c>
    </row>
    <row r="507" spans="1:6" x14ac:dyDescent="0.35">
      <c r="A507" s="9">
        <v>3599100</v>
      </c>
      <c r="B507" s="10">
        <v>42923</v>
      </c>
      <c r="C507" s="11">
        <v>0.58832175925925922</v>
      </c>
      <c r="D507" s="12">
        <v>0.59277777777777774</v>
      </c>
      <c r="E507" s="20">
        <f t="shared" si="14"/>
        <v>0</v>
      </c>
      <c r="F507">
        <f t="shared" si="15"/>
        <v>0</v>
      </c>
    </row>
    <row r="508" spans="1:6" x14ac:dyDescent="0.35">
      <c r="A508" s="5">
        <v>8251878</v>
      </c>
      <c r="B508" s="6">
        <v>42923</v>
      </c>
      <c r="C508" s="7">
        <v>0.59281249999999996</v>
      </c>
      <c r="D508" s="8">
        <v>0.59375</v>
      </c>
      <c r="E508" s="20">
        <f t="shared" si="14"/>
        <v>0</v>
      </c>
      <c r="F508">
        <f t="shared" si="15"/>
        <v>0</v>
      </c>
    </row>
    <row r="509" spans="1:6" x14ac:dyDescent="0.35">
      <c r="A509" s="9">
        <v>2826868</v>
      </c>
      <c r="B509" s="10">
        <v>42923</v>
      </c>
      <c r="C509" s="11">
        <v>0.59672453703703698</v>
      </c>
      <c r="D509" s="12">
        <v>0.60435185185185181</v>
      </c>
      <c r="E509" s="20">
        <f t="shared" si="14"/>
        <v>0</v>
      </c>
      <c r="F509">
        <f t="shared" si="15"/>
        <v>0</v>
      </c>
    </row>
    <row r="510" spans="1:6" x14ac:dyDescent="0.35">
      <c r="A510" s="5">
        <v>76099906</v>
      </c>
      <c r="B510" s="6">
        <v>42923</v>
      </c>
      <c r="C510" s="7">
        <v>0.6004976851851852</v>
      </c>
      <c r="D510" s="8">
        <v>0.61106481481481478</v>
      </c>
      <c r="E510" s="20">
        <f t="shared" si="14"/>
        <v>0</v>
      </c>
      <c r="F510">
        <f t="shared" si="15"/>
        <v>0</v>
      </c>
    </row>
    <row r="511" spans="1:6" x14ac:dyDescent="0.35">
      <c r="A511" s="9">
        <v>5147242</v>
      </c>
      <c r="B511" s="10">
        <v>42923</v>
      </c>
      <c r="C511" s="11">
        <v>0.60381944444444446</v>
      </c>
      <c r="D511" s="12">
        <v>0.60589120370370375</v>
      </c>
      <c r="E511" s="20">
        <f t="shared" si="14"/>
        <v>0</v>
      </c>
      <c r="F511">
        <f t="shared" si="15"/>
        <v>0</v>
      </c>
    </row>
    <row r="512" spans="1:6" x14ac:dyDescent="0.35">
      <c r="A512" s="5">
        <v>9600226</v>
      </c>
      <c r="B512" s="6">
        <v>42923</v>
      </c>
      <c r="C512" s="7">
        <v>0.60758101851851853</v>
      </c>
      <c r="D512" s="8">
        <v>0.61008101851851848</v>
      </c>
      <c r="E512" s="20">
        <f t="shared" si="14"/>
        <v>0</v>
      </c>
      <c r="F512">
        <f t="shared" si="15"/>
        <v>0</v>
      </c>
    </row>
    <row r="513" spans="1:6" x14ac:dyDescent="0.35">
      <c r="A513" s="9">
        <v>1337042</v>
      </c>
      <c r="B513" s="10">
        <v>42923</v>
      </c>
      <c r="C513" s="11">
        <v>0.60930555555555554</v>
      </c>
      <c r="D513" s="12">
        <v>0.62085648148148154</v>
      </c>
      <c r="E513" s="20">
        <f t="shared" si="14"/>
        <v>0</v>
      </c>
      <c r="F513">
        <f t="shared" si="15"/>
        <v>0</v>
      </c>
    </row>
    <row r="514" spans="1:6" x14ac:dyDescent="0.35">
      <c r="A514" s="5">
        <v>1223943</v>
      </c>
      <c r="B514" s="6">
        <v>42923</v>
      </c>
      <c r="C514" s="7">
        <v>0.61412037037037037</v>
      </c>
      <c r="D514" s="8">
        <v>0.62342592592592594</v>
      </c>
      <c r="E514" s="20">
        <f t="shared" si="14"/>
        <v>9.3055555555555669E-3</v>
      </c>
      <c r="F514">
        <f t="shared" si="15"/>
        <v>1</v>
      </c>
    </row>
    <row r="515" spans="1:6" x14ac:dyDescent="0.35">
      <c r="A515" s="9">
        <v>3525921</v>
      </c>
      <c r="B515" s="10">
        <v>42923</v>
      </c>
      <c r="C515" s="11">
        <v>0.61557870370370371</v>
      </c>
      <c r="D515" s="12">
        <v>0.61946759259259254</v>
      </c>
      <c r="E515" s="20">
        <f t="shared" ref="E515:E578" si="16">IF(F515=1,D515-C515,0)</f>
        <v>0</v>
      </c>
      <c r="F515">
        <f t="shared" ref="F515:F578" si="17">IF(AND(LEN(A515)=7,LEFT(A515,2) = "12"),1,0)</f>
        <v>0</v>
      </c>
    </row>
    <row r="516" spans="1:6" x14ac:dyDescent="0.35">
      <c r="A516" s="5">
        <v>5094248</v>
      </c>
      <c r="B516" s="6">
        <v>42923</v>
      </c>
      <c r="C516" s="7">
        <v>0.61901620370370369</v>
      </c>
      <c r="D516" s="8">
        <v>0.62861111111111112</v>
      </c>
      <c r="E516" s="20">
        <f t="shared" si="16"/>
        <v>0</v>
      </c>
      <c r="F516">
        <f t="shared" si="17"/>
        <v>0</v>
      </c>
    </row>
    <row r="517" spans="1:6" x14ac:dyDescent="0.35">
      <c r="A517" s="9">
        <v>7275091</v>
      </c>
      <c r="B517" s="10">
        <v>42923</v>
      </c>
      <c r="C517" s="11">
        <v>0.62306712962962962</v>
      </c>
      <c r="D517" s="12">
        <v>0.63328703703703704</v>
      </c>
      <c r="E517" s="20">
        <f t="shared" si="16"/>
        <v>0</v>
      </c>
      <c r="F517">
        <f t="shared" si="17"/>
        <v>0</v>
      </c>
    </row>
    <row r="518" spans="1:6" x14ac:dyDescent="0.35">
      <c r="A518" s="5">
        <v>73042148</v>
      </c>
      <c r="B518" s="6">
        <v>42923</v>
      </c>
      <c r="C518" s="7">
        <v>0.62537037037037035</v>
      </c>
      <c r="D518" s="8">
        <v>0.63498842592592597</v>
      </c>
      <c r="E518" s="20">
        <f t="shared" si="16"/>
        <v>0</v>
      </c>
      <c r="F518">
        <f t="shared" si="17"/>
        <v>0</v>
      </c>
    </row>
    <row r="519" spans="1:6" x14ac:dyDescent="0.35">
      <c r="A519" s="9">
        <v>8570276</v>
      </c>
      <c r="B519" s="10">
        <v>42926</v>
      </c>
      <c r="C519" s="11">
        <v>0.33759259259259261</v>
      </c>
      <c r="D519" s="12">
        <v>0.34880787037037037</v>
      </c>
      <c r="E519" s="20">
        <f t="shared" si="16"/>
        <v>0</v>
      </c>
      <c r="F519">
        <f t="shared" si="17"/>
        <v>0</v>
      </c>
    </row>
    <row r="520" spans="1:6" x14ac:dyDescent="0.35">
      <c r="A520" s="5">
        <v>1775586</v>
      </c>
      <c r="B520" s="6">
        <v>42926</v>
      </c>
      <c r="C520" s="7">
        <v>0.34016203703703701</v>
      </c>
      <c r="D520" s="8">
        <v>0.3495138888888889</v>
      </c>
      <c r="E520" s="20">
        <f t="shared" si="16"/>
        <v>0</v>
      </c>
      <c r="F520">
        <f t="shared" si="17"/>
        <v>0</v>
      </c>
    </row>
    <row r="521" spans="1:6" x14ac:dyDescent="0.35">
      <c r="A521" s="9">
        <v>27791497</v>
      </c>
      <c r="B521" s="10">
        <v>42926</v>
      </c>
      <c r="C521" s="11">
        <v>0.34312500000000001</v>
      </c>
      <c r="D521" s="12">
        <v>0.34373842592592591</v>
      </c>
      <c r="E521" s="20">
        <f t="shared" si="16"/>
        <v>0</v>
      </c>
      <c r="F521">
        <f t="shared" si="17"/>
        <v>0</v>
      </c>
    </row>
    <row r="522" spans="1:6" x14ac:dyDescent="0.35">
      <c r="A522" s="5">
        <v>5162775</v>
      </c>
      <c r="B522" s="6">
        <v>42926</v>
      </c>
      <c r="C522" s="7">
        <v>0.34364583333333332</v>
      </c>
      <c r="D522" s="8">
        <v>0.3492824074074074</v>
      </c>
      <c r="E522" s="20">
        <f t="shared" si="16"/>
        <v>0</v>
      </c>
      <c r="F522">
        <f t="shared" si="17"/>
        <v>0</v>
      </c>
    </row>
    <row r="523" spans="1:6" x14ac:dyDescent="0.35">
      <c r="A523" s="9">
        <v>56115408</v>
      </c>
      <c r="B523" s="10">
        <v>42926</v>
      </c>
      <c r="C523" s="11">
        <v>0.34796296296296297</v>
      </c>
      <c r="D523" s="12">
        <v>0.35728009259259258</v>
      </c>
      <c r="E523" s="20">
        <f t="shared" si="16"/>
        <v>0</v>
      </c>
      <c r="F523">
        <f t="shared" si="17"/>
        <v>0</v>
      </c>
    </row>
    <row r="524" spans="1:6" x14ac:dyDescent="0.35">
      <c r="A524" s="5">
        <v>6766881</v>
      </c>
      <c r="B524" s="6">
        <v>42926</v>
      </c>
      <c r="C524" s="7">
        <v>0.35249999999999998</v>
      </c>
      <c r="D524" s="8">
        <v>0.35278935185185184</v>
      </c>
      <c r="E524" s="20">
        <f t="shared" si="16"/>
        <v>0</v>
      </c>
      <c r="F524">
        <f t="shared" si="17"/>
        <v>0</v>
      </c>
    </row>
    <row r="525" spans="1:6" x14ac:dyDescent="0.35">
      <c r="A525" s="9">
        <v>9502975</v>
      </c>
      <c r="B525" s="10">
        <v>42926</v>
      </c>
      <c r="C525" s="11">
        <v>0.35483796296296294</v>
      </c>
      <c r="D525" s="12">
        <v>0.35699074074074072</v>
      </c>
      <c r="E525" s="20">
        <f t="shared" si="16"/>
        <v>0</v>
      </c>
      <c r="F525">
        <f t="shared" si="17"/>
        <v>0</v>
      </c>
    </row>
    <row r="526" spans="1:6" x14ac:dyDescent="0.35">
      <c r="A526" s="5">
        <v>4212838</v>
      </c>
      <c r="B526" s="6">
        <v>42926</v>
      </c>
      <c r="C526" s="7">
        <v>0.35760416666666667</v>
      </c>
      <c r="D526" s="8">
        <v>0.35951388888888891</v>
      </c>
      <c r="E526" s="20">
        <f t="shared" si="16"/>
        <v>0</v>
      </c>
      <c r="F526">
        <f t="shared" si="17"/>
        <v>0</v>
      </c>
    </row>
    <row r="527" spans="1:6" x14ac:dyDescent="0.35">
      <c r="A527" s="9">
        <v>6952061</v>
      </c>
      <c r="B527" s="10">
        <v>42926</v>
      </c>
      <c r="C527" s="11">
        <v>0.36282407407407408</v>
      </c>
      <c r="D527" s="12">
        <v>0.37093749999999998</v>
      </c>
      <c r="E527" s="20">
        <f t="shared" si="16"/>
        <v>0</v>
      </c>
      <c r="F527">
        <f t="shared" si="17"/>
        <v>0</v>
      </c>
    </row>
    <row r="528" spans="1:6" x14ac:dyDescent="0.35">
      <c r="A528" s="5">
        <v>56127547</v>
      </c>
      <c r="B528" s="6">
        <v>42926</v>
      </c>
      <c r="C528" s="7">
        <v>0.36803240740740739</v>
      </c>
      <c r="D528" s="8">
        <v>0.37565972222222221</v>
      </c>
      <c r="E528" s="20">
        <f t="shared" si="16"/>
        <v>0</v>
      </c>
      <c r="F528">
        <f t="shared" si="17"/>
        <v>0</v>
      </c>
    </row>
    <row r="529" spans="1:6" x14ac:dyDescent="0.35">
      <c r="A529" s="9">
        <v>4952685</v>
      </c>
      <c r="B529" s="10">
        <v>42926</v>
      </c>
      <c r="C529" s="11">
        <v>0.36895833333333333</v>
      </c>
      <c r="D529" s="12">
        <v>0.37655092592592593</v>
      </c>
      <c r="E529" s="20">
        <f t="shared" si="16"/>
        <v>0</v>
      </c>
      <c r="F529">
        <f t="shared" si="17"/>
        <v>0</v>
      </c>
    </row>
    <row r="530" spans="1:6" x14ac:dyDescent="0.35">
      <c r="A530" s="5">
        <v>8632893</v>
      </c>
      <c r="B530" s="6">
        <v>42926</v>
      </c>
      <c r="C530" s="7">
        <v>0.36996527777777777</v>
      </c>
      <c r="D530" s="8">
        <v>0.37988425925925928</v>
      </c>
      <c r="E530" s="20">
        <f t="shared" si="16"/>
        <v>0</v>
      </c>
      <c r="F530">
        <f t="shared" si="17"/>
        <v>0</v>
      </c>
    </row>
    <row r="531" spans="1:6" x14ac:dyDescent="0.35">
      <c r="A531" s="9">
        <v>7320123</v>
      </c>
      <c r="B531" s="10">
        <v>42926</v>
      </c>
      <c r="C531" s="11">
        <v>0.37015046296296295</v>
      </c>
      <c r="D531" s="12">
        <v>0.37528935185185186</v>
      </c>
      <c r="E531" s="20">
        <f t="shared" si="16"/>
        <v>0</v>
      </c>
      <c r="F531">
        <f t="shared" si="17"/>
        <v>0</v>
      </c>
    </row>
    <row r="532" spans="1:6" x14ac:dyDescent="0.35">
      <c r="A532" s="5">
        <v>4600571814</v>
      </c>
      <c r="B532" s="6">
        <v>42926</v>
      </c>
      <c r="C532" s="7">
        <v>0.3706712962962963</v>
      </c>
      <c r="D532" s="8">
        <v>0.37572916666666667</v>
      </c>
      <c r="E532" s="20">
        <f t="shared" si="16"/>
        <v>0</v>
      </c>
      <c r="F532">
        <f t="shared" si="17"/>
        <v>0</v>
      </c>
    </row>
    <row r="533" spans="1:6" x14ac:dyDescent="0.35">
      <c r="A533" s="9">
        <v>38063903</v>
      </c>
      <c r="B533" s="10">
        <v>42926</v>
      </c>
      <c r="C533" s="11">
        <v>0.37207175925925928</v>
      </c>
      <c r="D533" s="12">
        <v>0.37332175925925926</v>
      </c>
      <c r="E533" s="20">
        <f t="shared" si="16"/>
        <v>0</v>
      </c>
      <c r="F533">
        <f t="shared" si="17"/>
        <v>0</v>
      </c>
    </row>
    <row r="534" spans="1:6" x14ac:dyDescent="0.35">
      <c r="A534" s="5">
        <v>4901642</v>
      </c>
      <c r="B534" s="6">
        <v>42926</v>
      </c>
      <c r="C534" s="7">
        <v>0.37747685185185187</v>
      </c>
      <c r="D534" s="8">
        <v>0.38609953703703703</v>
      </c>
      <c r="E534" s="20">
        <f t="shared" si="16"/>
        <v>0</v>
      </c>
      <c r="F534">
        <f t="shared" si="17"/>
        <v>0</v>
      </c>
    </row>
    <row r="535" spans="1:6" x14ac:dyDescent="0.35">
      <c r="A535" s="9">
        <v>39669014</v>
      </c>
      <c r="B535" s="10">
        <v>42926</v>
      </c>
      <c r="C535" s="11">
        <v>0.37930555555555556</v>
      </c>
      <c r="D535" s="12">
        <v>0.38686342592592593</v>
      </c>
      <c r="E535" s="20">
        <f t="shared" si="16"/>
        <v>0</v>
      </c>
      <c r="F535">
        <f t="shared" si="17"/>
        <v>0</v>
      </c>
    </row>
    <row r="536" spans="1:6" x14ac:dyDescent="0.35">
      <c r="A536" s="5">
        <v>48919339</v>
      </c>
      <c r="B536" s="6">
        <v>42926</v>
      </c>
      <c r="C536" s="7">
        <v>0.38040509259259259</v>
      </c>
      <c r="D536" s="8">
        <v>0.38484953703703706</v>
      </c>
      <c r="E536" s="20">
        <f t="shared" si="16"/>
        <v>0</v>
      </c>
      <c r="F536">
        <f t="shared" si="17"/>
        <v>0</v>
      </c>
    </row>
    <row r="537" spans="1:6" x14ac:dyDescent="0.35">
      <c r="A537" s="9">
        <v>4960687</v>
      </c>
      <c r="B537" s="10">
        <v>42926</v>
      </c>
      <c r="C537" s="11">
        <v>0.3835648148148148</v>
      </c>
      <c r="D537" s="12">
        <v>0.3941087962962963</v>
      </c>
      <c r="E537" s="20">
        <f t="shared" si="16"/>
        <v>0</v>
      </c>
      <c r="F537">
        <f t="shared" si="17"/>
        <v>0</v>
      </c>
    </row>
    <row r="538" spans="1:6" x14ac:dyDescent="0.35">
      <c r="A538" s="5">
        <v>41156424</v>
      </c>
      <c r="B538" s="6">
        <v>42926</v>
      </c>
      <c r="C538" s="7">
        <v>0.38715277777777779</v>
      </c>
      <c r="D538" s="8">
        <v>0.39293981481481483</v>
      </c>
      <c r="E538" s="20">
        <f t="shared" si="16"/>
        <v>0</v>
      </c>
      <c r="F538">
        <f t="shared" si="17"/>
        <v>0</v>
      </c>
    </row>
    <row r="539" spans="1:6" x14ac:dyDescent="0.35">
      <c r="A539" s="9">
        <v>5087066</v>
      </c>
      <c r="B539" s="10">
        <v>42926</v>
      </c>
      <c r="C539" s="11">
        <v>0.3894097222222222</v>
      </c>
      <c r="D539" s="12">
        <v>0.39869212962962963</v>
      </c>
      <c r="E539" s="20">
        <f t="shared" si="16"/>
        <v>0</v>
      </c>
      <c r="F539">
        <f t="shared" si="17"/>
        <v>0</v>
      </c>
    </row>
    <row r="540" spans="1:6" x14ac:dyDescent="0.35">
      <c r="A540" s="5">
        <v>4636713</v>
      </c>
      <c r="B540" s="6">
        <v>42926</v>
      </c>
      <c r="C540" s="7">
        <v>0.39193287037037039</v>
      </c>
      <c r="D540" s="8">
        <v>0.39712962962962961</v>
      </c>
      <c r="E540" s="20">
        <f t="shared" si="16"/>
        <v>0</v>
      </c>
      <c r="F540">
        <f t="shared" si="17"/>
        <v>0</v>
      </c>
    </row>
    <row r="541" spans="1:6" x14ac:dyDescent="0.35">
      <c r="A541" s="9">
        <v>3944120</v>
      </c>
      <c r="B541" s="10">
        <v>42926</v>
      </c>
      <c r="C541" s="11">
        <v>0.39307870370370368</v>
      </c>
      <c r="D541" s="12">
        <v>0.39380787037037035</v>
      </c>
      <c r="E541" s="20">
        <f t="shared" si="16"/>
        <v>0</v>
      </c>
      <c r="F541">
        <f t="shared" si="17"/>
        <v>0</v>
      </c>
    </row>
    <row r="542" spans="1:6" x14ac:dyDescent="0.35">
      <c r="A542" s="5">
        <v>5960122</v>
      </c>
      <c r="B542" s="6">
        <v>42926</v>
      </c>
      <c r="C542" s="7">
        <v>0.3984375</v>
      </c>
      <c r="D542" s="8">
        <v>0.40802083333333333</v>
      </c>
      <c r="E542" s="20">
        <f t="shared" si="16"/>
        <v>0</v>
      </c>
      <c r="F542">
        <f t="shared" si="17"/>
        <v>0</v>
      </c>
    </row>
    <row r="543" spans="1:6" x14ac:dyDescent="0.35">
      <c r="A543" s="9">
        <v>6795454</v>
      </c>
      <c r="B543" s="10">
        <v>42926</v>
      </c>
      <c r="C543" s="11">
        <v>0.40265046296296297</v>
      </c>
      <c r="D543" s="12">
        <v>0.40284722222222225</v>
      </c>
      <c r="E543" s="20">
        <f t="shared" si="16"/>
        <v>0</v>
      </c>
      <c r="F543">
        <f t="shared" si="17"/>
        <v>0</v>
      </c>
    </row>
    <row r="544" spans="1:6" x14ac:dyDescent="0.35">
      <c r="A544" s="5">
        <v>5013688</v>
      </c>
      <c r="B544" s="6">
        <v>42926</v>
      </c>
      <c r="C544" s="7">
        <v>0.40662037037037035</v>
      </c>
      <c r="D544" s="8">
        <v>0.41171296296296295</v>
      </c>
      <c r="E544" s="20">
        <f t="shared" si="16"/>
        <v>0</v>
      </c>
      <c r="F544">
        <f t="shared" si="17"/>
        <v>0</v>
      </c>
    </row>
    <row r="545" spans="1:6" x14ac:dyDescent="0.35">
      <c r="A545" s="9">
        <v>9487255</v>
      </c>
      <c r="B545" s="10">
        <v>42926</v>
      </c>
      <c r="C545" s="11">
        <v>0.40997685185185184</v>
      </c>
      <c r="D545" s="12">
        <v>0.41947916666666668</v>
      </c>
      <c r="E545" s="20">
        <f t="shared" si="16"/>
        <v>0</v>
      </c>
      <c r="F545">
        <f t="shared" si="17"/>
        <v>0</v>
      </c>
    </row>
    <row r="546" spans="1:6" x14ac:dyDescent="0.35">
      <c r="A546" s="5">
        <v>1592822</v>
      </c>
      <c r="B546" s="6">
        <v>42926</v>
      </c>
      <c r="C546" s="7">
        <v>0.41422453703703704</v>
      </c>
      <c r="D546" s="8">
        <v>0.42549768518518516</v>
      </c>
      <c r="E546" s="20">
        <f t="shared" si="16"/>
        <v>0</v>
      </c>
      <c r="F546">
        <f t="shared" si="17"/>
        <v>0</v>
      </c>
    </row>
    <row r="547" spans="1:6" x14ac:dyDescent="0.35">
      <c r="A547" s="9">
        <v>9084978</v>
      </c>
      <c r="B547" s="10">
        <v>42926</v>
      </c>
      <c r="C547" s="11">
        <v>0.41553240740740743</v>
      </c>
      <c r="D547" s="12">
        <v>0.42593750000000002</v>
      </c>
      <c r="E547" s="20">
        <f t="shared" si="16"/>
        <v>0</v>
      </c>
      <c r="F547">
        <f t="shared" si="17"/>
        <v>0</v>
      </c>
    </row>
    <row r="548" spans="1:6" x14ac:dyDescent="0.35">
      <c r="A548" s="5">
        <v>80038636</v>
      </c>
      <c r="B548" s="6">
        <v>42926</v>
      </c>
      <c r="C548" s="7">
        <v>0.41734953703703703</v>
      </c>
      <c r="D548" s="8">
        <v>0.42822916666666666</v>
      </c>
      <c r="E548" s="20">
        <f t="shared" si="16"/>
        <v>0</v>
      </c>
      <c r="F548">
        <f t="shared" si="17"/>
        <v>0</v>
      </c>
    </row>
    <row r="549" spans="1:6" x14ac:dyDescent="0.35">
      <c r="A549" s="9">
        <v>2021941339</v>
      </c>
      <c r="B549" s="10">
        <v>42926</v>
      </c>
      <c r="C549" s="11">
        <v>0.41863425925925923</v>
      </c>
      <c r="D549" s="12">
        <v>0.42877314814814815</v>
      </c>
      <c r="E549" s="20">
        <f t="shared" si="16"/>
        <v>0</v>
      </c>
      <c r="F549">
        <f t="shared" si="17"/>
        <v>0</v>
      </c>
    </row>
    <row r="550" spans="1:6" x14ac:dyDescent="0.35">
      <c r="A550" s="5">
        <v>7718350</v>
      </c>
      <c r="B550" s="6">
        <v>42926</v>
      </c>
      <c r="C550" s="7">
        <v>0.42002314814814817</v>
      </c>
      <c r="D550" s="8">
        <v>0.42700231481481482</v>
      </c>
      <c r="E550" s="20">
        <f t="shared" si="16"/>
        <v>0</v>
      </c>
      <c r="F550">
        <f t="shared" si="17"/>
        <v>0</v>
      </c>
    </row>
    <row r="551" spans="1:6" x14ac:dyDescent="0.35">
      <c r="A551" s="9">
        <v>3153283</v>
      </c>
      <c r="B551" s="10">
        <v>42926</v>
      </c>
      <c r="C551" s="11">
        <v>0.42396990740740742</v>
      </c>
      <c r="D551" s="12">
        <v>0.43335648148148148</v>
      </c>
      <c r="E551" s="20">
        <f t="shared" si="16"/>
        <v>0</v>
      </c>
      <c r="F551">
        <f t="shared" si="17"/>
        <v>0</v>
      </c>
    </row>
    <row r="552" spans="1:6" x14ac:dyDescent="0.35">
      <c r="A552" s="5">
        <v>6341482</v>
      </c>
      <c r="B552" s="6">
        <v>42926</v>
      </c>
      <c r="C552" s="7">
        <v>0.42922453703703706</v>
      </c>
      <c r="D552" s="8">
        <v>0.43947916666666664</v>
      </c>
      <c r="E552" s="20">
        <f t="shared" si="16"/>
        <v>0</v>
      </c>
      <c r="F552">
        <f t="shared" si="17"/>
        <v>0</v>
      </c>
    </row>
    <row r="553" spans="1:6" x14ac:dyDescent="0.35">
      <c r="A553" s="9">
        <v>67964973</v>
      </c>
      <c r="B553" s="10">
        <v>42926</v>
      </c>
      <c r="C553" s="11">
        <v>0.43475694444444446</v>
      </c>
      <c r="D553" s="12">
        <v>0.43590277777777775</v>
      </c>
      <c r="E553" s="20">
        <f t="shared" si="16"/>
        <v>0</v>
      </c>
      <c r="F553">
        <f t="shared" si="17"/>
        <v>0</v>
      </c>
    </row>
    <row r="554" spans="1:6" x14ac:dyDescent="0.35">
      <c r="A554" s="5">
        <v>1223943</v>
      </c>
      <c r="B554" s="6">
        <v>42926</v>
      </c>
      <c r="C554" s="7">
        <v>0.43961805555555555</v>
      </c>
      <c r="D554" s="8">
        <v>0.45087962962962963</v>
      </c>
      <c r="E554" s="20">
        <f t="shared" si="16"/>
        <v>1.1261574074074077E-2</v>
      </c>
      <c r="F554">
        <f t="shared" si="17"/>
        <v>1</v>
      </c>
    </row>
    <row r="555" spans="1:6" x14ac:dyDescent="0.35">
      <c r="A555" s="9">
        <v>8049834</v>
      </c>
      <c r="B555" s="10">
        <v>42926</v>
      </c>
      <c r="C555" s="11">
        <v>0.44210648148148146</v>
      </c>
      <c r="D555" s="12">
        <v>0.44369212962962962</v>
      </c>
      <c r="E555" s="20">
        <f t="shared" si="16"/>
        <v>0</v>
      </c>
      <c r="F555">
        <f t="shared" si="17"/>
        <v>0</v>
      </c>
    </row>
    <row r="556" spans="1:6" x14ac:dyDescent="0.35">
      <c r="A556" s="5">
        <v>6374704</v>
      </c>
      <c r="B556" s="6">
        <v>42926</v>
      </c>
      <c r="C556" s="7">
        <v>0.44572916666666668</v>
      </c>
      <c r="D556" s="8">
        <v>0.4548726851851852</v>
      </c>
      <c r="E556" s="20">
        <f t="shared" si="16"/>
        <v>0</v>
      </c>
      <c r="F556">
        <f t="shared" si="17"/>
        <v>0</v>
      </c>
    </row>
    <row r="557" spans="1:6" x14ac:dyDescent="0.35">
      <c r="A557" s="9">
        <v>99625315</v>
      </c>
      <c r="B557" s="10">
        <v>42926</v>
      </c>
      <c r="C557" s="11">
        <v>0.44592592592592595</v>
      </c>
      <c r="D557" s="12">
        <v>0.45026620370370368</v>
      </c>
      <c r="E557" s="20">
        <f t="shared" si="16"/>
        <v>0</v>
      </c>
      <c r="F557">
        <f t="shared" si="17"/>
        <v>0</v>
      </c>
    </row>
    <row r="558" spans="1:6" x14ac:dyDescent="0.35">
      <c r="A558" s="5">
        <v>9728932</v>
      </c>
      <c r="B558" s="6">
        <v>42926</v>
      </c>
      <c r="C558" s="7">
        <v>0.44641203703703702</v>
      </c>
      <c r="D558" s="8">
        <v>0.45089120370370372</v>
      </c>
      <c r="E558" s="20">
        <f t="shared" si="16"/>
        <v>0</v>
      </c>
      <c r="F558">
        <f t="shared" si="17"/>
        <v>0</v>
      </c>
    </row>
    <row r="559" spans="1:6" x14ac:dyDescent="0.35">
      <c r="A559" s="9">
        <v>9121149</v>
      </c>
      <c r="B559" s="10">
        <v>42926</v>
      </c>
      <c r="C559" s="11">
        <v>0.45106481481481481</v>
      </c>
      <c r="D559" s="12">
        <v>0.45603009259259258</v>
      </c>
      <c r="E559" s="20">
        <f t="shared" si="16"/>
        <v>0</v>
      </c>
      <c r="F559">
        <f t="shared" si="17"/>
        <v>0</v>
      </c>
    </row>
    <row r="560" spans="1:6" x14ac:dyDescent="0.35">
      <c r="A560" s="5">
        <v>2790475</v>
      </c>
      <c r="B560" s="6">
        <v>42926</v>
      </c>
      <c r="C560" s="7">
        <v>0.45663194444444444</v>
      </c>
      <c r="D560" s="8">
        <v>0.46517361111111111</v>
      </c>
      <c r="E560" s="20">
        <f t="shared" si="16"/>
        <v>0</v>
      </c>
      <c r="F560">
        <f t="shared" si="17"/>
        <v>0</v>
      </c>
    </row>
    <row r="561" spans="1:6" x14ac:dyDescent="0.35">
      <c r="A561" s="9">
        <v>4148520</v>
      </c>
      <c r="B561" s="10">
        <v>42926</v>
      </c>
      <c r="C561" s="11">
        <v>0.46108796296296295</v>
      </c>
      <c r="D561" s="12">
        <v>0.46989583333333335</v>
      </c>
      <c r="E561" s="20">
        <f t="shared" si="16"/>
        <v>0</v>
      </c>
      <c r="F561">
        <f t="shared" si="17"/>
        <v>0</v>
      </c>
    </row>
    <row r="562" spans="1:6" x14ac:dyDescent="0.35">
      <c r="A562" s="5">
        <v>55462392</v>
      </c>
      <c r="B562" s="6">
        <v>42926</v>
      </c>
      <c r="C562" s="7">
        <v>0.46597222222222223</v>
      </c>
      <c r="D562" s="8">
        <v>0.46732638888888889</v>
      </c>
      <c r="E562" s="20">
        <f t="shared" si="16"/>
        <v>0</v>
      </c>
      <c r="F562">
        <f t="shared" si="17"/>
        <v>0</v>
      </c>
    </row>
    <row r="563" spans="1:6" x14ac:dyDescent="0.35">
      <c r="A563" s="9">
        <v>8130722</v>
      </c>
      <c r="B563" s="10">
        <v>42926</v>
      </c>
      <c r="C563" s="11">
        <v>0.46649305555555554</v>
      </c>
      <c r="D563" s="12">
        <v>0.47717592592592595</v>
      </c>
      <c r="E563" s="20">
        <f t="shared" si="16"/>
        <v>0</v>
      </c>
      <c r="F563">
        <f t="shared" si="17"/>
        <v>0</v>
      </c>
    </row>
    <row r="564" spans="1:6" x14ac:dyDescent="0.35">
      <c r="A564" s="5">
        <v>5448890</v>
      </c>
      <c r="B564" s="6">
        <v>42926</v>
      </c>
      <c r="C564" s="7">
        <v>0.46957175925925926</v>
      </c>
      <c r="D564" s="8">
        <v>0.47247685185185184</v>
      </c>
      <c r="E564" s="20">
        <f t="shared" si="16"/>
        <v>0</v>
      </c>
      <c r="F564">
        <f t="shared" si="17"/>
        <v>0</v>
      </c>
    </row>
    <row r="565" spans="1:6" x14ac:dyDescent="0.35">
      <c r="A565" s="9">
        <v>6118241</v>
      </c>
      <c r="B565" s="10">
        <v>42926</v>
      </c>
      <c r="C565" s="11">
        <v>0.47462962962962962</v>
      </c>
      <c r="D565" s="12">
        <v>0.47839120370370369</v>
      </c>
      <c r="E565" s="20">
        <f t="shared" si="16"/>
        <v>0</v>
      </c>
      <c r="F565">
        <f t="shared" si="17"/>
        <v>0</v>
      </c>
    </row>
    <row r="566" spans="1:6" x14ac:dyDescent="0.35">
      <c r="A566" s="5">
        <v>1088377750</v>
      </c>
      <c r="B566" s="6">
        <v>42926</v>
      </c>
      <c r="C566" s="7">
        <v>0.47535879629629629</v>
      </c>
      <c r="D566" s="8">
        <v>0.48454861111111114</v>
      </c>
      <c r="E566" s="20">
        <f t="shared" si="16"/>
        <v>0</v>
      </c>
      <c r="F566">
        <f t="shared" si="17"/>
        <v>0</v>
      </c>
    </row>
    <row r="567" spans="1:6" x14ac:dyDescent="0.35">
      <c r="A567" s="9">
        <v>98238772</v>
      </c>
      <c r="B567" s="10">
        <v>42926</v>
      </c>
      <c r="C567" s="11">
        <v>0.47989583333333335</v>
      </c>
      <c r="D567" s="12">
        <v>0.48138888888888887</v>
      </c>
      <c r="E567" s="20">
        <f t="shared" si="16"/>
        <v>0</v>
      </c>
      <c r="F567">
        <f t="shared" si="17"/>
        <v>0</v>
      </c>
    </row>
    <row r="568" spans="1:6" x14ac:dyDescent="0.35">
      <c r="A568" s="5">
        <v>9524588</v>
      </c>
      <c r="B568" s="6">
        <v>42926</v>
      </c>
      <c r="C568" s="7">
        <v>0.4846759259259259</v>
      </c>
      <c r="D568" s="8">
        <v>0.49550925925925926</v>
      </c>
      <c r="E568" s="20">
        <f t="shared" si="16"/>
        <v>0</v>
      </c>
      <c r="F568">
        <f t="shared" si="17"/>
        <v>0</v>
      </c>
    </row>
    <row r="569" spans="1:6" x14ac:dyDescent="0.35">
      <c r="A569" s="9">
        <v>96375379</v>
      </c>
      <c r="B569" s="10">
        <v>42926</v>
      </c>
      <c r="C569" s="11">
        <v>0.4881712962962963</v>
      </c>
      <c r="D569" s="12">
        <v>0.49769675925925927</v>
      </c>
      <c r="E569" s="20">
        <f t="shared" si="16"/>
        <v>0</v>
      </c>
      <c r="F569">
        <f t="shared" si="17"/>
        <v>0</v>
      </c>
    </row>
    <row r="570" spans="1:6" x14ac:dyDescent="0.35">
      <c r="A570" s="5">
        <v>4759206</v>
      </c>
      <c r="B570" s="6">
        <v>42926</v>
      </c>
      <c r="C570" s="7">
        <v>0.49055555555555558</v>
      </c>
      <c r="D570" s="8">
        <v>0.49449074074074073</v>
      </c>
      <c r="E570" s="20">
        <f t="shared" si="16"/>
        <v>0</v>
      </c>
      <c r="F570">
        <f t="shared" si="17"/>
        <v>0</v>
      </c>
    </row>
    <row r="571" spans="1:6" x14ac:dyDescent="0.35">
      <c r="A571" s="9">
        <v>9197309</v>
      </c>
      <c r="B571" s="10">
        <v>42926</v>
      </c>
      <c r="C571" s="11">
        <v>0.49488425925925927</v>
      </c>
      <c r="D571" s="12">
        <v>0.50590277777777781</v>
      </c>
      <c r="E571" s="20">
        <f t="shared" si="16"/>
        <v>0</v>
      </c>
      <c r="F571">
        <f t="shared" si="17"/>
        <v>0</v>
      </c>
    </row>
    <row r="572" spans="1:6" x14ac:dyDescent="0.35">
      <c r="A572" s="5">
        <v>8322522</v>
      </c>
      <c r="B572" s="6">
        <v>42926</v>
      </c>
      <c r="C572" s="7">
        <v>0.49674768518518519</v>
      </c>
      <c r="D572" s="8">
        <v>0.50796296296296295</v>
      </c>
      <c r="E572" s="20">
        <f t="shared" si="16"/>
        <v>0</v>
      </c>
      <c r="F572">
        <f t="shared" si="17"/>
        <v>0</v>
      </c>
    </row>
    <row r="573" spans="1:6" x14ac:dyDescent="0.35">
      <c r="A573" s="9">
        <v>4264808</v>
      </c>
      <c r="B573" s="10">
        <v>42926</v>
      </c>
      <c r="C573" s="11">
        <v>0.50089120370370366</v>
      </c>
      <c r="D573" s="12">
        <v>0.50109953703703702</v>
      </c>
      <c r="E573" s="20">
        <f t="shared" si="16"/>
        <v>0</v>
      </c>
      <c r="F573">
        <f t="shared" si="17"/>
        <v>0</v>
      </c>
    </row>
    <row r="574" spans="1:6" x14ac:dyDescent="0.35">
      <c r="A574" s="5">
        <v>3095218</v>
      </c>
      <c r="B574" s="6">
        <v>42926</v>
      </c>
      <c r="C574" s="7">
        <v>0.50635416666666666</v>
      </c>
      <c r="D574" s="8">
        <v>0.51716435185185183</v>
      </c>
      <c r="E574" s="20">
        <f t="shared" si="16"/>
        <v>0</v>
      </c>
      <c r="F574">
        <f t="shared" si="17"/>
        <v>0</v>
      </c>
    </row>
    <row r="575" spans="1:6" x14ac:dyDescent="0.35">
      <c r="A575" s="9">
        <v>5820632164</v>
      </c>
      <c r="B575" s="10">
        <v>42926</v>
      </c>
      <c r="C575" s="11">
        <v>0.51010416666666669</v>
      </c>
      <c r="D575" s="12">
        <v>0.51879629629629631</v>
      </c>
      <c r="E575" s="20">
        <f t="shared" si="16"/>
        <v>0</v>
      </c>
      <c r="F575">
        <f t="shared" si="17"/>
        <v>0</v>
      </c>
    </row>
    <row r="576" spans="1:6" x14ac:dyDescent="0.35">
      <c r="A576" s="5">
        <v>89814525</v>
      </c>
      <c r="B576" s="6">
        <v>42926</v>
      </c>
      <c r="C576" s="7">
        <v>0.51090277777777782</v>
      </c>
      <c r="D576" s="8">
        <v>0.51175925925925925</v>
      </c>
      <c r="E576" s="20">
        <f t="shared" si="16"/>
        <v>0</v>
      </c>
      <c r="F576">
        <f t="shared" si="17"/>
        <v>0</v>
      </c>
    </row>
    <row r="577" spans="1:6" x14ac:dyDescent="0.35">
      <c r="A577" s="9">
        <v>1223816</v>
      </c>
      <c r="B577" s="10">
        <v>42926</v>
      </c>
      <c r="C577" s="11">
        <v>0.51116898148148149</v>
      </c>
      <c r="D577" s="12">
        <v>0.51718750000000002</v>
      </c>
      <c r="E577" s="20">
        <f t="shared" si="16"/>
        <v>6.0185185185185341E-3</v>
      </c>
      <c r="F577">
        <f t="shared" si="17"/>
        <v>1</v>
      </c>
    </row>
    <row r="578" spans="1:6" x14ac:dyDescent="0.35">
      <c r="A578" s="5">
        <v>18503160</v>
      </c>
      <c r="B578" s="6">
        <v>42926</v>
      </c>
      <c r="C578" s="7">
        <v>0.51157407407407407</v>
      </c>
      <c r="D578" s="8">
        <v>0.51663194444444449</v>
      </c>
      <c r="E578" s="20">
        <f t="shared" si="16"/>
        <v>0</v>
      </c>
      <c r="F578">
        <f t="shared" si="17"/>
        <v>0</v>
      </c>
    </row>
    <row r="579" spans="1:6" x14ac:dyDescent="0.35">
      <c r="A579" s="9">
        <v>21677804</v>
      </c>
      <c r="B579" s="10">
        <v>42926</v>
      </c>
      <c r="C579" s="11">
        <v>0.51328703703703704</v>
      </c>
      <c r="D579" s="12">
        <v>0.51821759259259259</v>
      </c>
      <c r="E579" s="20">
        <f t="shared" ref="E579:E642" si="18">IF(F579=1,D579-C579,0)</f>
        <v>0</v>
      </c>
      <c r="F579">
        <f t="shared" ref="F579:F642" si="19">IF(AND(LEN(A579)=7,LEFT(A579,2) = "12"),1,0)</f>
        <v>0</v>
      </c>
    </row>
    <row r="580" spans="1:6" x14ac:dyDescent="0.35">
      <c r="A580" s="5">
        <v>5087066</v>
      </c>
      <c r="B580" s="6">
        <v>42926</v>
      </c>
      <c r="C580" s="7">
        <v>0.51603009259259258</v>
      </c>
      <c r="D580" s="8">
        <v>0.5269907407407407</v>
      </c>
      <c r="E580" s="20">
        <f t="shared" si="18"/>
        <v>0</v>
      </c>
      <c r="F580">
        <f t="shared" si="19"/>
        <v>0</v>
      </c>
    </row>
    <row r="581" spans="1:6" x14ac:dyDescent="0.35">
      <c r="A581" s="9">
        <v>6905863</v>
      </c>
      <c r="B581" s="10">
        <v>42926</v>
      </c>
      <c r="C581" s="11">
        <v>0.52123842592592595</v>
      </c>
      <c r="D581" s="12">
        <v>0.53008101851851852</v>
      </c>
      <c r="E581" s="20">
        <f t="shared" si="18"/>
        <v>0</v>
      </c>
      <c r="F581">
        <f t="shared" si="19"/>
        <v>0</v>
      </c>
    </row>
    <row r="582" spans="1:6" x14ac:dyDescent="0.35">
      <c r="A582" s="5">
        <v>4144248</v>
      </c>
      <c r="B582" s="6">
        <v>42926</v>
      </c>
      <c r="C582" s="7">
        <v>0.52134259259259264</v>
      </c>
      <c r="D582" s="8">
        <v>0.53226851851851853</v>
      </c>
      <c r="E582" s="20">
        <f t="shared" si="18"/>
        <v>0</v>
      </c>
      <c r="F582">
        <f t="shared" si="19"/>
        <v>0</v>
      </c>
    </row>
    <row r="583" spans="1:6" x14ac:dyDescent="0.35">
      <c r="A583" s="9">
        <v>16392077</v>
      </c>
      <c r="B583" s="10">
        <v>42926</v>
      </c>
      <c r="C583" s="11">
        <v>0.52254629629629634</v>
      </c>
      <c r="D583" s="12">
        <v>0.52263888888888888</v>
      </c>
      <c r="E583" s="20">
        <f t="shared" si="18"/>
        <v>0</v>
      </c>
      <c r="F583">
        <f t="shared" si="19"/>
        <v>0</v>
      </c>
    </row>
    <row r="584" spans="1:6" x14ac:dyDescent="0.35">
      <c r="A584" s="5">
        <v>8865092</v>
      </c>
      <c r="B584" s="6">
        <v>42926</v>
      </c>
      <c r="C584" s="7">
        <v>0.52392361111111108</v>
      </c>
      <c r="D584" s="8">
        <v>0.53378472222222217</v>
      </c>
      <c r="E584" s="20">
        <f t="shared" si="18"/>
        <v>0</v>
      </c>
      <c r="F584">
        <f t="shared" si="19"/>
        <v>0</v>
      </c>
    </row>
    <row r="585" spans="1:6" x14ac:dyDescent="0.35">
      <c r="A585" s="9">
        <v>92597723</v>
      </c>
      <c r="B585" s="10">
        <v>42926</v>
      </c>
      <c r="C585" s="11">
        <v>0.52837962962962959</v>
      </c>
      <c r="D585" s="12">
        <v>0.53084490740740742</v>
      </c>
      <c r="E585" s="20">
        <f t="shared" si="18"/>
        <v>0</v>
      </c>
      <c r="F585">
        <f t="shared" si="19"/>
        <v>0</v>
      </c>
    </row>
    <row r="586" spans="1:6" x14ac:dyDescent="0.35">
      <c r="A586" s="5">
        <v>49840829</v>
      </c>
      <c r="B586" s="6">
        <v>42926</v>
      </c>
      <c r="C586" s="7">
        <v>0.53204861111111112</v>
      </c>
      <c r="D586" s="8">
        <v>0.53737268518518522</v>
      </c>
      <c r="E586" s="20">
        <f t="shared" si="18"/>
        <v>0</v>
      </c>
      <c r="F586">
        <f t="shared" si="19"/>
        <v>0</v>
      </c>
    </row>
    <row r="587" spans="1:6" x14ac:dyDescent="0.35">
      <c r="A587" s="9">
        <v>20354301</v>
      </c>
      <c r="B587" s="10">
        <v>42926</v>
      </c>
      <c r="C587" s="11">
        <v>0.53291666666666671</v>
      </c>
      <c r="D587" s="12">
        <v>0.53758101851851847</v>
      </c>
      <c r="E587" s="20">
        <f t="shared" si="18"/>
        <v>0</v>
      </c>
      <c r="F587">
        <f t="shared" si="19"/>
        <v>0</v>
      </c>
    </row>
    <row r="588" spans="1:6" x14ac:dyDescent="0.35">
      <c r="A588" s="5">
        <v>2731955</v>
      </c>
      <c r="B588" s="6">
        <v>42926</v>
      </c>
      <c r="C588" s="7">
        <v>0.53843750000000001</v>
      </c>
      <c r="D588" s="8">
        <v>0.54283564814814811</v>
      </c>
      <c r="E588" s="20">
        <f t="shared" si="18"/>
        <v>0</v>
      </c>
      <c r="F588">
        <f t="shared" si="19"/>
        <v>0</v>
      </c>
    </row>
    <row r="589" spans="1:6" x14ac:dyDescent="0.35">
      <c r="A589" s="9">
        <v>2304726</v>
      </c>
      <c r="B589" s="10">
        <v>42926</v>
      </c>
      <c r="C589" s="11">
        <v>0.54197916666666668</v>
      </c>
      <c r="D589" s="12">
        <v>0.54866898148148147</v>
      </c>
      <c r="E589" s="20">
        <f t="shared" si="18"/>
        <v>0</v>
      </c>
      <c r="F589">
        <f t="shared" si="19"/>
        <v>0</v>
      </c>
    </row>
    <row r="590" spans="1:6" x14ac:dyDescent="0.35">
      <c r="A590" s="5">
        <v>4653709</v>
      </c>
      <c r="B590" s="6">
        <v>42926</v>
      </c>
      <c r="C590" s="7">
        <v>0.54292824074074075</v>
      </c>
      <c r="D590" s="8">
        <v>0.5444444444444444</v>
      </c>
      <c r="E590" s="20">
        <f t="shared" si="18"/>
        <v>0</v>
      </c>
      <c r="F590">
        <f t="shared" si="19"/>
        <v>0</v>
      </c>
    </row>
    <row r="591" spans="1:6" x14ac:dyDescent="0.35">
      <c r="A591" s="9">
        <v>4848864</v>
      </c>
      <c r="B591" s="10">
        <v>42926</v>
      </c>
      <c r="C591" s="11">
        <v>0.54432870370370368</v>
      </c>
      <c r="D591" s="12">
        <v>0.55090277777777774</v>
      </c>
      <c r="E591" s="20">
        <f t="shared" si="18"/>
        <v>0</v>
      </c>
      <c r="F591">
        <f t="shared" si="19"/>
        <v>0</v>
      </c>
    </row>
    <row r="592" spans="1:6" x14ac:dyDescent="0.35">
      <c r="A592" s="5">
        <v>6709939</v>
      </c>
      <c r="B592" s="6">
        <v>42926</v>
      </c>
      <c r="C592" s="7">
        <v>0.54692129629629627</v>
      </c>
      <c r="D592" s="8">
        <v>0.55000000000000004</v>
      </c>
      <c r="E592" s="20">
        <f t="shared" si="18"/>
        <v>0</v>
      </c>
      <c r="F592">
        <f t="shared" si="19"/>
        <v>0</v>
      </c>
    </row>
    <row r="593" spans="1:6" x14ac:dyDescent="0.35">
      <c r="A593" s="9">
        <v>8870498</v>
      </c>
      <c r="B593" s="10">
        <v>42926</v>
      </c>
      <c r="C593" s="11">
        <v>0.55046296296296293</v>
      </c>
      <c r="D593" s="12">
        <v>0.55986111111111114</v>
      </c>
      <c r="E593" s="20">
        <f t="shared" si="18"/>
        <v>0</v>
      </c>
      <c r="F593">
        <f t="shared" si="19"/>
        <v>0</v>
      </c>
    </row>
    <row r="594" spans="1:6" x14ac:dyDescent="0.35">
      <c r="A594" s="5">
        <v>2947889</v>
      </c>
      <c r="B594" s="6">
        <v>42926</v>
      </c>
      <c r="C594" s="7">
        <v>0.55246527777777776</v>
      </c>
      <c r="D594" s="8">
        <v>0.56334490740740739</v>
      </c>
      <c r="E594" s="20">
        <f t="shared" si="18"/>
        <v>0</v>
      </c>
      <c r="F594">
        <f t="shared" si="19"/>
        <v>0</v>
      </c>
    </row>
    <row r="595" spans="1:6" x14ac:dyDescent="0.35">
      <c r="A595" s="9">
        <v>8270097</v>
      </c>
      <c r="B595" s="10">
        <v>42926</v>
      </c>
      <c r="C595" s="11">
        <v>0.55650462962962965</v>
      </c>
      <c r="D595" s="12">
        <v>0.55850694444444449</v>
      </c>
      <c r="E595" s="20">
        <f t="shared" si="18"/>
        <v>0</v>
      </c>
      <c r="F595">
        <f t="shared" si="19"/>
        <v>0</v>
      </c>
    </row>
    <row r="596" spans="1:6" x14ac:dyDescent="0.35">
      <c r="A596" s="5">
        <v>8183468</v>
      </c>
      <c r="B596" s="6">
        <v>42926</v>
      </c>
      <c r="C596" s="7">
        <v>0.55832175925925931</v>
      </c>
      <c r="D596" s="8">
        <v>0.56265046296296295</v>
      </c>
      <c r="E596" s="20">
        <f t="shared" si="18"/>
        <v>0</v>
      </c>
      <c r="F596">
        <f t="shared" si="19"/>
        <v>0</v>
      </c>
    </row>
    <row r="597" spans="1:6" x14ac:dyDescent="0.35">
      <c r="A597" s="9">
        <v>3263806</v>
      </c>
      <c r="B597" s="10">
        <v>42926</v>
      </c>
      <c r="C597" s="11">
        <v>0.55864583333333329</v>
      </c>
      <c r="D597" s="12">
        <v>0.56383101851851847</v>
      </c>
      <c r="E597" s="20">
        <f t="shared" si="18"/>
        <v>0</v>
      </c>
      <c r="F597">
        <f t="shared" si="19"/>
        <v>0</v>
      </c>
    </row>
    <row r="598" spans="1:6" x14ac:dyDescent="0.35">
      <c r="A598" s="5">
        <v>7792980</v>
      </c>
      <c r="B598" s="6">
        <v>42926</v>
      </c>
      <c r="C598" s="7">
        <v>0.56234953703703705</v>
      </c>
      <c r="D598" s="8">
        <v>0.57378472222222221</v>
      </c>
      <c r="E598" s="20">
        <f t="shared" si="18"/>
        <v>0</v>
      </c>
      <c r="F598">
        <f t="shared" si="19"/>
        <v>0</v>
      </c>
    </row>
    <row r="599" spans="1:6" x14ac:dyDescent="0.35">
      <c r="A599" s="9">
        <v>88929925</v>
      </c>
      <c r="B599" s="10">
        <v>42926</v>
      </c>
      <c r="C599" s="11">
        <v>0.56688657407407406</v>
      </c>
      <c r="D599" s="12">
        <v>0.57342592592592589</v>
      </c>
      <c r="E599" s="20">
        <f t="shared" si="18"/>
        <v>0</v>
      </c>
      <c r="F599">
        <f t="shared" si="19"/>
        <v>0</v>
      </c>
    </row>
    <row r="600" spans="1:6" x14ac:dyDescent="0.35">
      <c r="A600" s="5">
        <v>2478461</v>
      </c>
      <c r="B600" s="6">
        <v>42926</v>
      </c>
      <c r="C600" s="7">
        <v>0.56980324074074074</v>
      </c>
      <c r="D600" s="8">
        <v>0.575775462962963</v>
      </c>
      <c r="E600" s="20">
        <f t="shared" si="18"/>
        <v>0</v>
      </c>
      <c r="F600">
        <f t="shared" si="19"/>
        <v>0</v>
      </c>
    </row>
    <row r="601" spans="1:6" x14ac:dyDescent="0.35">
      <c r="A601" s="9">
        <v>2838216</v>
      </c>
      <c r="B601" s="10">
        <v>42926</v>
      </c>
      <c r="C601" s="11">
        <v>0.5755555555555556</v>
      </c>
      <c r="D601" s="12">
        <v>0.57737268518518514</v>
      </c>
      <c r="E601" s="20">
        <f t="shared" si="18"/>
        <v>0</v>
      </c>
      <c r="F601">
        <f t="shared" si="19"/>
        <v>0</v>
      </c>
    </row>
    <row r="602" spans="1:6" x14ac:dyDescent="0.35">
      <c r="A602" s="5">
        <v>4853153</v>
      </c>
      <c r="B602" s="6">
        <v>42926</v>
      </c>
      <c r="C602" s="7">
        <v>0.5803935185185185</v>
      </c>
      <c r="D602" s="8">
        <v>0.58190972222222226</v>
      </c>
      <c r="E602" s="20">
        <f t="shared" si="18"/>
        <v>0</v>
      </c>
      <c r="F602">
        <f t="shared" si="19"/>
        <v>0</v>
      </c>
    </row>
    <row r="603" spans="1:6" x14ac:dyDescent="0.35">
      <c r="A603" s="9">
        <v>2985743</v>
      </c>
      <c r="B603" s="10">
        <v>42926</v>
      </c>
      <c r="C603" s="11">
        <v>0.58189814814814811</v>
      </c>
      <c r="D603" s="12">
        <v>0.59070601851851856</v>
      </c>
      <c r="E603" s="20">
        <f t="shared" si="18"/>
        <v>0</v>
      </c>
      <c r="F603">
        <f t="shared" si="19"/>
        <v>0</v>
      </c>
    </row>
    <row r="604" spans="1:6" x14ac:dyDescent="0.35">
      <c r="A604" s="5">
        <v>3434934</v>
      </c>
      <c r="B604" s="6">
        <v>42926</v>
      </c>
      <c r="C604" s="7">
        <v>0.58254629629629628</v>
      </c>
      <c r="D604" s="8">
        <v>0.58601851851851849</v>
      </c>
      <c r="E604" s="20">
        <f t="shared" si="18"/>
        <v>0</v>
      </c>
      <c r="F604">
        <f t="shared" si="19"/>
        <v>0</v>
      </c>
    </row>
    <row r="605" spans="1:6" x14ac:dyDescent="0.35">
      <c r="A605" s="9">
        <v>97596112</v>
      </c>
      <c r="B605" s="10">
        <v>42926</v>
      </c>
      <c r="C605" s="11">
        <v>0.58351851851851855</v>
      </c>
      <c r="D605" s="12">
        <v>0.59368055555555554</v>
      </c>
      <c r="E605" s="20">
        <f t="shared" si="18"/>
        <v>0</v>
      </c>
      <c r="F605">
        <f t="shared" si="19"/>
        <v>0</v>
      </c>
    </row>
    <row r="606" spans="1:6" x14ac:dyDescent="0.35">
      <c r="A606" s="5">
        <v>1247125</v>
      </c>
      <c r="B606" s="6">
        <v>42926</v>
      </c>
      <c r="C606" s="7">
        <v>0.58575231481481482</v>
      </c>
      <c r="D606" s="8">
        <v>0.5935300925925926</v>
      </c>
      <c r="E606" s="20">
        <f t="shared" si="18"/>
        <v>7.7777777777777724E-3</v>
      </c>
      <c r="F606">
        <f t="shared" si="19"/>
        <v>1</v>
      </c>
    </row>
    <row r="607" spans="1:6" x14ac:dyDescent="0.35">
      <c r="A607" s="9">
        <v>6982652</v>
      </c>
      <c r="B607" s="10">
        <v>42926</v>
      </c>
      <c r="C607" s="11">
        <v>0.58677083333333335</v>
      </c>
      <c r="D607" s="12">
        <v>0.58759259259259256</v>
      </c>
      <c r="E607" s="20">
        <f t="shared" si="18"/>
        <v>0</v>
      </c>
      <c r="F607">
        <f t="shared" si="19"/>
        <v>0</v>
      </c>
    </row>
    <row r="608" spans="1:6" x14ac:dyDescent="0.35">
      <c r="A608" s="5">
        <v>11209967</v>
      </c>
      <c r="B608" s="6">
        <v>42926</v>
      </c>
      <c r="C608" s="7">
        <v>0.58877314814814818</v>
      </c>
      <c r="D608" s="8">
        <v>0.59027777777777779</v>
      </c>
      <c r="E608" s="20">
        <f t="shared" si="18"/>
        <v>0</v>
      </c>
      <c r="F608">
        <f t="shared" si="19"/>
        <v>0</v>
      </c>
    </row>
    <row r="609" spans="1:6" x14ac:dyDescent="0.35">
      <c r="A609" s="9">
        <v>6251788</v>
      </c>
      <c r="B609" s="10">
        <v>42926</v>
      </c>
      <c r="C609" s="11">
        <v>0.58910879629629631</v>
      </c>
      <c r="D609" s="12">
        <v>0.59431712962962968</v>
      </c>
      <c r="E609" s="20">
        <f t="shared" si="18"/>
        <v>0</v>
      </c>
      <c r="F609">
        <f t="shared" si="19"/>
        <v>0</v>
      </c>
    </row>
    <row r="610" spans="1:6" x14ac:dyDescent="0.35">
      <c r="A610" s="5">
        <v>8679036</v>
      </c>
      <c r="B610" s="6">
        <v>42926</v>
      </c>
      <c r="C610" s="7">
        <v>0.58976851851851853</v>
      </c>
      <c r="D610" s="8">
        <v>0.60074074074074069</v>
      </c>
      <c r="E610" s="20">
        <f t="shared" si="18"/>
        <v>0</v>
      </c>
      <c r="F610">
        <f t="shared" si="19"/>
        <v>0</v>
      </c>
    </row>
    <row r="611" spans="1:6" x14ac:dyDescent="0.35">
      <c r="A611" s="9">
        <v>1288637</v>
      </c>
      <c r="B611" s="10">
        <v>42926</v>
      </c>
      <c r="C611" s="11">
        <v>0.59277777777777774</v>
      </c>
      <c r="D611" s="12">
        <v>0.59365740740740736</v>
      </c>
      <c r="E611" s="20">
        <f t="shared" si="18"/>
        <v>8.796296296296191E-4</v>
      </c>
      <c r="F611">
        <f t="shared" si="19"/>
        <v>1</v>
      </c>
    </row>
    <row r="612" spans="1:6" x14ac:dyDescent="0.35">
      <c r="A612" s="5">
        <v>4825302</v>
      </c>
      <c r="B612" s="6">
        <v>42926</v>
      </c>
      <c r="C612" s="7">
        <v>0.59670138888888891</v>
      </c>
      <c r="D612" s="8">
        <v>0.59701388888888884</v>
      </c>
      <c r="E612" s="20">
        <f t="shared" si="18"/>
        <v>0</v>
      </c>
      <c r="F612">
        <f t="shared" si="19"/>
        <v>0</v>
      </c>
    </row>
    <row r="613" spans="1:6" x14ac:dyDescent="0.35">
      <c r="A613" s="9">
        <v>5349562</v>
      </c>
      <c r="B613" s="10">
        <v>42926</v>
      </c>
      <c r="C613" s="11">
        <v>0.60041666666666671</v>
      </c>
      <c r="D613" s="12">
        <v>0.6095949074074074</v>
      </c>
      <c r="E613" s="20">
        <f t="shared" si="18"/>
        <v>0</v>
      </c>
      <c r="F613">
        <f t="shared" si="19"/>
        <v>0</v>
      </c>
    </row>
    <row r="614" spans="1:6" x14ac:dyDescent="0.35">
      <c r="A614" s="5">
        <v>5893512</v>
      </c>
      <c r="B614" s="6">
        <v>42926</v>
      </c>
      <c r="C614" s="7">
        <v>0.60517361111111112</v>
      </c>
      <c r="D614" s="8">
        <v>0.61063657407407412</v>
      </c>
      <c r="E614" s="20">
        <f t="shared" si="18"/>
        <v>0</v>
      </c>
      <c r="F614">
        <f t="shared" si="19"/>
        <v>0</v>
      </c>
    </row>
    <row r="615" spans="1:6" x14ac:dyDescent="0.35">
      <c r="A615" s="9">
        <v>7138804596</v>
      </c>
      <c r="B615" s="10">
        <v>42926</v>
      </c>
      <c r="C615" s="11">
        <v>0.60578703703703707</v>
      </c>
      <c r="D615" s="12">
        <v>0.61459490740740741</v>
      </c>
      <c r="E615" s="20">
        <f t="shared" si="18"/>
        <v>0</v>
      </c>
      <c r="F615">
        <f t="shared" si="19"/>
        <v>0</v>
      </c>
    </row>
    <row r="616" spans="1:6" x14ac:dyDescent="0.35">
      <c r="A616" s="5">
        <v>6468376</v>
      </c>
      <c r="B616" s="6">
        <v>42926</v>
      </c>
      <c r="C616" s="7">
        <v>0.61140046296296291</v>
      </c>
      <c r="D616" s="8">
        <v>0.61952546296296296</v>
      </c>
      <c r="E616" s="20">
        <f t="shared" si="18"/>
        <v>0</v>
      </c>
      <c r="F616">
        <f t="shared" si="19"/>
        <v>0</v>
      </c>
    </row>
    <row r="617" spans="1:6" x14ac:dyDescent="0.35">
      <c r="A617" s="9">
        <v>5076649</v>
      </c>
      <c r="B617" s="10">
        <v>42926</v>
      </c>
      <c r="C617" s="11">
        <v>0.61699074074074078</v>
      </c>
      <c r="D617" s="12">
        <v>0.62163194444444447</v>
      </c>
      <c r="E617" s="20">
        <f t="shared" si="18"/>
        <v>0</v>
      </c>
      <c r="F617">
        <f t="shared" si="19"/>
        <v>0</v>
      </c>
    </row>
    <row r="618" spans="1:6" x14ac:dyDescent="0.35">
      <c r="A618" s="5">
        <v>3494192</v>
      </c>
      <c r="B618" s="6">
        <v>42926</v>
      </c>
      <c r="C618" s="7">
        <v>0.62216435185185182</v>
      </c>
      <c r="D618" s="8">
        <v>0.62291666666666667</v>
      </c>
      <c r="E618" s="20">
        <f t="shared" si="18"/>
        <v>0</v>
      </c>
      <c r="F618">
        <f t="shared" si="19"/>
        <v>0</v>
      </c>
    </row>
    <row r="619" spans="1:6" x14ac:dyDescent="0.35">
      <c r="A619" s="9">
        <v>8150086</v>
      </c>
      <c r="B619" s="10">
        <v>42926</v>
      </c>
      <c r="C619" s="11">
        <v>0.6272685185185185</v>
      </c>
      <c r="D619" s="12">
        <v>0.63475694444444442</v>
      </c>
      <c r="E619" s="20">
        <f t="shared" si="18"/>
        <v>0</v>
      </c>
      <c r="F619">
        <f t="shared" si="19"/>
        <v>0</v>
      </c>
    </row>
    <row r="620" spans="1:6" x14ac:dyDescent="0.35">
      <c r="A620" s="5">
        <v>3934931</v>
      </c>
      <c r="B620" s="6">
        <v>42927</v>
      </c>
      <c r="C620" s="7">
        <v>0.3349537037037037</v>
      </c>
      <c r="D620" s="8">
        <v>0.3379861111111111</v>
      </c>
      <c r="E620" s="20">
        <f t="shared" si="18"/>
        <v>0</v>
      </c>
      <c r="F620">
        <f t="shared" si="19"/>
        <v>0</v>
      </c>
    </row>
    <row r="621" spans="1:6" x14ac:dyDescent="0.35">
      <c r="A621" s="9">
        <v>2111996</v>
      </c>
      <c r="B621" s="10">
        <v>42927</v>
      </c>
      <c r="C621" s="11">
        <v>0.33706018518518521</v>
      </c>
      <c r="D621" s="12">
        <v>0.33875</v>
      </c>
      <c r="E621" s="20">
        <f t="shared" si="18"/>
        <v>0</v>
      </c>
      <c r="F621">
        <f t="shared" si="19"/>
        <v>0</v>
      </c>
    </row>
    <row r="622" spans="1:6" x14ac:dyDescent="0.35">
      <c r="A622" s="5">
        <v>6484436</v>
      </c>
      <c r="B622" s="6">
        <v>42927</v>
      </c>
      <c r="C622" s="7">
        <v>0.34006944444444442</v>
      </c>
      <c r="D622" s="8">
        <v>0.3427546296296296</v>
      </c>
      <c r="E622" s="20">
        <f t="shared" si="18"/>
        <v>0</v>
      </c>
      <c r="F622">
        <f t="shared" si="19"/>
        <v>0</v>
      </c>
    </row>
    <row r="623" spans="1:6" x14ac:dyDescent="0.35">
      <c r="A623" s="9">
        <v>97646706</v>
      </c>
      <c r="B623" s="10">
        <v>42927</v>
      </c>
      <c r="C623" s="11">
        <v>0.34304398148148146</v>
      </c>
      <c r="D623" s="12">
        <v>0.34310185185185182</v>
      </c>
      <c r="E623" s="20">
        <f t="shared" si="18"/>
        <v>0</v>
      </c>
      <c r="F623">
        <f t="shared" si="19"/>
        <v>0</v>
      </c>
    </row>
    <row r="624" spans="1:6" x14ac:dyDescent="0.35">
      <c r="A624" s="5">
        <v>9932676</v>
      </c>
      <c r="B624" s="6">
        <v>42927</v>
      </c>
      <c r="C624" s="7">
        <v>0.34778935185185184</v>
      </c>
      <c r="D624" s="8">
        <v>0.35474537037037035</v>
      </c>
      <c r="E624" s="20">
        <f t="shared" si="18"/>
        <v>0</v>
      </c>
      <c r="F624">
        <f t="shared" si="19"/>
        <v>0</v>
      </c>
    </row>
    <row r="625" spans="1:6" x14ac:dyDescent="0.35">
      <c r="A625" s="9">
        <v>6062869</v>
      </c>
      <c r="B625" s="10">
        <v>42927</v>
      </c>
      <c r="C625" s="11">
        <v>0.3513425925925926</v>
      </c>
      <c r="D625" s="12">
        <v>0.35505787037037034</v>
      </c>
      <c r="E625" s="20">
        <f t="shared" si="18"/>
        <v>0</v>
      </c>
      <c r="F625">
        <f t="shared" si="19"/>
        <v>0</v>
      </c>
    </row>
    <row r="626" spans="1:6" x14ac:dyDescent="0.35">
      <c r="A626" s="5">
        <v>2828759</v>
      </c>
      <c r="B626" s="6">
        <v>42927</v>
      </c>
      <c r="C626" s="7">
        <v>0.35575231481481484</v>
      </c>
      <c r="D626" s="8">
        <v>0.35851851851851851</v>
      </c>
      <c r="E626" s="20">
        <f t="shared" si="18"/>
        <v>0</v>
      </c>
      <c r="F626">
        <f t="shared" si="19"/>
        <v>0</v>
      </c>
    </row>
    <row r="627" spans="1:6" x14ac:dyDescent="0.35">
      <c r="A627" s="9">
        <v>7215284</v>
      </c>
      <c r="B627" s="10">
        <v>42927</v>
      </c>
      <c r="C627" s="11">
        <v>0.3596759259259259</v>
      </c>
      <c r="D627" s="12">
        <v>0.36363425925925924</v>
      </c>
      <c r="E627" s="20">
        <f t="shared" si="18"/>
        <v>0</v>
      </c>
      <c r="F627">
        <f t="shared" si="19"/>
        <v>0</v>
      </c>
    </row>
    <row r="628" spans="1:6" x14ac:dyDescent="0.35">
      <c r="A628" s="5">
        <v>1384299</v>
      </c>
      <c r="B628" s="6">
        <v>42927</v>
      </c>
      <c r="C628" s="7">
        <v>0.36203703703703705</v>
      </c>
      <c r="D628" s="8">
        <v>0.37155092592592592</v>
      </c>
      <c r="E628" s="20">
        <f t="shared" si="18"/>
        <v>0</v>
      </c>
      <c r="F628">
        <f t="shared" si="19"/>
        <v>0</v>
      </c>
    </row>
    <row r="629" spans="1:6" x14ac:dyDescent="0.35">
      <c r="A629" s="9">
        <v>2486941</v>
      </c>
      <c r="B629" s="10">
        <v>42927</v>
      </c>
      <c r="C629" s="11">
        <v>0.36394675925925923</v>
      </c>
      <c r="D629" s="12">
        <v>0.36422453703703705</v>
      </c>
      <c r="E629" s="20">
        <f t="shared" si="18"/>
        <v>0</v>
      </c>
      <c r="F629">
        <f t="shared" si="19"/>
        <v>0</v>
      </c>
    </row>
    <row r="630" spans="1:6" x14ac:dyDescent="0.35">
      <c r="A630" s="5">
        <v>6561564994</v>
      </c>
      <c r="B630" s="6">
        <v>42927</v>
      </c>
      <c r="C630" s="7">
        <v>0.36930555555555555</v>
      </c>
      <c r="D630" s="8">
        <v>0.37052083333333335</v>
      </c>
      <c r="E630" s="20">
        <f t="shared" si="18"/>
        <v>0</v>
      </c>
      <c r="F630">
        <f t="shared" si="19"/>
        <v>0</v>
      </c>
    </row>
    <row r="631" spans="1:6" x14ac:dyDescent="0.35">
      <c r="A631" s="9">
        <v>1207918</v>
      </c>
      <c r="B631" s="10">
        <v>42927</v>
      </c>
      <c r="C631" s="11">
        <v>0.37410879629629629</v>
      </c>
      <c r="D631" s="12">
        <v>0.3767361111111111</v>
      </c>
      <c r="E631" s="20">
        <f t="shared" si="18"/>
        <v>2.6273148148148184E-3</v>
      </c>
      <c r="F631">
        <f t="shared" si="19"/>
        <v>1</v>
      </c>
    </row>
    <row r="632" spans="1:6" x14ac:dyDescent="0.35">
      <c r="A632" s="5">
        <v>66800387</v>
      </c>
      <c r="B632" s="6">
        <v>42927</v>
      </c>
      <c r="C632" s="7">
        <v>0.37684027777777779</v>
      </c>
      <c r="D632" s="8">
        <v>0.38072916666666667</v>
      </c>
      <c r="E632" s="20">
        <f t="shared" si="18"/>
        <v>0</v>
      </c>
      <c r="F632">
        <f t="shared" si="19"/>
        <v>0</v>
      </c>
    </row>
    <row r="633" spans="1:6" x14ac:dyDescent="0.35">
      <c r="A633" s="9">
        <v>49093359</v>
      </c>
      <c r="B633" s="10">
        <v>42927</v>
      </c>
      <c r="C633" s="11">
        <v>0.37695601851851851</v>
      </c>
      <c r="D633" s="12">
        <v>0.38138888888888889</v>
      </c>
      <c r="E633" s="20">
        <f t="shared" si="18"/>
        <v>0</v>
      </c>
      <c r="F633">
        <f t="shared" si="19"/>
        <v>0</v>
      </c>
    </row>
    <row r="634" spans="1:6" x14ac:dyDescent="0.35">
      <c r="A634" s="5">
        <v>2252239</v>
      </c>
      <c r="B634" s="6">
        <v>42927</v>
      </c>
      <c r="C634" s="7">
        <v>0.38233796296296296</v>
      </c>
      <c r="D634" s="8">
        <v>0.39034722222222223</v>
      </c>
      <c r="E634" s="20">
        <f t="shared" si="18"/>
        <v>0</v>
      </c>
      <c r="F634">
        <f t="shared" si="19"/>
        <v>0</v>
      </c>
    </row>
    <row r="635" spans="1:6" x14ac:dyDescent="0.35">
      <c r="A635" s="9">
        <v>4925279</v>
      </c>
      <c r="B635" s="10">
        <v>42927</v>
      </c>
      <c r="C635" s="11">
        <v>0.3850925925925926</v>
      </c>
      <c r="D635" s="12">
        <v>0.38929398148148148</v>
      </c>
      <c r="E635" s="20">
        <f t="shared" si="18"/>
        <v>0</v>
      </c>
      <c r="F635">
        <f t="shared" si="19"/>
        <v>0</v>
      </c>
    </row>
    <row r="636" spans="1:6" x14ac:dyDescent="0.35">
      <c r="A636" s="5">
        <v>25459710</v>
      </c>
      <c r="B636" s="6">
        <v>42927</v>
      </c>
      <c r="C636" s="7">
        <v>0.38797453703703705</v>
      </c>
      <c r="D636" s="8">
        <v>0.39458333333333334</v>
      </c>
      <c r="E636" s="20">
        <f t="shared" si="18"/>
        <v>0</v>
      </c>
      <c r="F636">
        <f t="shared" si="19"/>
        <v>0</v>
      </c>
    </row>
    <row r="637" spans="1:6" x14ac:dyDescent="0.35">
      <c r="A637" s="9">
        <v>3943994</v>
      </c>
      <c r="B637" s="10">
        <v>42927</v>
      </c>
      <c r="C637" s="11">
        <v>0.39199074074074075</v>
      </c>
      <c r="D637" s="12">
        <v>0.39934027777777775</v>
      </c>
      <c r="E637" s="20">
        <f t="shared" si="18"/>
        <v>0</v>
      </c>
      <c r="F637">
        <f t="shared" si="19"/>
        <v>0</v>
      </c>
    </row>
    <row r="638" spans="1:6" x14ac:dyDescent="0.35">
      <c r="A638" s="5">
        <v>2109147679</v>
      </c>
      <c r="B638" s="6">
        <v>42927</v>
      </c>
      <c r="C638" s="7">
        <v>0.39260416666666664</v>
      </c>
      <c r="D638" s="8">
        <v>0.40322916666666669</v>
      </c>
      <c r="E638" s="20">
        <f t="shared" si="18"/>
        <v>0</v>
      </c>
      <c r="F638">
        <f t="shared" si="19"/>
        <v>0</v>
      </c>
    </row>
    <row r="639" spans="1:6" x14ac:dyDescent="0.35">
      <c r="A639" s="9">
        <v>9967649</v>
      </c>
      <c r="B639" s="10">
        <v>42927</v>
      </c>
      <c r="C639" s="11">
        <v>0.39659722222222221</v>
      </c>
      <c r="D639" s="12">
        <v>0.4042824074074074</v>
      </c>
      <c r="E639" s="20">
        <f t="shared" si="18"/>
        <v>0</v>
      </c>
      <c r="F639">
        <f t="shared" si="19"/>
        <v>0</v>
      </c>
    </row>
    <row r="640" spans="1:6" x14ac:dyDescent="0.35">
      <c r="A640" s="5">
        <v>2947660</v>
      </c>
      <c r="B640" s="6">
        <v>42927</v>
      </c>
      <c r="C640" s="7">
        <v>0.39817129629629627</v>
      </c>
      <c r="D640" s="8">
        <v>0.4045023148148148</v>
      </c>
      <c r="E640" s="20">
        <f t="shared" si="18"/>
        <v>0</v>
      </c>
      <c r="F640">
        <f t="shared" si="19"/>
        <v>0</v>
      </c>
    </row>
    <row r="641" spans="1:6" x14ac:dyDescent="0.35">
      <c r="A641" s="9">
        <v>6492842</v>
      </c>
      <c r="B641" s="10">
        <v>42927</v>
      </c>
      <c r="C641" s="11">
        <v>0.40379629629629632</v>
      </c>
      <c r="D641" s="12">
        <v>0.4100462962962963</v>
      </c>
      <c r="E641" s="20">
        <f t="shared" si="18"/>
        <v>0</v>
      </c>
      <c r="F641">
        <f t="shared" si="19"/>
        <v>0</v>
      </c>
    </row>
    <row r="642" spans="1:6" x14ac:dyDescent="0.35">
      <c r="A642" s="5">
        <v>70730125</v>
      </c>
      <c r="B642" s="6">
        <v>42927</v>
      </c>
      <c r="C642" s="7">
        <v>0.40777777777777779</v>
      </c>
      <c r="D642" s="8">
        <v>0.4181597222222222</v>
      </c>
      <c r="E642" s="20">
        <f t="shared" si="18"/>
        <v>0</v>
      </c>
      <c r="F642">
        <f t="shared" si="19"/>
        <v>0</v>
      </c>
    </row>
    <row r="643" spans="1:6" x14ac:dyDescent="0.35">
      <c r="A643" s="9">
        <v>4056361</v>
      </c>
      <c r="B643" s="10">
        <v>42927</v>
      </c>
      <c r="C643" s="11">
        <v>0.41239583333333335</v>
      </c>
      <c r="D643" s="12">
        <v>0.41844907407407406</v>
      </c>
      <c r="E643" s="20">
        <f t="shared" ref="E643:E706" si="20">IF(F643=1,D643-C643,0)</f>
        <v>0</v>
      </c>
      <c r="F643">
        <f t="shared" ref="F643:F706" si="21">IF(AND(LEN(A643)=7,LEFT(A643,2) = "12"),1,0)</f>
        <v>0</v>
      </c>
    </row>
    <row r="644" spans="1:6" x14ac:dyDescent="0.35">
      <c r="A644" s="5">
        <v>12721215</v>
      </c>
      <c r="B644" s="6">
        <v>42927</v>
      </c>
      <c r="C644" s="7">
        <v>0.41431712962962963</v>
      </c>
      <c r="D644" s="8">
        <v>0.41986111111111113</v>
      </c>
      <c r="E644" s="20">
        <f t="shared" si="20"/>
        <v>0</v>
      </c>
      <c r="F644">
        <f t="shared" si="21"/>
        <v>0</v>
      </c>
    </row>
    <row r="645" spans="1:6" x14ac:dyDescent="0.35">
      <c r="A645" s="9">
        <v>4566750</v>
      </c>
      <c r="B645" s="10">
        <v>42927</v>
      </c>
      <c r="C645" s="11">
        <v>0.41666666666666669</v>
      </c>
      <c r="D645" s="12">
        <v>0.42190972222222223</v>
      </c>
      <c r="E645" s="20">
        <f t="shared" si="20"/>
        <v>0</v>
      </c>
      <c r="F645">
        <f t="shared" si="21"/>
        <v>0</v>
      </c>
    </row>
    <row r="646" spans="1:6" x14ac:dyDescent="0.35">
      <c r="A646" s="5">
        <v>7279106</v>
      </c>
      <c r="B646" s="6">
        <v>42927</v>
      </c>
      <c r="C646" s="7">
        <v>0.41935185185185186</v>
      </c>
      <c r="D646" s="8">
        <v>0.43002314814814813</v>
      </c>
      <c r="E646" s="20">
        <f t="shared" si="20"/>
        <v>0</v>
      </c>
      <c r="F646">
        <f t="shared" si="21"/>
        <v>0</v>
      </c>
    </row>
    <row r="647" spans="1:6" x14ac:dyDescent="0.35">
      <c r="A647" s="9">
        <v>3824660</v>
      </c>
      <c r="B647" s="10">
        <v>42927</v>
      </c>
      <c r="C647" s="11">
        <v>0.4238425925925926</v>
      </c>
      <c r="D647" s="12">
        <v>0.4321875</v>
      </c>
      <c r="E647" s="20">
        <f t="shared" si="20"/>
        <v>0</v>
      </c>
      <c r="F647">
        <f t="shared" si="21"/>
        <v>0</v>
      </c>
    </row>
    <row r="648" spans="1:6" x14ac:dyDescent="0.35">
      <c r="A648" s="5">
        <v>5815339</v>
      </c>
      <c r="B648" s="6">
        <v>42927</v>
      </c>
      <c r="C648" s="7">
        <v>0.42818287037037039</v>
      </c>
      <c r="D648" s="8">
        <v>0.43273148148148149</v>
      </c>
      <c r="E648" s="20">
        <f t="shared" si="20"/>
        <v>0</v>
      </c>
      <c r="F648">
        <f t="shared" si="21"/>
        <v>0</v>
      </c>
    </row>
    <row r="649" spans="1:6" x14ac:dyDescent="0.35">
      <c r="A649" s="9">
        <v>77946476</v>
      </c>
      <c r="B649" s="10">
        <v>42927</v>
      </c>
      <c r="C649" s="11">
        <v>0.42995370370370373</v>
      </c>
      <c r="D649" s="12">
        <v>0.43024305555555553</v>
      </c>
      <c r="E649" s="20">
        <f t="shared" si="20"/>
        <v>0</v>
      </c>
      <c r="F649">
        <f t="shared" si="21"/>
        <v>0</v>
      </c>
    </row>
    <row r="650" spans="1:6" x14ac:dyDescent="0.35">
      <c r="A650" s="5">
        <v>84589848</v>
      </c>
      <c r="B650" s="6">
        <v>42927</v>
      </c>
      <c r="C650" s="7">
        <v>0.43539351851851854</v>
      </c>
      <c r="D650" s="8">
        <v>0.43763888888888891</v>
      </c>
      <c r="E650" s="20">
        <f t="shared" si="20"/>
        <v>0</v>
      </c>
      <c r="F650">
        <f t="shared" si="21"/>
        <v>0</v>
      </c>
    </row>
    <row r="651" spans="1:6" x14ac:dyDescent="0.35">
      <c r="A651" s="9">
        <v>4501823</v>
      </c>
      <c r="B651" s="10">
        <v>42927</v>
      </c>
      <c r="C651" s="11">
        <v>0.44013888888888891</v>
      </c>
      <c r="D651" s="12">
        <v>0.44690972222222225</v>
      </c>
      <c r="E651" s="20">
        <f t="shared" si="20"/>
        <v>0</v>
      </c>
      <c r="F651">
        <f t="shared" si="21"/>
        <v>0</v>
      </c>
    </row>
    <row r="652" spans="1:6" x14ac:dyDescent="0.35">
      <c r="A652" s="5">
        <v>38244568</v>
      </c>
      <c r="B652" s="6">
        <v>42927</v>
      </c>
      <c r="C652" s="7">
        <v>0.44381944444444443</v>
      </c>
      <c r="D652" s="8">
        <v>0.45199074074074075</v>
      </c>
      <c r="E652" s="20">
        <f t="shared" si="20"/>
        <v>0</v>
      </c>
      <c r="F652">
        <f t="shared" si="21"/>
        <v>0</v>
      </c>
    </row>
    <row r="653" spans="1:6" x14ac:dyDescent="0.35">
      <c r="A653" s="9">
        <v>3613950</v>
      </c>
      <c r="B653" s="10">
        <v>42927</v>
      </c>
      <c r="C653" s="11">
        <v>0.44657407407407407</v>
      </c>
      <c r="D653" s="12">
        <v>0.44774305555555555</v>
      </c>
      <c r="E653" s="20">
        <f t="shared" si="20"/>
        <v>0</v>
      </c>
      <c r="F653">
        <f t="shared" si="21"/>
        <v>0</v>
      </c>
    </row>
    <row r="654" spans="1:6" x14ac:dyDescent="0.35">
      <c r="A654" s="5">
        <v>5750819</v>
      </c>
      <c r="B654" s="6">
        <v>42927</v>
      </c>
      <c r="C654" s="7">
        <v>0.44751157407407405</v>
      </c>
      <c r="D654" s="8">
        <v>0.45284722222222223</v>
      </c>
      <c r="E654" s="20">
        <f t="shared" si="20"/>
        <v>0</v>
      </c>
      <c r="F654">
        <f t="shared" si="21"/>
        <v>0</v>
      </c>
    </row>
    <row r="655" spans="1:6" x14ac:dyDescent="0.35">
      <c r="A655" s="9">
        <v>63291235</v>
      </c>
      <c r="B655" s="10">
        <v>42927</v>
      </c>
      <c r="C655" s="11">
        <v>0.45091435185185186</v>
      </c>
      <c r="D655" s="12">
        <v>0.45429398148148148</v>
      </c>
      <c r="E655" s="20">
        <f t="shared" si="20"/>
        <v>0</v>
      </c>
      <c r="F655">
        <f t="shared" si="21"/>
        <v>0</v>
      </c>
    </row>
    <row r="656" spans="1:6" x14ac:dyDescent="0.35">
      <c r="A656" s="5">
        <v>3198725</v>
      </c>
      <c r="B656" s="6">
        <v>42927</v>
      </c>
      <c r="C656" s="7">
        <v>0.45157407407407407</v>
      </c>
      <c r="D656" s="8">
        <v>0.45738425925925924</v>
      </c>
      <c r="E656" s="20">
        <f t="shared" si="20"/>
        <v>0</v>
      </c>
      <c r="F656">
        <f t="shared" si="21"/>
        <v>0</v>
      </c>
    </row>
    <row r="657" spans="1:6" x14ac:dyDescent="0.35">
      <c r="A657" s="9">
        <v>6248157784</v>
      </c>
      <c r="B657" s="10">
        <v>42927</v>
      </c>
      <c r="C657" s="11">
        <v>0.45475694444444442</v>
      </c>
      <c r="D657" s="12">
        <v>0.4566898148148148</v>
      </c>
      <c r="E657" s="20">
        <f t="shared" si="20"/>
        <v>0</v>
      </c>
      <c r="F657">
        <f t="shared" si="21"/>
        <v>0</v>
      </c>
    </row>
    <row r="658" spans="1:6" x14ac:dyDescent="0.35">
      <c r="A658" s="5">
        <v>6607648</v>
      </c>
      <c r="B658" s="6">
        <v>42927</v>
      </c>
      <c r="C658" s="7">
        <v>0.45873842592592595</v>
      </c>
      <c r="D658" s="8">
        <v>0.46986111111111112</v>
      </c>
      <c r="E658" s="20">
        <f t="shared" si="20"/>
        <v>0</v>
      </c>
      <c r="F658">
        <f t="shared" si="21"/>
        <v>0</v>
      </c>
    </row>
    <row r="659" spans="1:6" x14ac:dyDescent="0.35">
      <c r="A659" s="9">
        <v>5340881</v>
      </c>
      <c r="B659" s="10">
        <v>42927</v>
      </c>
      <c r="C659" s="11">
        <v>0.46413194444444444</v>
      </c>
      <c r="D659" s="12">
        <v>0.46585648148148145</v>
      </c>
      <c r="E659" s="20">
        <f t="shared" si="20"/>
        <v>0</v>
      </c>
      <c r="F659">
        <f t="shared" si="21"/>
        <v>0</v>
      </c>
    </row>
    <row r="660" spans="1:6" x14ac:dyDescent="0.35">
      <c r="A660" s="5">
        <v>99162491</v>
      </c>
      <c r="B660" s="6">
        <v>42927</v>
      </c>
      <c r="C660" s="7">
        <v>0.46738425925925925</v>
      </c>
      <c r="D660" s="8">
        <v>0.46800925925925924</v>
      </c>
      <c r="E660" s="20">
        <f t="shared" si="20"/>
        <v>0</v>
      </c>
      <c r="F660">
        <f t="shared" si="21"/>
        <v>0</v>
      </c>
    </row>
    <row r="661" spans="1:6" x14ac:dyDescent="0.35">
      <c r="A661" s="9">
        <v>3072421</v>
      </c>
      <c r="B661" s="10">
        <v>42927</v>
      </c>
      <c r="C661" s="11">
        <v>0.46942129629629631</v>
      </c>
      <c r="D661" s="12">
        <v>0.47766203703703702</v>
      </c>
      <c r="E661" s="20">
        <f t="shared" si="20"/>
        <v>0</v>
      </c>
      <c r="F661">
        <f t="shared" si="21"/>
        <v>0</v>
      </c>
    </row>
    <row r="662" spans="1:6" x14ac:dyDescent="0.35">
      <c r="A662" s="5">
        <v>1909553</v>
      </c>
      <c r="B662" s="6">
        <v>42927</v>
      </c>
      <c r="C662" s="7">
        <v>0.47193287037037035</v>
      </c>
      <c r="D662" s="8">
        <v>0.47763888888888889</v>
      </c>
      <c r="E662" s="20">
        <f t="shared" si="20"/>
        <v>0</v>
      </c>
      <c r="F662">
        <f t="shared" si="21"/>
        <v>0</v>
      </c>
    </row>
    <row r="663" spans="1:6" x14ac:dyDescent="0.35">
      <c r="A663" s="9">
        <v>62836073</v>
      </c>
      <c r="B663" s="10">
        <v>42927</v>
      </c>
      <c r="C663" s="11">
        <v>0.47739583333333335</v>
      </c>
      <c r="D663" s="12">
        <v>0.48168981481481482</v>
      </c>
      <c r="E663" s="20">
        <f t="shared" si="20"/>
        <v>0</v>
      </c>
      <c r="F663">
        <f t="shared" si="21"/>
        <v>0</v>
      </c>
    </row>
    <row r="664" spans="1:6" x14ac:dyDescent="0.35">
      <c r="A664" s="5">
        <v>9566647</v>
      </c>
      <c r="B664" s="6">
        <v>42927</v>
      </c>
      <c r="C664" s="7">
        <v>0.48005787037037034</v>
      </c>
      <c r="D664" s="8">
        <v>0.48971064814814813</v>
      </c>
      <c r="E664" s="20">
        <f t="shared" si="20"/>
        <v>0</v>
      </c>
      <c r="F664">
        <f t="shared" si="21"/>
        <v>0</v>
      </c>
    </row>
    <row r="665" spans="1:6" x14ac:dyDescent="0.35">
      <c r="A665" s="9">
        <v>5833452</v>
      </c>
      <c r="B665" s="10">
        <v>42927</v>
      </c>
      <c r="C665" s="11">
        <v>0.48511574074074076</v>
      </c>
      <c r="D665" s="12">
        <v>0.49502314814814813</v>
      </c>
      <c r="E665" s="20">
        <f t="shared" si="20"/>
        <v>0</v>
      </c>
      <c r="F665">
        <f t="shared" si="21"/>
        <v>0</v>
      </c>
    </row>
    <row r="666" spans="1:6" x14ac:dyDescent="0.35">
      <c r="A666" s="5">
        <v>10760583</v>
      </c>
      <c r="B666" s="6">
        <v>42927</v>
      </c>
      <c r="C666" s="7">
        <v>0.48994212962962963</v>
      </c>
      <c r="D666" s="8">
        <v>0.4914351851851852</v>
      </c>
      <c r="E666" s="20">
        <f t="shared" si="20"/>
        <v>0</v>
      </c>
      <c r="F666">
        <f t="shared" si="21"/>
        <v>0</v>
      </c>
    </row>
    <row r="667" spans="1:6" x14ac:dyDescent="0.35">
      <c r="A667" s="9">
        <v>39669014</v>
      </c>
      <c r="B667" s="10">
        <v>42927</v>
      </c>
      <c r="C667" s="11">
        <v>0.49035879629629631</v>
      </c>
      <c r="D667" s="12">
        <v>0.49082175925925925</v>
      </c>
      <c r="E667" s="20">
        <f t="shared" si="20"/>
        <v>0</v>
      </c>
      <c r="F667">
        <f t="shared" si="21"/>
        <v>0</v>
      </c>
    </row>
    <row r="668" spans="1:6" x14ac:dyDescent="0.35">
      <c r="A668" s="5">
        <v>5147651</v>
      </c>
      <c r="B668" s="6">
        <v>42927</v>
      </c>
      <c r="C668" s="7">
        <v>0.49399305555555556</v>
      </c>
      <c r="D668" s="8">
        <v>0.4959027777777778</v>
      </c>
      <c r="E668" s="20">
        <f t="shared" si="20"/>
        <v>0</v>
      </c>
      <c r="F668">
        <f t="shared" si="21"/>
        <v>0</v>
      </c>
    </row>
    <row r="669" spans="1:6" x14ac:dyDescent="0.35">
      <c r="A669" s="9">
        <v>41144838</v>
      </c>
      <c r="B669" s="10">
        <v>42927</v>
      </c>
      <c r="C669" s="11">
        <v>0.49949074074074074</v>
      </c>
      <c r="D669" s="12">
        <v>0.50931712962962961</v>
      </c>
      <c r="E669" s="20">
        <f t="shared" si="20"/>
        <v>0</v>
      </c>
      <c r="F669">
        <f t="shared" si="21"/>
        <v>0</v>
      </c>
    </row>
    <row r="670" spans="1:6" x14ac:dyDescent="0.35">
      <c r="A670" s="5">
        <v>1332513</v>
      </c>
      <c r="B670" s="6">
        <v>42927</v>
      </c>
      <c r="C670" s="7">
        <v>0.50326388888888884</v>
      </c>
      <c r="D670" s="8">
        <v>0.50407407407407412</v>
      </c>
      <c r="E670" s="20">
        <f t="shared" si="20"/>
        <v>0</v>
      </c>
      <c r="F670">
        <f t="shared" si="21"/>
        <v>0</v>
      </c>
    </row>
    <row r="671" spans="1:6" x14ac:dyDescent="0.35">
      <c r="A671" s="9">
        <v>7743548</v>
      </c>
      <c r="B671" s="10">
        <v>42927</v>
      </c>
      <c r="C671" s="11">
        <v>0.50376157407407407</v>
      </c>
      <c r="D671" s="12">
        <v>0.50907407407407412</v>
      </c>
      <c r="E671" s="20">
        <f t="shared" si="20"/>
        <v>0</v>
      </c>
      <c r="F671">
        <f t="shared" si="21"/>
        <v>0</v>
      </c>
    </row>
    <row r="672" spans="1:6" x14ac:dyDescent="0.35">
      <c r="A672" s="5">
        <v>7451541965</v>
      </c>
      <c r="B672" s="6">
        <v>42927</v>
      </c>
      <c r="C672" s="7">
        <v>0.50866898148148143</v>
      </c>
      <c r="D672" s="8">
        <v>0.51324074074074078</v>
      </c>
      <c r="E672" s="20">
        <f t="shared" si="20"/>
        <v>0</v>
      </c>
      <c r="F672">
        <f t="shared" si="21"/>
        <v>0</v>
      </c>
    </row>
    <row r="673" spans="1:6" x14ac:dyDescent="0.35">
      <c r="A673" s="9">
        <v>2109147679</v>
      </c>
      <c r="B673" s="10">
        <v>42927</v>
      </c>
      <c r="C673" s="11">
        <v>0.51282407407407404</v>
      </c>
      <c r="D673" s="12">
        <v>0.51666666666666672</v>
      </c>
      <c r="E673" s="20">
        <f t="shared" si="20"/>
        <v>0</v>
      </c>
      <c r="F673">
        <f t="shared" si="21"/>
        <v>0</v>
      </c>
    </row>
    <row r="674" spans="1:6" x14ac:dyDescent="0.35">
      <c r="A674" s="5">
        <v>5022247</v>
      </c>
      <c r="B674" s="6">
        <v>42927</v>
      </c>
      <c r="C674" s="7">
        <v>0.51854166666666668</v>
      </c>
      <c r="D674" s="8">
        <v>0.52810185185185188</v>
      </c>
      <c r="E674" s="20">
        <f t="shared" si="20"/>
        <v>0</v>
      </c>
      <c r="F674">
        <f t="shared" si="21"/>
        <v>0</v>
      </c>
    </row>
    <row r="675" spans="1:6" x14ac:dyDescent="0.35">
      <c r="A675" s="9">
        <v>2920581</v>
      </c>
      <c r="B675" s="10">
        <v>42927</v>
      </c>
      <c r="C675" s="11">
        <v>0.52399305555555553</v>
      </c>
      <c r="D675" s="12">
        <v>0.53120370370370373</v>
      </c>
      <c r="E675" s="20">
        <f t="shared" si="20"/>
        <v>0</v>
      </c>
      <c r="F675">
        <f t="shared" si="21"/>
        <v>0</v>
      </c>
    </row>
    <row r="676" spans="1:6" x14ac:dyDescent="0.35">
      <c r="A676" s="5">
        <v>7126980</v>
      </c>
      <c r="B676" s="6">
        <v>42927</v>
      </c>
      <c r="C676" s="7">
        <v>0.52592592592592591</v>
      </c>
      <c r="D676" s="8">
        <v>0.53515046296296298</v>
      </c>
      <c r="E676" s="20">
        <f t="shared" si="20"/>
        <v>0</v>
      </c>
      <c r="F676">
        <f t="shared" si="21"/>
        <v>0</v>
      </c>
    </row>
    <row r="677" spans="1:6" x14ac:dyDescent="0.35">
      <c r="A677" s="9">
        <v>54006070</v>
      </c>
      <c r="B677" s="10">
        <v>42927</v>
      </c>
      <c r="C677" s="11">
        <v>0.53164351851851854</v>
      </c>
      <c r="D677" s="12">
        <v>0.53324074074074079</v>
      </c>
      <c r="E677" s="20">
        <f t="shared" si="20"/>
        <v>0</v>
      </c>
      <c r="F677">
        <f t="shared" si="21"/>
        <v>0</v>
      </c>
    </row>
    <row r="678" spans="1:6" x14ac:dyDescent="0.35">
      <c r="A678" s="5">
        <v>8672651</v>
      </c>
      <c r="B678" s="6">
        <v>42927</v>
      </c>
      <c r="C678" s="7">
        <v>0.53401620370370373</v>
      </c>
      <c r="D678" s="8">
        <v>0.54462962962962957</v>
      </c>
      <c r="E678" s="20">
        <f t="shared" si="20"/>
        <v>0</v>
      </c>
      <c r="F678">
        <f t="shared" si="21"/>
        <v>0</v>
      </c>
    </row>
    <row r="679" spans="1:6" x14ac:dyDescent="0.35">
      <c r="A679" s="9">
        <v>54136845</v>
      </c>
      <c r="B679" s="10">
        <v>42927</v>
      </c>
      <c r="C679" s="11">
        <v>0.53920138888888891</v>
      </c>
      <c r="D679" s="12">
        <v>0.54092592592592592</v>
      </c>
      <c r="E679" s="20">
        <f t="shared" si="20"/>
        <v>0</v>
      </c>
      <c r="F679">
        <f t="shared" si="21"/>
        <v>0</v>
      </c>
    </row>
    <row r="680" spans="1:6" x14ac:dyDescent="0.35">
      <c r="A680" s="5">
        <v>5223970</v>
      </c>
      <c r="B680" s="6">
        <v>42927</v>
      </c>
      <c r="C680" s="7">
        <v>0.53920138888888891</v>
      </c>
      <c r="D680" s="8">
        <v>0.55046296296296293</v>
      </c>
      <c r="E680" s="20">
        <f t="shared" si="20"/>
        <v>0</v>
      </c>
      <c r="F680">
        <f t="shared" si="21"/>
        <v>0</v>
      </c>
    </row>
    <row r="681" spans="1:6" x14ac:dyDescent="0.35">
      <c r="A681" s="9">
        <v>4264808</v>
      </c>
      <c r="B681" s="10">
        <v>42927</v>
      </c>
      <c r="C681" s="11">
        <v>0.53950231481481481</v>
      </c>
      <c r="D681" s="12">
        <v>0.55071759259259256</v>
      </c>
      <c r="E681" s="20">
        <f t="shared" si="20"/>
        <v>0</v>
      </c>
      <c r="F681">
        <f t="shared" si="21"/>
        <v>0</v>
      </c>
    </row>
    <row r="682" spans="1:6" x14ac:dyDescent="0.35">
      <c r="A682" s="5">
        <v>5790304</v>
      </c>
      <c r="B682" s="6">
        <v>42927</v>
      </c>
      <c r="C682" s="7">
        <v>0.539525462962963</v>
      </c>
      <c r="D682" s="8">
        <v>0.54025462962962967</v>
      </c>
      <c r="E682" s="20">
        <f t="shared" si="20"/>
        <v>0</v>
      </c>
      <c r="F682">
        <f t="shared" si="21"/>
        <v>0</v>
      </c>
    </row>
    <row r="683" spans="1:6" x14ac:dyDescent="0.35">
      <c r="A683" s="9">
        <v>13484133</v>
      </c>
      <c r="B683" s="10">
        <v>42927</v>
      </c>
      <c r="C683" s="11">
        <v>0.54137731481481477</v>
      </c>
      <c r="D683" s="12">
        <v>0.54577546296296298</v>
      </c>
      <c r="E683" s="20">
        <f t="shared" si="20"/>
        <v>0</v>
      </c>
      <c r="F683">
        <f t="shared" si="21"/>
        <v>0</v>
      </c>
    </row>
    <row r="684" spans="1:6" x14ac:dyDescent="0.35">
      <c r="A684" s="5">
        <v>6269166</v>
      </c>
      <c r="B684" s="6">
        <v>42927</v>
      </c>
      <c r="C684" s="7">
        <v>0.54408564814814819</v>
      </c>
      <c r="D684" s="8">
        <v>0.55355324074074075</v>
      </c>
      <c r="E684" s="20">
        <f t="shared" si="20"/>
        <v>0</v>
      </c>
      <c r="F684">
        <f t="shared" si="21"/>
        <v>0</v>
      </c>
    </row>
    <row r="685" spans="1:6" x14ac:dyDescent="0.35">
      <c r="A685" s="9">
        <v>5089019</v>
      </c>
      <c r="B685" s="10">
        <v>42927</v>
      </c>
      <c r="C685" s="11">
        <v>0.54431712962962964</v>
      </c>
      <c r="D685" s="12">
        <v>0.54921296296296296</v>
      </c>
      <c r="E685" s="20">
        <f t="shared" si="20"/>
        <v>0</v>
      </c>
      <c r="F685">
        <f t="shared" si="21"/>
        <v>0</v>
      </c>
    </row>
    <row r="686" spans="1:6" x14ac:dyDescent="0.35">
      <c r="A686" s="5">
        <v>6994188</v>
      </c>
      <c r="B686" s="6">
        <v>42927</v>
      </c>
      <c r="C686" s="7">
        <v>0.54797453703703702</v>
      </c>
      <c r="D686" s="8">
        <v>0.55550925925925931</v>
      </c>
      <c r="E686" s="20">
        <f t="shared" si="20"/>
        <v>0</v>
      </c>
      <c r="F686">
        <f t="shared" si="21"/>
        <v>0</v>
      </c>
    </row>
    <row r="687" spans="1:6" x14ac:dyDescent="0.35">
      <c r="A687" s="9">
        <v>16883712</v>
      </c>
      <c r="B687" s="10">
        <v>42927</v>
      </c>
      <c r="C687" s="11">
        <v>0.55070601851851853</v>
      </c>
      <c r="D687" s="12">
        <v>0.55662037037037038</v>
      </c>
      <c r="E687" s="20">
        <f t="shared" si="20"/>
        <v>0</v>
      </c>
      <c r="F687">
        <f t="shared" si="21"/>
        <v>0</v>
      </c>
    </row>
    <row r="688" spans="1:6" x14ac:dyDescent="0.35">
      <c r="A688" s="5">
        <v>2781512</v>
      </c>
      <c r="B688" s="6">
        <v>42927</v>
      </c>
      <c r="C688" s="7">
        <v>0.55374999999999996</v>
      </c>
      <c r="D688" s="8">
        <v>0.56312499999999999</v>
      </c>
      <c r="E688" s="20">
        <f t="shared" si="20"/>
        <v>0</v>
      </c>
      <c r="F688">
        <f t="shared" si="21"/>
        <v>0</v>
      </c>
    </row>
    <row r="689" spans="1:6" x14ac:dyDescent="0.35">
      <c r="A689" s="9">
        <v>4273704</v>
      </c>
      <c r="B689" s="10">
        <v>42927</v>
      </c>
      <c r="C689" s="11">
        <v>0.554224537037037</v>
      </c>
      <c r="D689" s="12">
        <v>0.56221064814814814</v>
      </c>
      <c r="E689" s="20">
        <f t="shared" si="20"/>
        <v>0</v>
      </c>
      <c r="F689">
        <f t="shared" si="21"/>
        <v>0</v>
      </c>
    </row>
    <row r="690" spans="1:6" x14ac:dyDescent="0.35">
      <c r="A690" s="5">
        <v>3707498</v>
      </c>
      <c r="B690" s="6">
        <v>42927</v>
      </c>
      <c r="C690" s="7">
        <v>0.55982638888888892</v>
      </c>
      <c r="D690" s="8">
        <v>0.56802083333333331</v>
      </c>
      <c r="E690" s="20">
        <f t="shared" si="20"/>
        <v>0</v>
      </c>
      <c r="F690">
        <f t="shared" si="21"/>
        <v>0</v>
      </c>
    </row>
    <row r="691" spans="1:6" x14ac:dyDescent="0.35">
      <c r="A691" s="9">
        <v>3407358</v>
      </c>
      <c r="B691" s="10">
        <v>42927</v>
      </c>
      <c r="C691" s="11">
        <v>0.56560185185185186</v>
      </c>
      <c r="D691" s="12">
        <v>0.56677083333333333</v>
      </c>
      <c r="E691" s="20">
        <f t="shared" si="20"/>
        <v>0</v>
      </c>
      <c r="F691">
        <f t="shared" si="21"/>
        <v>0</v>
      </c>
    </row>
    <row r="692" spans="1:6" x14ac:dyDescent="0.35">
      <c r="A692" s="5">
        <v>5251861</v>
      </c>
      <c r="B692" s="6">
        <v>42927</v>
      </c>
      <c r="C692" s="7">
        <v>0.56940972222222219</v>
      </c>
      <c r="D692" s="8">
        <v>0.57149305555555552</v>
      </c>
      <c r="E692" s="20">
        <f t="shared" si="20"/>
        <v>0</v>
      </c>
      <c r="F692">
        <f t="shared" si="21"/>
        <v>0</v>
      </c>
    </row>
    <row r="693" spans="1:6" x14ac:dyDescent="0.35">
      <c r="A693" s="9">
        <v>7473070</v>
      </c>
      <c r="B693" s="10">
        <v>42927</v>
      </c>
      <c r="C693" s="11">
        <v>0.57185185185185183</v>
      </c>
      <c r="D693" s="12">
        <v>0.58304398148148151</v>
      </c>
      <c r="E693" s="20">
        <f t="shared" si="20"/>
        <v>0</v>
      </c>
      <c r="F693">
        <f t="shared" si="21"/>
        <v>0</v>
      </c>
    </row>
    <row r="694" spans="1:6" x14ac:dyDescent="0.35">
      <c r="A694" s="5">
        <v>3596504</v>
      </c>
      <c r="B694" s="6">
        <v>42927</v>
      </c>
      <c r="C694" s="7">
        <v>0.57592592592592595</v>
      </c>
      <c r="D694" s="8">
        <v>0.58302083333333332</v>
      </c>
      <c r="E694" s="20">
        <f t="shared" si="20"/>
        <v>0</v>
      </c>
      <c r="F694">
        <f t="shared" si="21"/>
        <v>0</v>
      </c>
    </row>
    <row r="695" spans="1:6" x14ac:dyDescent="0.35">
      <c r="A695" s="9">
        <v>9620982</v>
      </c>
      <c r="B695" s="10">
        <v>42927</v>
      </c>
      <c r="C695" s="11">
        <v>0.57593749999999999</v>
      </c>
      <c r="D695" s="12">
        <v>0.58310185185185182</v>
      </c>
      <c r="E695" s="20">
        <f t="shared" si="20"/>
        <v>0</v>
      </c>
      <c r="F695">
        <f t="shared" si="21"/>
        <v>0</v>
      </c>
    </row>
    <row r="696" spans="1:6" x14ac:dyDescent="0.35">
      <c r="A696" s="5">
        <v>93696449</v>
      </c>
      <c r="B696" s="6">
        <v>42927</v>
      </c>
      <c r="C696" s="7">
        <v>0.57939814814814816</v>
      </c>
      <c r="D696" s="8">
        <v>0.5795717592592593</v>
      </c>
      <c r="E696" s="20">
        <f t="shared" si="20"/>
        <v>0</v>
      </c>
      <c r="F696">
        <f t="shared" si="21"/>
        <v>0</v>
      </c>
    </row>
    <row r="697" spans="1:6" x14ac:dyDescent="0.35">
      <c r="A697" s="9">
        <v>6833658</v>
      </c>
      <c r="B697" s="10">
        <v>42927</v>
      </c>
      <c r="C697" s="11">
        <v>0.5823842592592593</v>
      </c>
      <c r="D697" s="12">
        <v>0.58479166666666671</v>
      </c>
      <c r="E697" s="20">
        <f t="shared" si="20"/>
        <v>0</v>
      </c>
      <c r="F697">
        <f t="shared" si="21"/>
        <v>0</v>
      </c>
    </row>
    <row r="698" spans="1:6" x14ac:dyDescent="0.35">
      <c r="A698" s="5">
        <v>85422307</v>
      </c>
      <c r="B698" s="6">
        <v>42927</v>
      </c>
      <c r="C698" s="7">
        <v>0.58656249999999999</v>
      </c>
      <c r="D698" s="8">
        <v>0.59008101851851846</v>
      </c>
      <c r="E698" s="20">
        <f t="shared" si="20"/>
        <v>0</v>
      </c>
      <c r="F698">
        <f t="shared" si="21"/>
        <v>0</v>
      </c>
    </row>
    <row r="699" spans="1:6" x14ac:dyDescent="0.35">
      <c r="A699" s="9">
        <v>6191682</v>
      </c>
      <c r="B699" s="10">
        <v>42927</v>
      </c>
      <c r="C699" s="11">
        <v>0.58711805555555552</v>
      </c>
      <c r="D699" s="12">
        <v>0.59739583333333335</v>
      </c>
      <c r="E699" s="20">
        <f t="shared" si="20"/>
        <v>0</v>
      </c>
      <c r="F699">
        <f t="shared" si="21"/>
        <v>0</v>
      </c>
    </row>
    <row r="700" spans="1:6" x14ac:dyDescent="0.35">
      <c r="A700" s="5">
        <v>6461167</v>
      </c>
      <c r="B700" s="6">
        <v>42927</v>
      </c>
      <c r="C700" s="7">
        <v>0.5889699074074074</v>
      </c>
      <c r="D700" s="8">
        <v>0.59409722222222228</v>
      </c>
      <c r="E700" s="20">
        <f t="shared" si="20"/>
        <v>0</v>
      </c>
      <c r="F700">
        <f t="shared" si="21"/>
        <v>0</v>
      </c>
    </row>
    <row r="701" spans="1:6" x14ac:dyDescent="0.35">
      <c r="A701" s="9">
        <v>8270097</v>
      </c>
      <c r="B701" s="10">
        <v>42927</v>
      </c>
      <c r="C701" s="11">
        <v>0.5900347222222222</v>
      </c>
      <c r="D701" s="12">
        <v>0.59217592592592594</v>
      </c>
      <c r="E701" s="20">
        <f t="shared" si="20"/>
        <v>0</v>
      </c>
      <c r="F701">
        <f t="shared" si="21"/>
        <v>0</v>
      </c>
    </row>
    <row r="702" spans="1:6" x14ac:dyDescent="0.35">
      <c r="A702" s="5">
        <v>8982137</v>
      </c>
      <c r="B702" s="6">
        <v>42927</v>
      </c>
      <c r="C702" s="7">
        <v>0.59010416666666665</v>
      </c>
      <c r="D702" s="8">
        <v>0.59864583333333332</v>
      </c>
      <c r="E702" s="20">
        <f t="shared" si="20"/>
        <v>0</v>
      </c>
      <c r="F702">
        <f t="shared" si="21"/>
        <v>0</v>
      </c>
    </row>
    <row r="703" spans="1:6" x14ac:dyDescent="0.35">
      <c r="A703" s="9">
        <v>47677051</v>
      </c>
      <c r="B703" s="10">
        <v>42927</v>
      </c>
      <c r="C703" s="11">
        <v>0.59370370370370373</v>
      </c>
      <c r="D703" s="12">
        <v>0.60396990740740741</v>
      </c>
      <c r="E703" s="20">
        <f t="shared" si="20"/>
        <v>0</v>
      </c>
      <c r="F703">
        <f t="shared" si="21"/>
        <v>0</v>
      </c>
    </row>
    <row r="704" spans="1:6" x14ac:dyDescent="0.35">
      <c r="A704" s="5">
        <v>76139570</v>
      </c>
      <c r="B704" s="6">
        <v>42927</v>
      </c>
      <c r="C704" s="7">
        <v>0.59593750000000001</v>
      </c>
      <c r="D704" s="8">
        <v>0.6004976851851852</v>
      </c>
      <c r="E704" s="20">
        <f t="shared" si="20"/>
        <v>0</v>
      </c>
      <c r="F704">
        <f t="shared" si="21"/>
        <v>0</v>
      </c>
    </row>
    <row r="705" spans="1:6" x14ac:dyDescent="0.35">
      <c r="A705" s="9">
        <v>62016185</v>
      </c>
      <c r="B705" s="10">
        <v>42927</v>
      </c>
      <c r="C705" s="11">
        <v>0.60037037037037033</v>
      </c>
      <c r="D705" s="12">
        <v>0.60719907407407403</v>
      </c>
      <c r="E705" s="20">
        <f t="shared" si="20"/>
        <v>0</v>
      </c>
      <c r="F705">
        <f t="shared" si="21"/>
        <v>0</v>
      </c>
    </row>
    <row r="706" spans="1:6" x14ac:dyDescent="0.35">
      <c r="A706" s="5">
        <v>93696449</v>
      </c>
      <c r="B706" s="6">
        <v>42927</v>
      </c>
      <c r="C706" s="7">
        <v>0.60077546296296291</v>
      </c>
      <c r="D706" s="8">
        <v>0.60853009259259261</v>
      </c>
      <c r="E706" s="20">
        <f t="shared" si="20"/>
        <v>0</v>
      </c>
      <c r="F706">
        <f t="shared" si="21"/>
        <v>0</v>
      </c>
    </row>
    <row r="707" spans="1:6" x14ac:dyDescent="0.35">
      <c r="A707" s="9">
        <v>7914439</v>
      </c>
      <c r="B707" s="10">
        <v>42927</v>
      </c>
      <c r="C707" s="11">
        <v>0.60320601851851852</v>
      </c>
      <c r="D707" s="12">
        <v>0.61459490740740741</v>
      </c>
      <c r="E707" s="20">
        <f t="shared" ref="E707:E770" si="22">IF(F707=1,D707-C707,0)</f>
        <v>0</v>
      </c>
      <c r="F707">
        <f t="shared" ref="F707:F770" si="23">IF(AND(LEN(A707)=7,LEFT(A707,2) = "12"),1,0)</f>
        <v>0</v>
      </c>
    </row>
    <row r="708" spans="1:6" x14ac:dyDescent="0.35">
      <c r="A708" s="5">
        <v>38047574</v>
      </c>
      <c r="B708" s="6">
        <v>42927</v>
      </c>
      <c r="C708" s="7">
        <v>0.60721064814814818</v>
      </c>
      <c r="D708" s="8">
        <v>0.61490740740740746</v>
      </c>
      <c r="E708" s="20">
        <f t="shared" si="22"/>
        <v>0</v>
      </c>
      <c r="F708">
        <f t="shared" si="23"/>
        <v>0</v>
      </c>
    </row>
    <row r="709" spans="1:6" x14ac:dyDescent="0.35">
      <c r="A709" s="9">
        <v>3184339</v>
      </c>
      <c r="B709" s="10">
        <v>42927</v>
      </c>
      <c r="C709" s="11">
        <v>0.61179398148148145</v>
      </c>
      <c r="D709" s="12">
        <v>0.61260416666666662</v>
      </c>
      <c r="E709" s="20">
        <f t="shared" si="22"/>
        <v>0</v>
      </c>
      <c r="F709">
        <f t="shared" si="23"/>
        <v>0</v>
      </c>
    </row>
    <row r="710" spans="1:6" x14ac:dyDescent="0.35">
      <c r="A710" s="5">
        <v>8126744698</v>
      </c>
      <c r="B710" s="6">
        <v>42927</v>
      </c>
      <c r="C710" s="7">
        <v>0.61664351851851851</v>
      </c>
      <c r="D710" s="8">
        <v>0.61856481481481485</v>
      </c>
      <c r="E710" s="20">
        <f t="shared" si="22"/>
        <v>0</v>
      </c>
      <c r="F710">
        <f t="shared" si="23"/>
        <v>0</v>
      </c>
    </row>
    <row r="711" spans="1:6" x14ac:dyDescent="0.35">
      <c r="A711" s="9">
        <v>52391912</v>
      </c>
      <c r="B711" s="10">
        <v>42927</v>
      </c>
      <c r="C711" s="11">
        <v>0.62067129629629625</v>
      </c>
      <c r="D711" s="12">
        <v>0.62475694444444441</v>
      </c>
      <c r="E711" s="20">
        <f t="shared" si="22"/>
        <v>0</v>
      </c>
      <c r="F711">
        <f t="shared" si="23"/>
        <v>0</v>
      </c>
    </row>
    <row r="712" spans="1:6" x14ac:dyDescent="0.35">
      <c r="A712" s="5">
        <v>1223943</v>
      </c>
      <c r="B712" s="6">
        <v>42927</v>
      </c>
      <c r="C712" s="7">
        <v>0.6252199074074074</v>
      </c>
      <c r="D712" s="8">
        <v>0.63226851851851851</v>
      </c>
      <c r="E712" s="20">
        <f t="shared" si="22"/>
        <v>7.0486111111111027E-3</v>
      </c>
      <c r="F712">
        <f t="shared" si="23"/>
        <v>1</v>
      </c>
    </row>
    <row r="713" spans="1:6" x14ac:dyDescent="0.35">
      <c r="A713" s="9">
        <v>14201334</v>
      </c>
      <c r="B713" s="10">
        <v>42928</v>
      </c>
      <c r="C713" s="11">
        <v>0.33568287037037037</v>
      </c>
      <c r="D713" s="12">
        <v>0.34125</v>
      </c>
      <c r="E713" s="20">
        <f t="shared" si="22"/>
        <v>0</v>
      </c>
      <c r="F713">
        <f t="shared" si="23"/>
        <v>0</v>
      </c>
    </row>
    <row r="714" spans="1:6" x14ac:dyDescent="0.35">
      <c r="A714" s="5">
        <v>1972250241</v>
      </c>
      <c r="B714" s="6">
        <v>42928</v>
      </c>
      <c r="C714" s="7">
        <v>0.33716435185185184</v>
      </c>
      <c r="D714" s="8">
        <v>0.33778935185185183</v>
      </c>
      <c r="E714" s="20">
        <f t="shared" si="22"/>
        <v>0</v>
      </c>
      <c r="F714">
        <f t="shared" si="23"/>
        <v>0</v>
      </c>
    </row>
    <row r="715" spans="1:6" x14ac:dyDescent="0.35">
      <c r="A715" s="9">
        <v>3028093</v>
      </c>
      <c r="B715" s="10">
        <v>42928</v>
      </c>
      <c r="C715" s="11">
        <v>0.34185185185185185</v>
      </c>
      <c r="D715" s="12">
        <v>0.34375</v>
      </c>
      <c r="E715" s="20">
        <f t="shared" si="22"/>
        <v>0</v>
      </c>
      <c r="F715">
        <f t="shared" si="23"/>
        <v>0</v>
      </c>
    </row>
    <row r="716" spans="1:6" x14ac:dyDescent="0.35">
      <c r="A716" s="5">
        <v>27487200</v>
      </c>
      <c r="B716" s="6">
        <v>42928</v>
      </c>
      <c r="C716" s="7">
        <v>0.34646990740740741</v>
      </c>
      <c r="D716" s="8">
        <v>0.3550462962962963</v>
      </c>
      <c r="E716" s="20">
        <f t="shared" si="22"/>
        <v>0</v>
      </c>
      <c r="F716">
        <f t="shared" si="23"/>
        <v>0</v>
      </c>
    </row>
    <row r="717" spans="1:6" x14ac:dyDescent="0.35">
      <c r="A717" s="9">
        <v>7377702</v>
      </c>
      <c r="B717" s="10">
        <v>42928</v>
      </c>
      <c r="C717" s="11">
        <v>0.34722222222222221</v>
      </c>
      <c r="D717" s="12">
        <v>0.3532986111111111</v>
      </c>
      <c r="E717" s="20">
        <f t="shared" si="22"/>
        <v>0</v>
      </c>
      <c r="F717">
        <f t="shared" si="23"/>
        <v>0</v>
      </c>
    </row>
    <row r="718" spans="1:6" x14ac:dyDescent="0.35">
      <c r="A718" s="5">
        <v>9294571</v>
      </c>
      <c r="B718" s="6">
        <v>42928</v>
      </c>
      <c r="C718" s="7">
        <v>0.35115740740740742</v>
      </c>
      <c r="D718" s="8">
        <v>0.35447916666666668</v>
      </c>
      <c r="E718" s="20">
        <f t="shared" si="22"/>
        <v>0</v>
      </c>
      <c r="F718">
        <f t="shared" si="23"/>
        <v>0</v>
      </c>
    </row>
    <row r="719" spans="1:6" x14ac:dyDescent="0.35">
      <c r="A719" s="9">
        <v>6865106</v>
      </c>
      <c r="B719" s="10">
        <v>42928</v>
      </c>
      <c r="C719" s="11">
        <v>0.35636574074074073</v>
      </c>
      <c r="D719" s="12">
        <v>0.36511574074074077</v>
      </c>
      <c r="E719" s="20">
        <f t="shared" si="22"/>
        <v>0</v>
      </c>
      <c r="F719">
        <f t="shared" si="23"/>
        <v>0</v>
      </c>
    </row>
    <row r="720" spans="1:6" x14ac:dyDescent="0.35">
      <c r="A720" s="5">
        <v>62086163</v>
      </c>
      <c r="B720" s="6">
        <v>42928</v>
      </c>
      <c r="C720" s="7">
        <v>0.36060185185185184</v>
      </c>
      <c r="D720" s="8">
        <v>0.36312499999999998</v>
      </c>
      <c r="E720" s="20">
        <f t="shared" si="22"/>
        <v>0</v>
      </c>
      <c r="F720">
        <f t="shared" si="23"/>
        <v>0</v>
      </c>
    </row>
    <row r="721" spans="1:6" x14ac:dyDescent="0.35">
      <c r="A721" s="9">
        <v>6367284</v>
      </c>
      <c r="B721" s="10">
        <v>42928</v>
      </c>
      <c r="C721" s="11">
        <v>0.36519675925925926</v>
      </c>
      <c r="D721" s="12">
        <v>0.36751157407407409</v>
      </c>
      <c r="E721" s="20">
        <f t="shared" si="22"/>
        <v>0</v>
      </c>
      <c r="F721">
        <f t="shared" si="23"/>
        <v>0</v>
      </c>
    </row>
    <row r="722" spans="1:6" x14ac:dyDescent="0.35">
      <c r="A722" s="5">
        <v>1811630</v>
      </c>
      <c r="B722" s="6">
        <v>42928</v>
      </c>
      <c r="C722" s="7">
        <v>0.36787037037037035</v>
      </c>
      <c r="D722" s="8">
        <v>0.36855324074074075</v>
      </c>
      <c r="E722" s="20">
        <f t="shared" si="22"/>
        <v>0</v>
      </c>
      <c r="F722">
        <f t="shared" si="23"/>
        <v>0</v>
      </c>
    </row>
    <row r="723" spans="1:6" x14ac:dyDescent="0.35">
      <c r="A723" s="9">
        <v>9346036178</v>
      </c>
      <c r="B723" s="10">
        <v>42928</v>
      </c>
      <c r="C723" s="11">
        <v>0.37017361111111113</v>
      </c>
      <c r="D723" s="12">
        <v>0.38035879629629632</v>
      </c>
      <c r="E723" s="20">
        <f t="shared" si="22"/>
        <v>0</v>
      </c>
      <c r="F723">
        <f t="shared" si="23"/>
        <v>0</v>
      </c>
    </row>
    <row r="724" spans="1:6" x14ac:dyDescent="0.35">
      <c r="A724" s="5">
        <v>1138033</v>
      </c>
      <c r="B724" s="6">
        <v>42928</v>
      </c>
      <c r="C724" s="7">
        <v>0.37504629629629632</v>
      </c>
      <c r="D724" s="8">
        <v>0.37731481481481483</v>
      </c>
      <c r="E724" s="20">
        <f t="shared" si="22"/>
        <v>0</v>
      </c>
      <c r="F724">
        <f t="shared" si="23"/>
        <v>0</v>
      </c>
    </row>
    <row r="725" spans="1:6" x14ac:dyDescent="0.35">
      <c r="A725" s="9">
        <v>2114812</v>
      </c>
      <c r="B725" s="10">
        <v>42928</v>
      </c>
      <c r="C725" s="11">
        <v>0.37615740740740738</v>
      </c>
      <c r="D725" s="12">
        <v>0.38158564814814816</v>
      </c>
      <c r="E725" s="20">
        <f t="shared" si="22"/>
        <v>0</v>
      </c>
      <c r="F725">
        <f t="shared" si="23"/>
        <v>0</v>
      </c>
    </row>
    <row r="726" spans="1:6" x14ac:dyDescent="0.35">
      <c r="A726" s="5">
        <v>4195677</v>
      </c>
      <c r="B726" s="6">
        <v>42928</v>
      </c>
      <c r="C726" s="7">
        <v>0.37644675925925924</v>
      </c>
      <c r="D726" s="8">
        <v>0.38192129629629629</v>
      </c>
      <c r="E726" s="20">
        <f t="shared" si="22"/>
        <v>0</v>
      </c>
      <c r="F726">
        <f t="shared" si="23"/>
        <v>0</v>
      </c>
    </row>
    <row r="727" spans="1:6" x14ac:dyDescent="0.35">
      <c r="A727" s="9">
        <v>3493348</v>
      </c>
      <c r="B727" s="10">
        <v>42928</v>
      </c>
      <c r="C727" s="11">
        <v>0.37934027777777779</v>
      </c>
      <c r="D727" s="12">
        <v>0.38925925925925925</v>
      </c>
      <c r="E727" s="20">
        <f t="shared" si="22"/>
        <v>0</v>
      </c>
      <c r="F727">
        <f t="shared" si="23"/>
        <v>0</v>
      </c>
    </row>
    <row r="728" spans="1:6" x14ac:dyDescent="0.35">
      <c r="A728" s="5">
        <v>6005020</v>
      </c>
      <c r="B728" s="6">
        <v>42928</v>
      </c>
      <c r="C728" s="7">
        <v>0.38046296296296295</v>
      </c>
      <c r="D728" s="8">
        <v>0.38739583333333333</v>
      </c>
      <c r="E728" s="20">
        <f t="shared" si="22"/>
        <v>0</v>
      </c>
      <c r="F728">
        <f t="shared" si="23"/>
        <v>0</v>
      </c>
    </row>
    <row r="729" spans="1:6" x14ac:dyDescent="0.35">
      <c r="A729" s="9">
        <v>7421868</v>
      </c>
      <c r="B729" s="10">
        <v>42928</v>
      </c>
      <c r="C729" s="11">
        <v>0.38292824074074072</v>
      </c>
      <c r="D729" s="12">
        <v>0.38613425925925926</v>
      </c>
      <c r="E729" s="20">
        <f t="shared" si="22"/>
        <v>0</v>
      </c>
      <c r="F729">
        <f t="shared" si="23"/>
        <v>0</v>
      </c>
    </row>
    <row r="730" spans="1:6" x14ac:dyDescent="0.35">
      <c r="A730" s="5">
        <v>2227803</v>
      </c>
      <c r="B730" s="6">
        <v>42928</v>
      </c>
      <c r="C730" s="7">
        <v>0.38317129629629632</v>
      </c>
      <c r="D730" s="8">
        <v>0.39157407407407407</v>
      </c>
      <c r="E730" s="20">
        <f t="shared" si="22"/>
        <v>0</v>
      </c>
      <c r="F730">
        <f t="shared" si="23"/>
        <v>0</v>
      </c>
    </row>
    <row r="731" spans="1:6" x14ac:dyDescent="0.35">
      <c r="A731" s="9">
        <v>4007464</v>
      </c>
      <c r="B731" s="10">
        <v>42928</v>
      </c>
      <c r="C731" s="11">
        <v>0.38767361111111109</v>
      </c>
      <c r="D731" s="12">
        <v>0.38848379629629631</v>
      </c>
      <c r="E731" s="20">
        <f t="shared" si="22"/>
        <v>0</v>
      </c>
      <c r="F731">
        <f t="shared" si="23"/>
        <v>0</v>
      </c>
    </row>
    <row r="732" spans="1:6" x14ac:dyDescent="0.35">
      <c r="A732" s="5">
        <v>54713807</v>
      </c>
      <c r="B732" s="6">
        <v>42928</v>
      </c>
      <c r="C732" s="7">
        <v>0.38968750000000002</v>
      </c>
      <c r="D732" s="8">
        <v>0.39152777777777775</v>
      </c>
      <c r="E732" s="20">
        <f t="shared" si="22"/>
        <v>0</v>
      </c>
      <c r="F732">
        <f t="shared" si="23"/>
        <v>0</v>
      </c>
    </row>
    <row r="733" spans="1:6" x14ac:dyDescent="0.35">
      <c r="A733" s="9">
        <v>7097883</v>
      </c>
      <c r="B733" s="10">
        <v>42928</v>
      </c>
      <c r="C733" s="11">
        <v>0.39206018518518521</v>
      </c>
      <c r="D733" s="12">
        <v>0.39436342592592594</v>
      </c>
      <c r="E733" s="20">
        <f t="shared" si="22"/>
        <v>0</v>
      </c>
      <c r="F733">
        <f t="shared" si="23"/>
        <v>0</v>
      </c>
    </row>
    <row r="734" spans="1:6" x14ac:dyDescent="0.35">
      <c r="A734" s="5">
        <v>48630026</v>
      </c>
      <c r="B734" s="6">
        <v>42928</v>
      </c>
      <c r="C734" s="7">
        <v>0.39709490740740738</v>
      </c>
      <c r="D734" s="8">
        <v>0.40651620370370373</v>
      </c>
      <c r="E734" s="20">
        <f t="shared" si="22"/>
        <v>0</v>
      </c>
      <c r="F734">
        <f t="shared" si="23"/>
        <v>0</v>
      </c>
    </row>
    <row r="735" spans="1:6" x14ac:dyDescent="0.35">
      <c r="A735" s="9">
        <v>1279245</v>
      </c>
      <c r="B735" s="10">
        <v>42928</v>
      </c>
      <c r="C735" s="11">
        <v>0.40247685185185184</v>
      </c>
      <c r="D735" s="12">
        <v>0.40831018518518519</v>
      </c>
      <c r="E735" s="20">
        <f t="shared" si="22"/>
        <v>5.833333333333357E-3</v>
      </c>
      <c r="F735">
        <f t="shared" si="23"/>
        <v>1</v>
      </c>
    </row>
    <row r="736" spans="1:6" x14ac:dyDescent="0.35">
      <c r="A736" s="5">
        <v>2571251</v>
      </c>
      <c r="B736" s="6">
        <v>42928</v>
      </c>
      <c r="C736" s="7">
        <v>0.40822916666666664</v>
      </c>
      <c r="D736" s="8">
        <v>0.41586805555555556</v>
      </c>
      <c r="E736" s="20">
        <f t="shared" si="22"/>
        <v>0</v>
      </c>
      <c r="F736">
        <f t="shared" si="23"/>
        <v>0</v>
      </c>
    </row>
    <row r="737" spans="1:6" x14ac:dyDescent="0.35">
      <c r="A737" s="9">
        <v>9566647</v>
      </c>
      <c r="B737" s="10">
        <v>42928</v>
      </c>
      <c r="C737" s="11">
        <v>0.40881944444444446</v>
      </c>
      <c r="D737" s="12">
        <v>0.40950231481481481</v>
      </c>
      <c r="E737" s="20">
        <f t="shared" si="22"/>
        <v>0</v>
      </c>
      <c r="F737">
        <f t="shared" si="23"/>
        <v>0</v>
      </c>
    </row>
    <row r="738" spans="1:6" x14ac:dyDescent="0.35">
      <c r="A738" s="5">
        <v>1454555</v>
      </c>
      <c r="B738" s="6">
        <v>42928</v>
      </c>
      <c r="C738" s="7">
        <v>0.41078703703703706</v>
      </c>
      <c r="D738" s="8">
        <v>0.41078703703703706</v>
      </c>
      <c r="E738" s="20">
        <f t="shared" si="22"/>
        <v>0</v>
      </c>
      <c r="F738">
        <f t="shared" si="23"/>
        <v>0</v>
      </c>
    </row>
    <row r="739" spans="1:6" x14ac:dyDescent="0.35">
      <c r="A739" s="9">
        <v>21996267</v>
      </c>
      <c r="B739" s="10">
        <v>42928</v>
      </c>
      <c r="C739" s="11">
        <v>0.41218749999999998</v>
      </c>
      <c r="D739" s="12">
        <v>0.41280092592592593</v>
      </c>
      <c r="E739" s="20">
        <f t="shared" si="22"/>
        <v>0</v>
      </c>
      <c r="F739">
        <f t="shared" si="23"/>
        <v>0</v>
      </c>
    </row>
    <row r="740" spans="1:6" x14ac:dyDescent="0.35">
      <c r="A740" s="5">
        <v>8429072</v>
      </c>
      <c r="B740" s="6">
        <v>42928</v>
      </c>
      <c r="C740" s="7">
        <v>0.41414351851851849</v>
      </c>
      <c r="D740" s="8">
        <v>0.42015046296296299</v>
      </c>
      <c r="E740" s="20">
        <f t="shared" si="22"/>
        <v>0</v>
      </c>
      <c r="F740">
        <f t="shared" si="23"/>
        <v>0</v>
      </c>
    </row>
    <row r="741" spans="1:6" x14ac:dyDescent="0.35">
      <c r="A741" s="9">
        <v>9815754</v>
      </c>
      <c r="B741" s="10">
        <v>42928</v>
      </c>
      <c r="C741" s="11">
        <v>0.41853009259259261</v>
      </c>
      <c r="D741" s="12">
        <v>0.42037037037037039</v>
      </c>
      <c r="E741" s="20">
        <f t="shared" si="22"/>
        <v>0</v>
      </c>
      <c r="F741">
        <f t="shared" si="23"/>
        <v>0</v>
      </c>
    </row>
    <row r="742" spans="1:6" x14ac:dyDescent="0.35">
      <c r="A742" s="5">
        <v>2434652</v>
      </c>
      <c r="B742" s="6">
        <v>42928</v>
      </c>
      <c r="C742" s="7">
        <v>0.42370370370370369</v>
      </c>
      <c r="D742" s="8">
        <v>0.43412037037037038</v>
      </c>
      <c r="E742" s="20">
        <f t="shared" si="22"/>
        <v>0</v>
      </c>
      <c r="F742">
        <f t="shared" si="23"/>
        <v>0</v>
      </c>
    </row>
    <row r="743" spans="1:6" x14ac:dyDescent="0.35">
      <c r="A743" s="9">
        <v>4939683</v>
      </c>
      <c r="B743" s="10">
        <v>42928</v>
      </c>
      <c r="C743" s="11">
        <v>0.42650462962962965</v>
      </c>
      <c r="D743" s="12">
        <v>0.43417824074074074</v>
      </c>
      <c r="E743" s="20">
        <f t="shared" si="22"/>
        <v>0</v>
      </c>
      <c r="F743">
        <f t="shared" si="23"/>
        <v>0</v>
      </c>
    </row>
    <row r="744" spans="1:6" x14ac:dyDescent="0.35">
      <c r="A744" s="5">
        <v>6821027</v>
      </c>
      <c r="B744" s="6">
        <v>42928</v>
      </c>
      <c r="C744" s="7">
        <v>0.42766203703703703</v>
      </c>
      <c r="D744" s="8">
        <v>0.43533564814814812</v>
      </c>
      <c r="E744" s="20">
        <f t="shared" si="22"/>
        <v>0</v>
      </c>
      <c r="F744">
        <f t="shared" si="23"/>
        <v>0</v>
      </c>
    </row>
    <row r="745" spans="1:6" x14ac:dyDescent="0.35">
      <c r="A745" s="9">
        <v>3253368</v>
      </c>
      <c r="B745" s="10">
        <v>42928</v>
      </c>
      <c r="C745" s="11">
        <v>0.43041666666666667</v>
      </c>
      <c r="D745" s="12">
        <v>0.43164351851851851</v>
      </c>
      <c r="E745" s="20">
        <f t="shared" si="22"/>
        <v>0</v>
      </c>
      <c r="F745">
        <f t="shared" si="23"/>
        <v>0</v>
      </c>
    </row>
    <row r="746" spans="1:6" x14ac:dyDescent="0.35">
      <c r="A746" s="5">
        <v>3505978</v>
      </c>
      <c r="B746" s="6">
        <v>42928</v>
      </c>
      <c r="C746" s="7">
        <v>0.43381944444444442</v>
      </c>
      <c r="D746" s="8">
        <v>0.44515046296296296</v>
      </c>
      <c r="E746" s="20">
        <f t="shared" si="22"/>
        <v>0</v>
      </c>
      <c r="F746">
        <f t="shared" si="23"/>
        <v>0</v>
      </c>
    </row>
    <row r="747" spans="1:6" x14ac:dyDescent="0.35">
      <c r="A747" s="9">
        <v>91743317</v>
      </c>
      <c r="B747" s="10">
        <v>42928</v>
      </c>
      <c r="C747" s="11">
        <v>0.43717592592592591</v>
      </c>
      <c r="D747" s="12">
        <v>0.44695601851851852</v>
      </c>
      <c r="E747" s="20">
        <f t="shared" si="22"/>
        <v>0</v>
      </c>
      <c r="F747">
        <f t="shared" si="23"/>
        <v>0</v>
      </c>
    </row>
    <row r="748" spans="1:6" x14ac:dyDescent="0.35">
      <c r="A748" s="5">
        <v>5104536</v>
      </c>
      <c r="B748" s="6">
        <v>42928</v>
      </c>
      <c r="C748" s="7">
        <v>0.44146990740740738</v>
      </c>
      <c r="D748" s="8">
        <v>0.44412037037037039</v>
      </c>
      <c r="E748" s="20">
        <f t="shared" si="22"/>
        <v>0</v>
      </c>
      <c r="F748">
        <f t="shared" si="23"/>
        <v>0</v>
      </c>
    </row>
    <row r="749" spans="1:6" x14ac:dyDescent="0.35">
      <c r="A749" s="9">
        <v>7353916</v>
      </c>
      <c r="B749" s="10">
        <v>42928</v>
      </c>
      <c r="C749" s="11">
        <v>0.44663194444444443</v>
      </c>
      <c r="D749" s="12">
        <v>0.45378472222222221</v>
      </c>
      <c r="E749" s="20">
        <f t="shared" si="22"/>
        <v>0</v>
      </c>
      <c r="F749">
        <f t="shared" si="23"/>
        <v>0</v>
      </c>
    </row>
    <row r="750" spans="1:6" x14ac:dyDescent="0.35">
      <c r="A750" s="5">
        <v>4412771</v>
      </c>
      <c r="B750" s="6">
        <v>42928</v>
      </c>
      <c r="C750" s="7">
        <v>0.44809027777777777</v>
      </c>
      <c r="D750" s="8">
        <v>0.45256944444444447</v>
      </c>
      <c r="E750" s="20">
        <f t="shared" si="22"/>
        <v>0</v>
      </c>
      <c r="F750">
        <f t="shared" si="23"/>
        <v>0</v>
      </c>
    </row>
    <row r="751" spans="1:6" x14ac:dyDescent="0.35">
      <c r="A751" s="9">
        <v>6709939</v>
      </c>
      <c r="B751" s="10">
        <v>42928</v>
      </c>
      <c r="C751" s="11">
        <v>0.44817129629629632</v>
      </c>
      <c r="D751" s="12">
        <v>0.4506134259259259</v>
      </c>
      <c r="E751" s="20">
        <f t="shared" si="22"/>
        <v>0</v>
      </c>
      <c r="F751">
        <f t="shared" si="23"/>
        <v>0</v>
      </c>
    </row>
    <row r="752" spans="1:6" x14ac:dyDescent="0.35">
      <c r="A752" s="5">
        <v>7891185</v>
      </c>
      <c r="B752" s="6">
        <v>42928</v>
      </c>
      <c r="C752" s="7">
        <v>0.45010416666666669</v>
      </c>
      <c r="D752" s="8">
        <v>0.46153935185185185</v>
      </c>
      <c r="E752" s="20">
        <f t="shared" si="22"/>
        <v>0</v>
      </c>
      <c r="F752">
        <f t="shared" si="23"/>
        <v>0</v>
      </c>
    </row>
    <row r="753" spans="1:6" x14ac:dyDescent="0.35">
      <c r="A753" s="9">
        <v>90417363</v>
      </c>
      <c r="B753" s="10">
        <v>42928</v>
      </c>
      <c r="C753" s="11">
        <v>0.45504629629629628</v>
      </c>
      <c r="D753" s="12">
        <v>0.4607175925925926</v>
      </c>
      <c r="E753" s="20">
        <f t="shared" si="22"/>
        <v>0</v>
      </c>
      <c r="F753">
        <f t="shared" si="23"/>
        <v>0</v>
      </c>
    </row>
    <row r="754" spans="1:6" x14ac:dyDescent="0.35">
      <c r="A754" s="5">
        <v>4929499</v>
      </c>
      <c r="B754" s="6">
        <v>42928</v>
      </c>
      <c r="C754" s="7">
        <v>0.45673611111111112</v>
      </c>
      <c r="D754" s="8">
        <v>0.4586574074074074</v>
      </c>
      <c r="E754" s="20">
        <f t="shared" si="22"/>
        <v>0</v>
      </c>
      <c r="F754">
        <f t="shared" si="23"/>
        <v>0</v>
      </c>
    </row>
    <row r="755" spans="1:6" x14ac:dyDescent="0.35">
      <c r="A755" s="9">
        <v>3824371</v>
      </c>
      <c r="B755" s="10">
        <v>42928</v>
      </c>
      <c r="C755" s="11">
        <v>0.46217592592592593</v>
      </c>
      <c r="D755" s="12">
        <v>0.47150462962962963</v>
      </c>
      <c r="E755" s="20">
        <f t="shared" si="22"/>
        <v>0</v>
      </c>
      <c r="F755">
        <f t="shared" si="23"/>
        <v>0</v>
      </c>
    </row>
    <row r="756" spans="1:6" x14ac:dyDescent="0.35">
      <c r="A756" s="5">
        <v>1119740</v>
      </c>
      <c r="B756" s="6">
        <v>42928</v>
      </c>
      <c r="C756" s="7">
        <v>0.46663194444444445</v>
      </c>
      <c r="D756" s="8">
        <v>0.47532407407407407</v>
      </c>
      <c r="E756" s="20">
        <f t="shared" si="22"/>
        <v>0</v>
      </c>
      <c r="F756">
        <f t="shared" si="23"/>
        <v>0</v>
      </c>
    </row>
    <row r="757" spans="1:6" x14ac:dyDescent="0.35">
      <c r="A757" s="9">
        <v>1219073</v>
      </c>
      <c r="B757" s="10">
        <v>42928</v>
      </c>
      <c r="C757" s="11">
        <v>0.46870370370370368</v>
      </c>
      <c r="D757" s="12">
        <v>0.47320601851851851</v>
      </c>
      <c r="E757" s="20">
        <f t="shared" si="22"/>
        <v>4.502314814814834E-3</v>
      </c>
      <c r="F757">
        <f t="shared" si="23"/>
        <v>1</v>
      </c>
    </row>
    <row r="758" spans="1:6" x14ac:dyDescent="0.35">
      <c r="A758" s="5">
        <v>87702896</v>
      </c>
      <c r="B758" s="6">
        <v>42928</v>
      </c>
      <c r="C758" s="7">
        <v>0.47358796296296296</v>
      </c>
      <c r="D758" s="8">
        <v>0.47878472222222224</v>
      </c>
      <c r="E758" s="20">
        <f t="shared" si="22"/>
        <v>0</v>
      </c>
      <c r="F758">
        <f t="shared" si="23"/>
        <v>0</v>
      </c>
    </row>
    <row r="759" spans="1:6" x14ac:dyDescent="0.35">
      <c r="A759" s="9">
        <v>94197168</v>
      </c>
      <c r="B759" s="10">
        <v>42928</v>
      </c>
      <c r="C759" s="11">
        <v>0.47819444444444442</v>
      </c>
      <c r="D759" s="12">
        <v>0.48442129629629632</v>
      </c>
      <c r="E759" s="20">
        <f t="shared" si="22"/>
        <v>0</v>
      </c>
      <c r="F759">
        <f t="shared" si="23"/>
        <v>0</v>
      </c>
    </row>
    <row r="760" spans="1:6" x14ac:dyDescent="0.35">
      <c r="A760" s="5">
        <v>8655825</v>
      </c>
      <c r="B760" s="6">
        <v>42928</v>
      </c>
      <c r="C760" s="7">
        <v>0.48251157407407408</v>
      </c>
      <c r="D760" s="8">
        <v>0.48732638888888891</v>
      </c>
      <c r="E760" s="20">
        <f t="shared" si="22"/>
        <v>0</v>
      </c>
      <c r="F760">
        <f t="shared" si="23"/>
        <v>0</v>
      </c>
    </row>
    <row r="761" spans="1:6" x14ac:dyDescent="0.35">
      <c r="A761" s="9">
        <v>47707639</v>
      </c>
      <c r="B761" s="10">
        <v>42928</v>
      </c>
      <c r="C761" s="11">
        <v>0.48827546296296298</v>
      </c>
      <c r="D761" s="12">
        <v>0.49432870370370369</v>
      </c>
      <c r="E761" s="20">
        <f t="shared" si="22"/>
        <v>0</v>
      </c>
      <c r="F761">
        <f t="shared" si="23"/>
        <v>0</v>
      </c>
    </row>
    <row r="762" spans="1:6" x14ac:dyDescent="0.35">
      <c r="A762" s="5">
        <v>5029329</v>
      </c>
      <c r="B762" s="6">
        <v>42928</v>
      </c>
      <c r="C762" s="7">
        <v>0.49062499999999998</v>
      </c>
      <c r="D762" s="8">
        <v>0.49535879629629631</v>
      </c>
      <c r="E762" s="20">
        <f t="shared" si="22"/>
        <v>0</v>
      </c>
      <c r="F762">
        <f t="shared" si="23"/>
        <v>0</v>
      </c>
    </row>
    <row r="763" spans="1:6" x14ac:dyDescent="0.35">
      <c r="A763" s="9">
        <v>8825868</v>
      </c>
      <c r="B763" s="10">
        <v>42928</v>
      </c>
      <c r="C763" s="11">
        <v>0.49552083333333335</v>
      </c>
      <c r="D763" s="12">
        <v>0.50263888888888886</v>
      </c>
      <c r="E763" s="20">
        <f t="shared" si="22"/>
        <v>0</v>
      </c>
      <c r="F763">
        <f t="shared" si="23"/>
        <v>0</v>
      </c>
    </row>
    <row r="764" spans="1:6" x14ac:dyDescent="0.35">
      <c r="A764" s="5">
        <v>8461631</v>
      </c>
      <c r="B764" s="6">
        <v>42928</v>
      </c>
      <c r="C764" s="7">
        <v>0.50025462962962963</v>
      </c>
      <c r="D764" s="8">
        <v>0.50344907407407402</v>
      </c>
      <c r="E764" s="20">
        <f t="shared" si="22"/>
        <v>0</v>
      </c>
      <c r="F764">
        <f t="shared" si="23"/>
        <v>0</v>
      </c>
    </row>
    <row r="765" spans="1:6" x14ac:dyDescent="0.35">
      <c r="A765" s="9">
        <v>76777492</v>
      </c>
      <c r="B765" s="10">
        <v>42928</v>
      </c>
      <c r="C765" s="11">
        <v>0.50071759259259263</v>
      </c>
      <c r="D765" s="12">
        <v>0.5085763888888889</v>
      </c>
      <c r="E765" s="20">
        <f t="shared" si="22"/>
        <v>0</v>
      </c>
      <c r="F765">
        <f t="shared" si="23"/>
        <v>0</v>
      </c>
    </row>
    <row r="766" spans="1:6" x14ac:dyDescent="0.35">
      <c r="A766" s="5">
        <v>71036125</v>
      </c>
      <c r="B766" s="6">
        <v>42928</v>
      </c>
      <c r="C766" s="7">
        <v>0.50597222222222227</v>
      </c>
      <c r="D766" s="8">
        <v>0.51633101851851848</v>
      </c>
      <c r="E766" s="20">
        <f t="shared" si="22"/>
        <v>0</v>
      </c>
      <c r="F766">
        <f t="shared" si="23"/>
        <v>0</v>
      </c>
    </row>
    <row r="767" spans="1:6" x14ac:dyDescent="0.35">
      <c r="A767" s="9">
        <v>2989192</v>
      </c>
      <c r="B767" s="10">
        <v>42928</v>
      </c>
      <c r="C767" s="11">
        <v>0.5087962962962963</v>
      </c>
      <c r="D767" s="12">
        <v>0.51349537037037041</v>
      </c>
      <c r="E767" s="20">
        <f t="shared" si="22"/>
        <v>0</v>
      </c>
      <c r="F767">
        <f t="shared" si="23"/>
        <v>0</v>
      </c>
    </row>
    <row r="768" spans="1:6" x14ac:dyDescent="0.35">
      <c r="A768" s="5">
        <v>5131341</v>
      </c>
      <c r="B768" s="6">
        <v>42928</v>
      </c>
      <c r="C768" s="7">
        <v>0.50974537037037038</v>
      </c>
      <c r="D768" s="8">
        <v>0.51072916666666668</v>
      </c>
      <c r="E768" s="20">
        <f t="shared" si="22"/>
        <v>0</v>
      </c>
      <c r="F768">
        <f t="shared" si="23"/>
        <v>0</v>
      </c>
    </row>
    <row r="769" spans="1:6" x14ac:dyDescent="0.35">
      <c r="A769" s="9">
        <v>2826868</v>
      </c>
      <c r="B769" s="10">
        <v>42928</v>
      </c>
      <c r="C769" s="11">
        <v>0.51549768518518524</v>
      </c>
      <c r="D769" s="12">
        <v>0.51550925925925928</v>
      </c>
      <c r="E769" s="20">
        <f t="shared" si="22"/>
        <v>0</v>
      </c>
      <c r="F769">
        <f t="shared" si="23"/>
        <v>0</v>
      </c>
    </row>
    <row r="770" spans="1:6" x14ac:dyDescent="0.35">
      <c r="A770" s="5">
        <v>9849071</v>
      </c>
      <c r="B770" s="6">
        <v>42928</v>
      </c>
      <c r="C770" s="7">
        <v>0.51561342592592596</v>
      </c>
      <c r="D770" s="8">
        <v>0.52171296296296299</v>
      </c>
      <c r="E770" s="20">
        <f t="shared" si="22"/>
        <v>0</v>
      </c>
      <c r="F770">
        <f t="shared" si="23"/>
        <v>0</v>
      </c>
    </row>
    <row r="771" spans="1:6" x14ac:dyDescent="0.35">
      <c r="A771" s="9">
        <v>47025160</v>
      </c>
      <c r="B771" s="10">
        <v>42928</v>
      </c>
      <c r="C771" s="11">
        <v>0.52009259259259255</v>
      </c>
      <c r="D771" s="12">
        <v>0.52987268518518515</v>
      </c>
      <c r="E771" s="20">
        <f t="shared" ref="E771:E834" si="24">IF(F771=1,D771-C771,0)</f>
        <v>0</v>
      </c>
      <c r="F771">
        <f t="shared" ref="F771:F834" si="25">IF(AND(LEN(A771)=7,LEFT(A771,2) = "12"),1,0)</f>
        <v>0</v>
      </c>
    </row>
    <row r="772" spans="1:6" x14ac:dyDescent="0.35">
      <c r="A772" s="5">
        <v>97798921</v>
      </c>
      <c r="B772" s="6">
        <v>42928</v>
      </c>
      <c r="C772" s="7">
        <v>0.52172453703703703</v>
      </c>
      <c r="D772" s="8">
        <v>0.52606481481481482</v>
      </c>
      <c r="E772" s="20">
        <f t="shared" si="24"/>
        <v>0</v>
      </c>
      <c r="F772">
        <f t="shared" si="25"/>
        <v>0</v>
      </c>
    </row>
    <row r="773" spans="1:6" x14ac:dyDescent="0.35">
      <c r="A773" s="9">
        <v>2248131</v>
      </c>
      <c r="B773" s="10">
        <v>42928</v>
      </c>
      <c r="C773" s="11">
        <v>0.52298611111111115</v>
      </c>
      <c r="D773" s="12">
        <v>0.53249999999999997</v>
      </c>
      <c r="E773" s="20">
        <f t="shared" si="24"/>
        <v>0</v>
      </c>
      <c r="F773">
        <f t="shared" si="25"/>
        <v>0</v>
      </c>
    </row>
    <row r="774" spans="1:6" x14ac:dyDescent="0.35">
      <c r="A774" s="5">
        <v>1973826522</v>
      </c>
      <c r="B774" s="6">
        <v>42928</v>
      </c>
      <c r="C774" s="7">
        <v>0.52342592592592596</v>
      </c>
      <c r="D774" s="8">
        <v>0.52350694444444446</v>
      </c>
      <c r="E774" s="20">
        <f t="shared" si="24"/>
        <v>0</v>
      </c>
      <c r="F774">
        <f t="shared" si="25"/>
        <v>0</v>
      </c>
    </row>
    <row r="775" spans="1:6" x14ac:dyDescent="0.35">
      <c r="A775" s="9">
        <v>6293367175</v>
      </c>
      <c r="B775" s="10">
        <v>42928</v>
      </c>
      <c r="C775" s="11">
        <v>0.52649305555555559</v>
      </c>
      <c r="D775" s="12">
        <v>0.53123842592592596</v>
      </c>
      <c r="E775" s="20">
        <f t="shared" si="24"/>
        <v>0</v>
      </c>
      <c r="F775">
        <f t="shared" si="25"/>
        <v>0</v>
      </c>
    </row>
    <row r="776" spans="1:6" x14ac:dyDescent="0.35">
      <c r="A776" s="5">
        <v>5092577</v>
      </c>
      <c r="B776" s="6">
        <v>42928</v>
      </c>
      <c r="C776" s="7">
        <v>0.52834490740740736</v>
      </c>
      <c r="D776" s="8">
        <v>0.53267361111111111</v>
      </c>
      <c r="E776" s="20">
        <f t="shared" si="24"/>
        <v>0</v>
      </c>
      <c r="F776">
        <f t="shared" si="25"/>
        <v>0</v>
      </c>
    </row>
    <row r="777" spans="1:6" x14ac:dyDescent="0.35">
      <c r="A777" s="9">
        <v>62086163</v>
      </c>
      <c r="B777" s="10">
        <v>42928</v>
      </c>
      <c r="C777" s="11">
        <v>0.53126157407407404</v>
      </c>
      <c r="D777" s="12">
        <v>0.5326157407407407</v>
      </c>
      <c r="E777" s="20">
        <f t="shared" si="24"/>
        <v>0</v>
      </c>
      <c r="F777">
        <f t="shared" si="25"/>
        <v>0</v>
      </c>
    </row>
    <row r="778" spans="1:6" x14ac:dyDescent="0.35">
      <c r="A778" s="5">
        <v>4657345</v>
      </c>
      <c r="B778" s="6">
        <v>42928</v>
      </c>
      <c r="C778" s="7">
        <v>0.53608796296296302</v>
      </c>
      <c r="D778" s="8">
        <v>0.53631944444444446</v>
      </c>
      <c r="E778" s="20">
        <f t="shared" si="24"/>
        <v>0</v>
      </c>
      <c r="F778">
        <f t="shared" si="25"/>
        <v>0</v>
      </c>
    </row>
    <row r="779" spans="1:6" x14ac:dyDescent="0.35">
      <c r="A779" s="9">
        <v>7937998</v>
      </c>
      <c r="B779" s="10">
        <v>42928</v>
      </c>
      <c r="C779" s="11">
        <v>0.53798611111111116</v>
      </c>
      <c r="D779" s="12">
        <v>0.54011574074074076</v>
      </c>
      <c r="E779" s="20">
        <f t="shared" si="24"/>
        <v>0</v>
      </c>
      <c r="F779">
        <f t="shared" si="25"/>
        <v>0</v>
      </c>
    </row>
    <row r="780" spans="1:6" x14ac:dyDescent="0.35">
      <c r="A780" s="5">
        <v>7269536</v>
      </c>
      <c r="B780" s="6">
        <v>42928</v>
      </c>
      <c r="C780" s="7">
        <v>0.53827546296296291</v>
      </c>
      <c r="D780" s="8">
        <v>0.54309027777777774</v>
      </c>
      <c r="E780" s="20">
        <f t="shared" si="24"/>
        <v>0</v>
      </c>
      <c r="F780">
        <f t="shared" si="25"/>
        <v>0</v>
      </c>
    </row>
    <row r="781" spans="1:6" x14ac:dyDescent="0.35">
      <c r="A781" s="9">
        <v>98939809</v>
      </c>
      <c r="B781" s="10">
        <v>42928</v>
      </c>
      <c r="C781" s="11">
        <v>0.53873842592592591</v>
      </c>
      <c r="D781" s="12">
        <v>0.54084490740740743</v>
      </c>
      <c r="E781" s="20">
        <f t="shared" si="24"/>
        <v>0</v>
      </c>
      <c r="F781">
        <f t="shared" si="25"/>
        <v>0</v>
      </c>
    </row>
    <row r="782" spans="1:6" x14ac:dyDescent="0.35">
      <c r="A782" s="5">
        <v>7766265</v>
      </c>
      <c r="B782" s="6">
        <v>42928</v>
      </c>
      <c r="C782" s="7">
        <v>0.54391203703703705</v>
      </c>
      <c r="D782" s="8">
        <v>0.54538194444444443</v>
      </c>
      <c r="E782" s="20">
        <f t="shared" si="24"/>
        <v>0</v>
      </c>
      <c r="F782">
        <f t="shared" si="25"/>
        <v>0</v>
      </c>
    </row>
    <row r="783" spans="1:6" x14ac:dyDescent="0.35">
      <c r="A783" s="9">
        <v>7377702</v>
      </c>
      <c r="B783" s="10">
        <v>42928</v>
      </c>
      <c r="C783" s="11">
        <v>0.54689814814814819</v>
      </c>
      <c r="D783" s="12">
        <v>0.54949074074074078</v>
      </c>
      <c r="E783" s="20">
        <f t="shared" si="24"/>
        <v>0</v>
      </c>
      <c r="F783">
        <f t="shared" si="25"/>
        <v>0</v>
      </c>
    </row>
    <row r="784" spans="1:6" x14ac:dyDescent="0.35">
      <c r="A784" s="5">
        <v>38244568</v>
      </c>
      <c r="B784" s="6">
        <v>42928</v>
      </c>
      <c r="C784" s="7">
        <v>0.54826388888888888</v>
      </c>
      <c r="D784" s="8">
        <v>0.54920138888888892</v>
      </c>
      <c r="E784" s="20">
        <f t="shared" si="24"/>
        <v>0</v>
      </c>
      <c r="F784">
        <f t="shared" si="25"/>
        <v>0</v>
      </c>
    </row>
    <row r="785" spans="1:6" x14ac:dyDescent="0.35">
      <c r="A785" s="9">
        <v>5094248</v>
      </c>
      <c r="B785" s="10">
        <v>42928</v>
      </c>
      <c r="C785" s="11">
        <v>0.55118055555555556</v>
      </c>
      <c r="D785" s="12">
        <v>0.56003472222222217</v>
      </c>
      <c r="E785" s="20">
        <f t="shared" si="24"/>
        <v>0</v>
      </c>
      <c r="F785">
        <f t="shared" si="25"/>
        <v>0</v>
      </c>
    </row>
    <row r="786" spans="1:6" x14ac:dyDescent="0.35">
      <c r="A786" s="5">
        <v>1233459</v>
      </c>
      <c r="B786" s="6">
        <v>42928</v>
      </c>
      <c r="C786" s="7">
        <v>0.55565972222222226</v>
      </c>
      <c r="D786" s="8">
        <v>0.55674768518518514</v>
      </c>
      <c r="E786" s="20">
        <f t="shared" si="24"/>
        <v>1.087962962962874E-3</v>
      </c>
      <c r="F786">
        <f t="shared" si="25"/>
        <v>1</v>
      </c>
    </row>
    <row r="787" spans="1:6" x14ac:dyDescent="0.35">
      <c r="A787" s="9">
        <v>9398644</v>
      </c>
      <c r="B787" s="10">
        <v>42928</v>
      </c>
      <c r="C787" s="11">
        <v>0.55717592592592591</v>
      </c>
      <c r="D787" s="12">
        <v>0.56753472222222223</v>
      </c>
      <c r="E787" s="20">
        <f t="shared" si="24"/>
        <v>0</v>
      </c>
      <c r="F787">
        <f t="shared" si="25"/>
        <v>0</v>
      </c>
    </row>
    <row r="788" spans="1:6" x14ac:dyDescent="0.35">
      <c r="A788" s="5">
        <v>3390459</v>
      </c>
      <c r="B788" s="6">
        <v>42928</v>
      </c>
      <c r="C788" s="7">
        <v>0.55869212962962966</v>
      </c>
      <c r="D788" s="8">
        <v>0.55922453703703701</v>
      </c>
      <c r="E788" s="20">
        <f t="shared" si="24"/>
        <v>0</v>
      </c>
      <c r="F788">
        <f t="shared" si="25"/>
        <v>0</v>
      </c>
    </row>
    <row r="789" spans="1:6" x14ac:dyDescent="0.35">
      <c r="A789" s="9">
        <v>5252835</v>
      </c>
      <c r="B789" s="10">
        <v>42928</v>
      </c>
      <c r="C789" s="11">
        <v>0.55907407407407406</v>
      </c>
      <c r="D789" s="12">
        <v>0.56937499999999996</v>
      </c>
      <c r="E789" s="20">
        <f t="shared" si="24"/>
        <v>0</v>
      </c>
      <c r="F789">
        <f t="shared" si="25"/>
        <v>0</v>
      </c>
    </row>
    <row r="790" spans="1:6" x14ac:dyDescent="0.35">
      <c r="A790" s="5">
        <v>15643568</v>
      </c>
      <c r="B790" s="6">
        <v>42928</v>
      </c>
      <c r="C790" s="7">
        <v>0.56074074074074076</v>
      </c>
      <c r="D790" s="8">
        <v>0.56283564814814813</v>
      </c>
      <c r="E790" s="20">
        <f t="shared" si="24"/>
        <v>0</v>
      </c>
      <c r="F790">
        <f t="shared" si="25"/>
        <v>0</v>
      </c>
    </row>
    <row r="791" spans="1:6" x14ac:dyDescent="0.35">
      <c r="A791" s="9">
        <v>39921944</v>
      </c>
      <c r="B791" s="10">
        <v>42928</v>
      </c>
      <c r="C791" s="11">
        <v>0.56398148148148153</v>
      </c>
      <c r="D791" s="12">
        <v>0.57387731481481485</v>
      </c>
      <c r="E791" s="20">
        <f t="shared" si="24"/>
        <v>0</v>
      </c>
      <c r="F791">
        <f t="shared" si="25"/>
        <v>0</v>
      </c>
    </row>
    <row r="792" spans="1:6" x14ac:dyDescent="0.35">
      <c r="A792" s="5">
        <v>66800387</v>
      </c>
      <c r="B792" s="6">
        <v>42928</v>
      </c>
      <c r="C792" s="7">
        <v>0.56509259259259259</v>
      </c>
      <c r="D792" s="8">
        <v>0.56554398148148144</v>
      </c>
      <c r="E792" s="20">
        <f t="shared" si="24"/>
        <v>0</v>
      </c>
      <c r="F792">
        <f t="shared" si="25"/>
        <v>0</v>
      </c>
    </row>
    <row r="793" spans="1:6" x14ac:dyDescent="0.35">
      <c r="A793" s="9">
        <v>88664428</v>
      </c>
      <c r="B793" s="10">
        <v>42928</v>
      </c>
      <c r="C793" s="11">
        <v>0.56527777777777777</v>
      </c>
      <c r="D793" s="12">
        <v>0.56814814814814818</v>
      </c>
      <c r="E793" s="20">
        <f t="shared" si="24"/>
        <v>0</v>
      </c>
      <c r="F793">
        <f t="shared" si="25"/>
        <v>0</v>
      </c>
    </row>
    <row r="794" spans="1:6" x14ac:dyDescent="0.35">
      <c r="A794" s="5">
        <v>4111617</v>
      </c>
      <c r="B794" s="6">
        <v>42928</v>
      </c>
      <c r="C794" s="7">
        <v>0.56555555555555559</v>
      </c>
      <c r="D794" s="8">
        <v>0.5697106481481482</v>
      </c>
      <c r="E794" s="20">
        <f t="shared" si="24"/>
        <v>0</v>
      </c>
      <c r="F794">
        <f t="shared" si="25"/>
        <v>0</v>
      </c>
    </row>
    <row r="795" spans="1:6" x14ac:dyDescent="0.35">
      <c r="A795" s="9">
        <v>9804309</v>
      </c>
      <c r="B795" s="10">
        <v>42928</v>
      </c>
      <c r="C795" s="11">
        <v>0.56918981481481479</v>
      </c>
      <c r="D795" s="12">
        <v>0.5784259259259259</v>
      </c>
      <c r="E795" s="20">
        <f t="shared" si="24"/>
        <v>0</v>
      </c>
      <c r="F795">
        <f t="shared" si="25"/>
        <v>0</v>
      </c>
    </row>
    <row r="796" spans="1:6" x14ac:dyDescent="0.35">
      <c r="A796" s="5">
        <v>3382728</v>
      </c>
      <c r="B796" s="6">
        <v>42928</v>
      </c>
      <c r="C796" s="7">
        <v>0.56953703703703706</v>
      </c>
      <c r="D796" s="8">
        <v>0.57401620370370365</v>
      </c>
      <c r="E796" s="20">
        <f t="shared" si="24"/>
        <v>0</v>
      </c>
      <c r="F796">
        <f t="shared" si="25"/>
        <v>0</v>
      </c>
    </row>
    <row r="797" spans="1:6" x14ac:dyDescent="0.35">
      <c r="A797" s="9">
        <v>9091369</v>
      </c>
      <c r="B797" s="10">
        <v>42928</v>
      </c>
      <c r="C797" s="11">
        <v>0.57231481481481483</v>
      </c>
      <c r="D797" s="12">
        <v>0.57403935185185184</v>
      </c>
      <c r="E797" s="20">
        <f t="shared" si="24"/>
        <v>0</v>
      </c>
      <c r="F797">
        <f t="shared" si="25"/>
        <v>0</v>
      </c>
    </row>
    <row r="798" spans="1:6" x14ac:dyDescent="0.35">
      <c r="A798" s="5">
        <v>3981821518</v>
      </c>
      <c r="B798" s="6">
        <v>42928</v>
      </c>
      <c r="C798" s="7">
        <v>0.57445601851851846</v>
      </c>
      <c r="D798" s="8">
        <v>0.57703703703703701</v>
      </c>
      <c r="E798" s="20">
        <f t="shared" si="24"/>
        <v>0</v>
      </c>
      <c r="F798">
        <f t="shared" si="25"/>
        <v>0</v>
      </c>
    </row>
    <row r="799" spans="1:6" x14ac:dyDescent="0.35">
      <c r="A799" s="9">
        <v>6304174</v>
      </c>
      <c r="B799" s="10">
        <v>42928</v>
      </c>
      <c r="C799" s="11">
        <v>0.57445601851851846</v>
      </c>
      <c r="D799" s="12">
        <v>0.58512731481481484</v>
      </c>
      <c r="E799" s="20">
        <f t="shared" si="24"/>
        <v>0</v>
      </c>
      <c r="F799">
        <f t="shared" si="25"/>
        <v>0</v>
      </c>
    </row>
    <row r="800" spans="1:6" x14ac:dyDescent="0.35">
      <c r="A800" s="5">
        <v>8233999</v>
      </c>
      <c r="B800" s="6">
        <v>42928</v>
      </c>
      <c r="C800" s="7">
        <v>0.57828703703703699</v>
      </c>
      <c r="D800" s="8">
        <v>0.58834490740740741</v>
      </c>
      <c r="E800" s="20">
        <f t="shared" si="24"/>
        <v>0</v>
      </c>
      <c r="F800">
        <f t="shared" si="25"/>
        <v>0</v>
      </c>
    </row>
    <row r="801" spans="1:6" x14ac:dyDescent="0.35">
      <c r="A801" s="9">
        <v>97782375</v>
      </c>
      <c r="B801" s="10">
        <v>42928</v>
      </c>
      <c r="C801" s="11">
        <v>0.58054398148148145</v>
      </c>
      <c r="D801" s="12">
        <v>0.58196759259259256</v>
      </c>
      <c r="E801" s="20">
        <f t="shared" si="24"/>
        <v>0</v>
      </c>
      <c r="F801">
        <f t="shared" si="25"/>
        <v>0</v>
      </c>
    </row>
    <row r="802" spans="1:6" x14ac:dyDescent="0.35">
      <c r="A802" s="5">
        <v>2826868</v>
      </c>
      <c r="B802" s="6">
        <v>42928</v>
      </c>
      <c r="C802" s="7">
        <v>0.58266203703703701</v>
      </c>
      <c r="D802" s="8">
        <v>0.59348379629629633</v>
      </c>
      <c r="E802" s="20">
        <f t="shared" si="24"/>
        <v>0</v>
      </c>
      <c r="F802">
        <f t="shared" si="25"/>
        <v>0</v>
      </c>
    </row>
    <row r="803" spans="1:6" x14ac:dyDescent="0.35">
      <c r="A803" s="9">
        <v>93794133</v>
      </c>
      <c r="B803" s="10">
        <v>42928</v>
      </c>
      <c r="C803" s="11">
        <v>0.58592592592592596</v>
      </c>
      <c r="D803" s="12">
        <v>0.59038194444444447</v>
      </c>
      <c r="E803" s="20">
        <f t="shared" si="24"/>
        <v>0</v>
      </c>
      <c r="F803">
        <f t="shared" si="25"/>
        <v>0</v>
      </c>
    </row>
    <row r="804" spans="1:6" x14ac:dyDescent="0.35">
      <c r="A804" s="5">
        <v>85838361</v>
      </c>
      <c r="B804" s="6">
        <v>42928</v>
      </c>
      <c r="C804" s="7">
        <v>0.58909722222222227</v>
      </c>
      <c r="D804" s="8">
        <v>0.5993518518518518</v>
      </c>
      <c r="E804" s="20">
        <f t="shared" si="24"/>
        <v>0</v>
      </c>
      <c r="F804">
        <f t="shared" si="25"/>
        <v>0</v>
      </c>
    </row>
    <row r="805" spans="1:6" x14ac:dyDescent="0.35">
      <c r="A805" s="9">
        <v>1616328</v>
      </c>
      <c r="B805" s="10">
        <v>42928</v>
      </c>
      <c r="C805" s="11">
        <v>0.59354166666666663</v>
      </c>
      <c r="D805" s="12">
        <v>0.59888888888888892</v>
      </c>
      <c r="E805" s="20">
        <f t="shared" si="24"/>
        <v>0</v>
      </c>
      <c r="F805">
        <f t="shared" si="25"/>
        <v>0</v>
      </c>
    </row>
    <row r="806" spans="1:6" x14ac:dyDescent="0.35">
      <c r="A806" s="5">
        <v>9773176</v>
      </c>
      <c r="B806" s="6">
        <v>42928</v>
      </c>
      <c r="C806" s="7">
        <v>0.59873842592592597</v>
      </c>
      <c r="D806" s="8">
        <v>0.60127314814814814</v>
      </c>
      <c r="E806" s="20">
        <f t="shared" si="24"/>
        <v>0</v>
      </c>
      <c r="F806">
        <f t="shared" si="25"/>
        <v>0</v>
      </c>
    </row>
    <row r="807" spans="1:6" x14ac:dyDescent="0.35">
      <c r="A807" s="9">
        <v>8246306</v>
      </c>
      <c r="B807" s="10">
        <v>42928</v>
      </c>
      <c r="C807" s="11">
        <v>0.59928240740740746</v>
      </c>
      <c r="D807" s="12">
        <v>0.60182870370370367</v>
      </c>
      <c r="E807" s="20">
        <f t="shared" si="24"/>
        <v>0</v>
      </c>
      <c r="F807">
        <f t="shared" si="25"/>
        <v>0</v>
      </c>
    </row>
    <row r="808" spans="1:6" x14ac:dyDescent="0.35">
      <c r="A808" s="5">
        <v>2412611</v>
      </c>
      <c r="B808" s="6">
        <v>42928</v>
      </c>
      <c r="C808" s="7">
        <v>0.60065972222222219</v>
      </c>
      <c r="D808" s="8">
        <v>0.60902777777777772</v>
      </c>
      <c r="E808" s="20">
        <f t="shared" si="24"/>
        <v>0</v>
      </c>
      <c r="F808">
        <f t="shared" si="25"/>
        <v>0</v>
      </c>
    </row>
    <row r="809" spans="1:6" x14ac:dyDescent="0.35">
      <c r="A809" s="9">
        <v>7795911</v>
      </c>
      <c r="B809" s="10">
        <v>42928</v>
      </c>
      <c r="C809" s="11">
        <v>0.60528935185185184</v>
      </c>
      <c r="D809" s="12">
        <v>0.60805555555555557</v>
      </c>
      <c r="E809" s="20">
        <f t="shared" si="24"/>
        <v>0</v>
      </c>
      <c r="F809">
        <f t="shared" si="25"/>
        <v>0</v>
      </c>
    </row>
    <row r="810" spans="1:6" x14ac:dyDescent="0.35">
      <c r="A810" s="5">
        <v>8063487</v>
      </c>
      <c r="B810" s="6">
        <v>42928</v>
      </c>
      <c r="C810" s="7">
        <v>0.61028935185185185</v>
      </c>
      <c r="D810" s="8">
        <v>0.61681712962962965</v>
      </c>
      <c r="E810" s="20">
        <f t="shared" si="24"/>
        <v>0</v>
      </c>
      <c r="F810">
        <f t="shared" si="25"/>
        <v>0</v>
      </c>
    </row>
    <row r="811" spans="1:6" x14ac:dyDescent="0.35">
      <c r="A811" s="9">
        <v>68677362</v>
      </c>
      <c r="B811" s="10">
        <v>42928</v>
      </c>
      <c r="C811" s="11">
        <v>0.61534722222222227</v>
      </c>
      <c r="D811" s="12">
        <v>0.61554398148148148</v>
      </c>
      <c r="E811" s="20">
        <f t="shared" si="24"/>
        <v>0</v>
      </c>
      <c r="F811">
        <f t="shared" si="25"/>
        <v>0</v>
      </c>
    </row>
    <row r="812" spans="1:6" x14ac:dyDescent="0.35">
      <c r="A812" s="5">
        <v>6766787935</v>
      </c>
      <c r="B812" s="6">
        <v>42928</v>
      </c>
      <c r="C812" s="7">
        <v>0.62077546296296293</v>
      </c>
      <c r="D812" s="8">
        <v>0.62708333333333333</v>
      </c>
      <c r="E812" s="20">
        <f t="shared" si="24"/>
        <v>0</v>
      </c>
      <c r="F812">
        <f t="shared" si="25"/>
        <v>0</v>
      </c>
    </row>
    <row r="813" spans="1:6" x14ac:dyDescent="0.35">
      <c r="A813" s="9">
        <v>27791497</v>
      </c>
      <c r="B813" s="10">
        <v>42928</v>
      </c>
      <c r="C813" s="11">
        <v>0.62372685185185184</v>
      </c>
      <c r="D813" s="12">
        <v>0.63241898148148146</v>
      </c>
      <c r="E813" s="20">
        <f t="shared" si="24"/>
        <v>0</v>
      </c>
      <c r="F813">
        <f t="shared" si="25"/>
        <v>0</v>
      </c>
    </row>
    <row r="814" spans="1:6" x14ac:dyDescent="0.35">
      <c r="A814" s="5">
        <v>6158527</v>
      </c>
      <c r="B814" s="6">
        <v>42928</v>
      </c>
      <c r="C814" s="7">
        <v>0.62449074074074074</v>
      </c>
      <c r="D814" s="8">
        <v>0.62653935185185183</v>
      </c>
      <c r="E814" s="20">
        <f t="shared" si="24"/>
        <v>0</v>
      </c>
      <c r="F814">
        <f t="shared" si="25"/>
        <v>0</v>
      </c>
    </row>
    <row r="815" spans="1:6" x14ac:dyDescent="0.35">
      <c r="A815" s="9">
        <v>3456554</v>
      </c>
      <c r="B815" s="10">
        <v>42928</v>
      </c>
      <c r="C815" s="11">
        <v>0.62615740740740744</v>
      </c>
      <c r="D815" s="12">
        <v>0.63491898148148151</v>
      </c>
      <c r="E815" s="20">
        <f t="shared" si="24"/>
        <v>0</v>
      </c>
      <c r="F815">
        <f t="shared" si="25"/>
        <v>0</v>
      </c>
    </row>
    <row r="816" spans="1:6" x14ac:dyDescent="0.35">
      <c r="A816" s="5">
        <v>3437033</v>
      </c>
      <c r="B816" s="6">
        <v>42929</v>
      </c>
      <c r="C816" s="7">
        <v>0.33812500000000001</v>
      </c>
      <c r="D816" s="8">
        <v>0.34457175925925926</v>
      </c>
      <c r="E816" s="20">
        <f t="shared" si="24"/>
        <v>0</v>
      </c>
      <c r="F816">
        <f t="shared" si="25"/>
        <v>0</v>
      </c>
    </row>
    <row r="817" spans="1:6" x14ac:dyDescent="0.35">
      <c r="A817" s="9">
        <v>2128068</v>
      </c>
      <c r="B817" s="10">
        <v>42929</v>
      </c>
      <c r="C817" s="11">
        <v>0.34258101851851852</v>
      </c>
      <c r="D817" s="12">
        <v>0.34574074074074074</v>
      </c>
      <c r="E817" s="20">
        <f t="shared" si="24"/>
        <v>0</v>
      </c>
      <c r="F817">
        <f t="shared" si="25"/>
        <v>0</v>
      </c>
    </row>
    <row r="818" spans="1:6" x14ac:dyDescent="0.35">
      <c r="A818" s="5">
        <v>20679187</v>
      </c>
      <c r="B818" s="6">
        <v>42929</v>
      </c>
      <c r="C818" s="7">
        <v>0.34833333333333333</v>
      </c>
      <c r="D818" s="8">
        <v>0.35206018518518517</v>
      </c>
      <c r="E818" s="20">
        <f t="shared" si="24"/>
        <v>0</v>
      </c>
      <c r="F818">
        <f t="shared" si="25"/>
        <v>0</v>
      </c>
    </row>
    <row r="819" spans="1:6" x14ac:dyDescent="0.35">
      <c r="A819" s="9">
        <v>9259392564</v>
      </c>
      <c r="B819" s="10">
        <v>42929</v>
      </c>
      <c r="C819" s="11">
        <v>0.35311342592592593</v>
      </c>
      <c r="D819" s="12">
        <v>0.35888888888888887</v>
      </c>
      <c r="E819" s="20">
        <f t="shared" si="24"/>
        <v>0</v>
      </c>
      <c r="F819">
        <f t="shared" si="25"/>
        <v>0</v>
      </c>
    </row>
    <row r="820" spans="1:6" x14ac:dyDescent="0.35">
      <c r="A820" s="5">
        <v>7852624</v>
      </c>
      <c r="B820" s="6">
        <v>42929</v>
      </c>
      <c r="C820" s="7">
        <v>0.35885416666666664</v>
      </c>
      <c r="D820" s="8">
        <v>0.36913194444444447</v>
      </c>
      <c r="E820" s="20">
        <f t="shared" si="24"/>
        <v>0</v>
      </c>
      <c r="F820">
        <f t="shared" si="25"/>
        <v>0</v>
      </c>
    </row>
    <row r="821" spans="1:6" x14ac:dyDescent="0.35">
      <c r="A821" s="9">
        <v>8838584</v>
      </c>
      <c r="B821" s="10">
        <v>42929</v>
      </c>
      <c r="C821" s="11">
        <v>0.36204861111111108</v>
      </c>
      <c r="D821" s="12">
        <v>0.37230324074074073</v>
      </c>
      <c r="E821" s="20">
        <f t="shared" si="24"/>
        <v>0</v>
      </c>
      <c r="F821">
        <f t="shared" si="25"/>
        <v>0</v>
      </c>
    </row>
    <row r="822" spans="1:6" x14ac:dyDescent="0.35">
      <c r="A822" s="5">
        <v>2492731</v>
      </c>
      <c r="B822" s="6">
        <v>42929</v>
      </c>
      <c r="C822" s="7">
        <v>0.36341435185185184</v>
      </c>
      <c r="D822" s="8">
        <v>0.36506944444444445</v>
      </c>
      <c r="E822" s="20">
        <f t="shared" si="24"/>
        <v>0</v>
      </c>
      <c r="F822">
        <f t="shared" si="25"/>
        <v>0</v>
      </c>
    </row>
    <row r="823" spans="1:6" x14ac:dyDescent="0.35">
      <c r="A823" s="9">
        <v>8028777</v>
      </c>
      <c r="B823" s="10">
        <v>42929</v>
      </c>
      <c r="C823" s="11">
        <v>0.36505787037037035</v>
      </c>
      <c r="D823" s="12">
        <v>0.37204861111111109</v>
      </c>
      <c r="E823" s="20">
        <f t="shared" si="24"/>
        <v>0</v>
      </c>
      <c r="F823">
        <f t="shared" si="25"/>
        <v>0</v>
      </c>
    </row>
    <row r="824" spans="1:6" x14ac:dyDescent="0.35">
      <c r="A824" s="5">
        <v>2619219</v>
      </c>
      <c r="B824" s="6">
        <v>42929</v>
      </c>
      <c r="C824" s="7">
        <v>0.36586805555555557</v>
      </c>
      <c r="D824" s="8">
        <v>0.36783564814814818</v>
      </c>
      <c r="E824" s="20">
        <f t="shared" si="24"/>
        <v>0</v>
      </c>
      <c r="F824">
        <f t="shared" si="25"/>
        <v>0</v>
      </c>
    </row>
    <row r="825" spans="1:6" x14ac:dyDescent="0.35">
      <c r="A825" s="9">
        <v>2506618</v>
      </c>
      <c r="B825" s="10">
        <v>42929</v>
      </c>
      <c r="C825" s="11">
        <v>0.36704861111111109</v>
      </c>
      <c r="D825" s="12">
        <v>0.37783564814814813</v>
      </c>
      <c r="E825" s="20">
        <f t="shared" si="24"/>
        <v>0</v>
      </c>
      <c r="F825">
        <f t="shared" si="25"/>
        <v>0</v>
      </c>
    </row>
    <row r="826" spans="1:6" x14ac:dyDescent="0.35">
      <c r="A826" s="5">
        <v>7979313</v>
      </c>
      <c r="B826" s="6">
        <v>42929</v>
      </c>
      <c r="C826" s="7">
        <v>0.37074074074074076</v>
      </c>
      <c r="D826" s="8">
        <v>0.37601851851851853</v>
      </c>
      <c r="E826" s="20">
        <f t="shared" si="24"/>
        <v>0</v>
      </c>
      <c r="F826">
        <f t="shared" si="25"/>
        <v>0</v>
      </c>
    </row>
    <row r="827" spans="1:6" x14ac:dyDescent="0.35">
      <c r="A827" s="9">
        <v>23123600</v>
      </c>
      <c r="B827" s="10">
        <v>42929</v>
      </c>
      <c r="C827" s="11">
        <v>0.37334490740740739</v>
      </c>
      <c r="D827" s="12">
        <v>0.37408564814814815</v>
      </c>
      <c r="E827" s="20">
        <f t="shared" si="24"/>
        <v>0</v>
      </c>
      <c r="F827">
        <f t="shared" si="25"/>
        <v>0</v>
      </c>
    </row>
    <row r="828" spans="1:6" x14ac:dyDescent="0.35">
      <c r="A828" s="5">
        <v>9849476</v>
      </c>
      <c r="B828" s="6">
        <v>42929</v>
      </c>
      <c r="C828" s="7">
        <v>0.37653935185185183</v>
      </c>
      <c r="D828" s="8">
        <v>0.37709490740740742</v>
      </c>
      <c r="E828" s="20">
        <f t="shared" si="24"/>
        <v>0</v>
      </c>
      <c r="F828">
        <f t="shared" si="25"/>
        <v>0</v>
      </c>
    </row>
    <row r="829" spans="1:6" x14ac:dyDescent="0.35">
      <c r="A829" s="9">
        <v>27410048</v>
      </c>
      <c r="B829" s="10">
        <v>42929</v>
      </c>
      <c r="C829" s="11">
        <v>0.37748842592592591</v>
      </c>
      <c r="D829" s="12">
        <v>0.37763888888888891</v>
      </c>
      <c r="E829" s="20">
        <f t="shared" si="24"/>
        <v>0</v>
      </c>
      <c r="F829">
        <f t="shared" si="25"/>
        <v>0</v>
      </c>
    </row>
    <row r="830" spans="1:6" x14ac:dyDescent="0.35">
      <c r="A830" s="5">
        <v>6746757</v>
      </c>
      <c r="B830" s="6">
        <v>42929</v>
      </c>
      <c r="C830" s="7">
        <v>0.3790162037037037</v>
      </c>
      <c r="D830" s="8">
        <v>0.38123842592592594</v>
      </c>
      <c r="E830" s="20">
        <f t="shared" si="24"/>
        <v>0</v>
      </c>
      <c r="F830">
        <f t="shared" si="25"/>
        <v>0</v>
      </c>
    </row>
    <row r="831" spans="1:6" x14ac:dyDescent="0.35">
      <c r="A831" s="9">
        <v>5087066</v>
      </c>
      <c r="B831" s="10">
        <v>42929</v>
      </c>
      <c r="C831" s="11">
        <v>0.38018518518518518</v>
      </c>
      <c r="D831" s="12">
        <v>0.38339120370370372</v>
      </c>
      <c r="E831" s="20">
        <f t="shared" si="24"/>
        <v>0</v>
      </c>
      <c r="F831">
        <f t="shared" si="25"/>
        <v>0</v>
      </c>
    </row>
    <row r="832" spans="1:6" x14ac:dyDescent="0.35">
      <c r="A832" s="5">
        <v>9680416</v>
      </c>
      <c r="B832" s="6">
        <v>42929</v>
      </c>
      <c r="C832" s="7">
        <v>0.38480324074074074</v>
      </c>
      <c r="D832" s="8">
        <v>0.39057870370370368</v>
      </c>
      <c r="E832" s="20">
        <f t="shared" si="24"/>
        <v>0</v>
      </c>
      <c r="F832">
        <f t="shared" si="25"/>
        <v>0</v>
      </c>
    </row>
    <row r="833" spans="1:6" x14ac:dyDescent="0.35">
      <c r="A833" s="9">
        <v>9356216</v>
      </c>
      <c r="B833" s="10">
        <v>42929</v>
      </c>
      <c r="C833" s="11">
        <v>0.38966435185185183</v>
      </c>
      <c r="D833" s="12">
        <v>0.40104166666666669</v>
      </c>
      <c r="E833" s="20">
        <f t="shared" si="24"/>
        <v>0</v>
      </c>
      <c r="F833">
        <f t="shared" si="25"/>
        <v>0</v>
      </c>
    </row>
    <row r="834" spans="1:6" x14ac:dyDescent="0.35">
      <c r="A834" s="5">
        <v>7415603</v>
      </c>
      <c r="B834" s="6">
        <v>42929</v>
      </c>
      <c r="C834" s="7">
        <v>0.39194444444444443</v>
      </c>
      <c r="D834" s="8">
        <v>0.39535879629629628</v>
      </c>
      <c r="E834" s="20">
        <f t="shared" si="24"/>
        <v>0</v>
      </c>
      <c r="F834">
        <f t="shared" si="25"/>
        <v>0</v>
      </c>
    </row>
    <row r="835" spans="1:6" x14ac:dyDescent="0.35">
      <c r="A835" s="9">
        <v>28145499</v>
      </c>
      <c r="B835" s="10">
        <v>42929</v>
      </c>
      <c r="C835" s="11">
        <v>0.3972222222222222</v>
      </c>
      <c r="D835" s="12">
        <v>0.40084490740740741</v>
      </c>
      <c r="E835" s="20">
        <f t="shared" ref="E835:E898" si="26">IF(F835=1,D835-C835,0)</f>
        <v>0</v>
      </c>
      <c r="F835">
        <f t="shared" ref="F835:F898" si="27">IF(AND(LEN(A835)=7,LEFT(A835,2) = "12"),1,0)</f>
        <v>0</v>
      </c>
    </row>
    <row r="836" spans="1:6" x14ac:dyDescent="0.35">
      <c r="A836" s="5">
        <v>61527800</v>
      </c>
      <c r="B836" s="6">
        <v>42929</v>
      </c>
      <c r="C836" s="7">
        <v>0.39988425925925924</v>
      </c>
      <c r="D836" s="8">
        <v>0.4100462962962963</v>
      </c>
      <c r="E836" s="20">
        <f t="shared" si="26"/>
        <v>0</v>
      </c>
      <c r="F836">
        <f t="shared" si="27"/>
        <v>0</v>
      </c>
    </row>
    <row r="837" spans="1:6" x14ac:dyDescent="0.35">
      <c r="A837" s="9">
        <v>4873703</v>
      </c>
      <c r="B837" s="10">
        <v>42929</v>
      </c>
      <c r="C837" s="11">
        <v>0.40539351851851851</v>
      </c>
      <c r="D837" s="12">
        <v>0.4143634259259259</v>
      </c>
      <c r="E837" s="20">
        <f t="shared" si="26"/>
        <v>0</v>
      </c>
      <c r="F837">
        <f t="shared" si="27"/>
        <v>0</v>
      </c>
    </row>
    <row r="838" spans="1:6" x14ac:dyDescent="0.35">
      <c r="A838" s="5">
        <v>43019885</v>
      </c>
      <c r="B838" s="6">
        <v>42929</v>
      </c>
      <c r="C838" s="7">
        <v>0.4064814814814815</v>
      </c>
      <c r="D838" s="8">
        <v>0.41630787037037037</v>
      </c>
      <c r="E838" s="20">
        <f t="shared" si="26"/>
        <v>0</v>
      </c>
      <c r="F838">
        <f t="shared" si="27"/>
        <v>0</v>
      </c>
    </row>
    <row r="839" spans="1:6" x14ac:dyDescent="0.35">
      <c r="A839" s="9">
        <v>7388260</v>
      </c>
      <c r="B839" s="10">
        <v>42929</v>
      </c>
      <c r="C839" s="11">
        <v>0.41149305555555554</v>
      </c>
      <c r="D839" s="12">
        <v>0.41928240740740741</v>
      </c>
      <c r="E839" s="20">
        <f t="shared" si="26"/>
        <v>0</v>
      </c>
      <c r="F839">
        <f t="shared" si="27"/>
        <v>0</v>
      </c>
    </row>
    <row r="840" spans="1:6" x14ac:dyDescent="0.35">
      <c r="A840" s="5">
        <v>4581715</v>
      </c>
      <c r="B840" s="6">
        <v>42929</v>
      </c>
      <c r="C840" s="7">
        <v>0.41172453703703704</v>
      </c>
      <c r="D840" s="8">
        <v>0.42146990740740742</v>
      </c>
      <c r="E840" s="20">
        <f t="shared" si="26"/>
        <v>0</v>
      </c>
      <c r="F840">
        <f t="shared" si="27"/>
        <v>0</v>
      </c>
    </row>
    <row r="841" spans="1:6" x14ac:dyDescent="0.35">
      <c r="A841" s="9">
        <v>58420185</v>
      </c>
      <c r="B841" s="10">
        <v>42929</v>
      </c>
      <c r="C841" s="11">
        <v>0.41729166666666667</v>
      </c>
      <c r="D841" s="12">
        <v>0.42122685185185182</v>
      </c>
      <c r="E841" s="20">
        <f t="shared" si="26"/>
        <v>0</v>
      </c>
      <c r="F841">
        <f t="shared" si="27"/>
        <v>0</v>
      </c>
    </row>
    <row r="842" spans="1:6" x14ac:dyDescent="0.35">
      <c r="A842" s="5">
        <v>45948073</v>
      </c>
      <c r="B842" s="6">
        <v>42929</v>
      </c>
      <c r="C842" s="7">
        <v>0.41979166666666667</v>
      </c>
      <c r="D842" s="8">
        <v>0.42586805555555557</v>
      </c>
      <c r="E842" s="20">
        <f t="shared" si="26"/>
        <v>0</v>
      </c>
      <c r="F842">
        <f t="shared" si="27"/>
        <v>0</v>
      </c>
    </row>
    <row r="843" spans="1:6" x14ac:dyDescent="0.35">
      <c r="A843" s="9">
        <v>4473835</v>
      </c>
      <c r="B843" s="10">
        <v>42929</v>
      </c>
      <c r="C843" s="11">
        <v>0.42091435185185183</v>
      </c>
      <c r="D843" s="12">
        <v>0.42609953703703701</v>
      </c>
      <c r="E843" s="20">
        <f t="shared" si="26"/>
        <v>0</v>
      </c>
      <c r="F843">
        <f t="shared" si="27"/>
        <v>0</v>
      </c>
    </row>
    <row r="844" spans="1:6" x14ac:dyDescent="0.35">
      <c r="A844" s="5">
        <v>7739841</v>
      </c>
      <c r="B844" s="6">
        <v>42929</v>
      </c>
      <c r="C844" s="7">
        <v>0.42418981481481483</v>
      </c>
      <c r="D844" s="8">
        <v>0.42598379629629629</v>
      </c>
      <c r="E844" s="20">
        <f t="shared" si="26"/>
        <v>0</v>
      </c>
      <c r="F844">
        <f t="shared" si="27"/>
        <v>0</v>
      </c>
    </row>
    <row r="845" spans="1:6" x14ac:dyDescent="0.35">
      <c r="A845" s="9">
        <v>6275284312</v>
      </c>
      <c r="B845" s="10">
        <v>42929</v>
      </c>
      <c r="C845" s="11">
        <v>0.4291550925925926</v>
      </c>
      <c r="D845" s="12">
        <v>0.4339351851851852</v>
      </c>
      <c r="E845" s="20">
        <f t="shared" si="26"/>
        <v>0</v>
      </c>
      <c r="F845">
        <f t="shared" si="27"/>
        <v>0</v>
      </c>
    </row>
    <row r="846" spans="1:6" x14ac:dyDescent="0.35">
      <c r="A846" s="5">
        <v>1692981</v>
      </c>
      <c r="B846" s="6">
        <v>42929</v>
      </c>
      <c r="C846" s="7">
        <v>0.43297453703703703</v>
      </c>
      <c r="D846" s="8">
        <v>0.43424768518518519</v>
      </c>
      <c r="E846" s="20">
        <f t="shared" si="26"/>
        <v>0</v>
      </c>
      <c r="F846">
        <f t="shared" si="27"/>
        <v>0</v>
      </c>
    </row>
    <row r="847" spans="1:6" x14ac:dyDescent="0.35">
      <c r="A847" s="9">
        <v>9270571</v>
      </c>
      <c r="B847" s="10">
        <v>42929</v>
      </c>
      <c r="C847" s="11">
        <v>0.43782407407407409</v>
      </c>
      <c r="D847" s="12">
        <v>0.44560185185185186</v>
      </c>
      <c r="E847" s="20">
        <f t="shared" si="26"/>
        <v>0</v>
      </c>
      <c r="F847">
        <f t="shared" si="27"/>
        <v>0</v>
      </c>
    </row>
    <row r="848" spans="1:6" x14ac:dyDescent="0.35">
      <c r="A848" s="5">
        <v>6299545</v>
      </c>
      <c r="B848" s="6">
        <v>42929</v>
      </c>
      <c r="C848" s="7">
        <v>0.43986111111111109</v>
      </c>
      <c r="D848" s="8">
        <v>0.44298611111111114</v>
      </c>
      <c r="E848" s="20">
        <f t="shared" si="26"/>
        <v>0</v>
      </c>
      <c r="F848">
        <f t="shared" si="27"/>
        <v>0</v>
      </c>
    </row>
    <row r="849" spans="1:6" x14ac:dyDescent="0.35">
      <c r="A849" s="9">
        <v>67064385</v>
      </c>
      <c r="B849" s="10">
        <v>42929</v>
      </c>
      <c r="C849" s="11">
        <v>0.44278935185185186</v>
      </c>
      <c r="D849" s="12">
        <v>0.44480324074074074</v>
      </c>
      <c r="E849" s="20">
        <f t="shared" si="26"/>
        <v>0</v>
      </c>
      <c r="F849">
        <f t="shared" si="27"/>
        <v>0</v>
      </c>
    </row>
    <row r="850" spans="1:6" x14ac:dyDescent="0.35">
      <c r="A850" s="5">
        <v>4062215</v>
      </c>
      <c r="B850" s="6">
        <v>42929</v>
      </c>
      <c r="C850" s="7">
        <v>0.44732638888888887</v>
      </c>
      <c r="D850" s="8">
        <v>0.45466435185185183</v>
      </c>
      <c r="E850" s="20">
        <f t="shared" si="26"/>
        <v>0</v>
      </c>
      <c r="F850">
        <f t="shared" si="27"/>
        <v>0</v>
      </c>
    </row>
    <row r="851" spans="1:6" x14ac:dyDescent="0.35">
      <c r="A851" s="9">
        <v>2835355</v>
      </c>
      <c r="B851" s="10">
        <v>42929</v>
      </c>
      <c r="C851" s="11">
        <v>0.45131944444444444</v>
      </c>
      <c r="D851" s="12">
        <v>0.45689814814814816</v>
      </c>
      <c r="E851" s="20">
        <f t="shared" si="26"/>
        <v>0</v>
      </c>
      <c r="F851">
        <f t="shared" si="27"/>
        <v>0</v>
      </c>
    </row>
    <row r="852" spans="1:6" x14ac:dyDescent="0.35">
      <c r="A852" s="5">
        <v>9283739</v>
      </c>
      <c r="B852" s="6">
        <v>42929</v>
      </c>
      <c r="C852" s="7">
        <v>0.45489583333333333</v>
      </c>
      <c r="D852" s="8">
        <v>0.46451388888888889</v>
      </c>
      <c r="E852" s="20">
        <f t="shared" si="26"/>
        <v>0</v>
      </c>
      <c r="F852">
        <f t="shared" si="27"/>
        <v>0</v>
      </c>
    </row>
    <row r="853" spans="1:6" x14ac:dyDescent="0.35">
      <c r="A853" s="9">
        <v>7118082</v>
      </c>
      <c r="B853" s="10">
        <v>42929</v>
      </c>
      <c r="C853" s="11">
        <v>0.45682870370370371</v>
      </c>
      <c r="D853" s="12">
        <v>0.4664699074074074</v>
      </c>
      <c r="E853" s="20">
        <f t="shared" si="26"/>
        <v>0</v>
      </c>
      <c r="F853">
        <f t="shared" si="27"/>
        <v>0</v>
      </c>
    </row>
    <row r="854" spans="1:6" x14ac:dyDescent="0.35">
      <c r="A854" s="5">
        <v>30178521</v>
      </c>
      <c r="B854" s="6">
        <v>42929</v>
      </c>
      <c r="C854" s="7">
        <v>0.45968750000000003</v>
      </c>
      <c r="D854" s="8">
        <v>0.46520833333333333</v>
      </c>
      <c r="E854" s="20">
        <f t="shared" si="26"/>
        <v>0</v>
      </c>
      <c r="F854">
        <f t="shared" si="27"/>
        <v>0</v>
      </c>
    </row>
    <row r="855" spans="1:6" x14ac:dyDescent="0.35">
      <c r="A855" s="9">
        <v>5014399</v>
      </c>
      <c r="B855" s="10">
        <v>42929</v>
      </c>
      <c r="C855" s="11">
        <v>0.46444444444444444</v>
      </c>
      <c r="D855" s="12">
        <v>0.46787037037037038</v>
      </c>
      <c r="E855" s="20">
        <f t="shared" si="26"/>
        <v>0</v>
      </c>
      <c r="F855">
        <f t="shared" si="27"/>
        <v>0</v>
      </c>
    </row>
    <row r="856" spans="1:6" x14ac:dyDescent="0.35">
      <c r="A856" s="5">
        <v>3984696</v>
      </c>
      <c r="B856" s="6">
        <v>42929</v>
      </c>
      <c r="C856" s="7">
        <v>0.46581018518518519</v>
      </c>
      <c r="D856" s="8">
        <v>0.46589120370370368</v>
      </c>
      <c r="E856" s="20">
        <f t="shared" si="26"/>
        <v>0</v>
      </c>
      <c r="F856">
        <f t="shared" si="27"/>
        <v>0</v>
      </c>
    </row>
    <row r="857" spans="1:6" x14ac:dyDescent="0.35">
      <c r="A857" s="9">
        <v>53386383</v>
      </c>
      <c r="B857" s="10">
        <v>42929</v>
      </c>
      <c r="C857" s="11">
        <v>0.47099537037037037</v>
      </c>
      <c r="D857" s="12">
        <v>0.47175925925925927</v>
      </c>
      <c r="E857" s="20">
        <f t="shared" si="26"/>
        <v>0</v>
      </c>
      <c r="F857">
        <f t="shared" si="27"/>
        <v>0</v>
      </c>
    </row>
    <row r="858" spans="1:6" x14ac:dyDescent="0.35">
      <c r="A858" s="5">
        <v>8733120283</v>
      </c>
      <c r="B858" s="6">
        <v>42929</v>
      </c>
      <c r="C858" s="7">
        <v>0.47134259259259259</v>
      </c>
      <c r="D858" s="8">
        <v>0.47659722222222223</v>
      </c>
      <c r="E858" s="20">
        <f t="shared" si="26"/>
        <v>0</v>
      </c>
      <c r="F858">
        <f t="shared" si="27"/>
        <v>0</v>
      </c>
    </row>
    <row r="859" spans="1:6" x14ac:dyDescent="0.35">
      <c r="A859" s="9">
        <v>6934405</v>
      </c>
      <c r="B859" s="10">
        <v>42929</v>
      </c>
      <c r="C859" s="11">
        <v>0.47321759259259261</v>
      </c>
      <c r="D859" s="12">
        <v>0.48008101851851853</v>
      </c>
      <c r="E859" s="20">
        <f t="shared" si="26"/>
        <v>0</v>
      </c>
      <c r="F859">
        <f t="shared" si="27"/>
        <v>0</v>
      </c>
    </row>
    <row r="860" spans="1:6" x14ac:dyDescent="0.35">
      <c r="A860" s="5">
        <v>54136845</v>
      </c>
      <c r="B860" s="6">
        <v>42929</v>
      </c>
      <c r="C860" s="7">
        <v>0.47890046296296296</v>
      </c>
      <c r="D860" s="8">
        <v>0.48042824074074075</v>
      </c>
      <c r="E860" s="20">
        <f t="shared" si="26"/>
        <v>0</v>
      </c>
      <c r="F860">
        <f t="shared" si="27"/>
        <v>0</v>
      </c>
    </row>
    <row r="861" spans="1:6" x14ac:dyDescent="0.35">
      <c r="A861" s="9">
        <v>76310343</v>
      </c>
      <c r="B861" s="10">
        <v>42929</v>
      </c>
      <c r="C861" s="11">
        <v>0.48312500000000003</v>
      </c>
      <c r="D861" s="12">
        <v>0.4889236111111111</v>
      </c>
      <c r="E861" s="20">
        <f t="shared" si="26"/>
        <v>0</v>
      </c>
      <c r="F861">
        <f t="shared" si="27"/>
        <v>0</v>
      </c>
    </row>
    <row r="862" spans="1:6" x14ac:dyDescent="0.35">
      <c r="A862" s="5">
        <v>9005999</v>
      </c>
      <c r="B862" s="6">
        <v>42929</v>
      </c>
      <c r="C862" s="7">
        <v>0.4878587962962963</v>
      </c>
      <c r="D862" s="8">
        <v>0.49609953703703702</v>
      </c>
      <c r="E862" s="20">
        <f t="shared" si="26"/>
        <v>0</v>
      </c>
      <c r="F862">
        <f t="shared" si="27"/>
        <v>0</v>
      </c>
    </row>
    <row r="863" spans="1:6" x14ac:dyDescent="0.35">
      <c r="A863" s="9">
        <v>7763451</v>
      </c>
      <c r="B863" s="10">
        <v>42929</v>
      </c>
      <c r="C863" s="11">
        <v>0.4911226851851852</v>
      </c>
      <c r="D863" s="12">
        <v>0.49859953703703702</v>
      </c>
      <c r="E863" s="20">
        <f t="shared" si="26"/>
        <v>0</v>
      </c>
      <c r="F863">
        <f t="shared" si="27"/>
        <v>0</v>
      </c>
    </row>
    <row r="864" spans="1:6" x14ac:dyDescent="0.35">
      <c r="A864" s="5">
        <v>3765001</v>
      </c>
      <c r="B864" s="6">
        <v>42929</v>
      </c>
      <c r="C864" s="7">
        <v>0.49283564814814818</v>
      </c>
      <c r="D864" s="8">
        <v>0.50396990740740744</v>
      </c>
      <c r="E864" s="20">
        <f t="shared" si="26"/>
        <v>0</v>
      </c>
      <c r="F864">
        <f t="shared" si="27"/>
        <v>0</v>
      </c>
    </row>
    <row r="865" spans="1:6" x14ac:dyDescent="0.35">
      <c r="A865" s="9">
        <v>8498076</v>
      </c>
      <c r="B865" s="10">
        <v>42929</v>
      </c>
      <c r="C865" s="11">
        <v>0.49493055555555554</v>
      </c>
      <c r="D865" s="12">
        <v>0.49898148148148147</v>
      </c>
      <c r="E865" s="20">
        <f t="shared" si="26"/>
        <v>0</v>
      </c>
      <c r="F865">
        <f t="shared" si="27"/>
        <v>0</v>
      </c>
    </row>
    <row r="866" spans="1:6" x14ac:dyDescent="0.35">
      <c r="A866" s="5">
        <v>4995171</v>
      </c>
      <c r="B866" s="6">
        <v>42929</v>
      </c>
      <c r="C866" s="7">
        <v>0.5006018518518518</v>
      </c>
      <c r="D866" s="8">
        <v>0.50388888888888894</v>
      </c>
      <c r="E866" s="20">
        <f t="shared" si="26"/>
        <v>0</v>
      </c>
      <c r="F866">
        <f t="shared" si="27"/>
        <v>0</v>
      </c>
    </row>
    <row r="867" spans="1:6" x14ac:dyDescent="0.35">
      <c r="A867" s="9">
        <v>8929993</v>
      </c>
      <c r="B867" s="10">
        <v>42929</v>
      </c>
      <c r="C867" s="11">
        <v>0.50173611111111116</v>
      </c>
      <c r="D867" s="12">
        <v>0.50722222222222224</v>
      </c>
      <c r="E867" s="20">
        <f t="shared" si="26"/>
        <v>0</v>
      </c>
      <c r="F867">
        <f t="shared" si="27"/>
        <v>0</v>
      </c>
    </row>
    <row r="868" spans="1:6" x14ac:dyDescent="0.35">
      <c r="A868" s="5">
        <v>7473804</v>
      </c>
      <c r="B868" s="6">
        <v>42929</v>
      </c>
      <c r="C868" s="7">
        <v>0.50675925925925924</v>
      </c>
      <c r="D868" s="8">
        <v>0.5138194444444445</v>
      </c>
      <c r="E868" s="20">
        <f t="shared" si="26"/>
        <v>0</v>
      </c>
      <c r="F868">
        <f t="shared" si="27"/>
        <v>0</v>
      </c>
    </row>
    <row r="869" spans="1:6" x14ac:dyDescent="0.35">
      <c r="A869" s="9">
        <v>1816002</v>
      </c>
      <c r="B869" s="10">
        <v>42929</v>
      </c>
      <c r="C869" s="11">
        <v>0.50732638888888892</v>
      </c>
      <c r="D869" s="12">
        <v>0.51005787037037043</v>
      </c>
      <c r="E869" s="20">
        <f t="shared" si="26"/>
        <v>0</v>
      </c>
      <c r="F869">
        <f t="shared" si="27"/>
        <v>0</v>
      </c>
    </row>
    <row r="870" spans="1:6" x14ac:dyDescent="0.35">
      <c r="A870" s="5">
        <v>4133182</v>
      </c>
      <c r="B870" s="6">
        <v>42929</v>
      </c>
      <c r="C870" s="7">
        <v>0.51061342592592596</v>
      </c>
      <c r="D870" s="8">
        <v>0.5118287037037037</v>
      </c>
      <c r="E870" s="20">
        <f t="shared" si="26"/>
        <v>0</v>
      </c>
      <c r="F870">
        <f t="shared" si="27"/>
        <v>0</v>
      </c>
    </row>
    <row r="871" spans="1:6" x14ac:dyDescent="0.35">
      <c r="A871" s="9">
        <v>63141248</v>
      </c>
      <c r="B871" s="10">
        <v>42929</v>
      </c>
      <c r="C871" s="11">
        <v>0.51224537037037032</v>
      </c>
      <c r="D871" s="12">
        <v>0.51730324074074074</v>
      </c>
      <c r="E871" s="20">
        <f t="shared" si="26"/>
        <v>0</v>
      </c>
      <c r="F871">
        <f t="shared" si="27"/>
        <v>0</v>
      </c>
    </row>
    <row r="872" spans="1:6" x14ac:dyDescent="0.35">
      <c r="A872" s="5">
        <v>7384686</v>
      </c>
      <c r="B872" s="6">
        <v>42929</v>
      </c>
      <c r="C872" s="7">
        <v>0.51616898148148149</v>
      </c>
      <c r="D872" s="8">
        <v>0.52461805555555552</v>
      </c>
      <c r="E872" s="20">
        <f t="shared" si="26"/>
        <v>0</v>
      </c>
      <c r="F872">
        <f t="shared" si="27"/>
        <v>0</v>
      </c>
    </row>
    <row r="873" spans="1:6" x14ac:dyDescent="0.35">
      <c r="A873" s="9">
        <v>3150344</v>
      </c>
      <c r="B873" s="10">
        <v>42929</v>
      </c>
      <c r="C873" s="11">
        <v>0.51709490740740738</v>
      </c>
      <c r="D873" s="12">
        <v>0.52684027777777775</v>
      </c>
      <c r="E873" s="20">
        <f t="shared" si="26"/>
        <v>0</v>
      </c>
      <c r="F873">
        <f t="shared" si="27"/>
        <v>0</v>
      </c>
    </row>
    <row r="874" spans="1:6" x14ac:dyDescent="0.35">
      <c r="A874" s="5">
        <v>6786847</v>
      </c>
      <c r="B874" s="6">
        <v>42929</v>
      </c>
      <c r="C874" s="7">
        <v>0.51986111111111111</v>
      </c>
      <c r="D874" s="8">
        <v>0.52924768518518517</v>
      </c>
      <c r="E874" s="20">
        <f t="shared" si="26"/>
        <v>0</v>
      </c>
      <c r="F874">
        <f t="shared" si="27"/>
        <v>0</v>
      </c>
    </row>
    <row r="875" spans="1:6" x14ac:dyDescent="0.35">
      <c r="A875" s="9">
        <v>2947889</v>
      </c>
      <c r="B875" s="10">
        <v>42929</v>
      </c>
      <c r="C875" s="11">
        <v>0.5232175925925926</v>
      </c>
      <c r="D875" s="12">
        <v>0.52965277777777775</v>
      </c>
      <c r="E875" s="20">
        <f t="shared" si="26"/>
        <v>0</v>
      </c>
      <c r="F875">
        <f t="shared" si="27"/>
        <v>0</v>
      </c>
    </row>
    <row r="876" spans="1:6" x14ac:dyDescent="0.35">
      <c r="A876" s="5">
        <v>28961250</v>
      </c>
      <c r="B876" s="6">
        <v>42929</v>
      </c>
      <c r="C876" s="7">
        <v>0.52353009259259264</v>
      </c>
      <c r="D876" s="8">
        <v>0.53097222222222218</v>
      </c>
      <c r="E876" s="20">
        <f t="shared" si="26"/>
        <v>0</v>
      </c>
      <c r="F876">
        <f t="shared" si="27"/>
        <v>0</v>
      </c>
    </row>
    <row r="877" spans="1:6" x14ac:dyDescent="0.35">
      <c r="A877" s="9">
        <v>3328479</v>
      </c>
      <c r="B877" s="10">
        <v>42929</v>
      </c>
      <c r="C877" s="11">
        <v>0.52668981481481481</v>
      </c>
      <c r="D877" s="12">
        <v>0.53594907407407411</v>
      </c>
      <c r="E877" s="20">
        <f t="shared" si="26"/>
        <v>0</v>
      </c>
      <c r="F877">
        <f t="shared" si="27"/>
        <v>0</v>
      </c>
    </row>
    <row r="878" spans="1:6" x14ac:dyDescent="0.35">
      <c r="A878" s="5">
        <v>61322035</v>
      </c>
      <c r="B878" s="6">
        <v>42929</v>
      </c>
      <c r="C878" s="7">
        <v>0.52906249999999999</v>
      </c>
      <c r="D878" s="8">
        <v>0.5294444444444445</v>
      </c>
      <c r="E878" s="20">
        <f t="shared" si="26"/>
        <v>0</v>
      </c>
      <c r="F878">
        <f t="shared" si="27"/>
        <v>0</v>
      </c>
    </row>
    <row r="879" spans="1:6" x14ac:dyDescent="0.35">
      <c r="A879" s="9">
        <v>40308049</v>
      </c>
      <c r="B879" s="10">
        <v>42929</v>
      </c>
      <c r="C879" s="11">
        <v>0.53047453703703706</v>
      </c>
      <c r="D879" s="12">
        <v>0.53797453703703701</v>
      </c>
      <c r="E879" s="20">
        <f t="shared" si="26"/>
        <v>0</v>
      </c>
      <c r="F879">
        <f t="shared" si="27"/>
        <v>0</v>
      </c>
    </row>
    <row r="880" spans="1:6" x14ac:dyDescent="0.35">
      <c r="A880" s="5">
        <v>7066778</v>
      </c>
      <c r="B880" s="6">
        <v>42929</v>
      </c>
      <c r="C880" s="7">
        <v>0.53484953703703708</v>
      </c>
      <c r="D880" s="8">
        <v>0.538599537037037</v>
      </c>
      <c r="E880" s="20">
        <f t="shared" si="26"/>
        <v>0</v>
      </c>
      <c r="F880">
        <f t="shared" si="27"/>
        <v>0</v>
      </c>
    </row>
    <row r="881" spans="1:6" x14ac:dyDescent="0.35">
      <c r="A881" s="9">
        <v>3434934</v>
      </c>
      <c r="B881" s="10">
        <v>42929</v>
      </c>
      <c r="C881" s="11">
        <v>0.54039351851851847</v>
      </c>
      <c r="D881" s="12">
        <v>0.55039351851851848</v>
      </c>
      <c r="E881" s="20">
        <f t="shared" si="26"/>
        <v>0</v>
      </c>
      <c r="F881">
        <f t="shared" si="27"/>
        <v>0</v>
      </c>
    </row>
    <row r="882" spans="1:6" x14ac:dyDescent="0.35">
      <c r="A882" s="5">
        <v>3017523</v>
      </c>
      <c r="B882" s="6">
        <v>42929</v>
      </c>
      <c r="C882" s="7">
        <v>0.54342592592592598</v>
      </c>
      <c r="D882" s="8">
        <v>0.54971064814814818</v>
      </c>
      <c r="E882" s="20">
        <f t="shared" si="26"/>
        <v>0</v>
      </c>
      <c r="F882">
        <f t="shared" si="27"/>
        <v>0</v>
      </c>
    </row>
    <row r="883" spans="1:6" x14ac:dyDescent="0.35">
      <c r="A883" s="9">
        <v>26699217</v>
      </c>
      <c r="B883" s="10">
        <v>42929</v>
      </c>
      <c r="C883" s="11">
        <v>0.5471759259259259</v>
      </c>
      <c r="D883" s="12">
        <v>0.55871527777777774</v>
      </c>
      <c r="E883" s="20">
        <f t="shared" si="26"/>
        <v>0</v>
      </c>
      <c r="F883">
        <f t="shared" si="27"/>
        <v>0</v>
      </c>
    </row>
    <row r="884" spans="1:6" x14ac:dyDescent="0.35">
      <c r="A884" s="5">
        <v>3192836</v>
      </c>
      <c r="B884" s="6">
        <v>42929</v>
      </c>
      <c r="C884" s="7">
        <v>0.54806712962962967</v>
      </c>
      <c r="D884" s="8">
        <v>0.54826388888888888</v>
      </c>
      <c r="E884" s="20">
        <f t="shared" si="26"/>
        <v>0</v>
      </c>
      <c r="F884">
        <f t="shared" si="27"/>
        <v>0</v>
      </c>
    </row>
    <row r="885" spans="1:6" x14ac:dyDescent="0.35">
      <c r="A885" s="9">
        <v>6979384</v>
      </c>
      <c r="B885" s="10">
        <v>42929</v>
      </c>
      <c r="C885" s="11">
        <v>0.55315972222222221</v>
      </c>
      <c r="D885" s="12">
        <v>0.56252314814814819</v>
      </c>
      <c r="E885" s="20">
        <f t="shared" si="26"/>
        <v>0</v>
      </c>
      <c r="F885">
        <f t="shared" si="27"/>
        <v>0</v>
      </c>
    </row>
    <row r="886" spans="1:6" x14ac:dyDescent="0.35">
      <c r="A886" s="5">
        <v>5277660</v>
      </c>
      <c r="B886" s="6">
        <v>42929</v>
      </c>
      <c r="C886" s="7">
        <v>0.55543981481481486</v>
      </c>
      <c r="D886" s="8">
        <v>0.56340277777777781</v>
      </c>
      <c r="E886" s="20">
        <f t="shared" si="26"/>
        <v>0</v>
      </c>
      <c r="F886">
        <f t="shared" si="27"/>
        <v>0</v>
      </c>
    </row>
    <row r="887" spans="1:6" x14ac:dyDescent="0.35">
      <c r="A887" s="9">
        <v>9543572</v>
      </c>
      <c r="B887" s="10">
        <v>42929</v>
      </c>
      <c r="C887" s="11">
        <v>0.55556712962962962</v>
      </c>
      <c r="D887" s="12">
        <v>0.56344907407407407</v>
      </c>
      <c r="E887" s="20">
        <f t="shared" si="26"/>
        <v>0</v>
      </c>
      <c r="F887">
        <f t="shared" si="27"/>
        <v>0</v>
      </c>
    </row>
    <row r="888" spans="1:6" x14ac:dyDescent="0.35">
      <c r="A888" s="5">
        <v>3984696</v>
      </c>
      <c r="B888" s="6">
        <v>42929</v>
      </c>
      <c r="C888" s="7">
        <v>0.55923611111111116</v>
      </c>
      <c r="D888" s="8">
        <v>0.5665162037037037</v>
      </c>
      <c r="E888" s="20">
        <f t="shared" si="26"/>
        <v>0</v>
      </c>
      <c r="F888">
        <f t="shared" si="27"/>
        <v>0</v>
      </c>
    </row>
    <row r="889" spans="1:6" x14ac:dyDescent="0.35">
      <c r="A889" s="9">
        <v>47855743</v>
      </c>
      <c r="B889" s="10">
        <v>42929</v>
      </c>
      <c r="C889" s="11">
        <v>0.56371527777777775</v>
      </c>
      <c r="D889" s="12">
        <v>0.57344907407407408</v>
      </c>
      <c r="E889" s="20">
        <f t="shared" si="26"/>
        <v>0</v>
      </c>
      <c r="F889">
        <f t="shared" si="27"/>
        <v>0</v>
      </c>
    </row>
    <row r="890" spans="1:6" x14ac:dyDescent="0.35">
      <c r="A890" s="5">
        <v>3095218</v>
      </c>
      <c r="B890" s="6">
        <v>42929</v>
      </c>
      <c r="C890" s="7">
        <v>0.56581018518518522</v>
      </c>
      <c r="D890" s="8">
        <v>0.57694444444444448</v>
      </c>
      <c r="E890" s="20">
        <f t="shared" si="26"/>
        <v>0</v>
      </c>
      <c r="F890">
        <f t="shared" si="27"/>
        <v>0</v>
      </c>
    </row>
    <row r="891" spans="1:6" x14ac:dyDescent="0.35">
      <c r="A891" s="9">
        <v>7933399</v>
      </c>
      <c r="B891" s="10">
        <v>42929</v>
      </c>
      <c r="C891" s="11">
        <v>0.57054398148148144</v>
      </c>
      <c r="D891" s="12">
        <v>0.57388888888888889</v>
      </c>
      <c r="E891" s="20">
        <f t="shared" si="26"/>
        <v>0</v>
      </c>
      <c r="F891">
        <f t="shared" si="27"/>
        <v>0</v>
      </c>
    </row>
    <row r="892" spans="1:6" x14ac:dyDescent="0.35">
      <c r="A892" s="5">
        <v>54821549</v>
      </c>
      <c r="B892" s="6">
        <v>42929</v>
      </c>
      <c r="C892" s="7">
        <v>0.57287037037037036</v>
      </c>
      <c r="D892" s="8">
        <v>0.57663194444444443</v>
      </c>
      <c r="E892" s="20">
        <f t="shared" si="26"/>
        <v>0</v>
      </c>
      <c r="F892">
        <f t="shared" si="27"/>
        <v>0</v>
      </c>
    </row>
    <row r="893" spans="1:6" x14ac:dyDescent="0.35">
      <c r="A893" s="9">
        <v>14919021</v>
      </c>
      <c r="B893" s="10">
        <v>42929</v>
      </c>
      <c r="C893" s="11">
        <v>0.57331018518518517</v>
      </c>
      <c r="D893" s="12">
        <v>0.57547453703703699</v>
      </c>
      <c r="E893" s="20">
        <f t="shared" si="26"/>
        <v>0</v>
      </c>
      <c r="F893">
        <f t="shared" si="27"/>
        <v>0</v>
      </c>
    </row>
    <row r="894" spans="1:6" x14ac:dyDescent="0.35">
      <c r="A894" s="5">
        <v>9175377</v>
      </c>
      <c r="B894" s="6">
        <v>42929</v>
      </c>
      <c r="C894" s="7">
        <v>0.57648148148148148</v>
      </c>
      <c r="D894" s="8">
        <v>0.57916666666666672</v>
      </c>
      <c r="E894" s="20">
        <f t="shared" si="26"/>
        <v>0</v>
      </c>
      <c r="F894">
        <f t="shared" si="27"/>
        <v>0</v>
      </c>
    </row>
    <row r="895" spans="1:6" x14ac:dyDescent="0.35">
      <c r="A895" s="9">
        <v>3656681</v>
      </c>
      <c r="B895" s="10">
        <v>42929</v>
      </c>
      <c r="C895" s="11">
        <v>0.58067129629629632</v>
      </c>
      <c r="D895" s="12">
        <v>0.59149305555555554</v>
      </c>
      <c r="E895" s="20">
        <f t="shared" si="26"/>
        <v>0</v>
      </c>
      <c r="F895">
        <f t="shared" si="27"/>
        <v>0</v>
      </c>
    </row>
    <row r="896" spans="1:6" x14ac:dyDescent="0.35">
      <c r="A896" s="5">
        <v>5741700</v>
      </c>
      <c r="B896" s="6">
        <v>42929</v>
      </c>
      <c r="C896" s="7">
        <v>0.58644675925925926</v>
      </c>
      <c r="D896" s="8">
        <v>0.5978472222222222</v>
      </c>
      <c r="E896" s="20">
        <f t="shared" si="26"/>
        <v>0</v>
      </c>
      <c r="F896">
        <f t="shared" si="27"/>
        <v>0</v>
      </c>
    </row>
    <row r="897" spans="1:6" x14ac:dyDescent="0.35">
      <c r="A897" s="9">
        <v>18816694</v>
      </c>
      <c r="B897" s="10">
        <v>42929</v>
      </c>
      <c r="C897" s="11">
        <v>0.59179398148148143</v>
      </c>
      <c r="D897" s="12">
        <v>0.60054398148148147</v>
      </c>
      <c r="E897" s="20">
        <f t="shared" si="26"/>
        <v>0</v>
      </c>
      <c r="F897">
        <f t="shared" si="27"/>
        <v>0</v>
      </c>
    </row>
    <row r="898" spans="1:6" x14ac:dyDescent="0.35">
      <c r="A898" s="5">
        <v>6177366</v>
      </c>
      <c r="B898" s="6">
        <v>42929</v>
      </c>
      <c r="C898" s="7">
        <v>0.59266203703703701</v>
      </c>
      <c r="D898" s="8">
        <v>0.59672453703703698</v>
      </c>
      <c r="E898" s="20">
        <f t="shared" si="26"/>
        <v>0</v>
      </c>
      <c r="F898">
        <f t="shared" si="27"/>
        <v>0</v>
      </c>
    </row>
    <row r="899" spans="1:6" x14ac:dyDescent="0.35">
      <c r="A899" s="9">
        <v>4221160</v>
      </c>
      <c r="B899" s="10">
        <v>42929</v>
      </c>
      <c r="C899" s="11">
        <v>0.59437499999999999</v>
      </c>
      <c r="D899" s="12">
        <v>0.60349537037037038</v>
      </c>
      <c r="E899" s="20">
        <f t="shared" ref="E899:E962" si="28">IF(F899=1,D899-C899,0)</f>
        <v>0</v>
      </c>
      <c r="F899">
        <f t="shared" ref="F899:F962" si="29">IF(AND(LEN(A899)=7,LEFT(A899,2) = "12"),1,0)</f>
        <v>0</v>
      </c>
    </row>
    <row r="900" spans="1:6" x14ac:dyDescent="0.35">
      <c r="A900" s="5">
        <v>9339774</v>
      </c>
      <c r="B900" s="6">
        <v>42929</v>
      </c>
      <c r="C900" s="7">
        <v>0.59745370370370365</v>
      </c>
      <c r="D900" s="8">
        <v>0.607025462962963</v>
      </c>
      <c r="E900" s="20">
        <f t="shared" si="28"/>
        <v>0</v>
      </c>
      <c r="F900">
        <f t="shared" si="29"/>
        <v>0</v>
      </c>
    </row>
    <row r="901" spans="1:6" x14ac:dyDescent="0.35">
      <c r="A901" s="9">
        <v>46255010</v>
      </c>
      <c r="B901" s="10">
        <v>42929</v>
      </c>
      <c r="C901" s="11">
        <v>0.60008101851851847</v>
      </c>
      <c r="D901" s="12">
        <v>0.60182870370370367</v>
      </c>
      <c r="E901" s="20">
        <f t="shared" si="28"/>
        <v>0</v>
      </c>
      <c r="F901">
        <f t="shared" si="29"/>
        <v>0</v>
      </c>
    </row>
    <row r="902" spans="1:6" x14ac:dyDescent="0.35">
      <c r="A902" s="5">
        <v>91208799</v>
      </c>
      <c r="B902" s="6">
        <v>42929</v>
      </c>
      <c r="C902" s="7">
        <v>0.60311342592592587</v>
      </c>
      <c r="D902" s="8">
        <v>0.61048611111111106</v>
      </c>
      <c r="E902" s="20">
        <f t="shared" si="28"/>
        <v>0</v>
      </c>
      <c r="F902">
        <f t="shared" si="29"/>
        <v>0</v>
      </c>
    </row>
    <row r="903" spans="1:6" x14ac:dyDescent="0.35">
      <c r="A903" s="9">
        <v>7211782</v>
      </c>
      <c r="B903" s="10">
        <v>42929</v>
      </c>
      <c r="C903" s="11">
        <v>0.60773148148148148</v>
      </c>
      <c r="D903" s="12">
        <v>0.60799768518518515</v>
      </c>
      <c r="E903" s="20">
        <f t="shared" si="28"/>
        <v>0</v>
      </c>
      <c r="F903">
        <f t="shared" si="29"/>
        <v>0</v>
      </c>
    </row>
    <row r="904" spans="1:6" x14ac:dyDescent="0.35">
      <c r="A904" s="5">
        <v>3429335</v>
      </c>
      <c r="B904" s="6">
        <v>42929</v>
      </c>
      <c r="C904" s="7">
        <v>0.61346064814814816</v>
      </c>
      <c r="D904" s="8">
        <v>0.62468749999999995</v>
      </c>
      <c r="E904" s="20">
        <f t="shared" si="28"/>
        <v>0</v>
      </c>
      <c r="F904">
        <f t="shared" si="29"/>
        <v>0</v>
      </c>
    </row>
    <row r="905" spans="1:6" x14ac:dyDescent="0.35">
      <c r="A905" s="9">
        <v>3206241</v>
      </c>
      <c r="B905" s="10">
        <v>42929</v>
      </c>
      <c r="C905" s="11">
        <v>0.61614583333333328</v>
      </c>
      <c r="D905" s="12">
        <v>0.62736111111111115</v>
      </c>
      <c r="E905" s="20">
        <f t="shared" si="28"/>
        <v>0</v>
      </c>
      <c r="F905">
        <f t="shared" si="29"/>
        <v>0</v>
      </c>
    </row>
    <row r="906" spans="1:6" x14ac:dyDescent="0.35">
      <c r="A906" s="5">
        <v>8750670</v>
      </c>
      <c r="B906" s="6">
        <v>42929</v>
      </c>
      <c r="C906" s="7">
        <v>0.61686342592592591</v>
      </c>
      <c r="D906" s="8">
        <v>0.61760416666666662</v>
      </c>
      <c r="E906" s="20">
        <f t="shared" si="28"/>
        <v>0</v>
      </c>
      <c r="F906">
        <f t="shared" si="29"/>
        <v>0</v>
      </c>
    </row>
    <row r="907" spans="1:6" x14ac:dyDescent="0.35">
      <c r="A907" s="9">
        <v>7792679</v>
      </c>
      <c r="B907" s="10">
        <v>42929</v>
      </c>
      <c r="C907" s="11">
        <v>0.62046296296296299</v>
      </c>
      <c r="D907" s="12">
        <v>0.62071759259259263</v>
      </c>
      <c r="E907" s="20">
        <f t="shared" si="28"/>
        <v>0</v>
      </c>
      <c r="F907">
        <f t="shared" si="29"/>
        <v>0</v>
      </c>
    </row>
    <row r="908" spans="1:6" x14ac:dyDescent="0.35">
      <c r="A908" s="5">
        <v>9287211</v>
      </c>
      <c r="B908" s="6">
        <v>42929</v>
      </c>
      <c r="C908" s="7">
        <v>0.62178240740740742</v>
      </c>
      <c r="D908" s="8">
        <v>0.62540509259259258</v>
      </c>
      <c r="E908" s="20">
        <f t="shared" si="28"/>
        <v>0</v>
      </c>
      <c r="F908">
        <f t="shared" si="29"/>
        <v>0</v>
      </c>
    </row>
    <row r="909" spans="1:6" x14ac:dyDescent="0.35">
      <c r="A909" s="9">
        <v>1997542</v>
      </c>
      <c r="B909" s="10">
        <v>42929</v>
      </c>
      <c r="C909" s="11">
        <v>0.62749999999999995</v>
      </c>
      <c r="D909" s="12">
        <v>0.63146990740740738</v>
      </c>
      <c r="E909" s="20">
        <f t="shared" si="28"/>
        <v>0</v>
      </c>
      <c r="F909">
        <f t="shared" si="29"/>
        <v>0</v>
      </c>
    </row>
    <row r="910" spans="1:6" x14ac:dyDescent="0.35">
      <c r="A910" s="5">
        <v>3558582</v>
      </c>
      <c r="B910" s="6">
        <v>42930</v>
      </c>
      <c r="C910" s="7">
        <v>0.33658564814814818</v>
      </c>
      <c r="D910" s="8">
        <v>0.34384259259259259</v>
      </c>
      <c r="E910" s="20">
        <f t="shared" si="28"/>
        <v>0</v>
      </c>
      <c r="F910">
        <f t="shared" si="29"/>
        <v>0</v>
      </c>
    </row>
    <row r="911" spans="1:6" x14ac:dyDescent="0.35">
      <c r="A911" s="9">
        <v>25240352</v>
      </c>
      <c r="B911" s="10">
        <v>42930</v>
      </c>
      <c r="C911" s="11">
        <v>0.3369212962962963</v>
      </c>
      <c r="D911" s="12">
        <v>0.34468749999999998</v>
      </c>
      <c r="E911" s="20">
        <f t="shared" si="28"/>
        <v>0</v>
      </c>
      <c r="F911">
        <f t="shared" si="29"/>
        <v>0</v>
      </c>
    </row>
    <row r="912" spans="1:6" x14ac:dyDescent="0.35">
      <c r="A912" s="5">
        <v>5829504</v>
      </c>
      <c r="B912" s="6">
        <v>42930</v>
      </c>
      <c r="C912" s="7">
        <v>0.33802083333333333</v>
      </c>
      <c r="D912" s="8">
        <v>0.34233796296296298</v>
      </c>
      <c r="E912" s="20">
        <f t="shared" si="28"/>
        <v>0</v>
      </c>
      <c r="F912">
        <f t="shared" si="29"/>
        <v>0</v>
      </c>
    </row>
    <row r="913" spans="1:6" x14ac:dyDescent="0.35">
      <c r="A913" s="9">
        <v>97317489</v>
      </c>
      <c r="B913" s="10">
        <v>42930</v>
      </c>
      <c r="C913" s="11">
        <v>0.34062500000000001</v>
      </c>
      <c r="D913" s="12">
        <v>0.34333333333333332</v>
      </c>
      <c r="E913" s="20">
        <f t="shared" si="28"/>
        <v>0</v>
      </c>
      <c r="F913">
        <f t="shared" si="29"/>
        <v>0</v>
      </c>
    </row>
    <row r="914" spans="1:6" x14ac:dyDescent="0.35">
      <c r="A914" s="5">
        <v>53762222</v>
      </c>
      <c r="B914" s="6">
        <v>42930</v>
      </c>
      <c r="C914" s="7">
        <v>0.34262731481481479</v>
      </c>
      <c r="D914" s="8">
        <v>0.34824074074074074</v>
      </c>
      <c r="E914" s="20">
        <f t="shared" si="28"/>
        <v>0</v>
      </c>
      <c r="F914">
        <f t="shared" si="29"/>
        <v>0</v>
      </c>
    </row>
    <row r="915" spans="1:6" x14ac:dyDescent="0.35">
      <c r="A915" s="9">
        <v>3363840</v>
      </c>
      <c r="B915" s="10">
        <v>42930</v>
      </c>
      <c r="C915" s="11">
        <v>0.34431712962962963</v>
      </c>
      <c r="D915" s="12">
        <v>0.34605324074074073</v>
      </c>
      <c r="E915" s="20">
        <f t="shared" si="28"/>
        <v>0</v>
      </c>
      <c r="F915">
        <f t="shared" si="29"/>
        <v>0</v>
      </c>
    </row>
    <row r="916" spans="1:6" x14ac:dyDescent="0.35">
      <c r="A916" s="5">
        <v>5542324</v>
      </c>
      <c r="B916" s="6">
        <v>42930</v>
      </c>
      <c r="C916" s="7">
        <v>0.34528935185185183</v>
      </c>
      <c r="D916" s="8">
        <v>0.3541435185185185</v>
      </c>
      <c r="E916" s="20">
        <f t="shared" si="28"/>
        <v>0</v>
      </c>
      <c r="F916">
        <f t="shared" si="29"/>
        <v>0</v>
      </c>
    </row>
    <row r="917" spans="1:6" x14ac:dyDescent="0.35">
      <c r="A917" s="9">
        <v>9853612</v>
      </c>
      <c r="B917" s="10">
        <v>42930</v>
      </c>
      <c r="C917" s="11">
        <v>0.34848379629629628</v>
      </c>
      <c r="D917" s="12">
        <v>0.35927083333333332</v>
      </c>
      <c r="E917" s="20">
        <f t="shared" si="28"/>
        <v>0</v>
      </c>
      <c r="F917">
        <f t="shared" si="29"/>
        <v>0</v>
      </c>
    </row>
    <row r="918" spans="1:6" x14ac:dyDescent="0.35">
      <c r="A918" s="5">
        <v>5392799</v>
      </c>
      <c r="B918" s="6">
        <v>42930</v>
      </c>
      <c r="C918" s="7">
        <v>0.35270833333333335</v>
      </c>
      <c r="D918" s="8">
        <v>0.36254629629629631</v>
      </c>
      <c r="E918" s="20">
        <f t="shared" si="28"/>
        <v>0</v>
      </c>
      <c r="F918">
        <f t="shared" si="29"/>
        <v>0</v>
      </c>
    </row>
    <row r="919" spans="1:6" x14ac:dyDescent="0.35">
      <c r="A919" s="9">
        <v>1089768</v>
      </c>
      <c r="B919" s="10">
        <v>42930</v>
      </c>
      <c r="C919" s="11">
        <v>0.35497685185185185</v>
      </c>
      <c r="D919" s="12">
        <v>0.36493055555555554</v>
      </c>
      <c r="E919" s="20">
        <f t="shared" si="28"/>
        <v>0</v>
      </c>
      <c r="F919">
        <f t="shared" si="29"/>
        <v>0</v>
      </c>
    </row>
    <row r="920" spans="1:6" x14ac:dyDescent="0.35">
      <c r="A920" s="5">
        <v>4274311</v>
      </c>
      <c r="B920" s="6">
        <v>42930</v>
      </c>
      <c r="C920" s="7">
        <v>0.35699074074074072</v>
      </c>
      <c r="D920" s="8">
        <v>0.36554398148148148</v>
      </c>
      <c r="E920" s="20">
        <f t="shared" si="28"/>
        <v>0</v>
      </c>
      <c r="F920">
        <f t="shared" si="29"/>
        <v>0</v>
      </c>
    </row>
    <row r="921" spans="1:6" x14ac:dyDescent="0.35">
      <c r="A921" s="9">
        <v>8276893</v>
      </c>
      <c r="B921" s="10">
        <v>42930</v>
      </c>
      <c r="C921" s="11">
        <v>0.36056712962962961</v>
      </c>
      <c r="D921" s="12">
        <v>0.36929398148148146</v>
      </c>
      <c r="E921" s="20">
        <f t="shared" si="28"/>
        <v>0</v>
      </c>
      <c r="F921">
        <f t="shared" si="29"/>
        <v>0</v>
      </c>
    </row>
    <row r="922" spans="1:6" x14ac:dyDescent="0.35">
      <c r="A922" s="5">
        <v>24724114</v>
      </c>
      <c r="B922" s="6">
        <v>42930</v>
      </c>
      <c r="C922" s="7">
        <v>0.36212962962962963</v>
      </c>
      <c r="D922" s="8">
        <v>0.36342592592592593</v>
      </c>
      <c r="E922" s="20">
        <f t="shared" si="28"/>
        <v>0</v>
      </c>
      <c r="F922">
        <f t="shared" si="29"/>
        <v>0</v>
      </c>
    </row>
    <row r="923" spans="1:6" x14ac:dyDescent="0.35">
      <c r="A923" s="9">
        <v>23580194</v>
      </c>
      <c r="B923" s="10">
        <v>42930</v>
      </c>
      <c r="C923" s="11">
        <v>0.36516203703703703</v>
      </c>
      <c r="D923" s="12">
        <v>0.37596064814814817</v>
      </c>
      <c r="E923" s="20">
        <f t="shared" si="28"/>
        <v>0</v>
      </c>
      <c r="F923">
        <f t="shared" si="29"/>
        <v>0</v>
      </c>
    </row>
    <row r="924" spans="1:6" x14ac:dyDescent="0.35">
      <c r="A924" s="5">
        <v>1775131</v>
      </c>
      <c r="B924" s="6">
        <v>42930</v>
      </c>
      <c r="C924" s="7">
        <v>0.36922453703703706</v>
      </c>
      <c r="D924" s="8">
        <v>0.36994212962962963</v>
      </c>
      <c r="E924" s="20">
        <f t="shared" si="28"/>
        <v>0</v>
      </c>
      <c r="F924">
        <f t="shared" si="29"/>
        <v>0</v>
      </c>
    </row>
    <row r="925" spans="1:6" x14ac:dyDescent="0.35">
      <c r="A925" s="9">
        <v>8001915</v>
      </c>
      <c r="B925" s="10">
        <v>42930</v>
      </c>
      <c r="C925" s="11">
        <v>0.3712037037037037</v>
      </c>
      <c r="D925" s="12">
        <v>0.38064814814814812</v>
      </c>
      <c r="E925" s="20">
        <f t="shared" si="28"/>
        <v>0</v>
      </c>
      <c r="F925">
        <f t="shared" si="29"/>
        <v>0</v>
      </c>
    </row>
    <row r="926" spans="1:6" x14ac:dyDescent="0.35">
      <c r="A926" s="5">
        <v>7508054</v>
      </c>
      <c r="B926" s="6">
        <v>42930</v>
      </c>
      <c r="C926" s="7">
        <v>0.37480324074074073</v>
      </c>
      <c r="D926" s="8">
        <v>0.38201388888888888</v>
      </c>
      <c r="E926" s="20">
        <f t="shared" si="28"/>
        <v>0</v>
      </c>
      <c r="F926">
        <f t="shared" si="29"/>
        <v>0</v>
      </c>
    </row>
    <row r="927" spans="1:6" x14ac:dyDescent="0.35">
      <c r="A927" s="9">
        <v>5854377</v>
      </c>
      <c r="B927" s="10">
        <v>42930</v>
      </c>
      <c r="C927" s="11">
        <v>0.37506944444444446</v>
      </c>
      <c r="D927" s="12">
        <v>0.37829861111111113</v>
      </c>
      <c r="E927" s="20">
        <f t="shared" si="28"/>
        <v>0</v>
      </c>
      <c r="F927">
        <f t="shared" si="29"/>
        <v>0</v>
      </c>
    </row>
    <row r="928" spans="1:6" x14ac:dyDescent="0.35">
      <c r="A928" s="5">
        <v>3478173</v>
      </c>
      <c r="B928" s="6">
        <v>42930</v>
      </c>
      <c r="C928" s="7">
        <v>0.37942129629629628</v>
      </c>
      <c r="D928" s="8">
        <v>0.38388888888888889</v>
      </c>
      <c r="E928" s="20">
        <f t="shared" si="28"/>
        <v>0</v>
      </c>
      <c r="F928">
        <f t="shared" si="29"/>
        <v>0</v>
      </c>
    </row>
    <row r="929" spans="1:6" x14ac:dyDescent="0.35">
      <c r="A929" s="9">
        <v>3999937</v>
      </c>
      <c r="B929" s="10">
        <v>42930</v>
      </c>
      <c r="C929" s="11">
        <v>0.38447916666666665</v>
      </c>
      <c r="D929" s="12">
        <v>0.39068287037037036</v>
      </c>
      <c r="E929" s="20">
        <f t="shared" si="28"/>
        <v>0</v>
      </c>
      <c r="F929">
        <f t="shared" si="29"/>
        <v>0</v>
      </c>
    </row>
    <row r="930" spans="1:6" x14ac:dyDescent="0.35">
      <c r="A930" s="5">
        <v>83559673</v>
      </c>
      <c r="B930" s="6">
        <v>42930</v>
      </c>
      <c r="C930" s="7">
        <v>0.38571759259259258</v>
      </c>
      <c r="D930" s="8">
        <v>0.39630787037037035</v>
      </c>
      <c r="E930" s="20">
        <f t="shared" si="28"/>
        <v>0</v>
      </c>
      <c r="F930">
        <f t="shared" si="29"/>
        <v>0</v>
      </c>
    </row>
    <row r="931" spans="1:6" x14ac:dyDescent="0.35">
      <c r="A931" s="9">
        <v>1355775</v>
      </c>
      <c r="B931" s="10">
        <v>42930</v>
      </c>
      <c r="C931" s="11">
        <v>0.38942129629629629</v>
      </c>
      <c r="D931" s="12">
        <v>0.39034722222222223</v>
      </c>
      <c r="E931" s="20">
        <f t="shared" si="28"/>
        <v>0</v>
      </c>
      <c r="F931">
        <f t="shared" si="29"/>
        <v>0</v>
      </c>
    </row>
    <row r="932" spans="1:6" x14ac:dyDescent="0.35">
      <c r="A932" s="5">
        <v>3463982286</v>
      </c>
      <c r="B932" s="6">
        <v>42930</v>
      </c>
      <c r="C932" s="7">
        <v>0.39506944444444442</v>
      </c>
      <c r="D932" s="8">
        <v>0.40261574074074075</v>
      </c>
      <c r="E932" s="20">
        <f t="shared" si="28"/>
        <v>0</v>
      </c>
      <c r="F932">
        <f t="shared" si="29"/>
        <v>0</v>
      </c>
    </row>
    <row r="933" spans="1:6" x14ac:dyDescent="0.35">
      <c r="A933" s="9">
        <v>8870498</v>
      </c>
      <c r="B933" s="10">
        <v>42930</v>
      </c>
      <c r="C933" s="11">
        <v>0.4001736111111111</v>
      </c>
      <c r="D933" s="12">
        <v>0.40182870370370372</v>
      </c>
      <c r="E933" s="20">
        <f t="shared" si="28"/>
        <v>0</v>
      </c>
      <c r="F933">
        <f t="shared" si="29"/>
        <v>0</v>
      </c>
    </row>
    <row r="934" spans="1:6" x14ac:dyDescent="0.35">
      <c r="A934" s="5">
        <v>9894998</v>
      </c>
      <c r="B934" s="6">
        <v>42930</v>
      </c>
      <c r="C934" s="7">
        <v>0.40337962962962964</v>
      </c>
      <c r="D934" s="8">
        <v>0.41137731481481482</v>
      </c>
      <c r="E934" s="20">
        <f t="shared" si="28"/>
        <v>0</v>
      </c>
      <c r="F934">
        <f t="shared" si="29"/>
        <v>0</v>
      </c>
    </row>
    <row r="935" spans="1:6" x14ac:dyDescent="0.35">
      <c r="A935" s="9">
        <v>8841955</v>
      </c>
      <c r="B935" s="10">
        <v>42930</v>
      </c>
      <c r="C935" s="11">
        <v>0.40635416666666668</v>
      </c>
      <c r="D935" s="12">
        <v>0.40642361111111114</v>
      </c>
      <c r="E935" s="20">
        <f t="shared" si="28"/>
        <v>0</v>
      </c>
      <c r="F935">
        <f t="shared" si="29"/>
        <v>0</v>
      </c>
    </row>
    <row r="936" spans="1:6" x14ac:dyDescent="0.35">
      <c r="A936" s="5">
        <v>7379567</v>
      </c>
      <c r="B936" s="6">
        <v>42930</v>
      </c>
      <c r="C936" s="7">
        <v>0.4098148148148148</v>
      </c>
      <c r="D936" s="8">
        <v>0.41626157407407405</v>
      </c>
      <c r="E936" s="20">
        <f t="shared" si="28"/>
        <v>0</v>
      </c>
      <c r="F936">
        <f t="shared" si="29"/>
        <v>0</v>
      </c>
    </row>
    <row r="937" spans="1:6" x14ac:dyDescent="0.35">
      <c r="A937" s="9">
        <v>2092198</v>
      </c>
      <c r="B937" s="10">
        <v>42930</v>
      </c>
      <c r="C937" s="11">
        <v>0.41068287037037038</v>
      </c>
      <c r="D937" s="12">
        <v>0.41288194444444443</v>
      </c>
      <c r="E937" s="20">
        <f t="shared" si="28"/>
        <v>0</v>
      </c>
      <c r="F937">
        <f t="shared" si="29"/>
        <v>0</v>
      </c>
    </row>
    <row r="938" spans="1:6" x14ac:dyDescent="0.35">
      <c r="A938" s="5">
        <v>6006309</v>
      </c>
      <c r="B938" s="6">
        <v>42930</v>
      </c>
      <c r="C938" s="7">
        <v>0.41601851851851851</v>
      </c>
      <c r="D938" s="8">
        <v>0.41792824074074075</v>
      </c>
      <c r="E938" s="20">
        <f t="shared" si="28"/>
        <v>0</v>
      </c>
      <c r="F938">
        <f t="shared" si="29"/>
        <v>0</v>
      </c>
    </row>
    <row r="939" spans="1:6" x14ac:dyDescent="0.35">
      <c r="A939" s="9">
        <v>6736331</v>
      </c>
      <c r="B939" s="10">
        <v>42930</v>
      </c>
      <c r="C939" s="11">
        <v>0.41616898148148146</v>
      </c>
      <c r="D939" s="12">
        <v>0.42019675925925926</v>
      </c>
      <c r="E939" s="20">
        <f t="shared" si="28"/>
        <v>0</v>
      </c>
      <c r="F939">
        <f t="shared" si="29"/>
        <v>0</v>
      </c>
    </row>
    <row r="940" spans="1:6" x14ac:dyDescent="0.35">
      <c r="A940" s="5">
        <v>7291318</v>
      </c>
      <c r="B940" s="6">
        <v>42930</v>
      </c>
      <c r="C940" s="7">
        <v>0.41781249999999998</v>
      </c>
      <c r="D940" s="8">
        <v>0.42886574074074074</v>
      </c>
      <c r="E940" s="20">
        <f t="shared" si="28"/>
        <v>0</v>
      </c>
      <c r="F940">
        <f t="shared" si="29"/>
        <v>0</v>
      </c>
    </row>
    <row r="941" spans="1:6" x14ac:dyDescent="0.35">
      <c r="A941" s="9">
        <v>30178521</v>
      </c>
      <c r="B941" s="10">
        <v>42930</v>
      </c>
      <c r="C941" s="11">
        <v>0.42238425925925926</v>
      </c>
      <c r="D941" s="12">
        <v>0.42388888888888887</v>
      </c>
      <c r="E941" s="20">
        <f t="shared" si="28"/>
        <v>0</v>
      </c>
      <c r="F941">
        <f t="shared" si="29"/>
        <v>0</v>
      </c>
    </row>
    <row r="942" spans="1:6" x14ac:dyDescent="0.35">
      <c r="A942" s="5">
        <v>3232376</v>
      </c>
      <c r="B942" s="6">
        <v>42930</v>
      </c>
      <c r="C942" s="7">
        <v>0.42584490740740738</v>
      </c>
      <c r="D942" s="8">
        <v>0.43512731481481481</v>
      </c>
      <c r="E942" s="20">
        <f t="shared" si="28"/>
        <v>0</v>
      </c>
      <c r="F942">
        <f t="shared" si="29"/>
        <v>0</v>
      </c>
    </row>
    <row r="943" spans="1:6" x14ac:dyDescent="0.35">
      <c r="A943" s="9">
        <v>7536048937</v>
      </c>
      <c r="B943" s="10">
        <v>42930</v>
      </c>
      <c r="C943" s="11">
        <v>0.43115740740740743</v>
      </c>
      <c r="D943" s="12">
        <v>0.43990740740740741</v>
      </c>
      <c r="E943" s="20">
        <f t="shared" si="28"/>
        <v>0</v>
      </c>
      <c r="F943">
        <f t="shared" si="29"/>
        <v>0</v>
      </c>
    </row>
    <row r="944" spans="1:6" x14ac:dyDescent="0.35">
      <c r="A944" s="5">
        <v>6026397</v>
      </c>
      <c r="B944" s="6">
        <v>42930</v>
      </c>
      <c r="C944" s="7">
        <v>0.43362268518518521</v>
      </c>
      <c r="D944" s="8">
        <v>0.44447916666666665</v>
      </c>
      <c r="E944" s="20">
        <f t="shared" si="28"/>
        <v>0</v>
      </c>
      <c r="F944">
        <f t="shared" si="29"/>
        <v>0</v>
      </c>
    </row>
    <row r="945" spans="1:6" x14ac:dyDescent="0.35">
      <c r="A945" s="9">
        <v>54821549</v>
      </c>
      <c r="B945" s="10">
        <v>42930</v>
      </c>
      <c r="C945" s="11">
        <v>0.43517361111111114</v>
      </c>
      <c r="D945" s="12">
        <v>0.4466087962962963</v>
      </c>
      <c r="E945" s="20">
        <f t="shared" si="28"/>
        <v>0</v>
      </c>
      <c r="F945">
        <f t="shared" si="29"/>
        <v>0</v>
      </c>
    </row>
    <row r="946" spans="1:6" x14ac:dyDescent="0.35">
      <c r="A946" s="5">
        <v>4555937</v>
      </c>
      <c r="B946" s="6">
        <v>42930</v>
      </c>
      <c r="C946" s="7">
        <v>0.43956018518518519</v>
      </c>
      <c r="D946" s="8">
        <v>0.44253472222222223</v>
      </c>
      <c r="E946" s="20">
        <f t="shared" si="28"/>
        <v>0</v>
      </c>
      <c r="F946">
        <f t="shared" si="29"/>
        <v>0</v>
      </c>
    </row>
    <row r="947" spans="1:6" x14ac:dyDescent="0.35">
      <c r="A947" s="9">
        <v>65621292</v>
      </c>
      <c r="B947" s="10">
        <v>42930</v>
      </c>
      <c r="C947" s="11">
        <v>0.44060185185185186</v>
      </c>
      <c r="D947" s="12">
        <v>0.44655092592592593</v>
      </c>
      <c r="E947" s="20">
        <f t="shared" si="28"/>
        <v>0</v>
      </c>
      <c r="F947">
        <f t="shared" si="29"/>
        <v>0</v>
      </c>
    </row>
    <row r="948" spans="1:6" x14ac:dyDescent="0.35">
      <c r="A948" s="5">
        <v>13898038</v>
      </c>
      <c r="B948" s="6">
        <v>42930</v>
      </c>
      <c r="C948" s="7">
        <v>0.44072916666666667</v>
      </c>
      <c r="D948" s="8">
        <v>0.4496412037037037</v>
      </c>
      <c r="E948" s="20">
        <f t="shared" si="28"/>
        <v>0</v>
      </c>
      <c r="F948">
        <f t="shared" si="29"/>
        <v>0</v>
      </c>
    </row>
    <row r="949" spans="1:6" x14ac:dyDescent="0.35">
      <c r="A949" s="9">
        <v>6018613</v>
      </c>
      <c r="B949" s="10">
        <v>42930</v>
      </c>
      <c r="C949" s="11">
        <v>0.44295138888888891</v>
      </c>
      <c r="D949" s="12">
        <v>0.44545138888888891</v>
      </c>
      <c r="E949" s="20">
        <f t="shared" si="28"/>
        <v>0</v>
      </c>
      <c r="F949">
        <f t="shared" si="29"/>
        <v>0</v>
      </c>
    </row>
    <row r="950" spans="1:6" x14ac:dyDescent="0.35">
      <c r="A950" s="5">
        <v>7741751</v>
      </c>
      <c r="B950" s="6">
        <v>42930</v>
      </c>
      <c r="C950" s="7">
        <v>0.4450925925925926</v>
      </c>
      <c r="D950" s="8">
        <v>0.44888888888888889</v>
      </c>
      <c r="E950" s="20">
        <f t="shared" si="28"/>
        <v>0</v>
      </c>
      <c r="F950">
        <f t="shared" si="29"/>
        <v>0</v>
      </c>
    </row>
    <row r="951" spans="1:6" x14ac:dyDescent="0.35">
      <c r="A951" s="9">
        <v>5512492</v>
      </c>
      <c r="B951" s="10">
        <v>42930</v>
      </c>
      <c r="C951" s="11">
        <v>0.44538194444444446</v>
      </c>
      <c r="D951" s="12">
        <v>0.4525925925925926</v>
      </c>
      <c r="E951" s="20">
        <f t="shared" si="28"/>
        <v>0</v>
      </c>
      <c r="F951">
        <f t="shared" si="29"/>
        <v>0</v>
      </c>
    </row>
    <row r="952" spans="1:6" x14ac:dyDescent="0.35">
      <c r="A952" s="5">
        <v>36332723</v>
      </c>
      <c r="B952" s="6">
        <v>42930</v>
      </c>
      <c r="C952" s="7">
        <v>0.44593749999999999</v>
      </c>
      <c r="D952" s="8">
        <v>0.44957175925925924</v>
      </c>
      <c r="E952" s="20">
        <f t="shared" si="28"/>
        <v>0</v>
      </c>
      <c r="F952">
        <f t="shared" si="29"/>
        <v>0</v>
      </c>
    </row>
    <row r="953" spans="1:6" x14ac:dyDescent="0.35">
      <c r="A953" s="9">
        <v>28961250</v>
      </c>
      <c r="B953" s="10">
        <v>42930</v>
      </c>
      <c r="C953" s="11">
        <v>0.4478935185185185</v>
      </c>
      <c r="D953" s="12">
        <v>0.44805555555555554</v>
      </c>
      <c r="E953" s="20">
        <f t="shared" si="28"/>
        <v>0</v>
      </c>
      <c r="F953">
        <f t="shared" si="29"/>
        <v>0</v>
      </c>
    </row>
    <row r="954" spans="1:6" x14ac:dyDescent="0.35">
      <c r="A954" s="5">
        <v>96191858</v>
      </c>
      <c r="B954" s="6">
        <v>42930</v>
      </c>
      <c r="C954" s="7">
        <v>0.44916666666666666</v>
      </c>
      <c r="D954" s="8">
        <v>0.46023148148148146</v>
      </c>
      <c r="E954" s="20">
        <f t="shared" si="28"/>
        <v>0</v>
      </c>
      <c r="F954">
        <f t="shared" si="29"/>
        <v>0</v>
      </c>
    </row>
    <row r="955" spans="1:6" x14ac:dyDescent="0.35">
      <c r="A955" s="9">
        <v>49342013</v>
      </c>
      <c r="B955" s="10">
        <v>42930</v>
      </c>
      <c r="C955" s="11">
        <v>0.45233796296296297</v>
      </c>
      <c r="D955" s="12">
        <v>0.45649305555555558</v>
      </c>
      <c r="E955" s="20">
        <f t="shared" si="28"/>
        <v>0</v>
      </c>
      <c r="F955">
        <f t="shared" si="29"/>
        <v>0</v>
      </c>
    </row>
    <row r="956" spans="1:6" x14ac:dyDescent="0.35">
      <c r="A956" s="5">
        <v>2329556</v>
      </c>
      <c r="B956" s="6">
        <v>42930</v>
      </c>
      <c r="C956" s="7">
        <v>0.45667824074074076</v>
      </c>
      <c r="D956" s="8">
        <v>0.45679398148148148</v>
      </c>
      <c r="E956" s="20">
        <f t="shared" si="28"/>
        <v>0</v>
      </c>
      <c r="F956">
        <f t="shared" si="29"/>
        <v>0</v>
      </c>
    </row>
    <row r="957" spans="1:6" x14ac:dyDescent="0.35">
      <c r="A957" s="9">
        <v>2969264</v>
      </c>
      <c r="B957" s="10">
        <v>42930</v>
      </c>
      <c r="C957" s="11">
        <v>0.45930555555555558</v>
      </c>
      <c r="D957" s="12">
        <v>0.4634375</v>
      </c>
      <c r="E957" s="20">
        <f t="shared" si="28"/>
        <v>0</v>
      </c>
      <c r="F957">
        <f t="shared" si="29"/>
        <v>0</v>
      </c>
    </row>
    <row r="958" spans="1:6" x14ac:dyDescent="0.35">
      <c r="A958" s="5">
        <v>8498683</v>
      </c>
      <c r="B958" s="6">
        <v>42930</v>
      </c>
      <c r="C958" s="7">
        <v>0.45950231481481479</v>
      </c>
      <c r="D958" s="8">
        <v>0.46177083333333335</v>
      </c>
      <c r="E958" s="20">
        <f t="shared" si="28"/>
        <v>0</v>
      </c>
      <c r="F958">
        <f t="shared" si="29"/>
        <v>0</v>
      </c>
    </row>
    <row r="959" spans="1:6" x14ac:dyDescent="0.35">
      <c r="A959" s="9">
        <v>2341441</v>
      </c>
      <c r="B959" s="10">
        <v>42930</v>
      </c>
      <c r="C959" s="11">
        <v>0.46333333333333332</v>
      </c>
      <c r="D959" s="12">
        <v>0.46409722222222222</v>
      </c>
      <c r="E959" s="20">
        <f t="shared" si="28"/>
        <v>0</v>
      </c>
      <c r="F959">
        <f t="shared" si="29"/>
        <v>0</v>
      </c>
    </row>
    <row r="960" spans="1:6" x14ac:dyDescent="0.35">
      <c r="A960" s="5">
        <v>30270334</v>
      </c>
      <c r="B960" s="6">
        <v>42930</v>
      </c>
      <c r="C960" s="7">
        <v>0.46587962962962964</v>
      </c>
      <c r="D960" s="8">
        <v>0.46755787037037039</v>
      </c>
      <c r="E960" s="20">
        <f t="shared" si="28"/>
        <v>0</v>
      </c>
      <c r="F960">
        <f t="shared" si="29"/>
        <v>0</v>
      </c>
    </row>
    <row r="961" spans="1:6" x14ac:dyDescent="0.35">
      <c r="A961" s="9">
        <v>4657345</v>
      </c>
      <c r="B961" s="10">
        <v>42930</v>
      </c>
      <c r="C961" s="11">
        <v>0.46988425925925925</v>
      </c>
      <c r="D961" s="12">
        <v>0.47721064814814818</v>
      </c>
      <c r="E961" s="20">
        <f t="shared" si="28"/>
        <v>0</v>
      </c>
      <c r="F961">
        <f t="shared" si="29"/>
        <v>0</v>
      </c>
    </row>
    <row r="962" spans="1:6" x14ac:dyDescent="0.35">
      <c r="A962" s="5">
        <v>2145244</v>
      </c>
      <c r="B962" s="6">
        <v>42930</v>
      </c>
      <c r="C962" s="7">
        <v>0.47028935185185183</v>
      </c>
      <c r="D962" s="8">
        <v>0.47052083333333333</v>
      </c>
      <c r="E962" s="20">
        <f t="shared" si="28"/>
        <v>0</v>
      </c>
      <c r="F962">
        <f t="shared" si="29"/>
        <v>0</v>
      </c>
    </row>
    <row r="963" spans="1:6" x14ac:dyDescent="0.35">
      <c r="A963" s="9">
        <v>7627829</v>
      </c>
      <c r="B963" s="10">
        <v>42930</v>
      </c>
      <c r="C963" s="11">
        <v>0.4742824074074074</v>
      </c>
      <c r="D963" s="12">
        <v>0.48538194444444444</v>
      </c>
      <c r="E963" s="20">
        <f t="shared" ref="E963:E1026" si="30">IF(F963=1,D963-C963,0)</f>
        <v>0</v>
      </c>
      <c r="F963">
        <f t="shared" ref="F963:F1026" si="31">IF(AND(LEN(A963)=7,LEFT(A963,2) = "12"),1,0)</f>
        <v>0</v>
      </c>
    </row>
    <row r="964" spans="1:6" x14ac:dyDescent="0.35">
      <c r="A964" s="5">
        <v>9182658</v>
      </c>
      <c r="B964" s="6">
        <v>42930</v>
      </c>
      <c r="C964" s="7">
        <v>0.47594907407407405</v>
      </c>
      <c r="D964" s="8">
        <v>0.47641203703703705</v>
      </c>
      <c r="E964" s="20">
        <f t="shared" si="30"/>
        <v>0</v>
      </c>
      <c r="F964">
        <f t="shared" si="31"/>
        <v>0</v>
      </c>
    </row>
    <row r="965" spans="1:6" x14ac:dyDescent="0.35">
      <c r="A965" s="9">
        <v>4191600</v>
      </c>
      <c r="B965" s="10">
        <v>42930</v>
      </c>
      <c r="C965" s="11">
        <v>0.47799768518518521</v>
      </c>
      <c r="D965" s="12">
        <v>0.47905092592592591</v>
      </c>
      <c r="E965" s="20">
        <f t="shared" si="30"/>
        <v>0</v>
      </c>
      <c r="F965">
        <f t="shared" si="31"/>
        <v>0</v>
      </c>
    </row>
    <row r="966" spans="1:6" x14ac:dyDescent="0.35">
      <c r="A966" s="5">
        <v>5492379</v>
      </c>
      <c r="B966" s="6">
        <v>42930</v>
      </c>
      <c r="C966" s="7">
        <v>0.47825231481481484</v>
      </c>
      <c r="D966" s="8">
        <v>0.48502314814814818</v>
      </c>
      <c r="E966" s="20">
        <f t="shared" si="30"/>
        <v>0</v>
      </c>
      <c r="F966">
        <f t="shared" si="31"/>
        <v>0</v>
      </c>
    </row>
    <row r="967" spans="1:6" x14ac:dyDescent="0.35">
      <c r="A967" s="9">
        <v>2861766</v>
      </c>
      <c r="B967" s="10">
        <v>42930</v>
      </c>
      <c r="C967" s="11">
        <v>0.48138888888888887</v>
      </c>
      <c r="D967" s="12">
        <v>0.48574074074074075</v>
      </c>
      <c r="E967" s="20">
        <f t="shared" si="30"/>
        <v>0</v>
      </c>
      <c r="F967">
        <f t="shared" si="31"/>
        <v>0</v>
      </c>
    </row>
    <row r="968" spans="1:6" x14ac:dyDescent="0.35">
      <c r="A968" s="5">
        <v>1309359</v>
      </c>
      <c r="B968" s="6">
        <v>42930</v>
      </c>
      <c r="C968" s="7">
        <v>0.48422453703703705</v>
      </c>
      <c r="D968" s="8">
        <v>0.48562499999999997</v>
      </c>
      <c r="E968" s="20">
        <f t="shared" si="30"/>
        <v>0</v>
      </c>
      <c r="F968">
        <f t="shared" si="31"/>
        <v>0</v>
      </c>
    </row>
    <row r="969" spans="1:6" x14ac:dyDescent="0.35">
      <c r="A969" s="9">
        <v>5272270</v>
      </c>
      <c r="B969" s="10">
        <v>42930</v>
      </c>
      <c r="C969" s="11">
        <v>0.48579861111111111</v>
      </c>
      <c r="D969" s="12">
        <v>0.49395833333333333</v>
      </c>
      <c r="E969" s="20">
        <f t="shared" si="30"/>
        <v>0</v>
      </c>
      <c r="F969">
        <f t="shared" si="31"/>
        <v>0</v>
      </c>
    </row>
    <row r="970" spans="1:6" x14ac:dyDescent="0.35">
      <c r="A970" s="5">
        <v>9266643</v>
      </c>
      <c r="B970" s="6">
        <v>42930</v>
      </c>
      <c r="C970" s="7">
        <v>0.48832175925925925</v>
      </c>
      <c r="D970" s="8">
        <v>0.49005787037037035</v>
      </c>
      <c r="E970" s="20">
        <f t="shared" si="30"/>
        <v>0</v>
      </c>
      <c r="F970">
        <f t="shared" si="31"/>
        <v>0</v>
      </c>
    </row>
    <row r="971" spans="1:6" x14ac:dyDescent="0.35">
      <c r="A971" s="9">
        <v>3460208</v>
      </c>
      <c r="B971" s="10">
        <v>42930</v>
      </c>
      <c r="C971" s="11">
        <v>0.49302083333333335</v>
      </c>
      <c r="D971" s="12">
        <v>0.50244212962962964</v>
      </c>
      <c r="E971" s="20">
        <f t="shared" si="30"/>
        <v>0</v>
      </c>
      <c r="F971">
        <f t="shared" si="31"/>
        <v>0</v>
      </c>
    </row>
    <row r="972" spans="1:6" x14ac:dyDescent="0.35">
      <c r="A972" s="5">
        <v>25545000</v>
      </c>
      <c r="B972" s="6">
        <v>42930</v>
      </c>
      <c r="C972" s="7">
        <v>0.4959722222222222</v>
      </c>
      <c r="D972" s="8">
        <v>0.50451388888888893</v>
      </c>
      <c r="E972" s="20">
        <f t="shared" si="30"/>
        <v>0</v>
      </c>
      <c r="F972">
        <f t="shared" si="31"/>
        <v>0</v>
      </c>
    </row>
    <row r="973" spans="1:6" x14ac:dyDescent="0.35">
      <c r="A973" s="9">
        <v>1207918</v>
      </c>
      <c r="B973" s="10">
        <v>42930</v>
      </c>
      <c r="C973" s="11">
        <v>0.50126157407407412</v>
      </c>
      <c r="D973" s="12">
        <v>0.51184027777777774</v>
      </c>
      <c r="E973" s="20">
        <f t="shared" si="30"/>
        <v>1.0578703703703618E-2</v>
      </c>
      <c r="F973">
        <f t="shared" si="31"/>
        <v>1</v>
      </c>
    </row>
    <row r="974" spans="1:6" x14ac:dyDescent="0.35">
      <c r="A974" s="5">
        <v>4471828</v>
      </c>
      <c r="B974" s="6">
        <v>42930</v>
      </c>
      <c r="C974" s="7">
        <v>0.50378472222222226</v>
      </c>
      <c r="D974" s="8">
        <v>0.51043981481481482</v>
      </c>
      <c r="E974" s="20">
        <f t="shared" si="30"/>
        <v>0</v>
      </c>
      <c r="F974">
        <f t="shared" si="31"/>
        <v>0</v>
      </c>
    </row>
    <row r="975" spans="1:6" x14ac:dyDescent="0.35">
      <c r="A975" s="9">
        <v>6516836</v>
      </c>
      <c r="B975" s="10">
        <v>42930</v>
      </c>
      <c r="C975" s="11">
        <v>0.50812500000000005</v>
      </c>
      <c r="D975" s="12">
        <v>0.50862268518518516</v>
      </c>
      <c r="E975" s="20">
        <f t="shared" si="30"/>
        <v>0</v>
      </c>
      <c r="F975">
        <f t="shared" si="31"/>
        <v>0</v>
      </c>
    </row>
    <row r="976" spans="1:6" x14ac:dyDescent="0.35">
      <c r="A976" s="5">
        <v>1197931</v>
      </c>
      <c r="B976" s="6">
        <v>42930</v>
      </c>
      <c r="C976" s="7">
        <v>0.51179398148148147</v>
      </c>
      <c r="D976" s="8">
        <v>0.51231481481481478</v>
      </c>
      <c r="E976" s="20">
        <f t="shared" si="30"/>
        <v>0</v>
      </c>
      <c r="F976">
        <f t="shared" si="31"/>
        <v>0</v>
      </c>
    </row>
    <row r="977" spans="1:6" x14ac:dyDescent="0.35">
      <c r="A977" s="9">
        <v>8750619</v>
      </c>
      <c r="B977" s="10">
        <v>42930</v>
      </c>
      <c r="C977" s="11">
        <v>0.51645833333333335</v>
      </c>
      <c r="D977" s="12">
        <v>0.51701388888888888</v>
      </c>
      <c r="E977" s="20">
        <f t="shared" si="30"/>
        <v>0</v>
      </c>
      <c r="F977">
        <f t="shared" si="31"/>
        <v>0</v>
      </c>
    </row>
    <row r="978" spans="1:6" x14ac:dyDescent="0.35">
      <c r="A978" s="5">
        <v>2076719</v>
      </c>
      <c r="B978" s="6">
        <v>42930</v>
      </c>
      <c r="C978" s="7">
        <v>0.52056712962962959</v>
      </c>
      <c r="D978" s="8">
        <v>0.52818287037037037</v>
      </c>
      <c r="E978" s="20">
        <f t="shared" si="30"/>
        <v>0</v>
      </c>
      <c r="F978">
        <f t="shared" si="31"/>
        <v>0</v>
      </c>
    </row>
    <row r="979" spans="1:6" x14ac:dyDescent="0.35">
      <c r="A979" s="9">
        <v>3131883</v>
      </c>
      <c r="B979" s="10">
        <v>42930</v>
      </c>
      <c r="C979" s="11">
        <v>0.52427083333333335</v>
      </c>
      <c r="D979" s="12">
        <v>0.52818287037037037</v>
      </c>
      <c r="E979" s="20">
        <f t="shared" si="30"/>
        <v>0</v>
      </c>
      <c r="F979">
        <f t="shared" si="31"/>
        <v>0</v>
      </c>
    </row>
    <row r="980" spans="1:6" x14ac:dyDescent="0.35">
      <c r="A980" s="5">
        <v>1552302</v>
      </c>
      <c r="B980" s="6">
        <v>42930</v>
      </c>
      <c r="C980" s="7">
        <v>0.52953703703703703</v>
      </c>
      <c r="D980" s="8">
        <v>0.54078703703703701</v>
      </c>
      <c r="E980" s="20">
        <f t="shared" si="30"/>
        <v>0</v>
      </c>
      <c r="F980">
        <f t="shared" si="31"/>
        <v>0</v>
      </c>
    </row>
    <row r="981" spans="1:6" x14ac:dyDescent="0.35">
      <c r="A981" s="9">
        <v>33708687</v>
      </c>
      <c r="B981" s="10">
        <v>42930</v>
      </c>
      <c r="C981" s="11">
        <v>0.53237268518518521</v>
      </c>
      <c r="D981" s="12">
        <v>0.53413194444444445</v>
      </c>
      <c r="E981" s="20">
        <f t="shared" si="30"/>
        <v>0</v>
      </c>
      <c r="F981">
        <f t="shared" si="31"/>
        <v>0</v>
      </c>
    </row>
    <row r="982" spans="1:6" x14ac:dyDescent="0.35">
      <c r="A982" s="5">
        <v>23123600</v>
      </c>
      <c r="B982" s="6">
        <v>42930</v>
      </c>
      <c r="C982" s="7">
        <v>0.53268518518518515</v>
      </c>
      <c r="D982" s="8">
        <v>0.54135416666666669</v>
      </c>
      <c r="E982" s="20">
        <f t="shared" si="30"/>
        <v>0</v>
      </c>
      <c r="F982">
        <f t="shared" si="31"/>
        <v>0</v>
      </c>
    </row>
    <row r="983" spans="1:6" x14ac:dyDescent="0.35">
      <c r="A983" s="9">
        <v>5913571</v>
      </c>
      <c r="B983" s="10">
        <v>42930</v>
      </c>
      <c r="C983" s="11">
        <v>0.53740740740740744</v>
      </c>
      <c r="D983" s="12">
        <v>0.54893518518518514</v>
      </c>
      <c r="E983" s="20">
        <f t="shared" si="30"/>
        <v>0</v>
      </c>
      <c r="F983">
        <f t="shared" si="31"/>
        <v>0</v>
      </c>
    </row>
    <row r="984" spans="1:6" x14ac:dyDescent="0.35">
      <c r="A984" s="5">
        <v>5790304</v>
      </c>
      <c r="B984" s="6">
        <v>42930</v>
      </c>
      <c r="C984" s="7">
        <v>0.53768518518518515</v>
      </c>
      <c r="D984" s="8">
        <v>0.53770833333333334</v>
      </c>
      <c r="E984" s="20">
        <f t="shared" si="30"/>
        <v>0</v>
      </c>
      <c r="F984">
        <f t="shared" si="31"/>
        <v>0</v>
      </c>
    </row>
    <row r="985" spans="1:6" x14ac:dyDescent="0.35">
      <c r="A985" s="9">
        <v>97953696</v>
      </c>
      <c r="B985" s="10">
        <v>42930</v>
      </c>
      <c r="C985" s="11">
        <v>0.53909722222222223</v>
      </c>
      <c r="D985" s="12">
        <v>0.54540509259259262</v>
      </c>
      <c r="E985" s="20">
        <f t="shared" si="30"/>
        <v>0</v>
      </c>
      <c r="F985">
        <f t="shared" si="31"/>
        <v>0</v>
      </c>
    </row>
    <row r="986" spans="1:6" x14ac:dyDescent="0.35">
      <c r="A986" s="5">
        <v>13588783</v>
      </c>
      <c r="B986" s="6">
        <v>42930</v>
      </c>
      <c r="C986" s="7">
        <v>0.54118055555555555</v>
      </c>
      <c r="D986" s="8">
        <v>0.54894675925925929</v>
      </c>
      <c r="E986" s="20">
        <f t="shared" si="30"/>
        <v>0</v>
      </c>
      <c r="F986">
        <f t="shared" si="31"/>
        <v>0</v>
      </c>
    </row>
    <row r="987" spans="1:6" x14ac:dyDescent="0.35">
      <c r="A987" s="9">
        <v>3300626</v>
      </c>
      <c r="B987" s="10">
        <v>42930</v>
      </c>
      <c r="C987" s="11">
        <v>0.54415509259259254</v>
      </c>
      <c r="D987" s="12">
        <v>0.55156249999999996</v>
      </c>
      <c r="E987" s="20">
        <f t="shared" si="30"/>
        <v>0</v>
      </c>
      <c r="F987">
        <f t="shared" si="31"/>
        <v>0</v>
      </c>
    </row>
    <row r="988" spans="1:6" x14ac:dyDescent="0.35">
      <c r="A988" s="5">
        <v>9849071</v>
      </c>
      <c r="B988" s="6">
        <v>42930</v>
      </c>
      <c r="C988" s="7">
        <v>0.54498842592592589</v>
      </c>
      <c r="D988" s="8">
        <v>0.54879629629629634</v>
      </c>
      <c r="E988" s="20">
        <f t="shared" si="30"/>
        <v>0</v>
      </c>
      <c r="F988">
        <f t="shared" si="31"/>
        <v>0</v>
      </c>
    </row>
    <row r="989" spans="1:6" x14ac:dyDescent="0.35">
      <c r="A989" s="9">
        <v>39697250</v>
      </c>
      <c r="B989" s="10">
        <v>42930</v>
      </c>
      <c r="C989" s="11">
        <v>0.54616898148148152</v>
      </c>
      <c r="D989" s="12">
        <v>0.55153935185185188</v>
      </c>
      <c r="E989" s="20">
        <f t="shared" si="30"/>
        <v>0</v>
      </c>
      <c r="F989">
        <f t="shared" si="31"/>
        <v>0</v>
      </c>
    </row>
    <row r="990" spans="1:6" x14ac:dyDescent="0.35">
      <c r="A990" s="5">
        <v>3826370863</v>
      </c>
      <c r="B990" s="6">
        <v>42930</v>
      </c>
      <c r="C990" s="7">
        <v>0.55155092592592592</v>
      </c>
      <c r="D990" s="8">
        <v>0.55709490740740741</v>
      </c>
      <c r="E990" s="20">
        <f t="shared" si="30"/>
        <v>0</v>
      </c>
      <c r="F990">
        <f t="shared" si="31"/>
        <v>0</v>
      </c>
    </row>
    <row r="991" spans="1:6" x14ac:dyDescent="0.35">
      <c r="A991" s="9">
        <v>9088452</v>
      </c>
      <c r="B991" s="10">
        <v>42930</v>
      </c>
      <c r="C991" s="11">
        <v>0.55473379629629627</v>
      </c>
      <c r="D991" s="12">
        <v>0.56253472222222223</v>
      </c>
      <c r="E991" s="20">
        <f t="shared" si="30"/>
        <v>0</v>
      </c>
      <c r="F991">
        <f t="shared" si="31"/>
        <v>0</v>
      </c>
    </row>
    <row r="992" spans="1:6" x14ac:dyDescent="0.35">
      <c r="A992" s="5">
        <v>8026912</v>
      </c>
      <c r="B992" s="6">
        <v>42930</v>
      </c>
      <c r="C992" s="7">
        <v>0.5561342592592593</v>
      </c>
      <c r="D992" s="8">
        <v>0.56366898148148148</v>
      </c>
      <c r="E992" s="20">
        <f t="shared" si="30"/>
        <v>0</v>
      </c>
      <c r="F992">
        <f t="shared" si="31"/>
        <v>0</v>
      </c>
    </row>
    <row r="993" spans="1:6" x14ac:dyDescent="0.35">
      <c r="A993" s="9">
        <v>24290062</v>
      </c>
      <c r="B993" s="10">
        <v>42930</v>
      </c>
      <c r="C993" s="11">
        <v>0.56141203703703701</v>
      </c>
      <c r="D993" s="12">
        <v>0.57055555555555559</v>
      </c>
      <c r="E993" s="20">
        <f t="shared" si="30"/>
        <v>0</v>
      </c>
      <c r="F993">
        <f t="shared" si="31"/>
        <v>0</v>
      </c>
    </row>
    <row r="994" spans="1:6" x14ac:dyDescent="0.35">
      <c r="A994" s="5">
        <v>6785899</v>
      </c>
      <c r="B994" s="6">
        <v>42930</v>
      </c>
      <c r="C994" s="7">
        <v>0.56650462962962966</v>
      </c>
      <c r="D994" s="8">
        <v>0.57533564814814819</v>
      </c>
      <c r="E994" s="20">
        <f t="shared" si="30"/>
        <v>0</v>
      </c>
      <c r="F994">
        <f t="shared" si="31"/>
        <v>0</v>
      </c>
    </row>
    <row r="995" spans="1:6" x14ac:dyDescent="0.35">
      <c r="A995" s="9">
        <v>75048005</v>
      </c>
      <c r="B995" s="10">
        <v>42930</v>
      </c>
      <c r="C995" s="11">
        <v>0.57197916666666671</v>
      </c>
      <c r="D995" s="12">
        <v>0.58081018518518523</v>
      </c>
      <c r="E995" s="20">
        <f t="shared" si="30"/>
        <v>0</v>
      </c>
      <c r="F995">
        <f t="shared" si="31"/>
        <v>0</v>
      </c>
    </row>
    <row r="996" spans="1:6" x14ac:dyDescent="0.35">
      <c r="A996" s="5">
        <v>97459926</v>
      </c>
      <c r="B996" s="6">
        <v>42930</v>
      </c>
      <c r="C996" s="7">
        <v>0.57262731481481477</v>
      </c>
      <c r="D996" s="8">
        <v>0.57991898148148147</v>
      </c>
      <c r="E996" s="20">
        <f t="shared" si="30"/>
        <v>0</v>
      </c>
      <c r="F996">
        <f t="shared" si="31"/>
        <v>0</v>
      </c>
    </row>
    <row r="997" spans="1:6" x14ac:dyDescent="0.35">
      <c r="A997" s="9">
        <v>9600226</v>
      </c>
      <c r="B997" s="10">
        <v>42930</v>
      </c>
      <c r="C997" s="11">
        <v>0.57451388888888888</v>
      </c>
      <c r="D997" s="12">
        <v>0.57847222222222228</v>
      </c>
      <c r="E997" s="20">
        <f t="shared" si="30"/>
        <v>0</v>
      </c>
      <c r="F997">
        <f t="shared" si="31"/>
        <v>0</v>
      </c>
    </row>
    <row r="998" spans="1:6" x14ac:dyDescent="0.35">
      <c r="A998" s="5">
        <v>9685747</v>
      </c>
      <c r="B998" s="6">
        <v>42930</v>
      </c>
      <c r="C998" s="7">
        <v>0.57810185185185181</v>
      </c>
      <c r="D998" s="8">
        <v>0.58810185185185182</v>
      </c>
      <c r="E998" s="20">
        <f t="shared" si="30"/>
        <v>0</v>
      </c>
      <c r="F998">
        <f t="shared" si="31"/>
        <v>0</v>
      </c>
    </row>
    <row r="999" spans="1:6" x14ac:dyDescent="0.35">
      <c r="A999" s="9">
        <v>3178616</v>
      </c>
      <c r="B999" s="10">
        <v>42930</v>
      </c>
      <c r="C999" s="11">
        <v>0.58233796296296292</v>
      </c>
      <c r="D999" s="12">
        <v>0.58734953703703707</v>
      </c>
      <c r="E999" s="20">
        <f t="shared" si="30"/>
        <v>0</v>
      </c>
      <c r="F999">
        <f t="shared" si="31"/>
        <v>0</v>
      </c>
    </row>
    <row r="1000" spans="1:6" x14ac:dyDescent="0.35">
      <c r="A1000" s="5">
        <v>9979899</v>
      </c>
      <c r="B1000" s="6">
        <v>42930</v>
      </c>
      <c r="C1000" s="7">
        <v>0.58810185185185182</v>
      </c>
      <c r="D1000" s="8">
        <v>0.59134259259259259</v>
      </c>
      <c r="E1000" s="20">
        <f t="shared" si="30"/>
        <v>0</v>
      </c>
      <c r="F1000">
        <f t="shared" si="31"/>
        <v>0</v>
      </c>
    </row>
    <row r="1001" spans="1:6" x14ac:dyDescent="0.35">
      <c r="A1001" s="9">
        <v>4575865</v>
      </c>
      <c r="B1001" s="10">
        <v>42930</v>
      </c>
      <c r="C1001" s="11">
        <v>0.58959490740740739</v>
      </c>
      <c r="D1001" s="12">
        <v>0.59105324074074073</v>
      </c>
      <c r="E1001" s="20">
        <f t="shared" si="30"/>
        <v>0</v>
      </c>
      <c r="F1001">
        <f t="shared" si="31"/>
        <v>0</v>
      </c>
    </row>
    <row r="1002" spans="1:6" x14ac:dyDescent="0.35">
      <c r="A1002" s="5">
        <v>1808444</v>
      </c>
      <c r="B1002" s="6">
        <v>42930</v>
      </c>
      <c r="C1002" s="7">
        <v>0.59284722222222219</v>
      </c>
      <c r="D1002" s="8">
        <v>0.59662037037037041</v>
      </c>
      <c r="E1002" s="20">
        <f t="shared" si="30"/>
        <v>0</v>
      </c>
      <c r="F1002">
        <f t="shared" si="31"/>
        <v>0</v>
      </c>
    </row>
    <row r="1003" spans="1:6" x14ac:dyDescent="0.35">
      <c r="A1003" s="9">
        <v>1649912</v>
      </c>
      <c r="B1003" s="10">
        <v>42930</v>
      </c>
      <c r="C1003" s="11">
        <v>0.59467592592592589</v>
      </c>
      <c r="D1003" s="12">
        <v>0.60392361111111115</v>
      </c>
      <c r="E1003" s="20">
        <f t="shared" si="30"/>
        <v>0</v>
      </c>
      <c r="F1003">
        <f t="shared" si="31"/>
        <v>0</v>
      </c>
    </row>
    <row r="1004" spans="1:6" x14ac:dyDescent="0.35">
      <c r="A1004" s="5">
        <v>6128500046</v>
      </c>
      <c r="B1004" s="6">
        <v>42930</v>
      </c>
      <c r="C1004" s="7">
        <v>0.5981481481481481</v>
      </c>
      <c r="D1004" s="8">
        <v>0.60513888888888889</v>
      </c>
      <c r="E1004" s="20">
        <f t="shared" si="30"/>
        <v>0</v>
      </c>
      <c r="F1004">
        <f t="shared" si="31"/>
        <v>0</v>
      </c>
    </row>
    <row r="1005" spans="1:6" x14ac:dyDescent="0.35">
      <c r="A1005" s="9">
        <v>6580951</v>
      </c>
      <c r="B1005" s="10">
        <v>42930</v>
      </c>
      <c r="C1005" s="11">
        <v>0.6001967592592593</v>
      </c>
      <c r="D1005" s="12">
        <v>0.60023148148148153</v>
      </c>
      <c r="E1005" s="20">
        <f t="shared" si="30"/>
        <v>0</v>
      </c>
      <c r="F1005">
        <f t="shared" si="31"/>
        <v>0</v>
      </c>
    </row>
    <row r="1006" spans="1:6" x14ac:dyDescent="0.35">
      <c r="A1006" s="5">
        <v>5536146</v>
      </c>
      <c r="B1006" s="6">
        <v>42930</v>
      </c>
      <c r="C1006" s="7">
        <v>0.60204861111111108</v>
      </c>
      <c r="D1006" s="8">
        <v>0.60319444444444448</v>
      </c>
      <c r="E1006" s="20">
        <f t="shared" si="30"/>
        <v>0</v>
      </c>
      <c r="F1006">
        <f t="shared" si="31"/>
        <v>0</v>
      </c>
    </row>
    <row r="1007" spans="1:6" x14ac:dyDescent="0.35">
      <c r="A1007" s="9">
        <v>7396921</v>
      </c>
      <c r="B1007" s="10">
        <v>42930</v>
      </c>
      <c r="C1007" s="11">
        <v>0.60775462962962967</v>
      </c>
      <c r="D1007" s="12">
        <v>0.61614583333333328</v>
      </c>
      <c r="E1007" s="20">
        <f t="shared" si="30"/>
        <v>0</v>
      </c>
      <c r="F1007">
        <f t="shared" si="31"/>
        <v>0</v>
      </c>
    </row>
    <row r="1008" spans="1:6" x14ac:dyDescent="0.35">
      <c r="A1008" s="5">
        <v>8331262</v>
      </c>
      <c r="B1008" s="6">
        <v>42930</v>
      </c>
      <c r="C1008" s="7">
        <v>0.61174768518518519</v>
      </c>
      <c r="D1008" s="8">
        <v>0.61697916666666663</v>
      </c>
      <c r="E1008" s="20">
        <f t="shared" si="30"/>
        <v>0</v>
      </c>
      <c r="F1008">
        <f t="shared" si="31"/>
        <v>0</v>
      </c>
    </row>
    <row r="1009" spans="1:6" x14ac:dyDescent="0.35">
      <c r="A1009" s="9">
        <v>5146166</v>
      </c>
      <c r="B1009" s="10">
        <v>42930</v>
      </c>
      <c r="C1009" s="11">
        <v>0.61546296296296299</v>
      </c>
      <c r="D1009" s="12">
        <v>0.62185185185185188</v>
      </c>
      <c r="E1009" s="20">
        <f t="shared" si="30"/>
        <v>0</v>
      </c>
      <c r="F1009">
        <f t="shared" si="31"/>
        <v>0</v>
      </c>
    </row>
    <row r="1010" spans="1:6" x14ac:dyDescent="0.35">
      <c r="A1010" s="5">
        <v>6729705</v>
      </c>
      <c r="B1010" s="6">
        <v>42930</v>
      </c>
      <c r="C1010" s="7">
        <v>0.62111111111111106</v>
      </c>
      <c r="D1010" s="8">
        <v>0.62814814814814812</v>
      </c>
      <c r="E1010" s="20">
        <f t="shared" si="30"/>
        <v>0</v>
      </c>
      <c r="F1010">
        <f t="shared" si="31"/>
        <v>0</v>
      </c>
    </row>
    <row r="1011" spans="1:6" x14ac:dyDescent="0.35">
      <c r="A1011" s="9">
        <v>5372125</v>
      </c>
      <c r="B1011" s="10">
        <v>42930</v>
      </c>
      <c r="C1011" s="11">
        <v>0.62517361111111114</v>
      </c>
      <c r="D1011" s="12">
        <v>0.62518518518518518</v>
      </c>
      <c r="E1011" s="20">
        <f t="shared" si="30"/>
        <v>0</v>
      </c>
      <c r="F1011">
        <f t="shared" si="31"/>
        <v>0</v>
      </c>
    </row>
    <row r="1012" spans="1:6" x14ac:dyDescent="0.35">
      <c r="A1012" s="5">
        <v>8870498</v>
      </c>
      <c r="B1012" s="6">
        <v>42933</v>
      </c>
      <c r="C1012" s="7">
        <v>0.33702546296296299</v>
      </c>
      <c r="D1012" s="8">
        <v>0.34466435185185185</v>
      </c>
      <c r="E1012" s="20">
        <f t="shared" si="30"/>
        <v>0</v>
      </c>
      <c r="F1012">
        <f t="shared" si="31"/>
        <v>0</v>
      </c>
    </row>
    <row r="1013" spans="1:6" x14ac:dyDescent="0.35">
      <c r="A1013" s="9">
        <v>7880585</v>
      </c>
      <c r="B1013" s="10">
        <v>42933</v>
      </c>
      <c r="C1013" s="11">
        <v>0.34074074074074073</v>
      </c>
      <c r="D1013" s="12">
        <v>0.34971064814814817</v>
      </c>
      <c r="E1013" s="20">
        <f t="shared" si="30"/>
        <v>0</v>
      </c>
      <c r="F1013">
        <f t="shared" si="31"/>
        <v>0</v>
      </c>
    </row>
    <row r="1014" spans="1:6" x14ac:dyDescent="0.35">
      <c r="A1014" s="5">
        <v>3652646</v>
      </c>
      <c r="B1014" s="6">
        <v>42933</v>
      </c>
      <c r="C1014" s="7">
        <v>0.34233796296296298</v>
      </c>
      <c r="D1014" s="8">
        <v>0.34569444444444447</v>
      </c>
      <c r="E1014" s="20">
        <f t="shared" si="30"/>
        <v>0</v>
      </c>
      <c r="F1014">
        <f t="shared" si="31"/>
        <v>0</v>
      </c>
    </row>
    <row r="1015" spans="1:6" x14ac:dyDescent="0.35">
      <c r="A1015" s="9">
        <v>3691457</v>
      </c>
      <c r="B1015" s="10">
        <v>42933</v>
      </c>
      <c r="C1015" s="11">
        <v>0.34688657407407408</v>
      </c>
      <c r="D1015" s="12">
        <v>0.35810185185185184</v>
      </c>
      <c r="E1015" s="20">
        <f t="shared" si="30"/>
        <v>0</v>
      </c>
      <c r="F1015">
        <f t="shared" si="31"/>
        <v>0</v>
      </c>
    </row>
    <row r="1016" spans="1:6" x14ac:dyDescent="0.35">
      <c r="A1016" s="5">
        <v>4344184930</v>
      </c>
      <c r="B1016" s="6">
        <v>42933</v>
      </c>
      <c r="C1016" s="7">
        <v>0.34866898148148145</v>
      </c>
      <c r="D1016" s="8">
        <v>0.35778935185185184</v>
      </c>
      <c r="E1016" s="20">
        <f t="shared" si="30"/>
        <v>0</v>
      </c>
      <c r="F1016">
        <f t="shared" si="31"/>
        <v>0</v>
      </c>
    </row>
    <row r="1017" spans="1:6" x14ac:dyDescent="0.35">
      <c r="A1017" s="9">
        <v>5290460</v>
      </c>
      <c r="B1017" s="10">
        <v>42933</v>
      </c>
      <c r="C1017" s="11">
        <v>0.3525578703703704</v>
      </c>
      <c r="D1017" s="12">
        <v>0.36346064814814816</v>
      </c>
      <c r="E1017" s="20">
        <f t="shared" si="30"/>
        <v>0</v>
      </c>
      <c r="F1017">
        <f t="shared" si="31"/>
        <v>0</v>
      </c>
    </row>
    <row r="1018" spans="1:6" x14ac:dyDescent="0.35">
      <c r="A1018" s="5">
        <v>6922037</v>
      </c>
      <c r="B1018" s="6">
        <v>42933</v>
      </c>
      <c r="C1018" s="7">
        <v>0.35569444444444442</v>
      </c>
      <c r="D1018" s="8">
        <v>0.35796296296296298</v>
      </c>
      <c r="E1018" s="20">
        <f t="shared" si="30"/>
        <v>0</v>
      </c>
      <c r="F1018">
        <f t="shared" si="31"/>
        <v>0</v>
      </c>
    </row>
    <row r="1019" spans="1:6" x14ac:dyDescent="0.35">
      <c r="A1019" s="9">
        <v>7060245</v>
      </c>
      <c r="B1019" s="10">
        <v>42933</v>
      </c>
      <c r="C1019" s="11">
        <v>0.35920138888888886</v>
      </c>
      <c r="D1019" s="12">
        <v>0.36319444444444443</v>
      </c>
      <c r="E1019" s="20">
        <f t="shared" si="30"/>
        <v>0</v>
      </c>
      <c r="F1019">
        <f t="shared" si="31"/>
        <v>0</v>
      </c>
    </row>
    <row r="1020" spans="1:6" x14ac:dyDescent="0.35">
      <c r="A1020" s="5">
        <v>5788783</v>
      </c>
      <c r="B1020" s="6">
        <v>42933</v>
      </c>
      <c r="C1020" s="7">
        <v>0.36114583333333333</v>
      </c>
      <c r="D1020" s="8">
        <v>0.36629629629629629</v>
      </c>
      <c r="E1020" s="20">
        <f t="shared" si="30"/>
        <v>0</v>
      </c>
      <c r="F1020">
        <f t="shared" si="31"/>
        <v>0</v>
      </c>
    </row>
    <row r="1021" spans="1:6" x14ac:dyDescent="0.35">
      <c r="A1021" s="9">
        <v>8647144</v>
      </c>
      <c r="B1021" s="10">
        <v>42933</v>
      </c>
      <c r="C1021" s="11">
        <v>0.36208333333333331</v>
      </c>
      <c r="D1021" s="12">
        <v>0.36282407407407408</v>
      </c>
      <c r="E1021" s="20">
        <f t="shared" si="30"/>
        <v>0</v>
      </c>
      <c r="F1021">
        <f t="shared" si="31"/>
        <v>0</v>
      </c>
    </row>
    <row r="1022" spans="1:6" x14ac:dyDescent="0.35">
      <c r="A1022" s="5">
        <v>24665933</v>
      </c>
      <c r="B1022" s="6">
        <v>42933</v>
      </c>
      <c r="C1022" s="7">
        <v>0.36373842592592592</v>
      </c>
      <c r="D1022" s="8">
        <v>0.36895833333333333</v>
      </c>
      <c r="E1022" s="20">
        <f t="shared" si="30"/>
        <v>0</v>
      </c>
      <c r="F1022">
        <f t="shared" si="31"/>
        <v>0</v>
      </c>
    </row>
    <row r="1023" spans="1:6" x14ac:dyDescent="0.35">
      <c r="A1023" s="9">
        <v>3326329</v>
      </c>
      <c r="B1023" s="10">
        <v>42933</v>
      </c>
      <c r="C1023" s="11">
        <v>0.36928240740740742</v>
      </c>
      <c r="D1023" s="12">
        <v>0.37148148148148147</v>
      </c>
      <c r="E1023" s="20">
        <f t="shared" si="30"/>
        <v>0</v>
      </c>
      <c r="F1023">
        <f t="shared" si="31"/>
        <v>0</v>
      </c>
    </row>
    <row r="1024" spans="1:6" x14ac:dyDescent="0.35">
      <c r="A1024" s="5">
        <v>3478111</v>
      </c>
      <c r="B1024" s="6">
        <v>42933</v>
      </c>
      <c r="C1024" s="7">
        <v>0.37144675925925924</v>
      </c>
      <c r="D1024" s="8">
        <v>0.37270833333333331</v>
      </c>
      <c r="E1024" s="20">
        <f t="shared" si="30"/>
        <v>0</v>
      </c>
      <c r="F1024">
        <f t="shared" si="31"/>
        <v>0</v>
      </c>
    </row>
    <row r="1025" spans="1:6" x14ac:dyDescent="0.35">
      <c r="A1025" s="9">
        <v>7937998</v>
      </c>
      <c r="B1025" s="10">
        <v>42933</v>
      </c>
      <c r="C1025" s="11">
        <v>0.37627314814814816</v>
      </c>
      <c r="D1025" s="12">
        <v>0.37802083333333331</v>
      </c>
      <c r="E1025" s="20">
        <f t="shared" si="30"/>
        <v>0</v>
      </c>
      <c r="F1025">
        <f t="shared" si="31"/>
        <v>0</v>
      </c>
    </row>
    <row r="1026" spans="1:6" x14ac:dyDescent="0.35">
      <c r="A1026" s="5">
        <v>82239478</v>
      </c>
      <c r="B1026" s="6">
        <v>42933</v>
      </c>
      <c r="C1026" s="7">
        <v>0.38178240740740743</v>
      </c>
      <c r="D1026" s="8">
        <v>0.38648148148148148</v>
      </c>
      <c r="E1026" s="20">
        <f t="shared" si="30"/>
        <v>0</v>
      </c>
      <c r="F1026">
        <f t="shared" si="31"/>
        <v>0</v>
      </c>
    </row>
    <row r="1027" spans="1:6" x14ac:dyDescent="0.35">
      <c r="A1027" s="9">
        <v>2557643</v>
      </c>
      <c r="B1027" s="10">
        <v>42933</v>
      </c>
      <c r="C1027" s="11">
        <v>0.38622685185185185</v>
      </c>
      <c r="D1027" s="12">
        <v>0.38957175925925924</v>
      </c>
      <c r="E1027" s="20">
        <f t="shared" ref="E1027:E1090" si="32">IF(F1027=1,D1027-C1027,0)</f>
        <v>0</v>
      </c>
      <c r="F1027">
        <f t="shared" ref="F1027:F1090" si="33">IF(AND(LEN(A1027)=7,LEFT(A1027,2) = "12"),1,0)</f>
        <v>0</v>
      </c>
    </row>
    <row r="1028" spans="1:6" x14ac:dyDescent="0.35">
      <c r="A1028" s="5">
        <v>4501726</v>
      </c>
      <c r="B1028" s="6">
        <v>42933</v>
      </c>
      <c r="C1028" s="7">
        <v>0.38754629629629628</v>
      </c>
      <c r="D1028" s="8">
        <v>0.39260416666666664</v>
      </c>
      <c r="E1028" s="20">
        <f t="shared" si="32"/>
        <v>0</v>
      </c>
      <c r="F1028">
        <f t="shared" si="33"/>
        <v>0</v>
      </c>
    </row>
    <row r="1029" spans="1:6" x14ac:dyDescent="0.35">
      <c r="A1029" s="9">
        <v>1415198</v>
      </c>
      <c r="B1029" s="10">
        <v>42933</v>
      </c>
      <c r="C1029" s="11">
        <v>0.38991898148148146</v>
      </c>
      <c r="D1029" s="12">
        <v>0.40072916666666669</v>
      </c>
      <c r="E1029" s="20">
        <f t="shared" si="32"/>
        <v>0</v>
      </c>
      <c r="F1029">
        <f t="shared" si="33"/>
        <v>0</v>
      </c>
    </row>
    <row r="1030" spans="1:6" x14ac:dyDescent="0.35">
      <c r="A1030" s="5">
        <v>23368531</v>
      </c>
      <c r="B1030" s="6">
        <v>42933</v>
      </c>
      <c r="C1030" s="7">
        <v>0.39103009259259258</v>
      </c>
      <c r="D1030" s="8">
        <v>0.39221064814814816</v>
      </c>
      <c r="E1030" s="20">
        <f t="shared" si="32"/>
        <v>0</v>
      </c>
      <c r="F1030">
        <f t="shared" si="33"/>
        <v>0</v>
      </c>
    </row>
    <row r="1031" spans="1:6" x14ac:dyDescent="0.35">
      <c r="A1031" s="9">
        <v>5750549</v>
      </c>
      <c r="B1031" s="10">
        <v>42933</v>
      </c>
      <c r="C1031" s="11">
        <v>0.3948726851851852</v>
      </c>
      <c r="D1031" s="12">
        <v>0.39504629629629628</v>
      </c>
      <c r="E1031" s="20">
        <f t="shared" si="32"/>
        <v>0</v>
      </c>
      <c r="F1031">
        <f t="shared" si="33"/>
        <v>0</v>
      </c>
    </row>
    <row r="1032" spans="1:6" x14ac:dyDescent="0.35">
      <c r="A1032" s="5">
        <v>3897850970</v>
      </c>
      <c r="B1032" s="6">
        <v>42933</v>
      </c>
      <c r="C1032" s="7">
        <v>0.3951736111111111</v>
      </c>
      <c r="D1032" s="8">
        <v>0.39697916666666666</v>
      </c>
      <c r="E1032" s="20">
        <f t="shared" si="32"/>
        <v>0</v>
      </c>
      <c r="F1032">
        <f t="shared" si="33"/>
        <v>0</v>
      </c>
    </row>
    <row r="1033" spans="1:6" x14ac:dyDescent="0.35">
      <c r="A1033" s="9">
        <v>2573868</v>
      </c>
      <c r="B1033" s="10">
        <v>42933</v>
      </c>
      <c r="C1033" s="11">
        <v>0.39962962962962961</v>
      </c>
      <c r="D1033" s="12">
        <v>0.40937499999999999</v>
      </c>
      <c r="E1033" s="20">
        <f t="shared" si="32"/>
        <v>0</v>
      </c>
      <c r="F1033">
        <f t="shared" si="33"/>
        <v>0</v>
      </c>
    </row>
    <row r="1034" spans="1:6" x14ac:dyDescent="0.35">
      <c r="A1034" s="5">
        <v>1701008</v>
      </c>
      <c r="B1034" s="6">
        <v>42933</v>
      </c>
      <c r="C1034" s="7">
        <v>0.40104166666666669</v>
      </c>
      <c r="D1034" s="8">
        <v>0.40837962962962965</v>
      </c>
      <c r="E1034" s="20">
        <f t="shared" si="32"/>
        <v>0</v>
      </c>
      <c r="F1034">
        <f t="shared" si="33"/>
        <v>0</v>
      </c>
    </row>
    <row r="1035" spans="1:6" x14ac:dyDescent="0.35">
      <c r="A1035" s="9">
        <v>1617146</v>
      </c>
      <c r="B1035" s="10">
        <v>42933</v>
      </c>
      <c r="C1035" s="11">
        <v>0.40575231481481483</v>
      </c>
      <c r="D1035" s="12">
        <v>0.41274305555555557</v>
      </c>
      <c r="E1035" s="20">
        <f t="shared" si="32"/>
        <v>0</v>
      </c>
      <c r="F1035">
        <f t="shared" si="33"/>
        <v>0</v>
      </c>
    </row>
    <row r="1036" spans="1:6" x14ac:dyDescent="0.35">
      <c r="A1036" s="5">
        <v>7085993</v>
      </c>
      <c r="B1036" s="6">
        <v>42933</v>
      </c>
      <c r="C1036" s="7">
        <v>0.40719907407407407</v>
      </c>
      <c r="D1036" s="8">
        <v>0.41578703703703701</v>
      </c>
      <c r="E1036" s="20">
        <f t="shared" si="32"/>
        <v>0</v>
      </c>
      <c r="F1036">
        <f t="shared" si="33"/>
        <v>0</v>
      </c>
    </row>
    <row r="1037" spans="1:6" x14ac:dyDescent="0.35">
      <c r="A1037" s="9">
        <v>73460179</v>
      </c>
      <c r="B1037" s="10">
        <v>42933</v>
      </c>
      <c r="C1037" s="11">
        <v>0.41060185185185183</v>
      </c>
      <c r="D1037" s="12">
        <v>0.41334490740740742</v>
      </c>
      <c r="E1037" s="20">
        <f t="shared" si="32"/>
        <v>0</v>
      </c>
      <c r="F1037">
        <f t="shared" si="33"/>
        <v>0</v>
      </c>
    </row>
    <row r="1038" spans="1:6" x14ac:dyDescent="0.35">
      <c r="A1038" s="5">
        <v>5983034</v>
      </c>
      <c r="B1038" s="6">
        <v>42933</v>
      </c>
      <c r="C1038" s="7">
        <v>0.41253472222222221</v>
      </c>
      <c r="D1038" s="8">
        <v>0.41753472222222221</v>
      </c>
      <c r="E1038" s="20">
        <f t="shared" si="32"/>
        <v>0</v>
      </c>
      <c r="F1038">
        <f t="shared" si="33"/>
        <v>0</v>
      </c>
    </row>
    <row r="1039" spans="1:6" x14ac:dyDescent="0.35">
      <c r="A1039" s="9">
        <v>16724936</v>
      </c>
      <c r="B1039" s="10">
        <v>42933</v>
      </c>
      <c r="C1039" s="11">
        <v>0.41317129629629629</v>
      </c>
      <c r="D1039" s="12">
        <v>0.41466435185185185</v>
      </c>
      <c r="E1039" s="20">
        <f t="shared" si="32"/>
        <v>0</v>
      </c>
      <c r="F1039">
        <f t="shared" si="33"/>
        <v>0</v>
      </c>
    </row>
    <row r="1040" spans="1:6" x14ac:dyDescent="0.35">
      <c r="A1040" s="5">
        <v>19343766</v>
      </c>
      <c r="B1040" s="6">
        <v>42933</v>
      </c>
      <c r="C1040" s="7">
        <v>0.41572916666666665</v>
      </c>
      <c r="D1040" s="8">
        <v>0.41825231481481484</v>
      </c>
      <c r="E1040" s="20">
        <f t="shared" si="32"/>
        <v>0</v>
      </c>
      <c r="F1040">
        <f t="shared" si="33"/>
        <v>0</v>
      </c>
    </row>
    <row r="1041" spans="1:6" x14ac:dyDescent="0.35">
      <c r="A1041" s="9">
        <v>7439955</v>
      </c>
      <c r="B1041" s="10">
        <v>42933</v>
      </c>
      <c r="C1041" s="11">
        <v>0.41716435185185186</v>
      </c>
      <c r="D1041" s="12">
        <v>0.4284722222222222</v>
      </c>
      <c r="E1041" s="20">
        <f t="shared" si="32"/>
        <v>0</v>
      </c>
      <c r="F1041">
        <f t="shared" si="33"/>
        <v>0</v>
      </c>
    </row>
    <row r="1042" spans="1:6" x14ac:dyDescent="0.35">
      <c r="A1042" s="5">
        <v>7224275</v>
      </c>
      <c r="B1042" s="6">
        <v>42933</v>
      </c>
      <c r="C1042" s="7">
        <v>0.41899305555555555</v>
      </c>
      <c r="D1042" s="8">
        <v>0.41968749999999999</v>
      </c>
      <c r="E1042" s="20">
        <f t="shared" si="32"/>
        <v>0</v>
      </c>
      <c r="F1042">
        <f t="shared" si="33"/>
        <v>0</v>
      </c>
    </row>
    <row r="1043" spans="1:6" x14ac:dyDescent="0.35">
      <c r="A1043" s="9">
        <v>1679471</v>
      </c>
      <c r="B1043" s="10">
        <v>42933</v>
      </c>
      <c r="C1043" s="11">
        <v>0.42386574074074074</v>
      </c>
      <c r="D1043" s="12">
        <v>0.42885416666666665</v>
      </c>
      <c r="E1043" s="20">
        <f t="shared" si="32"/>
        <v>0</v>
      </c>
      <c r="F1043">
        <f t="shared" si="33"/>
        <v>0</v>
      </c>
    </row>
    <row r="1044" spans="1:6" x14ac:dyDescent="0.35">
      <c r="A1044" s="5">
        <v>6270159</v>
      </c>
      <c r="B1044" s="6">
        <v>42933</v>
      </c>
      <c r="C1044" s="7">
        <v>0.42664351851851851</v>
      </c>
      <c r="D1044" s="8">
        <v>0.42697916666666669</v>
      </c>
      <c r="E1044" s="20">
        <f t="shared" si="32"/>
        <v>0</v>
      </c>
      <c r="F1044">
        <f t="shared" si="33"/>
        <v>0</v>
      </c>
    </row>
    <row r="1045" spans="1:6" x14ac:dyDescent="0.35">
      <c r="A1045" s="9">
        <v>1482340</v>
      </c>
      <c r="B1045" s="10">
        <v>42933</v>
      </c>
      <c r="C1045" s="11">
        <v>0.42983796296296295</v>
      </c>
      <c r="D1045" s="12">
        <v>0.43975694444444446</v>
      </c>
      <c r="E1045" s="20">
        <f t="shared" si="32"/>
        <v>0</v>
      </c>
      <c r="F1045">
        <f t="shared" si="33"/>
        <v>0</v>
      </c>
    </row>
    <row r="1046" spans="1:6" x14ac:dyDescent="0.35">
      <c r="A1046" s="5">
        <v>28185580</v>
      </c>
      <c r="B1046" s="6">
        <v>42933</v>
      </c>
      <c r="C1046" s="7">
        <v>0.43086805555555557</v>
      </c>
      <c r="D1046" s="8">
        <v>0.43388888888888888</v>
      </c>
      <c r="E1046" s="20">
        <f t="shared" si="32"/>
        <v>0</v>
      </c>
      <c r="F1046">
        <f t="shared" si="33"/>
        <v>0</v>
      </c>
    </row>
    <row r="1047" spans="1:6" x14ac:dyDescent="0.35">
      <c r="A1047" s="9">
        <v>4222605</v>
      </c>
      <c r="B1047" s="10">
        <v>42933</v>
      </c>
      <c r="C1047" s="11">
        <v>0.43375000000000002</v>
      </c>
      <c r="D1047" s="12">
        <v>0.43592592592592594</v>
      </c>
      <c r="E1047" s="20">
        <f t="shared" si="32"/>
        <v>0</v>
      </c>
      <c r="F1047">
        <f t="shared" si="33"/>
        <v>0</v>
      </c>
    </row>
    <row r="1048" spans="1:6" x14ac:dyDescent="0.35">
      <c r="A1048" s="5">
        <v>6689117</v>
      </c>
      <c r="B1048" s="6">
        <v>42933</v>
      </c>
      <c r="C1048" s="7">
        <v>0.43546296296296294</v>
      </c>
      <c r="D1048" s="8">
        <v>0.43662037037037038</v>
      </c>
      <c r="E1048" s="20">
        <f t="shared" si="32"/>
        <v>0</v>
      </c>
      <c r="F1048">
        <f t="shared" si="33"/>
        <v>0</v>
      </c>
    </row>
    <row r="1049" spans="1:6" x14ac:dyDescent="0.35">
      <c r="A1049" s="9">
        <v>3785540</v>
      </c>
      <c r="B1049" s="10">
        <v>42933</v>
      </c>
      <c r="C1049" s="11">
        <v>0.43569444444444444</v>
      </c>
      <c r="D1049" s="12">
        <v>0.4362037037037037</v>
      </c>
      <c r="E1049" s="20">
        <f t="shared" si="32"/>
        <v>0</v>
      </c>
      <c r="F1049">
        <f t="shared" si="33"/>
        <v>0</v>
      </c>
    </row>
    <row r="1050" spans="1:6" x14ac:dyDescent="0.35">
      <c r="A1050" s="5">
        <v>6151478</v>
      </c>
      <c r="B1050" s="6">
        <v>42933</v>
      </c>
      <c r="C1050" s="7">
        <v>0.44103009259259257</v>
      </c>
      <c r="D1050" s="8">
        <v>0.44807870370370373</v>
      </c>
      <c r="E1050" s="20">
        <f t="shared" si="32"/>
        <v>0</v>
      </c>
      <c r="F1050">
        <f t="shared" si="33"/>
        <v>0</v>
      </c>
    </row>
    <row r="1051" spans="1:6" x14ac:dyDescent="0.35">
      <c r="A1051" s="9">
        <v>9926754</v>
      </c>
      <c r="B1051" s="10">
        <v>42933</v>
      </c>
      <c r="C1051" s="11">
        <v>0.44421296296296298</v>
      </c>
      <c r="D1051" s="12">
        <v>0.44739583333333333</v>
      </c>
      <c r="E1051" s="20">
        <f t="shared" si="32"/>
        <v>0</v>
      </c>
      <c r="F1051">
        <f t="shared" si="33"/>
        <v>0</v>
      </c>
    </row>
    <row r="1052" spans="1:6" x14ac:dyDescent="0.35">
      <c r="A1052" s="5">
        <v>89098100</v>
      </c>
      <c r="B1052" s="6">
        <v>42933</v>
      </c>
      <c r="C1052" s="7">
        <v>0.44609953703703703</v>
      </c>
      <c r="D1052" s="8">
        <v>0.44979166666666665</v>
      </c>
      <c r="E1052" s="20">
        <f t="shared" si="32"/>
        <v>0</v>
      </c>
      <c r="F1052">
        <f t="shared" si="33"/>
        <v>0</v>
      </c>
    </row>
    <row r="1053" spans="1:6" x14ac:dyDescent="0.35">
      <c r="A1053" s="9">
        <v>6460935</v>
      </c>
      <c r="B1053" s="10">
        <v>42933</v>
      </c>
      <c r="C1053" s="11">
        <v>0.45122685185185185</v>
      </c>
      <c r="D1053" s="12">
        <v>0.45480324074074074</v>
      </c>
      <c r="E1053" s="20">
        <f t="shared" si="32"/>
        <v>0</v>
      </c>
      <c r="F1053">
        <f t="shared" si="33"/>
        <v>0</v>
      </c>
    </row>
    <row r="1054" spans="1:6" x14ac:dyDescent="0.35">
      <c r="A1054" s="5">
        <v>83559673</v>
      </c>
      <c r="B1054" s="6">
        <v>42933</v>
      </c>
      <c r="C1054" s="7">
        <v>0.45623842592592595</v>
      </c>
      <c r="D1054" s="8">
        <v>0.46062500000000001</v>
      </c>
      <c r="E1054" s="20">
        <f t="shared" si="32"/>
        <v>0</v>
      </c>
      <c r="F1054">
        <f t="shared" si="33"/>
        <v>0</v>
      </c>
    </row>
    <row r="1055" spans="1:6" x14ac:dyDescent="0.35">
      <c r="A1055" s="9">
        <v>1661633</v>
      </c>
      <c r="B1055" s="10">
        <v>42933</v>
      </c>
      <c r="C1055" s="11">
        <v>0.4611574074074074</v>
      </c>
      <c r="D1055" s="12">
        <v>0.46372685185185186</v>
      </c>
      <c r="E1055" s="20">
        <f t="shared" si="32"/>
        <v>0</v>
      </c>
      <c r="F1055">
        <f t="shared" si="33"/>
        <v>0</v>
      </c>
    </row>
    <row r="1056" spans="1:6" x14ac:dyDescent="0.35">
      <c r="A1056" s="5">
        <v>5809293</v>
      </c>
      <c r="B1056" s="6">
        <v>42933</v>
      </c>
      <c r="C1056" s="7">
        <v>0.46481481481481479</v>
      </c>
      <c r="D1056" s="8">
        <v>0.47425925925925927</v>
      </c>
      <c r="E1056" s="20">
        <f t="shared" si="32"/>
        <v>0</v>
      </c>
      <c r="F1056">
        <f t="shared" si="33"/>
        <v>0</v>
      </c>
    </row>
    <row r="1057" spans="1:6" x14ac:dyDescent="0.35">
      <c r="A1057" s="9">
        <v>5790304</v>
      </c>
      <c r="B1057" s="10">
        <v>42933</v>
      </c>
      <c r="C1057" s="11">
        <v>0.46655092592592595</v>
      </c>
      <c r="D1057" s="12">
        <v>0.47357638888888887</v>
      </c>
      <c r="E1057" s="20">
        <f t="shared" si="32"/>
        <v>0</v>
      </c>
      <c r="F1057">
        <f t="shared" si="33"/>
        <v>0</v>
      </c>
    </row>
    <row r="1058" spans="1:6" x14ac:dyDescent="0.35">
      <c r="A1058" s="5">
        <v>7088840</v>
      </c>
      <c r="B1058" s="6">
        <v>42933</v>
      </c>
      <c r="C1058" s="7">
        <v>0.46711805555555558</v>
      </c>
      <c r="D1058" s="8">
        <v>0.47856481481481483</v>
      </c>
      <c r="E1058" s="20">
        <f t="shared" si="32"/>
        <v>0</v>
      </c>
      <c r="F1058">
        <f t="shared" si="33"/>
        <v>0</v>
      </c>
    </row>
    <row r="1059" spans="1:6" x14ac:dyDescent="0.35">
      <c r="A1059" s="9">
        <v>1302112</v>
      </c>
      <c r="B1059" s="10">
        <v>42933</v>
      </c>
      <c r="C1059" s="11">
        <v>0.46939814814814818</v>
      </c>
      <c r="D1059" s="12">
        <v>0.47047453703703701</v>
      </c>
      <c r="E1059" s="20">
        <f t="shared" si="32"/>
        <v>0</v>
      </c>
      <c r="F1059">
        <f t="shared" si="33"/>
        <v>0</v>
      </c>
    </row>
    <row r="1060" spans="1:6" x14ac:dyDescent="0.35">
      <c r="A1060" s="5">
        <v>8299537</v>
      </c>
      <c r="B1060" s="6">
        <v>42933</v>
      </c>
      <c r="C1060" s="7">
        <v>0.47302083333333333</v>
      </c>
      <c r="D1060" s="8">
        <v>0.47939814814814813</v>
      </c>
      <c r="E1060" s="20">
        <f t="shared" si="32"/>
        <v>0</v>
      </c>
      <c r="F1060">
        <f t="shared" si="33"/>
        <v>0</v>
      </c>
    </row>
    <row r="1061" spans="1:6" x14ac:dyDescent="0.35">
      <c r="A1061" s="9">
        <v>1519891</v>
      </c>
      <c r="B1061" s="10">
        <v>42933</v>
      </c>
      <c r="C1061" s="11">
        <v>0.47604166666666664</v>
      </c>
      <c r="D1061" s="12">
        <v>0.48714120370370373</v>
      </c>
      <c r="E1061" s="20">
        <f t="shared" si="32"/>
        <v>0</v>
      </c>
      <c r="F1061">
        <f t="shared" si="33"/>
        <v>0</v>
      </c>
    </row>
    <row r="1062" spans="1:6" x14ac:dyDescent="0.35">
      <c r="A1062" s="5">
        <v>29771613</v>
      </c>
      <c r="B1062" s="6">
        <v>42933</v>
      </c>
      <c r="C1062" s="7">
        <v>0.47706018518518517</v>
      </c>
      <c r="D1062" s="8">
        <v>0.47881944444444446</v>
      </c>
      <c r="E1062" s="20">
        <f t="shared" si="32"/>
        <v>0</v>
      </c>
      <c r="F1062">
        <f t="shared" si="33"/>
        <v>0</v>
      </c>
    </row>
    <row r="1063" spans="1:6" x14ac:dyDescent="0.35">
      <c r="A1063" s="9">
        <v>9088045</v>
      </c>
      <c r="B1063" s="10">
        <v>42933</v>
      </c>
      <c r="C1063" s="11">
        <v>0.47714120370370372</v>
      </c>
      <c r="D1063" s="12">
        <v>0.47728009259259258</v>
      </c>
      <c r="E1063" s="20">
        <f t="shared" si="32"/>
        <v>0</v>
      </c>
      <c r="F1063">
        <f t="shared" si="33"/>
        <v>0</v>
      </c>
    </row>
    <row r="1064" spans="1:6" x14ac:dyDescent="0.35">
      <c r="A1064" s="5">
        <v>59864989</v>
      </c>
      <c r="B1064" s="6">
        <v>42933</v>
      </c>
      <c r="C1064" s="7">
        <v>0.48119212962962965</v>
      </c>
      <c r="D1064" s="8">
        <v>0.49038194444444444</v>
      </c>
      <c r="E1064" s="20">
        <f t="shared" si="32"/>
        <v>0</v>
      </c>
      <c r="F1064">
        <f t="shared" si="33"/>
        <v>0</v>
      </c>
    </row>
    <row r="1065" spans="1:6" x14ac:dyDescent="0.35">
      <c r="A1065" s="9">
        <v>2741017</v>
      </c>
      <c r="B1065" s="10">
        <v>42933</v>
      </c>
      <c r="C1065" s="11">
        <v>0.4838425925925926</v>
      </c>
      <c r="D1065" s="12">
        <v>0.49107638888888888</v>
      </c>
      <c r="E1065" s="20">
        <f t="shared" si="32"/>
        <v>0</v>
      </c>
      <c r="F1065">
        <f t="shared" si="33"/>
        <v>0</v>
      </c>
    </row>
    <row r="1066" spans="1:6" x14ac:dyDescent="0.35">
      <c r="A1066" s="5">
        <v>1092699</v>
      </c>
      <c r="B1066" s="6">
        <v>42933</v>
      </c>
      <c r="C1066" s="7">
        <v>0.48430555555555554</v>
      </c>
      <c r="D1066" s="8">
        <v>0.49372685185185183</v>
      </c>
      <c r="E1066" s="20">
        <f t="shared" si="32"/>
        <v>0</v>
      </c>
      <c r="F1066">
        <f t="shared" si="33"/>
        <v>0</v>
      </c>
    </row>
    <row r="1067" spans="1:6" x14ac:dyDescent="0.35">
      <c r="A1067" s="9">
        <v>3284714</v>
      </c>
      <c r="B1067" s="10">
        <v>42933</v>
      </c>
      <c r="C1067" s="11">
        <v>0.48533564814814817</v>
      </c>
      <c r="D1067" s="12">
        <v>0.49689814814814814</v>
      </c>
      <c r="E1067" s="20">
        <f t="shared" si="32"/>
        <v>0</v>
      </c>
      <c r="F1067">
        <f t="shared" si="33"/>
        <v>0</v>
      </c>
    </row>
    <row r="1068" spans="1:6" x14ac:dyDescent="0.35">
      <c r="A1068" s="5">
        <v>1822675725</v>
      </c>
      <c r="B1068" s="6">
        <v>42933</v>
      </c>
      <c r="C1068" s="7">
        <v>0.48542824074074076</v>
      </c>
      <c r="D1068" s="8">
        <v>0.49109953703703701</v>
      </c>
      <c r="E1068" s="20">
        <f t="shared" si="32"/>
        <v>0</v>
      </c>
      <c r="F1068">
        <f t="shared" si="33"/>
        <v>0</v>
      </c>
    </row>
    <row r="1069" spans="1:6" x14ac:dyDescent="0.35">
      <c r="A1069" s="9">
        <v>9595194</v>
      </c>
      <c r="B1069" s="10">
        <v>42933</v>
      </c>
      <c r="C1069" s="11">
        <v>0.48833333333333334</v>
      </c>
      <c r="D1069" s="12">
        <v>0.49960648148148146</v>
      </c>
      <c r="E1069" s="20">
        <f t="shared" si="32"/>
        <v>0</v>
      </c>
      <c r="F1069">
        <f t="shared" si="33"/>
        <v>0</v>
      </c>
    </row>
    <row r="1070" spans="1:6" x14ac:dyDescent="0.35">
      <c r="A1070" s="5">
        <v>5015921</v>
      </c>
      <c r="B1070" s="6">
        <v>42933</v>
      </c>
      <c r="C1070" s="7">
        <v>0.49362268518518521</v>
      </c>
      <c r="D1070" s="8">
        <v>0.49859953703703702</v>
      </c>
      <c r="E1070" s="20">
        <f t="shared" si="32"/>
        <v>0</v>
      </c>
      <c r="F1070">
        <f t="shared" si="33"/>
        <v>0</v>
      </c>
    </row>
    <row r="1071" spans="1:6" x14ac:dyDescent="0.35">
      <c r="A1071" s="9">
        <v>1015521</v>
      </c>
      <c r="B1071" s="10">
        <v>42933</v>
      </c>
      <c r="C1071" s="11">
        <v>0.49658564814814815</v>
      </c>
      <c r="D1071" s="12">
        <v>0.49866898148148148</v>
      </c>
      <c r="E1071" s="20">
        <f t="shared" si="32"/>
        <v>0</v>
      </c>
      <c r="F1071">
        <f t="shared" si="33"/>
        <v>0</v>
      </c>
    </row>
    <row r="1072" spans="1:6" x14ac:dyDescent="0.35">
      <c r="A1072" s="5">
        <v>4452201</v>
      </c>
      <c r="B1072" s="6">
        <v>42933</v>
      </c>
      <c r="C1072" s="7">
        <v>0.49760416666666668</v>
      </c>
      <c r="D1072" s="8">
        <v>0.50249999999999995</v>
      </c>
      <c r="E1072" s="20">
        <f t="shared" si="32"/>
        <v>0</v>
      </c>
      <c r="F1072">
        <f t="shared" si="33"/>
        <v>0</v>
      </c>
    </row>
    <row r="1073" spans="1:6" x14ac:dyDescent="0.35">
      <c r="A1073" s="9">
        <v>6801890</v>
      </c>
      <c r="B1073" s="10">
        <v>42933</v>
      </c>
      <c r="C1073" s="11">
        <v>0.50284722222222222</v>
      </c>
      <c r="D1073" s="12">
        <v>0.50736111111111115</v>
      </c>
      <c r="E1073" s="20">
        <f t="shared" si="32"/>
        <v>0</v>
      </c>
      <c r="F1073">
        <f t="shared" si="33"/>
        <v>0</v>
      </c>
    </row>
    <row r="1074" spans="1:6" x14ac:dyDescent="0.35">
      <c r="A1074" s="5">
        <v>19638469</v>
      </c>
      <c r="B1074" s="6">
        <v>42933</v>
      </c>
      <c r="C1074" s="7">
        <v>0.50768518518518524</v>
      </c>
      <c r="D1074" s="8">
        <v>0.51817129629629632</v>
      </c>
      <c r="E1074" s="20">
        <f t="shared" si="32"/>
        <v>0</v>
      </c>
      <c r="F1074">
        <f t="shared" si="33"/>
        <v>0</v>
      </c>
    </row>
    <row r="1075" spans="1:6" x14ac:dyDescent="0.35">
      <c r="A1075" s="9">
        <v>43897696</v>
      </c>
      <c r="B1075" s="10">
        <v>42933</v>
      </c>
      <c r="C1075" s="11">
        <v>0.51271990740740736</v>
      </c>
      <c r="D1075" s="12">
        <v>0.51616898148148149</v>
      </c>
      <c r="E1075" s="20">
        <f t="shared" si="32"/>
        <v>0</v>
      </c>
      <c r="F1075">
        <f t="shared" si="33"/>
        <v>0</v>
      </c>
    </row>
    <row r="1076" spans="1:6" x14ac:dyDescent="0.35">
      <c r="A1076" s="5">
        <v>8253162</v>
      </c>
      <c r="B1076" s="6">
        <v>42933</v>
      </c>
      <c r="C1076" s="7">
        <v>0.51468749999999996</v>
      </c>
      <c r="D1076" s="8">
        <v>0.5204050925925926</v>
      </c>
      <c r="E1076" s="20">
        <f t="shared" si="32"/>
        <v>0</v>
      </c>
      <c r="F1076">
        <f t="shared" si="33"/>
        <v>0</v>
      </c>
    </row>
    <row r="1077" spans="1:6" x14ac:dyDescent="0.35">
      <c r="A1077" s="9">
        <v>42038927</v>
      </c>
      <c r="B1077" s="10">
        <v>42933</v>
      </c>
      <c r="C1077" s="11">
        <v>0.51894675925925926</v>
      </c>
      <c r="D1077" s="12">
        <v>0.52336805555555554</v>
      </c>
      <c r="E1077" s="20">
        <f t="shared" si="32"/>
        <v>0</v>
      </c>
      <c r="F1077">
        <f t="shared" si="33"/>
        <v>0</v>
      </c>
    </row>
    <row r="1078" spans="1:6" x14ac:dyDescent="0.35">
      <c r="A1078" s="5">
        <v>5758962</v>
      </c>
      <c r="B1078" s="6">
        <v>42933</v>
      </c>
      <c r="C1078" s="7">
        <v>0.52460648148148148</v>
      </c>
      <c r="D1078" s="8">
        <v>0.53292824074074074</v>
      </c>
      <c r="E1078" s="20">
        <f t="shared" si="32"/>
        <v>0</v>
      </c>
      <c r="F1078">
        <f t="shared" si="33"/>
        <v>0</v>
      </c>
    </row>
    <row r="1079" spans="1:6" x14ac:dyDescent="0.35">
      <c r="A1079" s="9">
        <v>77096634</v>
      </c>
      <c r="B1079" s="10">
        <v>42933</v>
      </c>
      <c r="C1079" s="11">
        <v>0.52500000000000002</v>
      </c>
      <c r="D1079" s="12">
        <v>0.53071759259259255</v>
      </c>
      <c r="E1079" s="20">
        <f t="shared" si="32"/>
        <v>0</v>
      </c>
      <c r="F1079">
        <f t="shared" si="33"/>
        <v>0</v>
      </c>
    </row>
    <row r="1080" spans="1:6" x14ac:dyDescent="0.35">
      <c r="A1080" s="5">
        <v>8041809</v>
      </c>
      <c r="B1080" s="6">
        <v>42933</v>
      </c>
      <c r="C1080" s="7">
        <v>0.52508101851851852</v>
      </c>
      <c r="D1080" s="8">
        <v>0.53238425925925925</v>
      </c>
      <c r="E1080" s="20">
        <f t="shared" si="32"/>
        <v>0</v>
      </c>
      <c r="F1080">
        <f t="shared" si="33"/>
        <v>0</v>
      </c>
    </row>
    <row r="1081" spans="1:6" x14ac:dyDescent="0.35">
      <c r="A1081" s="9">
        <v>6735390</v>
      </c>
      <c r="B1081" s="10">
        <v>42933</v>
      </c>
      <c r="C1081" s="11">
        <v>0.52612268518518523</v>
      </c>
      <c r="D1081" s="12">
        <v>0.52849537037037042</v>
      </c>
      <c r="E1081" s="20">
        <f t="shared" si="32"/>
        <v>0</v>
      </c>
      <c r="F1081">
        <f t="shared" si="33"/>
        <v>0</v>
      </c>
    </row>
    <row r="1082" spans="1:6" x14ac:dyDescent="0.35">
      <c r="A1082" s="5">
        <v>93811207</v>
      </c>
      <c r="B1082" s="6">
        <v>42933</v>
      </c>
      <c r="C1082" s="7">
        <v>0.52707175925925931</v>
      </c>
      <c r="D1082" s="8">
        <v>0.53460648148148149</v>
      </c>
      <c r="E1082" s="20">
        <f t="shared" si="32"/>
        <v>0</v>
      </c>
      <c r="F1082">
        <f t="shared" si="33"/>
        <v>0</v>
      </c>
    </row>
    <row r="1083" spans="1:6" x14ac:dyDescent="0.35">
      <c r="A1083" s="9">
        <v>8079505</v>
      </c>
      <c r="B1083" s="10">
        <v>42933</v>
      </c>
      <c r="C1083" s="11">
        <v>0.52788194444444447</v>
      </c>
      <c r="D1083" s="12">
        <v>0.52908564814814818</v>
      </c>
      <c r="E1083" s="20">
        <f t="shared" si="32"/>
        <v>0</v>
      </c>
      <c r="F1083">
        <f t="shared" si="33"/>
        <v>0</v>
      </c>
    </row>
    <row r="1084" spans="1:6" x14ac:dyDescent="0.35">
      <c r="A1084" s="5">
        <v>3348581</v>
      </c>
      <c r="B1084" s="6">
        <v>42933</v>
      </c>
      <c r="C1084" s="7">
        <v>0.53150462962962963</v>
      </c>
      <c r="D1084" s="8">
        <v>0.54208333333333336</v>
      </c>
      <c r="E1084" s="20">
        <f t="shared" si="32"/>
        <v>0</v>
      </c>
      <c r="F1084">
        <f t="shared" si="33"/>
        <v>0</v>
      </c>
    </row>
    <row r="1085" spans="1:6" x14ac:dyDescent="0.35">
      <c r="A1085" s="9">
        <v>13484133</v>
      </c>
      <c r="B1085" s="10">
        <v>42933</v>
      </c>
      <c r="C1085" s="11">
        <v>0.53174768518518523</v>
      </c>
      <c r="D1085" s="12">
        <v>0.53931712962962963</v>
      </c>
      <c r="E1085" s="20">
        <f t="shared" si="32"/>
        <v>0</v>
      </c>
      <c r="F1085">
        <f t="shared" si="33"/>
        <v>0</v>
      </c>
    </row>
    <row r="1086" spans="1:6" x14ac:dyDescent="0.35">
      <c r="A1086" s="5">
        <v>3017523</v>
      </c>
      <c r="B1086" s="6">
        <v>42933</v>
      </c>
      <c r="C1086" s="7">
        <v>0.53241898148148148</v>
      </c>
      <c r="D1086" s="8">
        <v>0.54011574074074076</v>
      </c>
      <c r="E1086" s="20">
        <f t="shared" si="32"/>
        <v>0</v>
      </c>
      <c r="F1086">
        <f t="shared" si="33"/>
        <v>0</v>
      </c>
    </row>
    <row r="1087" spans="1:6" x14ac:dyDescent="0.35">
      <c r="A1087" s="9">
        <v>5464497</v>
      </c>
      <c r="B1087" s="10">
        <v>42933</v>
      </c>
      <c r="C1087" s="11">
        <v>0.53608796296296302</v>
      </c>
      <c r="D1087" s="12">
        <v>0.53657407407407409</v>
      </c>
      <c r="E1087" s="20">
        <f t="shared" si="32"/>
        <v>0</v>
      </c>
      <c r="F1087">
        <f t="shared" si="33"/>
        <v>0</v>
      </c>
    </row>
    <row r="1088" spans="1:6" x14ac:dyDescent="0.35">
      <c r="A1088" s="5">
        <v>5744567</v>
      </c>
      <c r="B1088" s="6">
        <v>42933</v>
      </c>
      <c r="C1088" s="7">
        <v>0.54048611111111111</v>
      </c>
      <c r="D1088" s="8">
        <v>0.54954861111111108</v>
      </c>
      <c r="E1088" s="20">
        <f t="shared" si="32"/>
        <v>0</v>
      </c>
      <c r="F1088">
        <f t="shared" si="33"/>
        <v>0</v>
      </c>
    </row>
    <row r="1089" spans="1:6" x14ac:dyDescent="0.35">
      <c r="A1089" s="9">
        <v>5107477025</v>
      </c>
      <c r="B1089" s="10">
        <v>42933</v>
      </c>
      <c r="C1089" s="11">
        <v>0.54495370370370366</v>
      </c>
      <c r="D1089" s="12">
        <v>0.5471759259259259</v>
      </c>
      <c r="E1089" s="20">
        <f t="shared" si="32"/>
        <v>0</v>
      </c>
      <c r="F1089">
        <f t="shared" si="33"/>
        <v>0</v>
      </c>
    </row>
    <row r="1090" spans="1:6" x14ac:dyDescent="0.35">
      <c r="A1090" s="5">
        <v>1332884</v>
      </c>
      <c r="B1090" s="6">
        <v>42933</v>
      </c>
      <c r="C1090" s="7">
        <v>0.546412037037037</v>
      </c>
      <c r="D1090" s="8">
        <v>0.54829861111111111</v>
      </c>
      <c r="E1090" s="20">
        <f t="shared" si="32"/>
        <v>0</v>
      </c>
      <c r="F1090">
        <f t="shared" si="33"/>
        <v>0</v>
      </c>
    </row>
    <row r="1091" spans="1:6" x14ac:dyDescent="0.35">
      <c r="A1091" s="9">
        <v>38823305</v>
      </c>
      <c r="B1091" s="10">
        <v>42933</v>
      </c>
      <c r="C1091" s="11">
        <v>0.54907407407407405</v>
      </c>
      <c r="D1091" s="12">
        <v>0.55969907407407404</v>
      </c>
      <c r="E1091" s="20">
        <f t="shared" ref="E1091:E1154" si="34">IF(F1091=1,D1091-C1091,0)</f>
        <v>0</v>
      </c>
      <c r="F1091">
        <f t="shared" ref="F1091:F1154" si="35">IF(AND(LEN(A1091)=7,LEFT(A1091,2) = "12"),1,0)</f>
        <v>0</v>
      </c>
    </row>
    <row r="1092" spans="1:6" x14ac:dyDescent="0.35">
      <c r="A1092" s="5">
        <v>7160339</v>
      </c>
      <c r="B1092" s="6">
        <v>42933</v>
      </c>
      <c r="C1092" s="7">
        <v>0.55456018518518524</v>
      </c>
      <c r="D1092" s="8">
        <v>0.5642476851851852</v>
      </c>
      <c r="E1092" s="20">
        <f t="shared" si="34"/>
        <v>0</v>
      </c>
      <c r="F1092">
        <f t="shared" si="35"/>
        <v>0</v>
      </c>
    </row>
    <row r="1093" spans="1:6" x14ac:dyDescent="0.35">
      <c r="A1093" s="9">
        <v>43277353</v>
      </c>
      <c r="B1093" s="10">
        <v>42933</v>
      </c>
      <c r="C1093" s="11">
        <v>0.55519675925925926</v>
      </c>
      <c r="D1093" s="12">
        <v>0.55809027777777775</v>
      </c>
      <c r="E1093" s="20">
        <f t="shared" si="34"/>
        <v>0</v>
      </c>
      <c r="F1093">
        <f t="shared" si="35"/>
        <v>0</v>
      </c>
    </row>
    <row r="1094" spans="1:6" x14ac:dyDescent="0.35">
      <c r="A1094" s="5">
        <v>8749135</v>
      </c>
      <c r="B1094" s="6">
        <v>42933</v>
      </c>
      <c r="C1094" s="7">
        <v>0.56083333333333329</v>
      </c>
      <c r="D1094" s="8">
        <v>0.56415509259259256</v>
      </c>
      <c r="E1094" s="20">
        <f t="shared" si="34"/>
        <v>0</v>
      </c>
      <c r="F1094">
        <f t="shared" si="35"/>
        <v>0</v>
      </c>
    </row>
    <row r="1095" spans="1:6" x14ac:dyDescent="0.35">
      <c r="A1095" s="9">
        <v>16977213</v>
      </c>
      <c r="B1095" s="10">
        <v>42933</v>
      </c>
      <c r="C1095" s="11">
        <v>0.56462962962962959</v>
      </c>
      <c r="D1095" s="12">
        <v>0.56841435185185185</v>
      </c>
      <c r="E1095" s="20">
        <f t="shared" si="34"/>
        <v>0</v>
      </c>
      <c r="F1095">
        <f t="shared" si="35"/>
        <v>0</v>
      </c>
    </row>
    <row r="1096" spans="1:6" x14ac:dyDescent="0.35">
      <c r="A1096" s="5">
        <v>13221411</v>
      </c>
      <c r="B1096" s="6">
        <v>42933</v>
      </c>
      <c r="C1096" s="7">
        <v>0.56511574074074078</v>
      </c>
      <c r="D1096" s="8">
        <v>0.57498842592592592</v>
      </c>
      <c r="E1096" s="20">
        <f t="shared" si="34"/>
        <v>0</v>
      </c>
      <c r="F1096">
        <f t="shared" si="35"/>
        <v>0</v>
      </c>
    </row>
    <row r="1097" spans="1:6" x14ac:dyDescent="0.35">
      <c r="A1097" s="9">
        <v>2653312</v>
      </c>
      <c r="B1097" s="10">
        <v>42933</v>
      </c>
      <c r="C1097" s="11">
        <v>0.56893518518518515</v>
      </c>
      <c r="D1097" s="12">
        <v>0.57289351851851855</v>
      </c>
      <c r="E1097" s="20">
        <f t="shared" si="34"/>
        <v>0</v>
      </c>
      <c r="F1097">
        <f t="shared" si="35"/>
        <v>0</v>
      </c>
    </row>
    <row r="1098" spans="1:6" x14ac:dyDescent="0.35">
      <c r="A1098" s="5">
        <v>4187727</v>
      </c>
      <c r="B1098" s="6">
        <v>42933</v>
      </c>
      <c r="C1098" s="7">
        <v>0.57038194444444446</v>
      </c>
      <c r="D1098" s="8">
        <v>0.57341435185185186</v>
      </c>
      <c r="E1098" s="20">
        <f t="shared" si="34"/>
        <v>0</v>
      </c>
      <c r="F1098">
        <f t="shared" si="35"/>
        <v>0</v>
      </c>
    </row>
    <row r="1099" spans="1:6" x14ac:dyDescent="0.35">
      <c r="A1099" s="9">
        <v>4370146</v>
      </c>
      <c r="B1099" s="10">
        <v>42933</v>
      </c>
      <c r="C1099" s="11">
        <v>0.57170138888888888</v>
      </c>
      <c r="D1099" s="12">
        <v>0.58212962962962966</v>
      </c>
      <c r="E1099" s="20">
        <f t="shared" si="34"/>
        <v>0</v>
      </c>
      <c r="F1099">
        <f t="shared" si="35"/>
        <v>0</v>
      </c>
    </row>
    <row r="1100" spans="1:6" x14ac:dyDescent="0.35">
      <c r="A1100" s="5">
        <v>5725773</v>
      </c>
      <c r="B1100" s="6">
        <v>42933</v>
      </c>
      <c r="C1100" s="7">
        <v>0.57466435185185183</v>
      </c>
      <c r="D1100" s="8">
        <v>0.58538194444444447</v>
      </c>
      <c r="E1100" s="20">
        <f t="shared" si="34"/>
        <v>0</v>
      </c>
      <c r="F1100">
        <f t="shared" si="35"/>
        <v>0</v>
      </c>
    </row>
    <row r="1101" spans="1:6" x14ac:dyDescent="0.35">
      <c r="A1101" s="9">
        <v>6345014</v>
      </c>
      <c r="B1101" s="10">
        <v>42933</v>
      </c>
      <c r="C1101" s="11">
        <v>0.58010416666666664</v>
      </c>
      <c r="D1101" s="12">
        <v>0.58166666666666667</v>
      </c>
      <c r="E1101" s="20">
        <f t="shared" si="34"/>
        <v>0</v>
      </c>
      <c r="F1101">
        <f t="shared" si="35"/>
        <v>0</v>
      </c>
    </row>
    <row r="1102" spans="1:6" x14ac:dyDescent="0.35">
      <c r="A1102" s="5">
        <v>7507831</v>
      </c>
      <c r="B1102" s="6">
        <v>42933</v>
      </c>
      <c r="C1102" s="7">
        <v>0.58545138888888892</v>
      </c>
      <c r="D1102" s="8">
        <v>0.59214120370370371</v>
      </c>
      <c r="E1102" s="20">
        <f t="shared" si="34"/>
        <v>0</v>
      </c>
      <c r="F1102">
        <f t="shared" si="35"/>
        <v>0</v>
      </c>
    </row>
    <row r="1103" spans="1:6" x14ac:dyDescent="0.35">
      <c r="A1103" s="9">
        <v>1198407</v>
      </c>
      <c r="B1103" s="10">
        <v>42933</v>
      </c>
      <c r="C1103" s="11">
        <v>0.59004629629629635</v>
      </c>
      <c r="D1103" s="12">
        <v>0.59799768518518515</v>
      </c>
      <c r="E1103" s="20">
        <f t="shared" si="34"/>
        <v>0</v>
      </c>
      <c r="F1103">
        <f t="shared" si="35"/>
        <v>0</v>
      </c>
    </row>
    <row r="1104" spans="1:6" x14ac:dyDescent="0.35">
      <c r="A1104" s="5">
        <v>4055319</v>
      </c>
      <c r="B1104" s="6">
        <v>42933</v>
      </c>
      <c r="C1104" s="7">
        <v>0.59471064814814811</v>
      </c>
      <c r="D1104" s="8">
        <v>0.60624999999999996</v>
      </c>
      <c r="E1104" s="20">
        <f t="shared" si="34"/>
        <v>0</v>
      </c>
      <c r="F1104">
        <f t="shared" si="35"/>
        <v>0</v>
      </c>
    </row>
    <row r="1105" spans="1:6" x14ac:dyDescent="0.35">
      <c r="A1105" s="9">
        <v>70730125</v>
      </c>
      <c r="B1105" s="10">
        <v>42933</v>
      </c>
      <c r="C1105" s="11">
        <v>0.59578703703703706</v>
      </c>
      <c r="D1105" s="12">
        <v>0.59671296296296295</v>
      </c>
      <c r="E1105" s="20">
        <f t="shared" si="34"/>
        <v>0</v>
      </c>
      <c r="F1105">
        <f t="shared" si="35"/>
        <v>0</v>
      </c>
    </row>
    <row r="1106" spans="1:6" x14ac:dyDescent="0.35">
      <c r="A1106" s="5">
        <v>45158089</v>
      </c>
      <c r="B1106" s="6">
        <v>42933</v>
      </c>
      <c r="C1106" s="7">
        <v>0.5962615740740741</v>
      </c>
      <c r="D1106" s="8">
        <v>0.59780092592592593</v>
      </c>
      <c r="E1106" s="20">
        <f t="shared" si="34"/>
        <v>0</v>
      </c>
      <c r="F1106">
        <f t="shared" si="35"/>
        <v>0</v>
      </c>
    </row>
    <row r="1107" spans="1:6" x14ac:dyDescent="0.35">
      <c r="A1107" s="9">
        <v>8159631</v>
      </c>
      <c r="B1107" s="10">
        <v>42933</v>
      </c>
      <c r="C1107" s="11">
        <v>0.59650462962962958</v>
      </c>
      <c r="D1107" s="12">
        <v>0.60144675925925928</v>
      </c>
      <c r="E1107" s="20">
        <f t="shared" si="34"/>
        <v>0</v>
      </c>
      <c r="F1107">
        <f t="shared" si="35"/>
        <v>0</v>
      </c>
    </row>
    <row r="1108" spans="1:6" x14ac:dyDescent="0.35">
      <c r="A1108" s="5">
        <v>2645518</v>
      </c>
      <c r="B1108" s="6">
        <v>42933</v>
      </c>
      <c r="C1108" s="7">
        <v>0.60025462962962961</v>
      </c>
      <c r="D1108" s="8">
        <v>0.60699074074074078</v>
      </c>
      <c r="E1108" s="20">
        <f t="shared" si="34"/>
        <v>0</v>
      </c>
      <c r="F1108">
        <f t="shared" si="35"/>
        <v>0</v>
      </c>
    </row>
    <row r="1109" spans="1:6" x14ac:dyDescent="0.35">
      <c r="A1109" s="9">
        <v>5199929</v>
      </c>
      <c r="B1109" s="10">
        <v>42933</v>
      </c>
      <c r="C1109" s="11">
        <v>0.60083333333333333</v>
      </c>
      <c r="D1109" s="12">
        <v>0.60971064814814813</v>
      </c>
      <c r="E1109" s="20">
        <f t="shared" si="34"/>
        <v>0</v>
      </c>
      <c r="F1109">
        <f t="shared" si="35"/>
        <v>0</v>
      </c>
    </row>
    <row r="1110" spans="1:6" x14ac:dyDescent="0.35">
      <c r="A1110" s="5">
        <v>4039284</v>
      </c>
      <c r="B1110" s="6">
        <v>42933</v>
      </c>
      <c r="C1110" s="7">
        <v>0.6021643518518518</v>
      </c>
      <c r="D1110" s="8">
        <v>0.60636574074074079</v>
      </c>
      <c r="E1110" s="20">
        <f t="shared" si="34"/>
        <v>0</v>
      </c>
      <c r="F1110">
        <f t="shared" si="35"/>
        <v>0</v>
      </c>
    </row>
    <row r="1111" spans="1:6" x14ac:dyDescent="0.35">
      <c r="A1111" s="9">
        <v>1431491</v>
      </c>
      <c r="B1111" s="10">
        <v>42933</v>
      </c>
      <c r="C1111" s="11">
        <v>0.60495370370370372</v>
      </c>
      <c r="D1111" s="12">
        <v>0.61153935185185182</v>
      </c>
      <c r="E1111" s="20">
        <f t="shared" si="34"/>
        <v>0</v>
      </c>
      <c r="F1111">
        <f t="shared" si="35"/>
        <v>0</v>
      </c>
    </row>
    <row r="1112" spans="1:6" x14ac:dyDescent="0.35">
      <c r="A1112" s="5">
        <v>39848401</v>
      </c>
      <c r="B1112" s="6">
        <v>42933</v>
      </c>
      <c r="C1112" s="7">
        <v>0.60783564814814817</v>
      </c>
      <c r="D1112" s="8">
        <v>0.60846064814814815</v>
      </c>
      <c r="E1112" s="20">
        <f t="shared" si="34"/>
        <v>0</v>
      </c>
      <c r="F1112">
        <f t="shared" si="35"/>
        <v>0</v>
      </c>
    </row>
    <row r="1113" spans="1:6" x14ac:dyDescent="0.35">
      <c r="A1113" s="9">
        <v>9225807</v>
      </c>
      <c r="B1113" s="10">
        <v>42933</v>
      </c>
      <c r="C1113" s="11">
        <v>0.61261574074074077</v>
      </c>
      <c r="D1113" s="12">
        <v>0.62048611111111107</v>
      </c>
      <c r="E1113" s="20">
        <f t="shared" si="34"/>
        <v>0</v>
      </c>
      <c r="F1113">
        <f t="shared" si="35"/>
        <v>0</v>
      </c>
    </row>
    <row r="1114" spans="1:6" x14ac:dyDescent="0.35">
      <c r="A1114" s="5">
        <v>7986409</v>
      </c>
      <c r="B1114" s="6">
        <v>42933</v>
      </c>
      <c r="C1114" s="7">
        <v>0.61473379629629632</v>
      </c>
      <c r="D1114" s="8">
        <v>0.61660879629629628</v>
      </c>
      <c r="E1114" s="20">
        <f t="shared" si="34"/>
        <v>0</v>
      </c>
      <c r="F1114">
        <f t="shared" si="35"/>
        <v>0</v>
      </c>
    </row>
    <row r="1115" spans="1:6" x14ac:dyDescent="0.35">
      <c r="A1115" s="9">
        <v>54554135</v>
      </c>
      <c r="B1115" s="10">
        <v>42933</v>
      </c>
      <c r="C1115" s="11">
        <v>0.61943287037037043</v>
      </c>
      <c r="D1115" s="12">
        <v>0.62100694444444449</v>
      </c>
      <c r="E1115" s="20">
        <f t="shared" si="34"/>
        <v>0</v>
      </c>
      <c r="F1115">
        <f t="shared" si="35"/>
        <v>0</v>
      </c>
    </row>
    <row r="1116" spans="1:6" x14ac:dyDescent="0.35">
      <c r="A1116" s="5">
        <v>1263080</v>
      </c>
      <c r="B1116" s="6">
        <v>42933</v>
      </c>
      <c r="C1116" s="7">
        <v>0.62292824074074071</v>
      </c>
      <c r="D1116" s="8">
        <v>0.63358796296296294</v>
      </c>
      <c r="E1116" s="20">
        <f t="shared" si="34"/>
        <v>1.0659722222222223E-2</v>
      </c>
      <c r="F1116">
        <f t="shared" si="35"/>
        <v>1</v>
      </c>
    </row>
    <row r="1117" spans="1:6" x14ac:dyDescent="0.35">
      <c r="A1117" s="9">
        <v>97953696</v>
      </c>
      <c r="B1117" s="10">
        <v>42933</v>
      </c>
      <c r="C1117" s="11">
        <v>0.62657407407407406</v>
      </c>
      <c r="D1117" s="12">
        <v>0.62818287037037035</v>
      </c>
      <c r="E1117" s="20">
        <f t="shared" si="34"/>
        <v>0</v>
      </c>
      <c r="F1117">
        <f t="shared" si="35"/>
        <v>0</v>
      </c>
    </row>
    <row r="1118" spans="1:6" x14ac:dyDescent="0.35">
      <c r="A1118" s="5">
        <v>9772824</v>
      </c>
      <c r="B1118" s="6">
        <v>42934</v>
      </c>
      <c r="C1118" s="7">
        <v>0.33355324074074072</v>
      </c>
      <c r="D1118" s="8">
        <v>0.33859953703703705</v>
      </c>
      <c r="E1118" s="20">
        <f t="shared" si="34"/>
        <v>0</v>
      </c>
      <c r="F1118">
        <f t="shared" si="35"/>
        <v>0</v>
      </c>
    </row>
    <row r="1119" spans="1:6" x14ac:dyDescent="0.35">
      <c r="A1119" s="9">
        <v>1157434</v>
      </c>
      <c r="B1119" s="10">
        <v>42934</v>
      </c>
      <c r="C1119" s="11">
        <v>0.33582175925925928</v>
      </c>
      <c r="D1119" s="12">
        <v>0.34681712962962963</v>
      </c>
      <c r="E1119" s="20">
        <f t="shared" si="34"/>
        <v>0</v>
      </c>
      <c r="F1119">
        <f t="shared" si="35"/>
        <v>0</v>
      </c>
    </row>
    <row r="1120" spans="1:6" x14ac:dyDescent="0.35">
      <c r="A1120" s="5">
        <v>8799928507</v>
      </c>
      <c r="B1120" s="6">
        <v>42934</v>
      </c>
      <c r="C1120" s="7">
        <v>0.34134259259259259</v>
      </c>
      <c r="D1120" s="8">
        <v>0.34931712962962963</v>
      </c>
      <c r="E1120" s="20">
        <f t="shared" si="34"/>
        <v>0</v>
      </c>
      <c r="F1120">
        <f t="shared" si="35"/>
        <v>0</v>
      </c>
    </row>
    <row r="1121" spans="1:6" x14ac:dyDescent="0.35">
      <c r="A1121" s="9">
        <v>5372891</v>
      </c>
      <c r="B1121" s="10">
        <v>42934</v>
      </c>
      <c r="C1121" s="11">
        <v>0.34586805555555555</v>
      </c>
      <c r="D1121" s="12">
        <v>0.34684027777777776</v>
      </c>
      <c r="E1121" s="20">
        <f t="shared" si="34"/>
        <v>0</v>
      </c>
      <c r="F1121">
        <f t="shared" si="35"/>
        <v>0</v>
      </c>
    </row>
    <row r="1122" spans="1:6" x14ac:dyDescent="0.35">
      <c r="A1122" s="5">
        <v>2663800</v>
      </c>
      <c r="B1122" s="6">
        <v>42934</v>
      </c>
      <c r="C1122" s="7">
        <v>0.35076388888888888</v>
      </c>
      <c r="D1122" s="8">
        <v>0.35863425925925924</v>
      </c>
      <c r="E1122" s="20">
        <f t="shared" si="34"/>
        <v>0</v>
      </c>
      <c r="F1122">
        <f t="shared" si="35"/>
        <v>0</v>
      </c>
    </row>
    <row r="1123" spans="1:6" x14ac:dyDescent="0.35">
      <c r="A1123" s="9">
        <v>32779069</v>
      </c>
      <c r="B1123" s="10">
        <v>42934</v>
      </c>
      <c r="C1123" s="11">
        <v>0.35430555555555554</v>
      </c>
      <c r="D1123" s="12">
        <v>0.36318287037037039</v>
      </c>
      <c r="E1123" s="20">
        <f t="shared" si="34"/>
        <v>0</v>
      </c>
      <c r="F1123">
        <f t="shared" si="35"/>
        <v>0</v>
      </c>
    </row>
    <row r="1124" spans="1:6" x14ac:dyDescent="0.35">
      <c r="A1124" s="5">
        <v>8261808</v>
      </c>
      <c r="B1124" s="6">
        <v>42934</v>
      </c>
      <c r="C1124" s="7">
        <v>0.35718749999999999</v>
      </c>
      <c r="D1124" s="8">
        <v>0.36684027777777778</v>
      </c>
      <c r="E1124" s="20">
        <f t="shared" si="34"/>
        <v>0</v>
      </c>
      <c r="F1124">
        <f t="shared" si="35"/>
        <v>0</v>
      </c>
    </row>
    <row r="1125" spans="1:6" x14ac:dyDescent="0.35">
      <c r="A1125" s="9">
        <v>7321543</v>
      </c>
      <c r="B1125" s="10">
        <v>42934</v>
      </c>
      <c r="C1125" s="11">
        <v>0.36151620370370369</v>
      </c>
      <c r="D1125" s="12">
        <v>0.3712037037037037</v>
      </c>
      <c r="E1125" s="20">
        <f t="shared" si="34"/>
        <v>0</v>
      </c>
      <c r="F1125">
        <f t="shared" si="35"/>
        <v>0</v>
      </c>
    </row>
    <row r="1126" spans="1:6" x14ac:dyDescent="0.35">
      <c r="A1126" s="5">
        <v>7513392</v>
      </c>
      <c r="B1126" s="6">
        <v>42934</v>
      </c>
      <c r="C1126" s="7">
        <v>0.36421296296296296</v>
      </c>
      <c r="D1126" s="8">
        <v>0.36640046296296297</v>
      </c>
      <c r="E1126" s="20">
        <f t="shared" si="34"/>
        <v>0</v>
      </c>
      <c r="F1126">
        <f t="shared" si="35"/>
        <v>0</v>
      </c>
    </row>
    <row r="1127" spans="1:6" x14ac:dyDescent="0.35">
      <c r="A1127" s="9">
        <v>77036136</v>
      </c>
      <c r="B1127" s="10">
        <v>42934</v>
      </c>
      <c r="C1127" s="11">
        <v>0.36937500000000001</v>
      </c>
      <c r="D1127" s="12">
        <v>0.37585648148148149</v>
      </c>
      <c r="E1127" s="20">
        <f t="shared" si="34"/>
        <v>0</v>
      </c>
      <c r="F1127">
        <f t="shared" si="35"/>
        <v>0</v>
      </c>
    </row>
    <row r="1128" spans="1:6" x14ac:dyDescent="0.35">
      <c r="A1128" s="5">
        <v>1700508</v>
      </c>
      <c r="B1128" s="6">
        <v>42934</v>
      </c>
      <c r="C1128" s="7">
        <v>0.37179398148148146</v>
      </c>
      <c r="D1128" s="8">
        <v>0.3828125</v>
      </c>
      <c r="E1128" s="20">
        <f t="shared" si="34"/>
        <v>0</v>
      </c>
      <c r="F1128">
        <f t="shared" si="35"/>
        <v>0</v>
      </c>
    </row>
    <row r="1129" spans="1:6" x14ac:dyDescent="0.35">
      <c r="A1129" s="9">
        <v>7872182</v>
      </c>
      <c r="B1129" s="10">
        <v>42934</v>
      </c>
      <c r="C1129" s="11">
        <v>0.3772800925925926</v>
      </c>
      <c r="D1129" s="12">
        <v>0.3837962962962963</v>
      </c>
      <c r="E1129" s="20">
        <f t="shared" si="34"/>
        <v>0</v>
      </c>
      <c r="F1129">
        <f t="shared" si="35"/>
        <v>0</v>
      </c>
    </row>
    <row r="1130" spans="1:6" x14ac:dyDescent="0.35">
      <c r="A1130" s="5">
        <v>84513035</v>
      </c>
      <c r="B1130" s="6">
        <v>42934</v>
      </c>
      <c r="C1130" s="7">
        <v>0.38017361111111109</v>
      </c>
      <c r="D1130" s="8">
        <v>0.38291666666666668</v>
      </c>
      <c r="E1130" s="20">
        <f t="shared" si="34"/>
        <v>0</v>
      </c>
      <c r="F1130">
        <f t="shared" si="35"/>
        <v>0</v>
      </c>
    </row>
    <row r="1131" spans="1:6" x14ac:dyDescent="0.35">
      <c r="A1131" s="9">
        <v>1775586</v>
      </c>
      <c r="B1131" s="10">
        <v>42934</v>
      </c>
      <c r="C1131" s="11">
        <v>0.38452546296296297</v>
      </c>
      <c r="D1131" s="12">
        <v>0.38978009259259261</v>
      </c>
      <c r="E1131" s="20">
        <f t="shared" si="34"/>
        <v>0</v>
      </c>
      <c r="F1131">
        <f t="shared" si="35"/>
        <v>0</v>
      </c>
    </row>
    <row r="1132" spans="1:6" x14ac:dyDescent="0.35">
      <c r="A1132" s="5">
        <v>1225082</v>
      </c>
      <c r="B1132" s="6">
        <v>42934</v>
      </c>
      <c r="C1132" s="7">
        <v>0.38516203703703705</v>
      </c>
      <c r="D1132" s="8">
        <v>0.38653935185185184</v>
      </c>
      <c r="E1132" s="20">
        <f t="shared" si="34"/>
        <v>1.3773148148147896E-3</v>
      </c>
      <c r="F1132">
        <f t="shared" si="35"/>
        <v>1</v>
      </c>
    </row>
    <row r="1133" spans="1:6" x14ac:dyDescent="0.35">
      <c r="A1133" s="9">
        <v>1586675</v>
      </c>
      <c r="B1133" s="10">
        <v>42934</v>
      </c>
      <c r="C1133" s="11">
        <v>0.39093749999999999</v>
      </c>
      <c r="D1133" s="12">
        <v>0.39787037037037037</v>
      </c>
      <c r="E1133" s="20">
        <f t="shared" si="34"/>
        <v>0</v>
      </c>
      <c r="F1133">
        <f t="shared" si="35"/>
        <v>0</v>
      </c>
    </row>
    <row r="1134" spans="1:6" x14ac:dyDescent="0.35">
      <c r="A1134" s="5">
        <v>2672229</v>
      </c>
      <c r="B1134" s="6">
        <v>42934</v>
      </c>
      <c r="C1134" s="7">
        <v>0.39552083333333332</v>
      </c>
      <c r="D1134" s="8">
        <v>0.4007175925925926</v>
      </c>
      <c r="E1134" s="20">
        <f t="shared" si="34"/>
        <v>0</v>
      </c>
      <c r="F1134">
        <f t="shared" si="35"/>
        <v>0</v>
      </c>
    </row>
    <row r="1135" spans="1:6" x14ac:dyDescent="0.35">
      <c r="A1135" s="9">
        <v>2443869</v>
      </c>
      <c r="B1135" s="10">
        <v>42934</v>
      </c>
      <c r="C1135" s="11">
        <v>0.39964120370370371</v>
      </c>
      <c r="D1135" s="12">
        <v>0.4074652777777778</v>
      </c>
      <c r="E1135" s="20">
        <f t="shared" si="34"/>
        <v>0</v>
      </c>
      <c r="F1135">
        <f t="shared" si="35"/>
        <v>0</v>
      </c>
    </row>
    <row r="1136" spans="1:6" x14ac:dyDescent="0.35">
      <c r="A1136" s="5">
        <v>7166411</v>
      </c>
      <c r="B1136" s="6">
        <v>42934</v>
      </c>
      <c r="C1136" s="7">
        <v>0.40263888888888888</v>
      </c>
      <c r="D1136" s="8">
        <v>0.40846064814814814</v>
      </c>
      <c r="E1136" s="20">
        <f t="shared" si="34"/>
        <v>0</v>
      </c>
      <c r="F1136">
        <f t="shared" si="35"/>
        <v>0</v>
      </c>
    </row>
    <row r="1137" spans="1:6" x14ac:dyDescent="0.35">
      <c r="A1137" s="9">
        <v>4657345</v>
      </c>
      <c r="B1137" s="10">
        <v>42934</v>
      </c>
      <c r="C1137" s="11">
        <v>0.40328703703703705</v>
      </c>
      <c r="D1137" s="12">
        <v>0.4140625</v>
      </c>
      <c r="E1137" s="20">
        <f t="shared" si="34"/>
        <v>0</v>
      </c>
      <c r="F1137">
        <f t="shared" si="35"/>
        <v>0</v>
      </c>
    </row>
    <row r="1138" spans="1:6" x14ac:dyDescent="0.35">
      <c r="A1138" s="5">
        <v>6070329</v>
      </c>
      <c r="B1138" s="6">
        <v>42934</v>
      </c>
      <c r="C1138" s="7">
        <v>0.40337962962962964</v>
      </c>
      <c r="D1138" s="8">
        <v>0.41432870370370373</v>
      </c>
      <c r="E1138" s="20">
        <f t="shared" si="34"/>
        <v>0</v>
      </c>
      <c r="F1138">
        <f t="shared" si="35"/>
        <v>0</v>
      </c>
    </row>
    <row r="1139" spans="1:6" x14ac:dyDescent="0.35">
      <c r="A1139" s="9">
        <v>4845362</v>
      </c>
      <c r="B1139" s="10">
        <v>42934</v>
      </c>
      <c r="C1139" s="11">
        <v>0.4034490740740741</v>
      </c>
      <c r="D1139" s="12">
        <v>0.40371527777777777</v>
      </c>
      <c r="E1139" s="20">
        <f t="shared" si="34"/>
        <v>0</v>
      </c>
      <c r="F1139">
        <f t="shared" si="35"/>
        <v>0</v>
      </c>
    </row>
    <row r="1140" spans="1:6" x14ac:dyDescent="0.35">
      <c r="A1140" s="5">
        <v>6333341</v>
      </c>
      <c r="B1140" s="6">
        <v>42934</v>
      </c>
      <c r="C1140" s="7">
        <v>0.40690972222222221</v>
      </c>
      <c r="D1140" s="8">
        <v>0.4103472222222222</v>
      </c>
      <c r="E1140" s="20">
        <f t="shared" si="34"/>
        <v>0</v>
      </c>
      <c r="F1140">
        <f t="shared" si="35"/>
        <v>0</v>
      </c>
    </row>
    <row r="1141" spans="1:6" x14ac:dyDescent="0.35">
      <c r="A1141" s="9">
        <v>5060909</v>
      </c>
      <c r="B1141" s="10">
        <v>42934</v>
      </c>
      <c r="C1141" s="11">
        <v>0.40699074074074076</v>
      </c>
      <c r="D1141" s="12">
        <v>0.41368055555555555</v>
      </c>
      <c r="E1141" s="20">
        <f t="shared" si="34"/>
        <v>0</v>
      </c>
      <c r="F1141">
        <f t="shared" si="35"/>
        <v>0</v>
      </c>
    </row>
    <row r="1142" spans="1:6" x14ac:dyDescent="0.35">
      <c r="A1142" s="5">
        <v>4673703944</v>
      </c>
      <c r="B1142" s="6">
        <v>42934</v>
      </c>
      <c r="C1142" s="7">
        <v>0.40822916666666664</v>
      </c>
      <c r="D1142" s="8">
        <v>0.41090277777777778</v>
      </c>
      <c r="E1142" s="20">
        <f t="shared" si="34"/>
        <v>0</v>
      </c>
      <c r="F1142">
        <f t="shared" si="35"/>
        <v>0</v>
      </c>
    </row>
    <row r="1143" spans="1:6" x14ac:dyDescent="0.35">
      <c r="A1143" s="9">
        <v>3178616</v>
      </c>
      <c r="B1143" s="10">
        <v>42934</v>
      </c>
      <c r="C1143" s="11">
        <v>0.40974537037037034</v>
      </c>
      <c r="D1143" s="12">
        <v>0.41177083333333331</v>
      </c>
      <c r="E1143" s="20">
        <f t="shared" si="34"/>
        <v>0</v>
      </c>
      <c r="F1143">
        <f t="shared" si="35"/>
        <v>0</v>
      </c>
    </row>
    <row r="1144" spans="1:6" x14ac:dyDescent="0.35">
      <c r="A1144" s="5">
        <v>2079170589</v>
      </c>
      <c r="B1144" s="6">
        <v>42934</v>
      </c>
      <c r="C1144" s="7">
        <v>0.41120370370370368</v>
      </c>
      <c r="D1144" s="8">
        <v>0.41769675925925925</v>
      </c>
      <c r="E1144" s="20">
        <f t="shared" si="34"/>
        <v>0</v>
      </c>
      <c r="F1144">
        <f t="shared" si="35"/>
        <v>0</v>
      </c>
    </row>
    <row r="1145" spans="1:6" x14ac:dyDescent="0.35">
      <c r="A1145" s="9">
        <v>9815754</v>
      </c>
      <c r="B1145" s="10">
        <v>42934</v>
      </c>
      <c r="C1145" s="11">
        <v>0.41260416666666666</v>
      </c>
      <c r="D1145" s="12">
        <v>0.41688657407407409</v>
      </c>
      <c r="E1145" s="20">
        <f t="shared" si="34"/>
        <v>0</v>
      </c>
      <c r="F1145">
        <f t="shared" si="35"/>
        <v>0</v>
      </c>
    </row>
    <row r="1146" spans="1:6" x14ac:dyDescent="0.35">
      <c r="A1146" s="5">
        <v>4111617</v>
      </c>
      <c r="B1146" s="6">
        <v>42934</v>
      </c>
      <c r="C1146" s="7">
        <v>0.41450231481481481</v>
      </c>
      <c r="D1146" s="8">
        <v>0.41574074074074074</v>
      </c>
      <c r="E1146" s="20">
        <f t="shared" si="34"/>
        <v>0</v>
      </c>
      <c r="F1146">
        <f t="shared" si="35"/>
        <v>0</v>
      </c>
    </row>
    <row r="1147" spans="1:6" x14ac:dyDescent="0.35">
      <c r="A1147" s="9">
        <v>1117628</v>
      </c>
      <c r="B1147" s="10">
        <v>42934</v>
      </c>
      <c r="C1147" s="11">
        <v>0.41652777777777777</v>
      </c>
      <c r="D1147" s="12">
        <v>0.42443287037037036</v>
      </c>
      <c r="E1147" s="20">
        <f t="shared" si="34"/>
        <v>0</v>
      </c>
      <c r="F1147">
        <f t="shared" si="35"/>
        <v>0</v>
      </c>
    </row>
    <row r="1148" spans="1:6" x14ac:dyDescent="0.35">
      <c r="A1148" s="5">
        <v>5487496</v>
      </c>
      <c r="B1148" s="6">
        <v>42934</v>
      </c>
      <c r="C1148" s="7">
        <v>0.42114583333333333</v>
      </c>
      <c r="D1148" s="8">
        <v>0.4230902777777778</v>
      </c>
      <c r="E1148" s="20">
        <f t="shared" si="34"/>
        <v>0</v>
      </c>
      <c r="F1148">
        <f t="shared" si="35"/>
        <v>0</v>
      </c>
    </row>
    <row r="1149" spans="1:6" x14ac:dyDescent="0.35">
      <c r="A1149" s="9">
        <v>1472682</v>
      </c>
      <c r="B1149" s="10">
        <v>42934</v>
      </c>
      <c r="C1149" s="11">
        <v>0.42533564814814817</v>
      </c>
      <c r="D1149" s="12">
        <v>0.43167824074074074</v>
      </c>
      <c r="E1149" s="20">
        <f t="shared" si="34"/>
        <v>0</v>
      </c>
      <c r="F1149">
        <f t="shared" si="35"/>
        <v>0</v>
      </c>
    </row>
    <row r="1150" spans="1:6" x14ac:dyDescent="0.35">
      <c r="A1150" s="5">
        <v>43885630</v>
      </c>
      <c r="B1150" s="6">
        <v>42934</v>
      </c>
      <c r="C1150" s="7">
        <v>0.42988425925925927</v>
      </c>
      <c r="D1150" s="8">
        <v>0.43424768518518519</v>
      </c>
      <c r="E1150" s="20">
        <f t="shared" si="34"/>
        <v>0</v>
      </c>
      <c r="F1150">
        <f t="shared" si="35"/>
        <v>0</v>
      </c>
    </row>
    <row r="1151" spans="1:6" x14ac:dyDescent="0.35">
      <c r="A1151" s="9">
        <v>5543741</v>
      </c>
      <c r="B1151" s="10">
        <v>42934</v>
      </c>
      <c r="C1151" s="11">
        <v>0.42997685185185186</v>
      </c>
      <c r="D1151" s="12">
        <v>0.43590277777777775</v>
      </c>
      <c r="E1151" s="20">
        <f t="shared" si="34"/>
        <v>0</v>
      </c>
      <c r="F1151">
        <f t="shared" si="35"/>
        <v>0</v>
      </c>
    </row>
    <row r="1152" spans="1:6" x14ac:dyDescent="0.35">
      <c r="A1152" s="5">
        <v>2590674</v>
      </c>
      <c r="B1152" s="6">
        <v>42934</v>
      </c>
      <c r="C1152" s="7">
        <v>0.43025462962962963</v>
      </c>
      <c r="D1152" s="8">
        <v>0.43677083333333333</v>
      </c>
      <c r="E1152" s="20">
        <f t="shared" si="34"/>
        <v>0</v>
      </c>
      <c r="F1152">
        <f t="shared" si="35"/>
        <v>0</v>
      </c>
    </row>
    <row r="1153" spans="1:6" x14ac:dyDescent="0.35">
      <c r="A1153" s="9">
        <v>4212838</v>
      </c>
      <c r="B1153" s="10">
        <v>42934</v>
      </c>
      <c r="C1153" s="11">
        <v>0.43420138888888887</v>
      </c>
      <c r="D1153" s="12">
        <v>0.43973379629629628</v>
      </c>
      <c r="E1153" s="20">
        <f t="shared" si="34"/>
        <v>0</v>
      </c>
      <c r="F1153">
        <f t="shared" si="35"/>
        <v>0</v>
      </c>
    </row>
    <row r="1154" spans="1:6" x14ac:dyDescent="0.35">
      <c r="A1154" s="5">
        <v>7836418</v>
      </c>
      <c r="B1154" s="6">
        <v>42934</v>
      </c>
      <c r="C1154" s="7">
        <v>0.4354513888888889</v>
      </c>
      <c r="D1154" s="8">
        <v>0.43745370370370368</v>
      </c>
      <c r="E1154" s="20">
        <f t="shared" si="34"/>
        <v>0</v>
      </c>
      <c r="F1154">
        <f t="shared" si="35"/>
        <v>0</v>
      </c>
    </row>
    <row r="1155" spans="1:6" x14ac:dyDescent="0.35">
      <c r="A1155" s="9">
        <v>2844911</v>
      </c>
      <c r="B1155" s="10">
        <v>42934</v>
      </c>
      <c r="C1155" s="11">
        <v>0.43821759259259258</v>
      </c>
      <c r="D1155" s="12">
        <v>0.44969907407407406</v>
      </c>
      <c r="E1155" s="20">
        <f t="shared" ref="E1155:E1218" si="36">IF(F1155=1,D1155-C1155,0)</f>
        <v>0</v>
      </c>
      <c r="F1155">
        <f t="shared" ref="F1155:F1218" si="37">IF(AND(LEN(A1155)=7,LEFT(A1155,2) = "12"),1,0)</f>
        <v>0</v>
      </c>
    </row>
    <row r="1156" spans="1:6" x14ac:dyDescent="0.35">
      <c r="A1156" s="5">
        <v>2861766</v>
      </c>
      <c r="B1156" s="6">
        <v>42934</v>
      </c>
      <c r="C1156" s="7">
        <v>0.4403125</v>
      </c>
      <c r="D1156" s="8">
        <v>0.4490972222222222</v>
      </c>
      <c r="E1156" s="20">
        <f t="shared" si="36"/>
        <v>0</v>
      </c>
      <c r="F1156">
        <f t="shared" si="37"/>
        <v>0</v>
      </c>
    </row>
    <row r="1157" spans="1:6" x14ac:dyDescent="0.35">
      <c r="A1157" s="9">
        <v>9655946</v>
      </c>
      <c r="B1157" s="10">
        <v>42934</v>
      </c>
      <c r="C1157" s="11">
        <v>0.44385416666666666</v>
      </c>
      <c r="D1157" s="12">
        <v>0.45193287037037039</v>
      </c>
      <c r="E1157" s="20">
        <f t="shared" si="36"/>
        <v>0</v>
      </c>
      <c r="F1157">
        <f t="shared" si="37"/>
        <v>0</v>
      </c>
    </row>
    <row r="1158" spans="1:6" x14ac:dyDescent="0.35">
      <c r="A1158" s="5">
        <v>6050570</v>
      </c>
      <c r="B1158" s="6">
        <v>42934</v>
      </c>
      <c r="C1158" s="7">
        <v>0.44744212962962965</v>
      </c>
      <c r="D1158" s="8">
        <v>0.45751157407407406</v>
      </c>
      <c r="E1158" s="20">
        <f t="shared" si="36"/>
        <v>0</v>
      </c>
      <c r="F1158">
        <f t="shared" si="37"/>
        <v>0</v>
      </c>
    </row>
    <row r="1159" spans="1:6" x14ac:dyDescent="0.35">
      <c r="A1159" s="9">
        <v>1607422</v>
      </c>
      <c r="B1159" s="10">
        <v>42934</v>
      </c>
      <c r="C1159" s="11">
        <v>0.45238425925925924</v>
      </c>
      <c r="D1159" s="12">
        <v>0.45937499999999998</v>
      </c>
      <c r="E1159" s="20">
        <f t="shared" si="36"/>
        <v>0</v>
      </c>
      <c r="F1159">
        <f t="shared" si="37"/>
        <v>0</v>
      </c>
    </row>
    <row r="1160" spans="1:6" x14ac:dyDescent="0.35">
      <c r="A1160" s="5">
        <v>1192412</v>
      </c>
      <c r="B1160" s="6">
        <v>42934</v>
      </c>
      <c r="C1160" s="7">
        <v>0.45417824074074076</v>
      </c>
      <c r="D1160" s="8">
        <v>0.46438657407407408</v>
      </c>
      <c r="E1160" s="20">
        <f t="shared" si="36"/>
        <v>0</v>
      </c>
      <c r="F1160">
        <f t="shared" si="37"/>
        <v>0</v>
      </c>
    </row>
    <row r="1161" spans="1:6" x14ac:dyDescent="0.35">
      <c r="A1161" s="9">
        <v>4959551431</v>
      </c>
      <c r="B1161" s="10">
        <v>42934</v>
      </c>
      <c r="C1161" s="11">
        <v>0.45437499999999997</v>
      </c>
      <c r="D1161" s="12">
        <v>0.45770833333333333</v>
      </c>
      <c r="E1161" s="20">
        <f t="shared" si="36"/>
        <v>0</v>
      </c>
      <c r="F1161">
        <f t="shared" si="37"/>
        <v>0</v>
      </c>
    </row>
    <row r="1162" spans="1:6" x14ac:dyDescent="0.35">
      <c r="A1162" s="5">
        <v>9808221</v>
      </c>
      <c r="B1162" s="6">
        <v>42934</v>
      </c>
      <c r="C1162" s="7">
        <v>0.45680555555555558</v>
      </c>
      <c r="D1162" s="8">
        <v>0.4636689814814815</v>
      </c>
      <c r="E1162" s="20">
        <f t="shared" si="36"/>
        <v>0</v>
      </c>
      <c r="F1162">
        <f t="shared" si="37"/>
        <v>0</v>
      </c>
    </row>
    <row r="1163" spans="1:6" x14ac:dyDescent="0.35">
      <c r="A1163" s="9">
        <v>8672623</v>
      </c>
      <c r="B1163" s="10">
        <v>42934</v>
      </c>
      <c r="C1163" s="11">
        <v>0.45947916666666666</v>
      </c>
      <c r="D1163" s="12">
        <v>0.46460648148148148</v>
      </c>
      <c r="E1163" s="20">
        <f t="shared" si="36"/>
        <v>0</v>
      </c>
      <c r="F1163">
        <f t="shared" si="37"/>
        <v>0</v>
      </c>
    </row>
    <row r="1164" spans="1:6" x14ac:dyDescent="0.35">
      <c r="A1164" s="5">
        <v>3862016</v>
      </c>
      <c r="B1164" s="6">
        <v>42934</v>
      </c>
      <c r="C1164" s="7">
        <v>0.46127314814814813</v>
      </c>
      <c r="D1164" s="8">
        <v>0.46726851851851853</v>
      </c>
      <c r="E1164" s="20">
        <f t="shared" si="36"/>
        <v>0</v>
      </c>
      <c r="F1164">
        <f t="shared" si="37"/>
        <v>0</v>
      </c>
    </row>
    <row r="1165" spans="1:6" x14ac:dyDescent="0.35">
      <c r="A1165" s="9">
        <v>16580449</v>
      </c>
      <c r="B1165" s="10">
        <v>42934</v>
      </c>
      <c r="C1165" s="11">
        <v>0.46130787037037035</v>
      </c>
      <c r="D1165" s="12">
        <v>0.47226851851851853</v>
      </c>
      <c r="E1165" s="20">
        <f t="shared" si="36"/>
        <v>0</v>
      </c>
      <c r="F1165">
        <f t="shared" si="37"/>
        <v>0</v>
      </c>
    </row>
    <row r="1166" spans="1:6" x14ac:dyDescent="0.35">
      <c r="A1166" s="5">
        <v>67064385</v>
      </c>
      <c r="B1166" s="6">
        <v>42934</v>
      </c>
      <c r="C1166" s="7">
        <v>0.46574074074074073</v>
      </c>
      <c r="D1166" s="8">
        <v>0.47495370370370371</v>
      </c>
      <c r="E1166" s="20">
        <f t="shared" si="36"/>
        <v>0</v>
      </c>
      <c r="F1166">
        <f t="shared" si="37"/>
        <v>0</v>
      </c>
    </row>
    <row r="1167" spans="1:6" x14ac:dyDescent="0.35">
      <c r="A1167" s="9">
        <v>2078150</v>
      </c>
      <c r="B1167" s="10">
        <v>42934</v>
      </c>
      <c r="C1167" s="11">
        <v>0.46872685185185187</v>
      </c>
      <c r="D1167" s="12">
        <v>0.47244212962962961</v>
      </c>
      <c r="E1167" s="20">
        <f t="shared" si="36"/>
        <v>0</v>
      </c>
      <c r="F1167">
        <f t="shared" si="37"/>
        <v>0</v>
      </c>
    </row>
    <row r="1168" spans="1:6" x14ac:dyDescent="0.35">
      <c r="A1168" s="5">
        <v>5094248</v>
      </c>
      <c r="B1168" s="6">
        <v>42934</v>
      </c>
      <c r="C1168" s="7">
        <v>0.47074074074074074</v>
      </c>
      <c r="D1168" s="8">
        <v>0.47409722222222223</v>
      </c>
      <c r="E1168" s="20">
        <f t="shared" si="36"/>
        <v>0</v>
      </c>
      <c r="F1168">
        <f t="shared" si="37"/>
        <v>0</v>
      </c>
    </row>
    <row r="1169" spans="1:6" x14ac:dyDescent="0.35">
      <c r="A1169" s="9">
        <v>2584185</v>
      </c>
      <c r="B1169" s="10">
        <v>42934</v>
      </c>
      <c r="C1169" s="11">
        <v>0.47208333333333335</v>
      </c>
      <c r="D1169" s="12">
        <v>0.48284722222222221</v>
      </c>
      <c r="E1169" s="20">
        <f t="shared" si="36"/>
        <v>0</v>
      </c>
      <c r="F1169">
        <f t="shared" si="37"/>
        <v>0</v>
      </c>
    </row>
    <row r="1170" spans="1:6" x14ac:dyDescent="0.35">
      <c r="A1170" s="5">
        <v>3346801494</v>
      </c>
      <c r="B1170" s="6">
        <v>42934</v>
      </c>
      <c r="C1170" s="7">
        <v>0.47394675925925928</v>
      </c>
      <c r="D1170" s="8">
        <v>0.48170138888888892</v>
      </c>
      <c r="E1170" s="20">
        <f t="shared" si="36"/>
        <v>0</v>
      </c>
      <c r="F1170">
        <f t="shared" si="37"/>
        <v>0</v>
      </c>
    </row>
    <row r="1171" spans="1:6" x14ac:dyDescent="0.35">
      <c r="A1171" s="9">
        <v>4535172</v>
      </c>
      <c r="B1171" s="10">
        <v>42934</v>
      </c>
      <c r="C1171" s="11">
        <v>0.4750462962962963</v>
      </c>
      <c r="D1171" s="12">
        <v>0.47592592592592592</v>
      </c>
      <c r="E1171" s="20">
        <f t="shared" si="36"/>
        <v>0</v>
      </c>
      <c r="F1171">
        <f t="shared" si="37"/>
        <v>0</v>
      </c>
    </row>
    <row r="1172" spans="1:6" x14ac:dyDescent="0.35">
      <c r="A1172" s="5">
        <v>8723323</v>
      </c>
      <c r="B1172" s="6">
        <v>42934</v>
      </c>
      <c r="C1172" s="7">
        <v>0.47505787037037039</v>
      </c>
      <c r="D1172" s="8">
        <v>0.48318287037037039</v>
      </c>
      <c r="E1172" s="20">
        <f t="shared" si="36"/>
        <v>0</v>
      </c>
      <c r="F1172">
        <f t="shared" si="37"/>
        <v>0</v>
      </c>
    </row>
    <row r="1173" spans="1:6" x14ac:dyDescent="0.35">
      <c r="A1173" s="9">
        <v>76845076</v>
      </c>
      <c r="B1173" s="10">
        <v>42934</v>
      </c>
      <c r="C1173" s="11">
        <v>0.47949074074074072</v>
      </c>
      <c r="D1173" s="12">
        <v>0.48335648148148147</v>
      </c>
      <c r="E1173" s="20">
        <f t="shared" si="36"/>
        <v>0</v>
      </c>
      <c r="F1173">
        <f t="shared" si="37"/>
        <v>0</v>
      </c>
    </row>
    <row r="1174" spans="1:6" x14ac:dyDescent="0.35">
      <c r="A1174" s="5">
        <v>12063341</v>
      </c>
      <c r="B1174" s="6">
        <v>42934</v>
      </c>
      <c r="C1174" s="7">
        <v>0.48378472222222224</v>
      </c>
      <c r="D1174" s="8">
        <v>0.48681712962962964</v>
      </c>
      <c r="E1174" s="20">
        <f t="shared" si="36"/>
        <v>0</v>
      </c>
      <c r="F1174">
        <f t="shared" si="37"/>
        <v>0</v>
      </c>
    </row>
    <row r="1175" spans="1:6" x14ac:dyDescent="0.35">
      <c r="A1175" s="9">
        <v>9866204</v>
      </c>
      <c r="B1175" s="10">
        <v>42934</v>
      </c>
      <c r="C1175" s="11">
        <v>0.48379629629629628</v>
      </c>
      <c r="D1175" s="12">
        <v>0.49018518518518517</v>
      </c>
      <c r="E1175" s="20">
        <f t="shared" si="36"/>
        <v>0</v>
      </c>
      <c r="F1175">
        <f t="shared" si="37"/>
        <v>0</v>
      </c>
    </row>
    <row r="1176" spans="1:6" x14ac:dyDescent="0.35">
      <c r="A1176" s="5">
        <v>9364912</v>
      </c>
      <c r="B1176" s="6">
        <v>42934</v>
      </c>
      <c r="C1176" s="7">
        <v>0.48715277777777777</v>
      </c>
      <c r="D1176" s="8">
        <v>0.49586805555555558</v>
      </c>
      <c r="E1176" s="20">
        <f t="shared" si="36"/>
        <v>0</v>
      </c>
      <c r="F1176">
        <f t="shared" si="37"/>
        <v>0</v>
      </c>
    </row>
    <row r="1177" spans="1:6" x14ac:dyDescent="0.35">
      <c r="A1177" s="9">
        <v>9975977</v>
      </c>
      <c r="B1177" s="10">
        <v>42934</v>
      </c>
      <c r="C1177" s="11">
        <v>0.48723379629629632</v>
      </c>
      <c r="D1177" s="12">
        <v>0.4914351851851852</v>
      </c>
      <c r="E1177" s="20">
        <f t="shared" si="36"/>
        <v>0</v>
      </c>
      <c r="F1177">
        <f t="shared" si="37"/>
        <v>0</v>
      </c>
    </row>
    <row r="1178" spans="1:6" x14ac:dyDescent="0.35">
      <c r="A1178" s="5">
        <v>8802222</v>
      </c>
      <c r="B1178" s="6">
        <v>42934</v>
      </c>
      <c r="C1178" s="7">
        <v>0.48899305555555556</v>
      </c>
      <c r="D1178" s="8">
        <v>0.49456018518518519</v>
      </c>
      <c r="E1178" s="20">
        <f t="shared" si="36"/>
        <v>0</v>
      </c>
      <c r="F1178">
        <f t="shared" si="37"/>
        <v>0</v>
      </c>
    </row>
    <row r="1179" spans="1:6" x14ac:dyDescent="0.35">
      <c r="A1179" s="9">
        <v>1552877</v>
      </c>
      <c r="B1179" s="10">
        <v>42934</v>
      </c>
      <c r="C1179" s="11">
        <v>0.49277777777777776</v>
      </c>
      <c r="D1179" s="12">
        <v>0.49600694444444443</v>
      </c>
      <c r="E1179" s="20">
        <f t="shared" si="36"/>
        <v>0</v>
      </c>
      <c r="F1179">
        <f t="shared" si="37"/>
        <v>0</v>
      </c>
    </row>
    <row r="1180" spans="1:6" x14ac:dyDescent="0.35">
      <c r="A1180" s="5">
        <v>6516534288</v>
      </c>
      <c r="B1180" s="6">
        <v>42934</v>
      </c>
      <c r="C1180" s="7">
        <v>0.49465277777777777</v>
      </c>
      <c r="D1180" s="8">
        <v>0.49899305555555556</v>
      </c>
      <c r="E1180" s="20">
        <f t="shared" si="36"/>
        <v>0</v>
      </c>
      <c r="F1180">
        <f t="shared" si="37"/>
        <v>0</v>
      </c>
    </row>
    <row r="1181" spans="1:6" x14ac:dyDescent="0.35">
      <c r="A1181" s="9">
        <v>68647777</v>
      </c>
      <c r="B1181" s="10">
        <v>42934</v>
      </c>
      <c r="C1181" s="11">
        <v>0.49968750000000001</v>
      </c>
      <c r="D1181" s="12">
        <v>0.50692129629629634</v>
      </c>
      <c r="E1181" s="20">
        <f t="shared" si="36"/>
        <v>0</v>
      </c>
      <c r="F1181">
        <f t="shared" si="37"/>
        <v>0</v>
      </c>
    </row>
    <row r="1182" spans="1:6" x14ac:dyDescent="0.35">
      <c r="A1182" s="5">
        <v>3360951</v>
      </c>
      <c r="B1182" s="6">
        <v>42934</v>
      </c>
      <c r="C1182" s="7">
        <v>0.50384259259259256</v>
      </c>
      <c r="D1182" s="8">
        <v>0.50868055555555558</v>
      </c>
      <c r="E1182" s="20">
        <f t="shared" si="36"/>
        <v>0</v>
      </c>
      <c r="F1182">
        <f t="shared" si="37"/>
        <v>0</v>
      </c>
    </row>
    <row r="1183" spans="1:6" x14ac:dyDescent="0.35">
      <c r="A1183" s="9">
        <v>9127211929</v>
      </c>
      <c r="B1183" s="10">
        <v>42934</v>
      </c>
      <c r="C1183" s="11">
        <v>0.50648148148148153</v>
      </c>
      <c r="D1183" s="12">
        <v>0.51042824074074078</v>
      </c>
      <c r="E1183" s="20">
        <f t="shared" si="36"/>
        <v>0</v>
      </c>
      <c r="F1183">
        <f t="shared" si="37"/>
        <v>0</v>
      </c>
    </row>
    <row r="1184" spans="1:6" x14ac:dyDescent="0.35">
      <c r="A1184" s="5">
        <v>9647309</v>
      </c>
      <c r="B1184" s="6">
        <v>42934</v>
      </c>
      <c r="C1184" s="7">
        <v>0.50979166666666664</v>
      </c>
      <c r="D1184" s="8">
        <v>0.51483796296296291</v>
      </c>
      <c r="E1184" s="20">
        <f t="shared" si="36"/>
        <v>0</v>
      </c>
      <c r="F1184">
        <f t="shared" si="37"/>
        <v>0</v>
      </c>
    </row>
    <row r="1185" spans="1:6" x14ac:dyDescent="0.35">
      <c r="A1185" s="9">
        <v>6024447</v>
      </c>
      <c r="B1185" s="10">
        <v>42934</v>
      </c>
      <c r="C1185" s="11">
        <v>0.51164351851851853</v>
      </c>
      <c r="D1185" s="12">
        <v>0.51975694444444442</v>
      </c>
      <c r="E1185" s="20">
        <f t="shared" si="36"/>
        <v>0</v>
      </c>
      <c r="F1185">
        <f t="shared" si="37"/>
        <v>0</v>
      </c>
    </row>
    <row r="1186" spans="1:6" x14ac:dyDescent="0.35">
      <c r="A1186" s="5">
        <v>12919749</v>
      </c>
      <c r="B1186" s="6">
        <v>42934</v>
      </c>
      <c r="C1186" s="7">
        <v>0.5161458333333333</v>
      </c>
      <c r="D1186" s="8">
        <v>0.5222106481481481</v>
      </c>
      <c r="E1186" s="20">
        <f t="shared" si="36"/>
        <v>0</v>
      </c>
      <c r="F1186">
        <f t="shared" si="37"/>
        <v>0</v>
      </c>
    </row>
    <row r="1187" spans="1:6" x14ac:dyDescent="0.35">
      <c r="A1187" s="9">
        <v>3287315</v>
      </c>
      <c r="B1187" s="10">
        <v>42934</v>
      </c>
      <c r="C1187" s="11">
        <v>0.51627314814814818</v>
      </c>
      <c r="D1187" s="12">
        <v>0.51844907407407403</v>
      </c>
      <c r="E1187" s="20">
        <f t="shared" si="36"/>
        <v>0</v>
      </c>
      <c r="F1187">
        <f t="shared" si="37"/>
        <v>0</v>
      </c>
    </row>
    <row r="1188" spans="1:6" x14ac:dyDescent="0.35">
      <c r="A1188" s="5">
        <v>9953379</v>
      </c>
      <c r="B1188" s="6">
        <v>42934</v>
      </c>
      <c r="C1188" s="7">
        <v>0.52061342592592597</v>
      </c>
      <c r="D1188" s="8">
        <v>0.52561342592592597</v>
      </c>
      <c r="E1188" s="20">
        <f t="shared" si="36"/>
        <v>0</v>
      </c>
      <c r="F1188">
        <f t="shared" si="37"/>
        <v>0</v>
      </c>
    </row>
    <row r="1189" spans="1:6" x14ac:dyDescent="0.35">
      <c r="A1189" s="9">
        <v>97558765</v>
      </c>
      <c r="B1189" s="10">
        <v>42934</v>
      </c>
      <c r="C1189" s="11">
        <v>0.5259490740740741</v>
      </c>
      <c r="D1189" s="12">
        <v>0.53439814814814812</v>
      </c>
      <c r="E1189" s="20">
        <f t="shared" si="36"/>
        <v>0</v>
      </c>
      <c r="F1189">
        <f t="shared" si="37"/>
        <v>0</v>
      </c>
    </row>
    <row r="1190" spans="1:6" x14ac:dyDescent="0.35">
      <c r="A1190" s="5">
        <v>2722706</v>
      </c>
      <c r="B1190" s="6">
        <v>42934</v>
      </c>
      <c r="C1190" s="7">
        <v>0.53025462962962966</v>
      </c>
      <c r="D1190" s="8">
        <v>0.53217592592592589</v>
      </c>
      <c r="E1190" s="20">
        <f t="shared" si="36"/>
        <v>0</v>
      </c>
      <c r="F1190">
        <f t="shared" si="37"/>
        <v>0</v>
      </c>
    </row>
    <row r="1191" spans="1:6" x14ac:dyDescent="0.35">
      <c r="A1191" s="9">
        <v>97876188</v>
      </c>
      <c r="B1191" s="10">
        <v>42934</v>
      </c>
      <c r="C1191" s="11">
        <v>0.53412037037037041</v>
      </c>
      <c r="D1191" s="12">
        <v>0.53467592592592594</v>
      </c>
      <c r="E1191" s="20">
        <f t="shared" si="36"/>
        <v>0</v>
      </c>
      <c r="F1191">
        <f t="shared" si="37"/>
        <v>0</v>
      </c>
    </row>
    <row r="1192" spans="1:6" x14ac:dyDescent="0.35">
      <c r="A1192" s="5">
        <v>4068728</v>
      </c>
      <c r="B1192" s="6">
        <v>42934</v>
      </c>
      <c r="C1192" s="7">
        <v>0.53760416666666666</v>
      </c>
      <c r="D1192" s="8">
        <v>0.546412037037037</v>
      </c>
      <c r="E1192" s="20">
        <f t="shared" si="36"/>
        <v>0</v>
      </c>
      <c r="F1192">
        <f t="shared" si="37"/>
        <v>0</v>
      </c>
    </row>
    <row r="1193" spans="1:6" x14ac:dyDescent="0.35">
      <c r="A1193" s="9">
        <v>7624070</v>
      </c>
      <c r="B1193" s="10">
        <v>42934</v>
      </c>
      <c r="C1193" s="11">
        <v>0.54335648148148152</v>
      </c>
      <c r="D1193" s="12">
        <v>0.55396990740740737</v>
      </c>
      <c r="E1193" s="20">
        <f t="shared" si="36"/>
        <v>0</v>
      </c>
      <c r="F1193">
        <f t="shared" si="37"/>
        <v>0</v>
      </c>
    </row>
    <row r="1194" spans="1:6" x14ac:dyDescent="0.35">
      <c r="A1194" s="5">
        <v>2419247</v>
      </c>
      <c r="B1194" s="6">
        <v>42934</v>
      </c>
      <c r="C1194" s="7">
        <v>0.54686342592592596</v>
      </c>
      <c r="D1194" s="8">
        <v>0.54782407407407407</v>
      </c>
      <c r="E1194" s="20">
        <f t="shared" si="36"/>
        <v>0</v>
      </c>
      <c r="F1194">
        <f t="shared" si="37"/>
        <v>0</v>
      </c>
    </row>
    <row r="1195" spans="1:6" x14ac:dyDescent="0.35">
      <c r="A1195" s="9">
        <v>5244597</v>
      </c>
      <c r="B1195" s="10">
        <v>42934</v>
      </c>
      <c r="C1195" s="11">
        <v>0.55008101851851854</v>
      </c>
      <c r="D1195" s="12">
        <v>0.55730324074074078</v>
      </c>
      <c r="E1195" s="20">
        <f t="shared" si="36"/>
        <v>0</v>
      </c>
      <c r="F1195">
        <f t="shared" si="37"/>
        <v>0</v>
      </c>
    </row>
    <row r="1196" spans="1:6" x14ac:dyDescent="0.35">
      <c r="A1196" s="5">
        <v>2005653</v>
      </c>
      <c r="B1196" s="6">
        <v>42934</v>
      </c>
      <c r="C1196" s="7">
        <v>0.55039351851851848</v>
      </c>
      <c r="D1196" s="8">
        <v>0.5572569444444444</v>
      </c>
      <c r="E1196" s="20">
        <f t="shared" si="36"/>
        <v>0</v>
      </c>
      <c r="F1196">
        <f t="shared" si="37"/>
        <v>0</v>
      </c>
    </row>
    <row r="1197" spans="1:6" x14ac:dyDescent="0.35">
      <c r="A1197" s="9">
        <v>7203715</v>
      </c>
      <c r="B1197" s="10">
        <v>42934</v>
      </c>
      <c r="C1197" s="11">
        <v>0.55447916666666663</v>
      </c>
      <c r="D1197" s="12">
        <v>0.56332175925925931</v>
      </c>
      <c r="E1197" s="20">
        <f t="shared" si="36"/>
        <v>0</v>
      </c>
      <c r="F1197">
        <f t="shared" si="37"/>
        <v>0</v>
      </c>
    </row>
    <row r="1198" spans="1:6" x14ac:dyDescent="0.35">
      <c r="A1198" s="5">
        <v>4520463</v>
      </c>
      <c r="B1198" s="6">
        <v>42934</v>
      </c>
      <c r="C1198" s="7">
        <v>0.55645833333333339</v>
      </c>
      <c r="D1198" s="8">
        <v>0.55648148148148147</v>
      </c>
      <c r="E1198" s="20">
        <f t="shared" si="36"/>
        <v>0</v>
      </c>
      <c r="F1198">
        <f t="shared" si="37"/>
        <v>0</v>
      </c>
    </row>
    <row r="1199" spans="1:6" x14ac:dyDescent="0.35">
      <c r="A1199" s="9">
        <v>4454837</v>
      </c>
      <c r="B1199" s="10">
        <v>42934</v>
      </c>
      <c r="C1199" s="11">
        <v>0.5621990740740741</v>
      </c>
      <c r="D1199" s="12">
        <v>0.56353009259259257</v>
      </c>
      <c r="E1199" s="20">
        <f t="shared" si="36"/>
        <v>0</v>
      </c>
      <c r="F1199">
        <f t="shared" si="37"/>
        <v>0</v>
      </c>
    </row>
    <row r="1200" spans="1:6" x14ac:dyDescent="0.35">
      <c r="A1200" s="5">
        <v>6999348</v>
      </c>
      <c r="B1200" s="6">
        <v>42934</v>
      </c>
      <c r="C1200" s="7">
        <v>0.56714120370370369</v>
      </c>
      <c r="D1200" s="8">
        <v>0.56869212962962967</v>
      </c>
      <c r="E1200" s="20">
        <f t="shared" si="36"/>
        <v>0</v>
      </c>
      <c r="F1200">
        <f t="shared" si="37"/>
        <v>0</v>
      </c>
    </row>
    <row r="1201" spans="1:6" x14ac:dyDescent="0.35">
      <c r="A1201" s="9">
        <v>90884366</v>
      </c>
      <c r="B1201" s="10">
        <v>42934</v>
      </c>
      <c r="C1201" s="11">
        <v>0.57276620370370368</v>
      </c>
      <c r="D1201" s="12">
        <v>0.57995370370370369</v>
      </c>
      <c r="E1201" s="20">
        <f t="shared" si="36"/>
        <v>0</v>
      </c>
      <c r="F1201">
        <f t="shared" si="37"/>
        <v>0</v>
      </c>
    </row>
    <row r="1202" spans="1:6" x14ac:dyDescent="0.35">
      <c r="A1202" s="5">
        <v>3121640</v>
      </c>
      <c r="B1202" s="6">
        <v>42934</v>
      </c>
      <c r="C1202" s="7">
        <v>0.57841435185185186</v>
      </c>
      <c r="D1202" s="8">
        <v>0.58364583333333331</v>
      </c>
      <c r="E1202" s="20">
        <f t="shared" si="36"/>
        <v>0</v>
      </c>
      <c r="F1202">
        <f t="shared" si="37"/>
        <v>0</v>
      </c>
    </row>
    <row r="1203" spans="1:6" x14ac:dyDescent="0.35">
      <c r="A1203" s="9">
        <v>5912710</v>
      </c>
      <c r="B1203" s="10">
        <v>42934</v>
      </c>
      <c r="C1203" s="11">
        <v>0.57988425925925924</v>
      </c>
      <c r="D1203" s="12">
        <v>0.58928240740740745</v>
      </c>
      <c r="E1203" s="20">
        <f t="shared" si="36"/>
        <v>0</v>
      </c>
      <c r="F1203">
        <f t="shared" si="37"/>
        <v>0</v>
      </c>
    </row>
    <row r="1204" spans="1:6" x14ac:dyDescent="0.35">
      <c r="A1204" s="5">
        <v>7118082</v>
      </c>
      <c r="B1204" s="6">
        <v>42934</v>
      </c>
      <c r="C1204" s="7">
        <v>0.58524305555555556</v>
      </c>
      <c r="D1204" s="8">
        <v>0.591400462962963</v>
      </c>
      <c r="E1204" s="20">
        <f t="shared" si="36"/>
        <v>0</v>
      </c>
      <c r="F1204">
        <f t="shared" si="37"/>
        <v>0</v>
      </c>
    </row>
    <row r="1205" spans="1:6" x14ac:dyDescent="0.35">
      <c r="A1205" s="9">
        <v>9100303</v>
      </c>
      <c r="B1205" s="10">
        <v>42934</v>
      </c>
      <c r="C1205" s="11">
        <v>0.58543981481481477</v>
      </c>
      <c r="D1205" s="12">
        <v>0.58929398148148149</v>
      </c>
      <c r="E1205" s="20">
        <f t="shared" si="36"/>
        <v>0</v>
      </c>
      <c r="F1205">
        <f t="shared" si="37"/>
        <v>0</v>
      </c>
    </row>
    <row r="1206" spans="1:6" x14ac:dyDescent="0.35">
      <c r="A1206" s="5">
        <v>25581178</v>
      </c>
      <c r="B1206" s="6">
        <v>42934</v>
      </c>
      <c r="C1206" s="7">
        <v>0.58942129629629625</v>
      </c>
      <c r="D1206" s="8">
        <v>0.59734953703703708</v>
      </c>
      <c r="E1206" s="20">
        <f t="shared" si="36"/>
        <v>0</v>
      </c>
      <c r="F1206">
        <f t="shared" si="37"/>
        <v>0</v>
      </c>
    </row>
    <row r="1207" spans="1:6" x14ac:dyDescent="0.35">
      <c r="A1207" s="9">
        <v>78976022</v>
      </c>
      <c r="B1207" s="10">
        <v>42934</v>
      </c>
      <c r="C1207" s="11">
        <v>0.59495370370370371</v>
      </c>
      <c r="D1207" s="12">
        <v>0.5965625</v>
      </c>
      <c r="E1207" s="20">
        <f t="shared" si="36"/>
        <v>0</v>
      </c>
      <c r="F1207">
        <f t="shared" si="37"/>
        <v>0</v>
      </c>
    </row>
    <row r="1208" spans="1:6" x14ac:dyDescent="0.35">
      <c r="A1208" s="5">
        <v>7781904</v>
      </c>
      <c r="B1208" s="6">
        <v>42934</v>
      </c>
      <c r="C1208" s="7">
        <v>0.59964120370370366</v>
      </c>
      <c r="D1208" s="8">
        <v>0.60444444444444445</v>
      </c>
      <c r="E1208" s="20">
        <f t="shared" si="36"/>
        <v>0</v>
      </c>
      <c r="F1208">
        <f t="shared" si="37"/>
        <v>0</v>
      </c>
    </row>
    <row r="1209" spans="1:6" x14ac:dyDescent="0.35">
      <c r="A1209" s="9">
        <v>7473804</v>
      </c>
      <c r="B1209" s="10">
        <v>42934</v>
      </c>
      <c r="C1209" s="11">
        <v>0.60268518518518521</v>
      </c>
      <c r="D1209" s="12">
        <v>0.60929398148148151</v>
      </c>
      <c r="E1209" s="20">
        <f t="shared" si="36"/>
        <v>0</v>
      </c>
      <c r="F1209">
        <f t="shared" si="37"/>
        <v>0</v>
      </c>
    </row>
    <row r="1210" spans="1:6" x14ac:dyDescent="0.35">
      <c r="A1210" s="5">
        <v>8474693946</v>
      </c>
      <c r="B1210" s="6">
        <v>42934</v>
      </c>
      <c r="C1210" s="7">
        <v>0.60423611111111108</v>
      </c>
      <c r="D1210" s="8">
        <v>0.61535879629629631</v>
      </c>
      <c r="E1210" s="20">
        <f t="shared" si="36"/>
        <v>0</v>
      </c>
      <c r="F1210">
        <f t="shared" si="37"/>
        <v>0</v>
      </c>
    </row>
    <row r="1211" spans="1:6" x14ac:dyDescent="0.35">
      <c r="A1211" s="9">
        <v>8984769</v>
      </c>
      <c r="B1211" s="10">
        <v>42934</v>
      </c>
      <c r="C1211" s="11">
        <v>0.60932870370370373</v>
      </c>
      <c r="D1211" s="12">
        <v>0.61124999999999996</v>
      </c>
      <c r="E1211" s="20">
        <f t="shared" si="36"/>
        <v>0</v>
      </c>
      <c r="F1211">
        <f t="shared" si="37"/>
        <v>0</v>
      </c>
    </row>
    <row r="1212" spans="1:6" x14ac:dyDescent="0.35">
      <c r="A1212" s="5">
        <v>40395856</v>
      </c>
      <c r="B1212" s="6">
        <v>42934</v>
      </c>
      <c r="C1212" s="7">
        <v>0.61365740740740737</v>
      </c>
      <c r="D1212" s="8">
        <v>0.61829861111111106</v>
      </c>
      <c r="E1212" s="20">
        <f t="shared" si="36"/>
        <v>0</v>
      </c>
      <c r="F1212">
        <f t="shared" si="37"/>
        <v>0</v>
      </c>
    </row>
    <row r="1213" spans="1:6" x14ac:dyDescent="0.35">
      <c r="A1213" s="9">
        <v>9728932</v>
      </c>
      <c r="B1213" s="10">
        <v>42934</v>
      </c>
      <c r="C1213" s="11">
        <v>0.61675925925925923</v>
      </c>
      <c r="D1213" s="12">
        <v>0.61790509259259263</v>
      </c>
      <c r="E1213" s="20">
        <f t="shared" si="36"/>
        <v>0</v>
      </c>
      <c r="F1213">
        <f t="shared" si="37"/>
        <v>0</v>
      </c>
    </row>
    <row r="1214" spans="1:6" x14ac:dyDescent="0.35">
      <c r="A1214" s="5">
        <v>8135542</v>
      </c>
      <c r="B1214" s="6">
        <v>42934</v>
      </c>
      <c r="C1214" s="7">
        <v>0.62184027777777773</v>
      </c>
      <c r="D1214" s="8">
        <v>0.63255787037037037</v>
      </c>
      <c r="E1214" s="20">
        <f t="shared" si="36"/>
        <v>0</v>
      </c>
      <c r="F1214">
        <f t="shared" si="37"/>
        <v>0</v>
      </c>
    </row>
    <row r="1215" spans="1:6" x14ac:dyDescent="0.35">
      <c r="A1215" s="9">
        <v>10093488</v>
      </c>
      <c r="B1215" s="10">
        <v>42934</v>
      </c>
      <c r="C1215" s="11">
        <v>0.62197916666666664</v>
      </c>
      <c r="D1215" s="12">
        <v>0.62238425925925922</v>
      </c>
      <c r="E1215" s="20">
        <f t="shared" si="36"/>
        <v>0</v>
      </c>
      <c r="F1215">
        <f t="shared" si="37"/>
        <v>0</v>
      </c>
    </row>
    <row r="1216" spans="1:6" x14ac:dyDescent="0.35">
      <c r="A1216" s="5">
        <v>4203418</v>
      </c>
      <c r="B1216" s="6">
        <v>42934</v>
      </c>
      <c r="C1216" s="7">
        <v>0.62556712962962968</v>
      </c>
      <c r="D1216" s="8">
        <v>0.63491898148148151</v>
      </c>
      <c r="E1216" s="20">
        <f t="shared" si="36"/>
        <v>0</v>
      </c>
      <c r="F1216">
        <f t="shared" si="37"/>
        <v>0</v>
      </c>
    </row>
    <row r="1217" spans="1:6" x14ac:dyDescent="0.35">
      <c r="A1217" s="9">
        <v>2456290</v>
      </c>
      <c r="B1217" s="10">
        <v>42935</v>
      </c>
      <c r="C1217" s="11">
        <v>0.33592592592592591</v>
      </c>
      <c r="D1217" s="12">
        <v>0.34680555555555553</v>
      </c>
      <c r="E1217" s="20">
        <f t="shared" si="36"/>
        <v>0</v>
      </c>
      <c r="F1217">
        <f t="shared" si="37"/>
        <v>0</v>
      </c>
    </row>
    <row r="1218" spans="1:6" x14ac:dyDescent="0.35">
      <c r="A1218" s="5">
        <v>27610972</v>
      </c>
      <c r="B1218" s="6">
        <v>42935</v>
      </c>
      <c r="C1218" s="7">
        <v>0.33888888888888891</v>
      </c>
      <c r="D1218" s="8">
        <v>0.3502777777777778</v>
      </c>
      <c r="E1218" s="20">
        <f t="shared" si="36"/>
        <v>0</v>
      </c>
      <c r="F1218">
        <f t="shared" si="37"/>
        <v>0</v>
      </c>
    </row>
    <row r="1219" spans="1:6" x14ac:dyDescent="0.35">
      <c r="A1219" s="9">
        <v>3073815</v>
      </c>
      <c r="B1219" s="10">
        <v>42935</v>
      </c>
      <c r="C1219" s="11">
        <v>0.34309027777777779</v>
      </c>
      <c r="D1219" s="12">
        <v>0.34798611111111111</v>
      </c>
      <c r="E1219" s="20">
        <f t="shared" ref="E1219:E1282" si="38">IF(F1219=1,D1219-C1219,0)</f>
        <v>0</v>
      </c>
      <c r="F1219">
        <f t="shared" ref="F1219:F1282" si="39">IF(AND(LEN(A1219)=7,LEFT(A1219,2) = "12"),1,0)</f>
        <v>0</v>
      </c>
    </row>
    <row r="1220" spans="1:6" x14ac:dyDescent="0.35">
      <c r="A1220" s="5">
        <v>9776810</v>
      </c>
      <c r="B1220" s="6">
        <v>42935</v>
      </c>
      <c r="C1220" s="7">
        <v>0.34704861111111113</v>
      </c>
      <c r="D1220" s="8">
        <v>0.35386574074074073</v>
      </c>
      <c r="E1220" s="20">
        <f t="shared" si="38"/>
        <v>0</v>
      </c>
      <c r="F1220">
        <f t="shared" si="39"/>
        <v>0</v>
      </c>
    </row>
    <row r="1221" spans="1:6" x14ac:dyDescent="0.35">
      <c r="A1221" s="9">
        <v>6763741</v>
      </c>
      <c r="B1221" s="10">
        <v>42935</v>
      </c>
      <c r="C1221" s="11">
        <v>0.35040509259259262</v>
      </c>
      <c r="D1221" s="12">
        <v>0.35600694444444442</v>
      </c>
      <c r="E1221" s="20">
        <f t="shared" si="38"/>
        <v>0</v>
      </c>
      <c r="F1221">
        <f t="shared" si="39"/>
        <v>0</v>
      </c>
    </row>
    <row r="1222" spans="1:6" x14ac:dyDescent="0.35">
      <c r="A1222" s="5">
        <v>2309436</v>
      </c>
      <c r="B1222" s="6">
        <v>42935</v>
      </c>
      <c r="C1222" s="7">
        <v>0.35304398148148147</v>
      </c>
      <c r="D1222" s="8">
        <v>0.35793981481481479</v>
      </c>
      <c r="E1222" s="20">
        <f t="shared" si="38"/>
        <v>0</v>
      </c>
      <c r="F1222">
        <f t="shared" si="39"/>
        <v>0</v>
      </c>
    </row>
    <row r="1223" spans="1:6" x14ac:dyDescent="0.35">
      <c r="A1223" s="9">
        <v>3131883</v>
      </c>
      <c r="B1223" s="10">
        <v>42935</v>
      </c>
      <c r="C1223" s="11">
        <v>0.35712962962962963</v>
      </c>
      <c r="D1223" s="12">
        <v>0.36243055555555553</v>
      </c>
      <c r="E1223" s="20">
        <f t="shared" si="38"/>
        <v>0</v>
      </c>
      <c r="F1223">
        <f t="shared" si="39"/>
        <v>0</v>
      </c>
    </row>
    <row r="1224" spans="1:6" x14ac:dyDescent="0.35">
      <c r="A1224" s="5">
        <v>69001821</v>
      </c>
      <c r="B1224" s="6">
        <v>42935</v>
      </c>
      <c r="C1224" s="7">
        <v>0.35835648148148147</v>
      </c>
      <c r="D1224" s="8">
        <v>0.36712962962962964</v>
      </c>
      <c r="E1224" s="20">
        <f t="shared" si="38"/>
        <v>0</v>
      </c>
      <c r="F1224">
        <f t="shared" si="39"/>
        <v>0</v>
      </c>
    </row>
    <row r="1225" spans="1:6" x14ac:dyDescent="0.35">
      <c r="A1225" s="9">
        <v>2150051</v>
      </c>
      <c r="B1225" s="10">
        <v>42935</v>
      </c>
      <c r="C1225" s="11">
        <v>0.36310185185185184</v>
      </c>
      <c r="D1225" s="12">
        <v>0.36723379629629632</v>
      </c>
      <c r="E1225" s="20">
        <f t="shared" si="38"/>
        <v>0</v>
      </c>
      <c r="F1225">
        <f t="shared" si="39"/>
        <v>0</v>
      </c>
    </row>
    <row r="1226" spans="1:6" x14ac:dyDescent="0.35">
      <c r="A1226" s="5">
        <v>9967523741</v>
      </c>
      <c r="B1226" s="6">
        <v>42935</v>
      </c>
      <c r="C1226" s="7">
        <v>0.36886574074074074</v>
      </c>
      <c r="D1226" s="8">
        <v>0.37324074074074076</v>
      </c>
      <c r="E1226" s="20">
        <f t="shared" si="38"/>
        <v>0</v>
      </c>
      <c r="F1226">
        <f t="shared" si="39"/>
        <v>0</v>
      </c>
    </row>
    <row r="1227" spans="1:6" x14ac:dyDescent="0.35">
      <c r="A1227" s="9">
        <v>23300236</v>
      </c>
      <c r="B1227" s="10">
        <v>42935</v>
      </c>
      <c r="C1227" s="11">
        <v>0.37094907407407407</v>
      </c>
      <c r="D1227" s="12">
        <v>0.37517361111111114</v>
      </c>
      <c r="E1227" s="20">
        <f t="shared" si="38"/>
        <v>0</v>
      </c>
      <c r="F1227">
        <f t="shared" si="39"/>
        <v>0</v>
      </c>
    </row>
    <row r="1228" spans="1:6" x14ac:dyDescent="0.35">
      <c r="A1228" s="5">
        <v>4714815</v>
      </c>
      <c r="B1228" s="6">
        <v>42935</v>
      </c>
      <c r="C1228" s="7">
        <v>0.37484953703703705</v>
      </c>
      <c r="D1228" s="8">
        <v>0.38143518518518521</v>
      </c>
      <c r="E1228" s="20">
        <f t="shared" si="38"/>
        <v>0</v>
      </c>
      <c r="F1228">
        <f t="shared" si="39"/>
        <v>0</v>
      </c>
    </row>
    <row r="1229" spans="1:6" x14ac:dyDescent="0.35">
      <c r="A1229" s="9">
        <v>80038636</v>
      </c>
      <c r="B1229" s="10">
        <v>42935</v>
      </c>
      <c r="C1229" s="11">
        <v>0.38028935185185186</v>
      </c>
      <c r="D1229" s="12">
        <v>0.38239583333333332</v>
      </c>
      <c r="E1229" s="20">
        <f t="shared" si="38"/>
        <v>0</v>
      </c>
      <c r="F1229">
        <f t="shared" si="39"/>
        <v>0</v>
      </c>
    </row>
    <row r="1230" spans="1:6" x14ac:dyDescent="0.35">
      <c r="A1230" s="5">
        <v>47596793</v>
      </c>
      <c r="B1230" s="6">
        <v>42935</v>
      </c>
      <c r="C1230" s="7">
        <v>0.38059027777777776</v>
      </c>
      <c r="D1230" s="8">
        <v>0.38280092592592591</v>
      </c>
      <c r="E1230" s="20">
        <f t="shared" si="38"/>
        <v>0</v>
      </c>
      <c r="F1230">
        <f t="shared" si="39"/>
        <v>0</v>
      </c>
    </row>
    <row r="1231" spans="1:6" x14ac:dyDescent="0.35">
      <c r="A1231" s="9">
        <v>6574044</v>
      </c>
      <c r="B1231" s="10">
        <v>42935</v>
      </c>
      <c r="C1231" s="11">
        <v>0.38173611111111111</v>
      </c>
      <c r="D1231" s="12">
        <v>0.38915509259259257</v>
      </c>
      <c r="E1231" s="20">
        <f t="shared" si="38"/>
        <v>0</v>
      </c>
      <c r="F1231">
        <f t="shared" si="39"/>
        <v>0</v>
      </c>
    </row>
    <row r="1232" spans="1:6" x14ac:dyDescent="0.35">
      <c r="A1232" s="5">
        <v>9475290</v>
      </c>
      <c r="B1232" s="6">
        <v>42935</v>
      </c>
      <c r="C1232" s="7">
        <v>0.38512731481481483</v>
      </c>
      <c r="D1232" s="8">
        <v>0.3947222222222222</v>
      </c>
      <c r="E1232" s="20">
        <f t="shared" si="38"/>
        <v>0</v>
      </c>
      <c r="F1232">
        <f t="shared" si="39"/>
        <v>0</v>
      </c>
    </row>
    <row r="1233" spans="1:6" x14ac:dyDescent="0.35">
      <c r="A1233" s="9">
        <v>4458725</v>
      </c>
      <c r="B1233" s="10">
        <v>42935</v>
      </c>
      <c r="C1233" s="11">
        <v>0.38533564814814814</v>
      </c>
      <c r="D1233" s="12">
        <v>0.39521990740740742</v>
      </c>
      <c r="E1233" s="20">
        <f t="shared" si="38"/>
        <v>0</v>
      </c>
      <c r="F1233">
        <f t="shared" si="39"/>
        <v>0</v>
      </c>
    </row>
    <row r="1234" spans="1:6" x14ac:dyDescent="0.35">
      <c r="A1234" s="5">
        <v>4785864</v>
      </c>
      <c r="B1234" s="6">
        <v>42935</v>
      </c>
      <c r="C1234" s="7">
        <v>0.38833333333333331</v>
      </c>
      <c r="D1234" s="8">
        <v>0.39069444444444446</v>
      </c>
      <c r="E1234" s="20">
        <f t="shared" si="38"/>
        <v>0</v>
      </c>
      <c r="F1234">
        <f t="shared" si="39"/>
        <v>0</v>
      </c>
    </row>
    <row r="1235" spans="1:6" x14ac:dyDescent="0.35">
      <c r="A1235" s="9">
        <v>3109039</v>
      </c>
      <c r="B1235" s="10">
        <v>42935</v>
      </c>
      <c r="C1235" s="11">
        <v>0.38979166666666665</v>
      </c>
      <c r="D1235" s="12">
        <v>0.39171296296296299</v>
      </c>
      <c r="E1235" s="20">
        <f t="shared" si="38"/>
        <v>0</v>
      </c>
      <c r="F1235">
        <f t="shared" si="39"/>
        <v>0</v>
      </c>
    </row>
    <row r="1236" spans="1:6" x14ac:dyDescent="0.35">
      <c r="A1236" s="5">
        <v>7340326</v>
      </c>
      <c r="B1236" s="6">
        <v>42935</v>
      </c>
      <c r="C1236" s="7">
        <v>0.3898611111111111</v>
      </c>
      <c r="D1236" s="8">
        <v>0.39067129629629632</v>
      </c>
      <c r="E1236" s="20">
        <f t="shared" si="38"/>
        <v>0</v>
      </c>
      <c r="F1236">
        <f t="shared" si="39"/>
        <v>0</v>
      </c>
    </row>
    <row r="1237" spans="1:6" x14ac:dyDescent="0.35">
      <c r="A1237" s="9">
        <v>7865428</v>
      </c>
      <c r="B1237" s="10">
        <v>42935</v>
      </c>
      <c r="C1237" s="11">
        <v>0.3941898148148148</v>
      </c>
      <c r="D1237" s="12">
        <v>0.40530092592592593</v>
      </c>
      <c r="E1237" s="20">
        <f t="shared" si="38"/>
        <v>0</v>
      </c>
      <c r="F1237">
        <f t="shared" si="39"/>
        <v>0</v>
      </c>
    </row>
    <row r="1238" spans="1:6" x14ac:dyDescent="0.35">
      <c r="A1238" s="5">
        <v>1467591</v>
      </c>
      <c r="B1238" s="6">
        <v>42935</v>
      </c>
      <c r="C1238" s="7">
        <v>0.39607638888888891</v>
      </c>
      <c r="D1238" s="8">
        <v>0.40442129629629631</v>
      </c>
      <c r="E1238" s="20">
        <f t="shared" si="38"/>
        <v>0</v>
      </c>
      <c r="F1238">
        <f t="shared" si="39"/>
        <v>0</v>
      </c>
    </row>
    <row r="1239" spans="1:6" x14ac:dyDescent="0.35">
      <c r="A1239" s="9">
        <v>2475157</v>
      </c>
      <c r="B1239" s="10">
        <v>42935</v>
      </c>
      <c r="C1239" s="11">
        <v>0.39937499999999998</v>
      </c>
      <c r="D1239" s="12">
        <v>0.40332175925925928</v>
      </c>
      <c r="E1239" s="20">
        <f t="shared" si="38"/>
        <v>0</v>
      </c>
      <c r="F1239">
        <f t="shared" si="39"/>
        <v>0</v>
      </c>
    </row>
    <row r="1240" spans="1:6" x14ac:dyDescent="0.35">
      <c r="A1240" s="5">
        <v>6023049</v>
      </c>
      <c r="B1240" s="6">
        <v>42935</v>
      </c>
      <c r="C1240" s="7">
        <v>0.39959490740740738</v>
      </c>
      <c r="D1240" s="8">
        <v>0.41099537037037037</v>
      </c>
      <c r="E1240" s="20">
        <f t="shared" si="38"/>
        <v>0</v>
      </c>
      <c r="F1240">
        <f t="shared" si="39"/>
        <v>0</v>
      </c>
    </row>
    <row r="1241" spans="1:6" x14ac:dyDescent="0.35">
      <c r="A1241" s="9">
        <v>39210366</v>
      </c>
      <c r="B1241" s="10">
        <v>42935</v>
      </c>
      <c r="C1241" s="11">
        <v>0.40234953703703702</v>
      </c>
      <c r="D1241" s="12">
        <v>0.40469907407407407</v>
      </c>
      <c r="E1241" s="20">
        <f t="shared" si="38"/>
        <v>0</v>
      </c>
      <c r="F1241">
        <f t="shared" si="39"/>
        <v>0</v>
      </c>
    </row>
    <row r="1242" spans="1:6" x14ac:dyDescent="0.35">
      <c r="A1242" s="5">
        <v>90880011</v>
      </c>
      <c r="B1242" s="6">
        <v>42935</v>
      </c>
      <c r="C1242" s="7">
        <v>0.40743055555555557</v>
      </c>
      <c r="D1242" s="8">
        <v>0.41255787037037039</v>
      </c>
      <c r="E1242" s="20">
        <f t="shared" si="38"/>
        <v>0</v>
      </c>
      <c r="F1242">
        <f t="shared" si="39"/>
        <v>0</v>
      </c>
    </row>
    <row r="1243" spans="1:6" x14ac:dyDescent="0.35">
      <c r="A1243" s="9">
        <v>4469748</v>
      </c>
      <c r="B1243" s="10">
        <v>42935</v>
      </c>
      <c r="C1243" s="11">
        <v>0.41121527777777778</v>
      </c>
      <c r="D1243" s="12">
        <v>0.41483796296296294</v>
      </c>
      <c r="E1243" s="20">
        <f t="shared" si="38"/>
        <v>0</v>
      </c>
      <c r="F1243">
        <f t="shared" si="39"/>
        <v>0</v>
      </c>
    </row>
    <row r="1244" spans="1:6" x14ac:dyDescent="0.35">
      <c r="A1244" s="5">
        <v>3931739393</v>
      </c>
      <c r="B1244" s="6">
        <v>42935</v>
      </c>
      <c r="C1244" s="7">
        <v>0.4127662037037037</v>
      </c>
      <c r="D1244" s="8">
        <v>0.42182870370370368</v>
      </c>
      <c r="E1244" s="20">
        <f t="shared" si="38"/>
        <v>0</v>
      </c>
      <c r="F1244">
        <f t="shared" si="39"/>
        <v>0</v>
      </c>
    </row>
    <row r="1245" spans="1:6" x14ac:dyDescent="0.35">
      <c r="A1245" s="9">
        <v>4079013</v>
      </c>
      <c r="B1245" s="10">
        <v>42935</v>
      </c>
      <c r="C1245" s="11">
        <v>0.41616898148148146</v>
      </c>
      <c r="D1245" s="12">
        <v>0.41717592592592595</v>
      </c>
      <c r="E1245" s="20">
        <f t="shared" si="38"/>
        <v>0</v>
      </c>
      <c r="F1245">
        <f t="shared" si="39"/>
        <v>0</v>
      </c>
    </row>
    <row r="1246" spans="1:6" x14ac:dyDescent="0.35">
      <c r="A1246" s="5">
        <v>7751076</v>
      </c>
      <c r="B1246" s="6">
        <v>42935</v>
      </c>
      <c r="C1246" s="7">
        <v>0.41996527777777776</v>
      </c>
      <c r="D1246" s="8">
        <v>0.42766203703703703</v>
      </c>
      <c r="E1246" s="20">
        <f t="shared" si="38"/>
        <v>0</v>
      </c>
      <c r="F1246">
        <f t="shared" si="39"/>
        <v>0</v>
      </c>
    </row>
    <row r="1247" spans="1:6" x14ac:dyDescent="0.35">
      <c r="A1247" s="9">
        <v>27684909</v>
      </c>
      <c r="B1247" s="10">
        <v>42935</v>
      </c>
      <c r="C1247" s="11">
        <v>0.42166666666666669</v>
      </c>
      <c r="D1247" s="12">
        <v>0.43111111111111111</v>
      </c>
      <c r="E1247" s="20">
        <f t="shared" si="38"/>
        <v>0</v>
      </c>
      <c r="F1247">
        <f t="shared" si="39"/>
        <v>0</v>
      </c>
    </row>
    <row r="1248" spans="1:6" x14ac:dyDescent="0.35">
      <c r="A1248" s="5">
        <v>1588418</v>
      </c>
      <c r="B1248" s="6">
        <v>42935</v>
      </c>
      <c r="C1248" s="7">
        <v>0.42422453703703705</v>
      </c>
      <c r="D1248" s="8">
        <v>0.43512731481481481</v>
      </c>
      <c r="E1248" s="20">
        <f t="shared" si="38"/>
        <v>0</v>
      </c>
      <c r="F1248">
        <f t="shared" si="39"/>
        <v>0</v>
      </c>
    </row>
    <row r="1249" spans="1:6" x14ac:dyDescent="0.35">
      <c r="A1249" s="9">
        <v>5333653356</v>
      </c>
      <c r="B1249" s="10">
        <v>42935</v>
      </c>
      <c r="C1249" s="11">
        <v>0.42684027777777778</v>
      </c>
      <c r="D1249" s="12">
        <v>0.43207175925925928</v>
      </c>
      <c r="E1249" s="20">
        <f t="shared" si="38"/>
        <v>0</v>
      </c>
      <c r="F1249">
        <f t="shared" si="39"/>
        <v>0</v>
      </c>
    </row>
    <row r="1250" spans="1:6" x14ac:dyDescent="0.35">
      <c r="A1250" s="5">
        <v>6305758</v>
      </c>
      <c r="B1250" s="6">
        <v>42935</v>
      </c>
      <c r="C1250" s="7">
        <v>0.42912037037037037</v>
      </c>
      <c r="D1250" s="8">
        <v>0.43425925925925923</v>
      </c>
      <c r="E1250" s="20">
        <f t="shared" si="38"/>
        <v>0</v>
      </c>
      <c r="F1250">
        <f t="shared" si="39"/>
        <v>0</v>
      </c>
    </row>
    <row r="1251" spans="1:6" x14ac:dyDescent="0.35">
      <c r="A1251" s="9">
        <v>45373038</v>
      </c>
      <c r="B1251" s="10">
        <v>42935</v>
      </c>
      <c r="C1251" s="11">
        <v>0.43180555555555555</v>
      </c>
      <c r="D1251" s="12">
        <v>0.44175925925925924</v>
      </c>
      <c r="E1251" s="20">
        <f t="shared" si="38"/>
        <v>0</v>
      </c>
      <c r="F1251">
        <f t="shared" si="39"/>
        <v>0</v>
      </c>
    </row>
    <row r="1252" spans="1:6" x14ac:dyDescent="0.35">
      <c r="A1252" s="5">
        <v>7589993</v>
      </c>
      <c r="B1252" s="6">
        <v>42935</v>
      </c>
      <c r="C1252" s="7">
        <v>0.43185185185185188</v>
      </c>
      <c r="D1252" s="8">
        <v>0.4382638888888889</v>
      </c>
      <c r="E1252" s="20">
        <f t="shared" si="38"/>
        <v>0</v>
      </c>
      <c r="F1252">
        <f t="shared" si="39"/>
        <v>0</v>
      </c>
    </row>
    <row r="1253" spans="1:6" x14ac:dyDescent="0.35">
      <c r="A1253" s="9">
        <v>5588421</v>
      </c>
      <c r="B1253" s="10">
        <v>42935</v>
      </c>
      <c r="C1253" s="11">
        <v>0.43365740740740738</v>
      </c>
      <c r="D1253" s="12">
        <v>0.43964120370370369</v>
      </c>
      <c r="E1253" s="20">
        <f t="shared" si="38"/>
        <v>0</v>
      </c>
      <c r="F1253">
        <f t="shared" si="39"/>
        <v>0</v>
      </c>
    </row>
    <row r="1254" spans="1:6" x14ac:dyDescent="0.35">
      <c r="A1254" s="5">
        <v>9662407</v>
      </c>
      <c r="B1254" s="6">
        <v>42935</v>
      </c>
      <c r="C1254" s="7">
        <v>0.43509259259259259</v>
      </c>
      <c r="D1254" s="8">
        <v>0.44364583333333335</v>
      </c>
      <c r="E1254" s="20">
        <f t="shared" si="38"/>
        <v>0</v>
      </c>
      <c r="F1254">
        <f t="shared" si="39"/>
        <v>0</v>
      </c>
    </row>
    <row r="1255" spans="1:6" x14ac:dyDescent="0.35">
      <c r="A1255" s="9">
        <v>3422062</v>
      </c>
      <c r="B1255" s="10">
        <v>42935</v>
      </c>
      <c r="C1255" s="11">
        <v>0.43734953703703705</v>
      </c>
      <c r="D1255" s="12">
        <v>0.44071759259259258</v>
      </c>
      <c r="E1255" s="20">
        <f t="shared" si="38"/>
        <v>0</v>
      </c>
      <c r="F1255">
        <f t="shared" si="39"/>
        <v>0</v>
      </c>
    </row>
    <row r="1256" spans="1:6" x14ac:dyDescent="0.35">
      <c r="A1256" s="5">
        <v>9305031</v>
      </c>
      <c r="B1256" s="6">
        <v>42935</v>
      </c>
      <c r="C1256" s="7">
        <v>0.43827546296296294</v>
      </c>
      <c r="D1256" s="8">
        <v>0.44968750000000002</v>
      </c>
      <c r="E1256" s="20">
        <f t="shared" si="38"/>
        <v>0</v>
      </c>
      <c r="F1256">
        <f t="shared" si="39"/>
        <v>0</v>
      </c>
    </row>
    <row r="1257" spans="1:6" x14ac:dyDescent="0.35">
      <c r="A1257" s="9">
        <v>4911005</v>
      </c>
      <c r="B1257" s="10">
        <v>42935</v>
      </c>
      <c r="C1257" s="11">
        <v>0.44305555555555554</v>
      </c>
      <c r="D1257" s="12">
        <v>0.45006944444444447</v>
      </c>
      <c r="E1257" s="20">
        <f t="shared" si="38"/>
        <v>0</v>
      </c>
      <c r="F1257">
        <f t="shared" si="39"/>
        <v>0</v>
      </c>
    </row>
    <row r="1258" spans="1:6" x14ac:dyDescent="0.35">
      <c r="A1258" s="5">
        <v>1391272</v>
      </c>
      <c r="B1258" s="6">
        <v>42935</v>
      </c>
      <c r="C1258" s="7">
        <v>0.44664351851851852</v>
      </c>
      <c r="D1258" s="8">
        <v>0.45725694444444442</v>
      </c>
      <c r="E1258" s="20">
        <f t="shared" si="38"/>
        <v>0</v>
      </c>
      <c r="F1258">
        <f t="shared" si="39"/>
        <v>0</v>
      </c>
    </row>
    <row r="1259" spans="1:6" x14ac:dyDescent="0.35">
      <c r="A1259" s="9">
        <v>5027404</v>
      </c>
      <c r="B1259" s="10">
        <v>42935</v>
      </c>
      <c r="C1259" s="11">
        <v>0.45211805555555556</v>
      </c>
      <c r="D1259" s="12">
        <v>0.4598726851851852</v>
      </c>
      <c r="E1259" s="20">
        <f t="shared" si="38"/>
        <v>0</v>
      </c>
      <c r="F1259">
        <f t="shared" si="39"/>
        <v>0</v>
      </c>
    </row>
    <row r="1260" spans="1:6" x14ac:dyDescent="0.35">
      <c r="A1260" s="5">
        <v>38244568</v>
      </c>
      <c r="B1260" s="6">
        <v>42935</v>
      </c>
      <c r="C1260" s="7">
        <v>0.45768518518518519</v>
      </c>
      <c r="D1260" s="8">
        <v>0.45837962962962964</v>
      </c>
      <c r="E1260" s="20">
        <f t="shared" si="38"/>
        <v>0</v>
      </c>
      <c r="F1260">
        <f t="shared" si="39"/>
        <v>0</v>
      </c>
    </row>
    <row r="1261" spans="1:6" x14ac:dyDescent="0.35">
      <c r="A1261" s="9">
        <v>64900068</v>
      </c>
      <c r="B1261" s="10">
        <v>42935</v>
      </c>
      <c r="C1261" s="11">
        <v>0.46217592592592593</v>
      </c>
      <c r="D1261" s="12">
        <v>0.46263888888888888</v>
      </c>
      <c r="E1261" s="20">
        <f t="shared" si="38"/>
        <v>0</v>
      </c>
      <c r="F1261">
        <f t="shared" si="39"/>
        <v>0</v>
      </c>
    </row>
    <row r="1262" spans="1:6" x14ac:dyDescent="0.35">
      <c r="A1262" s="5">
        <v>45015009</v>
      </c>
      <c r="B1262" s="6">
        <v>42935</v>
      </c>
      <c r="C1262" s="7">
        <v>0.46546296296296297</v>
      </c>
      <c r="D1262" s="8">
        <v>0.4740509259259259</v>
      </c>
      <c r="E1262" s="20">
        <f t="shared" si="38"/>
        <v>0</v>
      </c>
      <c r="F1262">
        <f t="shared" si="39"/>
        <v>0</v>
      </c>
    </row>
    <row r="1263" spans="1:6" x14ac:dyDescent="0.35">
      <c r="A1263" s="9">
        <v>20424852</v>
      </c>
      <c r="B1263" s="10">
        <v>42935</v>
      </c>
      <c r="C1263" s="11">
        <v>0.46773148148148147</v>
      </c>
      <c r="D1263" s="12">
        <v>0.47054398148148147</v>
      </c>
      <c r="E1263" s="20">
        <f t="shared" si="38"/>
        <v>0</v>
      </c>
      <c r="F1263">
        <f t="shared" si="39"/>
        <v>0</v>
      </c>
    </row>
    <row r="1264" spans="1:6" x14ac:dyDescent="0.35">
      <c r="A1264" s="5">
        <v>4471203</v>
      </c>
      <c r="B1264" s="6">
        <v>42935</v>
      </c>
      <c r="C1264" s="7">
        <v>0.47298611111111111</v>
      </c>
      <c r="D1264" s="8">
        <v>0.48247685185185185</v>
      </c>
      <c r="E1264" s="20">
        <f t="shared" si="38"/>
        <v>0</v>
      </c>
      <c r="F1264">
        <f t="shared" si="39"/>
        <v>0</v>
      </c>
    </row>
    <row r="1265" spans="1:6" x14ac:dyDescent="0.35">
      <c r="A1265" s="9">
        <v>8250018</v>
      </c>
      <c r="B1265" s="10">
        <v>42935</v>
      </c>
      <c r="C1265" s="11">
        <v>0.47843750000000002</v>
      </c>
      <c r="D1265" s="12">
        <v>0.48951388888888892</v>
      </c>
      <c r="E1265" s="20">
        <f t="shared" si="38"/>
        <v>0</v>
      </c>
      <c r="F1265">
        <f t="shared" si="39"/>
        <v>0</v>
      </c>
    </row>
    <row r="1266" spans="1:6" x14ac:dyDescent="0.35">
      <c r="A1266" s="5">
        <v>1161028310</v>
      </c>
      <c r="B1266" s="6">
        <v>42935</v>
      </c>
      <c r="C1266" s="7">
        <v>0.47843750000000002</v>
      </c>
      <c r="D1266" s="8">
        <v>0.48879629629629628</v>
      </c>
      <c r="E1266" s="20">
        <f t="shared" si="38"/>
        <v>0</v>
      </c>
      <c r="F1266">
        <f t="shared" si="39"/>
        <v>0</v>
      </c>
    </row>
    <row r="1267" spans="1:6" x14ac:dyDescent="0.35">
      <c r="A1267" s="9">
        <v>66465215</v>
      </c>
      <c r="B1267" s="10">
        <v>42935</v>
      </c>
      <c r="C1267" s="11">
        <v>0.48381944444444447</v>
      </c>
      <c r="D1267" s="12">
        <v>0.49505787037037036</v>
      </c>
      <c r="E1267" s="20">
        <f t="shared" si="38"/>
        <v>0</v>
      </c>
      <c r="F1267">
        <f t="shared" si="39"/>
        <v>0</v>
      </c>
    </row>
    <row r="1268" spans="1:6" x14ac:dyDescent="0.35">
      <c r="A1268" s="5">
        <v>6386788</v>
      </c>
      <c r="B1268" s="6">
        <v>42935</v>
      </c>
      <c r="C1268" s="7">
        <v>0.48822916666666666</v>
      </c>
      <c r="D1268" s="8">
        <v>0.49540509259259258</v>
      </c>
      <c r="E1268" s="20">
        <f t="shared" si="38"/>
        <v>0</v>
      </c>
      <c r="F1268">
        <f t="shared" si="39"/>
        <v>0</v>
      </c>
    </row>
    <row r="1269" spans="1:6" x14ac:dyDescent="0.35">
      <c r="A1269" s="9">
        <v>3589291</v>
      </c>
      <c r="B1269" s="10">
        <v>42935</v>
      </c>
      <c r="C1269" s="11">
        <v>0.4896064814814815</v>
      </c>
      <c r="D1269" s="12">
        <v>0.49828703703703703</v>
      </c>
      <c r="E1269" s="20">
        <f t="shared" si="38"/>
        <v>0</v>
      </c>
      <c r="F1269">
        <f t="shared" si="39"/>
        <v>0</v>
      </c>
    </row>
    <row r="1270" spans="1:6" x14ac:dyDescent="0.35">
      <c r="A1270" s="5">
        <v>9254070</v>
      </c>
      <c r="B1270" s="6">
        <v>42935</v>
      </c>
      <c r="C1270" s="7">
        <v>0.49270833333333336</v>
      </c>
      <c r="D1270" s="8">
        <v>0.49774305555555554</v>
      </c>
      <c r="E1270" s="20">
        <f t="shared" si="38"/>
        <v>0</v>
      </c>
      <c r="F1270">
        <f t="shared" si="39"/>
        <v>0</v>
      </c>
    </row>
    <row r="1271" spans="1:6" x14ac:dyDescent="0.35">
      <c r="A1271" s="9">
        <v>6337931</v>
      </c>
      <c r="B1271" s="10">
        <v>42935</v>
      </c>
      <c r="C1271" s="11">
        <v>0.49625000000000002</v>
      </c>
      <c r="D1271" s="12">
        <v>0.5058449074074074</v>
      </c>
      <c r="E1271" s="20">
        <f t="shared" si="38"/>
        <v>0</v>
      </c>
      <c r="F1271">
        <f t="shared" si="39"/>
        <v>0</v>
      </c>
    </row>
    <row r="1272" spans="1:6" x14ac:dyDescent="0.35">
      <c r="A1272" s="5">
        <v>3563037</v>
      </c>
      <c r="B1272" s="6">
        <v>42935</v>
      </c>
      <c r="C1272" s="7">
        <v>0.50173611111111116</v>
      </c>
      <c r="D1272" s="8">
        <v>0.5130555555555556</v>
      </c>
      <c r="E1272" s="20">
        <f t="shared" si="38"/>
        <v>0</v>
      </c>
      <c r="F1272">
        <f t="shared" si="39"/>
        <v>0</v>
      </c>
    </row>
    <row r="1273" spans="1:6" x14ac:dyDescent="0.35">
      <c r="A1273" s="9">
        <v>2302227</v>
      </c>
      <c r="B1273" s="10">
        <v>42935</v>
      </c>
      <c r="C1273" s="11">
        <v>0.50219907407407405</v>
      </c>
      <c r="D1273" s="12">
        <v>0.50804398148148144</v>
      </c>
      <c r="E1273" s="20">
        <f t="shared" si="38"/>
        <v>0</v>
      </c>
      <c r="F1273">
        <f t="shared" si="39"/>
        <v>0</v>
      </c>
    </row>
    <row r="1274" spans="1:6" x14ac:dyDescent="0.35">
      <c r="A1274" s="5">
        <v>24454566</v>
      </c>
      <c r="B1274" s="6">
        <v>42935</v>
      </c>
      <c r="C1274" s="7">
        <v>0.50749999999999995</v>
      </c>
      <c r="D1274" s="8">
        <v>0.51290509259259254</v>
      </c>
      <c r="E1274" s="20">
        <f t="shared" si="38"/>
        <v>0</v>
      </c>
      <c r="F1274">
        <f t="shared" si="39"/>
        <v>0</v>
      </c>
    </row>
    <row r="1275" spans="1:6" x14ac:dyDescent="0.35">
      <c r="A1275" s="9">
        <v>6551880</v>
      </c>
      <c r="B1275" s="10">
        <v>42935</v>
      </c>
      <c r="C1275" s="11">
        <v>0.50756944444444441</v>
      </c>
      <c r="D1275" s="12">
        <v>0.51126157407407402</v>
      </c>
      <c r="E1275" s="20">
        <f t="shared" si="38"/>
        <v>0</v>
      </c>
      <c r="F1275">
        <f t="shared" si="39"/>
        <v>0</v>
      </c>
    </row>
    <row r="1276" spans="1:6" x14ac:dyDescent="0.35">
      <c r="A1276" s="5">
        <v>6616163</v>
      </c>
      <c r="B1276" s="6">
        <v>42935</v>
      </c>
      <c r="C1276" s="7">
        <v>0.51325231481481481</v>
      </c>
      <c r="D1276" s="8">
        <v>0.51627314814814818</v>
      </c>
      <c r="E1276" s="20">
        <f t="shared" si="38"/>
        <v>0</v>
      </c>
      <c r="F1276">
        <f t="shared" si="39"/>
        <v>0</v>
      </c>
    </row>
    <row r="1277" spans="1:6" x14ac:dyDescent="0.35">
      <c r="A1277" s="9">
        <v>96381896</v>
      </c>
      <c r="B1277" s="10">
        <v>42935</v>
      </c>
      <c r="C1277" s="11">
        <v>0.5173726851851852</v>
      </c>
      <c r="D1277" s="12">
        <v>0.52055555555555555</v>
      </c>
      <c r="E1277" s="20">
        <f t="shared" si="38"/>
        <v>0</v>
      </c>
      <c r="F1277">
        <f t="shared" si="39"/>
        <v>0</v>
      </c>
    </row>
    <row r="1278" spans="1:6" x14ac:dyDescent="0.35">
      <c r="A1278" s="5">
        <v>6892980</v>
      </c>
      <c r="B1278" s="6">
        <v>42935</v>
      </c>
      <c r="C1278" s="7">
        <v>0.52288194444444447</v>
      </c>
      <c r="D1278" s="8">
        <v>0.52722222222222226</v>
      </c>
      <c r="E1278" s="20">
        <f t="shared" si="38"/>
        <v>0</v>
      </c>
      <c r="F1278">
        <f t="shared" si="39"/>
        <v>0</v>
      </c>
    </row>
    <row r="1279" spans="1:6" x14ac:dyDescent="0.35">
      <c r="A1279" s="9">
        <v>5341697748</v>
      </c>
      <c r="B1279" s="10">
        <v>42935</v>
      </c>
      <c r="C1279" s="11">
        <v>0.52349537037037042</v>
      </c>
      <c r="D1279" s="12">
        <v>0.53362268518518519</v>
      </c>
      <c r="E1279" s="20">
        <f t="shared" si="38"/>
        <v>0</v>
      </c>
      <c r="F1279">
        <f t="shared" si="39"/>
        <v>0</v>
      </c>
    </row>
    <row r="1280" spans="1:6" x14ac:dyDescent="0.35">
      <c r="A1280" s="5">
        <v>52064221</v>
      </c>
      <c r="B1280" s="6">
        <v>42935</v>
      </c>
      <c r="C1280" s="7">
        <v>0.52766203703703707</v>
      </c>
      <c r="D1280" s="8">
        <v>0.53917824074074072</v>
      </c>
      <c r="E1280" s="20">
        <f t="shared" si="38"/>
        <v>0</v>
      </c>
      <c r="F1280">
        <f t="shared" si="39"/>
        <v>0</v>
      </c>
    </row>
    <row r="1281" spans="1:6" x14ac:dyDescent="0.35">
      <c r="A1281" s="9">
        <v>5111892302</v>
      </c>
      <c r="B1281" s="10">
        <v>42935</v>
      </c>
      <c r="C1281" s="11">
        <v>0.53209490740740739</v>
      </c>
      <c r="D1281" s="12">
        <v>0.53931712962962963</v>
      </c>
      <c r="E1281" s="20">
        <f t="shared" si="38"/>
        <v>0</v>
      </c>
      <c r="F1281">
        <f t="shared" si="39"/>
        <v>0</v>
      </c>
    </row>
    <row r="1282" spans="1:6" x14ac:dyDescent="0.35">
      <c r="A1282" s="5">
        <v>7571642</v>
      </c>
      <c r="B1282" s="6">
        <v>42935</v>
      </c>
      <c r="C1282" s="7">
        <v>0.53540509259259261</v>
      </c>
      <c r="D1282" s="8">
        <v>0.53540509259259261</v>
      </c>
      <c r="E1282" s="20">
        <f t="shared" si="38"/>
        <v>0</v>
      </c>
      <c r="F1282">
        <f t="shared" si="39"/>
        <v>0</v>
      </c>
    </row>
    <row r="1283" spans="1:6" x14ac:dyDescent="0.35">
      <c r="A1283" s="9">
        <v>9570286</v>
      </c>
      <c r="B1283" s="10">
        <v>42935</v>
      </c>
      <c r="C1283" s="11">
        <v>0.53594907407407411</v>
      </c>
      <c r="D1283" s="12">
        <v>0.54584490740740743</v>
      </c>
      <c r="E1283" s="20">
        <f t="shared" ref="E1283:E1346" si="40">IF(F1283=1,D1283-C1283,0)</f>
        <v>0</v>
      </c>
      <c r="F1283">
        <f t="shared" ref="F1283:F1346" si="41">IF(AND(LEN(A1283)=7,LEFT(A1283,2) = "12"),1,0)</f>
        <v>0</v>
      </c>
    </row>
    <row r="1284" spans="1:6" x14ac:dyDescent="0.35">
      <c r="A1284" s="5">
        <v>7632647</v>
      </c>
      <c r="B1284" s="6">
        <v>42935</v>
      </c>
      <c r="C1284" s="7">
        <v>0.54052083333333334</v>
      </c>
      <c r="D1284" s="8">
        <v>0.54195601851851849</v>
      </c>
      <c r="E1284" s="20">
        <f t="shared" si="40"/>
        <v>0</v>
      </c>
      <c r="F1284">
        <f t="shared" si="41"/>
        <v>0</v>
      </c>
    </row>
    <row r="1285" spans="1:6" x14ac:dyDescent="0.35">
      <c r="A1285" s="9">
        <v>3437033</v>
      </c>
      <c r="B1285" s="10">
        <v>42935</v>
      </c>
      <c r="C1285" s="11">
        <v>0.54439814814814813</v>
      </c>
      <c r="D1285" s="12">
        <v>0.54800925925925925</v>
      </c>
      <c r="E1285" s="20">
        <f t="shared" si="40"/>
        <v>0</v>
      </c>
      <c r="F1285">
        <f t="shared" si="41"/>
        <v>0</v>
      </c>
    </row>
    <row r="1286" spans="1:6" x14ac:dyDescent="0.35">
      <c r="A1286" s="5">
        <v>81575080</v>
      </c>
      <c r="B1286" s="6">
        <v>42935</v>
      </c>
      <c r="C1286" s="7">
        <v>0.54996527777777782</v>
      </c>
      <c r="D1286" s="8">
        <v>0.55228009259259259</v>
      </c>
      <c r="E1286" s="20">
        <f t="shared" si="40"/>
        <v>0</v>
      </c>
      <c r="F1286">
        <f t="shared" si="41"/>
        <v>0</v>
      </c>
    </row>
    <row r="1287" spans="1:6" x14ac:dyDescent="0.35">
      <c r="A1287" s="9">
        <v>7677384</v>
      </c>
      <c r="B1287" s="10">
        <v>42935</v>
      </c>
      <c r="C1287" s="11">
        <v>0.55121527777777779</v>
      </c>
      <c r="D1287" s="12">
        <v>0.55539351851851848</v>
      </c>
      <c r="E1287" s="20">
        <f t="shared" si="40"/>
        <v>0</v>
      </c>
      <c r="F1287">
        <f t="shared" si="41"/>
        <v>0</v>
      </c>
    </row>
    <row r="1288" spans="1:6" x14ac:dyDescent="0.35">
      <c r="A1288" s="5">
        <v>6194112</v>
      </c>
      <c r="B1288" s="6">
        <v>42935</v>
      </c>
      <c r="C1288" s="7">
        <v>0.55174768518518513</v>
      </c>
      <c r="D1288" s="8">
        <v>0.5575</v>
      </c>
      <c r="E1288" s="20">
        <f t="shared" si="40"/>
        <v>0</v>
      </c>
      <c r="F1288">
        <f t="shared" si="41"/>
        <v>0</v>
      </c>
    </row>
    <row r="1289" spans="1:6" x14ac:dyDescent="0.35">
      <c r="A1289" s="9">
        <v>67913744</v>
      </c>
      <c r="B1289" s="10">
        <v>42935</v>
      </c>
      <c r="C1289" s="11">
        <v>0.55387731481481484</v>
      </c>
      <c r="D1289" s="12">
        <v>0.5645486111111111</v>
      </c>
      <c r="E1289" s="20">
        <f t="shared" si="40"/>
        <v>0</v>
      </c>
      <c r="F1289">
        <f t="shared" si="41"/>
        <v>0</v>
      </c>
    </row>
    <row r="1290" spans="1:6" x14ac:dyDescent="0.35">
      <c r="A1290" s="5">
        <v>9418587</v>
      </c>
      <c r="B1290" s="6">
        <v>42935</v>
      </c>
      <c r="C1290" s="7">
        <v>0.5591666666666667</v>
      </c>
      <c r="D1290" s="8">
        <v>0.56074074074074076</v>
      </c>
      <c r="E1290" s="20">
        <f t="shared" si="40"/>
        <v>0</v>
      </c>
      <c r="F1290">
        <f t="shared" si="41"/>
        <v>0</v>
      </c>
    </row>
    <row r="1291" spans="1:6" x14ac:dyDescent="0.35">
      <c r="A1291" s="9">
        <v>3273221616</v>
      </c>
      <c r="B1291" s="10">
        <v>42935</v>
      </c>
      <c r="C1291" s="11">
        <v>0.56276620370370367</v>
      </c>
      <c r="D1291" s="12">
        <v>0.56792824074074078</v>
      </c>
      <c r="E1291" s="20">
        <f t="shared" si="40"/>
        <v>0</v>
      </c>
      <c r="F1291">
        <f t="shared" si="41"/>
        <v>0</v>
      </c>
    </row>
    <row r="1292" spans="1:6" x14ac:dyDescent="0.35">
      <c r="A1292" s="5">
        <v>7364500</v>
      </c>
      <c r="B1292" s="6">
        <v>42935</v>
      </c>
      <c r="C1292" s="7">
        <v>0.5682638888888889</v>
      </c>
      <c r="D1292" s="8">
        <v>0.57974537037037033</v>
      </c>
      <c r="E1292" s="20">
        <f t="shared" si="40"/>
        <v>0</v>
      </c>
      <c r="F1292">
        <f t="shared" si="41"/>
        <v>0</v>
      </c>
    </row>
    <row r="1293" spans="1:6" x14ac:dyDescent="0.35">
      <c r="A1293" s="9">
        <v>69273048</v>
      </c>
      <c r="B1293" s="10">
        <v>42935</v>
      </c>
      <c r="C1293" s="11">
        <v>0.56847222222222227</v>
      </c>
      <c r="D1293" s="12">
        <v>0.57787037037037037</v>
      </c>
      <c r="E1293" s="20">
        <f t="shared" si="40"/>
        <v>0</v>
      </c>
      <c r="F1293">
        <f t="shared" si="41"/>
        <v>0</v>
      </c>
    </row>
    <row r="1294" spans="1:6" x14ac:dyDescent="0.35">
      <c r="A1294" s="5">
        <v>1345591</v>
      </c>
      <c r="B1294" s="6">
        <v>42935</v>
      </c>
      <c r="C1294" s="7">
        <v>0.5703125</v>
      </c>
      <c r="D1294" s="8">
        <v>0.57703703703703701</v>
      </c>
      <c r="E1294" s="20">
        <f t="shared" si="40"/>
        <v>0</v>
      </c>
      <c r="F1294">
        <f t="shared" si="41"/>
        <v>0</v>
      </c>
    </row>
    <row r="1295" spans="1:6" x14ac:dyDescent="0.35">
      <c r="A1295" s="9">
        <v>13674393</v>
      </c>
      <c r="B1295" s="10">
        <v>42935</v>
      </c>
      <c r="C1295" s="11">
        <v>0.57313657407407403</v>
      </c>
      <c r="D1295" s="12">
        <v>0.57559027777777783</v>
      </c>
      <c r="E1295" s="20">
        <f t="shared" si="40"/>
        <v>0</v>
      </c>
      <c r="F1295">
        <f t="shared" si="41"/>
        <v>0</v>
      </c>
    </row>
    <row r="1296" spans="1:6" x14ac:dyDescent="0.35">
      <c r="A1296" s="5">
        <v>5273579381</v>
      </c>
      <c r="B1296" s="6">
        <v>42935</v>
      </c>
      <c r="C1296" s="7">
        <v>0.57525462962962959</v>
      </c>
      <c r="D1296" s="8">
        <v>0.58087962962962958</v>
      </c>
      <c r="E1296" s="20">
        <f t="shared" si="40"/>
        <v>0</v>
      </c>
      <c r="F1296">
        <f t="shared" si="41"/>
        <v>0</v>
      </c>
    </row>
    <row r="1297" spans="1:6" x14ac:dyDescent="0.35">
      <c r="A1297" s="9">
        <v>5790304</v>
      </c>
      <c r="B1297" s="10">
        <v>42935</v>
      </c>
      <c r="C1297" s="11">
        <v>0.57974537037037033</v>
      </c>
      <c r="D1297" s="12">
        <v>0.58975694444444449</v>
      </c>
      <c r="E1297" s="20">
        <f t="shared" si="40"/>
        <v>0</v>
      </c>
      <c r="F1297">
        <f t="shared" si="41"/>
        <v>0</v>
      </c>
    </row>
    <row r="1298" spans="1:6" x14ac:dyDescent="0.35">
      <c r="A1298" s="5">
        <v>6551880</v>
      </c>
      <c r="B1298" s="6">
        <v>42935</v>
      </c>
      <c r="C1298" s="7">
        <v>0.58071759259259259</v>
      </c>
      <c r="D1298" s="8">
        <v>0.59002314814814816</v>
      </c>
      <c r="E1298" s="20">
        <f t="shared" si="40"/>
        <v>0</v>
      </c>
      <c r="F1298">
        <f t="shared" si="41"/>
        <v>0</v>
      </c>
    </row>
    <row r="1299" spans="1:6" x14ac:dyDescent="0.35">
      <c r="A1299" s="9">
        <v>2873323</v>
      </c>
      <c r="B1299" s="10">
        <v>42935</v>
      </c>
      <c r="C1299" s="11">
        <v>0.58622685185185186</v>
      </c>
      <c r="D1299" s="12">
        <v>0.5921643518518519</v>
      </c>
      <c r="E1299" s="20">
        <f t="shared" si="40"/>
        <v>0</v>
      </c>
      <c r="F1299">
        <f t="shared" si="41"/>
        <v>0</v>
      </c>
    </row>
    <row r="1300" spans="1:6" x14ac:dyDescent="0.35">
      <c r="A1300" s="5">
        <v>2733008</v>
      </c>
      <c r="B1300" s="6">
        <v>42935</v>
      </c>
      <c r="C1300" s="7">
        <v>0.5879861111111111</v>
      </c>
      <c r="D1300" s="8">
        <v>0.59103009259259254</v>
      </c>
      <c r="E1300" s="20">
        <f t="shared" si="40"/>
        <v>0</v>
      </c>
      <c r="F1300">
        <f t="shared" si="41"/>
        <v>0</v>
      </c>
    </row>
    <row r="1301" spans="1:6" x14ac:dyDescent="0.35">
      <c r="A1301" s="9">
        <v>7292887</v>
      </c>
      <c r="B1301" s="10">
        <v>42935</v>
      </c>
      <c r="C1301" s="11">
        <v>0.58810185185185182</v>
      </c>
      <c r="D1301" s="12">
        <v>0.59202546296296299</v>
      </c>
      <c r="E1301" s="20">
        <f t="shared" si="40"/>
        <v>0</v>
      </c>
      <c r="F1301">
        <f t="shared" si="41"/>
        <v>0</v>
      </c>
    </row>
    <row r="1302" spans="1:6" x14ac:dyDescent="0.35">
      <c r="A1302" s="5">
        <v>6855900</v>
      </c>
      <c r="B1302" s="6">
        <v>42935</v>
      </c>
      <c r="C1302" s="7">
        <v>0.59090277777777778</v>
      </c>
      <c r="D1302" s="8">
        <v>0.5923842592592593</v>
      </c>
      <c r="E1302" s="20">
        <f t="shared" si="40"/>
        <v>0</v>
      </c>
      <c r="F1302">
        <f t="shared" si="41"/>
        <v>0</v>
      </c>
    </row>
    <row r="1303" spans="1:6" x14ac:dyDescent="0.35">
      <c r="A1303" s="9">
        <v>2402827</v>
      </c>
      <c r="B1303" s="10">
        <v>42935</v>
      </c>
      <c r="C1303" s="11">
        <v>0.59659722222222222</v>
      </c>
      <c r="D1303" s="12">
        <v>0.60329861111111116</v>
      </c>
      <c r="E1303" s="20">
        <f t="shared" si="40"/>
        <v>0</v>
      </c>
      <c r="F1303">
        <f t="shared" si="41"/>
        <v>0</v>
      </c>
    </row>
    <row r="1304" spans="1:6" x14ac:dyDescent="0.35">
      <c r="A1304" s="5">
        <v>6510330</v>
      </c>
      <c r="B1304" s="6">
        <v>42935</v>
      </c>
      <c r="C1304" s="7">
        <v>0.5971643518518519</v>
      </c>
      <c r="D1304" s="8">
        <v>0.60538194444444449</v>
      </c>
      <c r="E1304" s="20">
        <f t="shared" si="40"/>
        <v>0</v>
      </c>
      <c r="F1304">
        <f t="shared" si="41"/>
        <v>0</v>
      </c>
    </row>
    <row r="1305" spans="1:6" x14ac:dyDescent="0.35">
      <c r="A1305" s="9">
        <v>9773176</v>
      </c>
      <c r="B1305" s="10">
        <v>42935</v>
      </c>
      <c r="C1305" s="11">
        <v>0.59719907407407402</v>
      </c>
      <c r="D1305" s="12">
        <v>0.60488425925925926</v>
      </c>
      <c r="E1305" s="20">
        <f t="shared" si="40"/>
        <v>0</v>
      </c>
      <c r="F1305">
        <f t="shared" si="41"/>
        <v>0</v>
      </c>
    </row>
    <row r="1306" spans="1:6" x14ac:dyDescent="0.35">
      <c r="A1306" s="5">
        <v>4065787</v>
      </c>
      <c r="B1306" s="6">
        <v>42935</v>
      </c>
      <c r="C1306" s="7">
        <v>0.6021643518518518</v>
      </c>
      <c r="D1306" s="8">
        <v>0.61331018518518521</v>
      </c>
      <c r="E1306" s="20">
        <f t="shared" si="40"/>
        <v>0</v>
      </c>
      <c r="F1306">
        <f t="shared" si="41"/>
        <v>0</v>
      </c>
    </row>
    <row r="1307" spans="1:6" x14ac:dyDescent="0.35">
      <c r="A1307" s="9">
        <v>4303543625</v>
      </c>
      <c r="B1307" s="10">
        <v>42935</v>
      </c>
      <c r="C1307" s="11">
        <v>0.60291666666666666</v>
      </c>
      <c r="D1307" s="12">
        <v>0.61086805555555557</v>
      </c>
      <c r="E1307" s="20">
        <f t="shared" si="40"/>
        <v>0</v>
      </c>
      <c r="F1307">
        <f t="shared" si="41"/>
        <v>0</v>
      </c>
    </row>
    <row r="1308" spans="1:6" x14ac:dyDescent="0.35">
      <c r="A1308" s="5">
        <v>3858766</v>
      </c>
      <c r="B1308" s="6">
        <v>42935</v>
      </c>
      <c r="C1308" s="7">
        <v>0.60624999999999996</v>
      </c>
      <c r="D1308" s="8">
        <v>0.6083912037037037</v>
      </c>
      <c r="E1308" s="20">
        <f t="shared" si="40"/>
        <v>0</v>
      </c>
      <c r="F1308">
        <f t="shared" si="41"/>
        <v>0</v>
      </c>
    </row>
    <row r="1309" spans="1:6" x14ac:dyDescent="0.35">
      <c r="A1309" s="9">
        <v>41852472</v>
      </c>
      <c r="B1309" s="10">
        <v>42935</v>
      </c>
      <c r="C1309" s="11">
        <v>0.60868055555555556</v>
      </c>
      <c r="D1309" s="12">
        <v>0.61019675925925931</v>
      </c>
      <c r="E1309" s="20">
        <f t="shared" si="40"/>
        <v>0</v>
      </c>
      <c r="F1309">
        <f t="shared" si="41"/>
        <v>0</v>
      </c>
    </row>
    <row r="1310" spans="1:6" x14ac:dyDescent="0.35">
      <c r="A1310" s="5">
        <v>25574074</v>
      </c>
      <c r="B1310" s="6">
        <v>42935</v>
      </c>
      <c r="C1310" s="7">
        <v>0.61081018518518515</v>
      </c>
      <c r="D1310" s="8">
        <v>0.62118055555555551</v>
      </c>
      <c r="E1310" s="20">
        <f t="shared" si="40"/>
        <v>0</v>
      </c>
      <c r="F1310">
        <f t="shared" si="41"/>
        <v>0</v>
      </c>
    </row>
    <row r="1311" spans="1:6" x14ac:dyDescent="0.35">
      <c r="A1311" s="9">
        <v>8690793</v>
      </c>
      <c r="B1311" s="10">
        <v>42935</v>
      </c>
      <c r="C1311" s="11">
        <v>0.61207175925925927</v>
      </c>
      <c r="D1311" s="12">
        <v>0.61613425925925924</v>
      </c>
      <c r="E1311" s="20">
        <f t="shared" si="40"/>
        <v>0</v>
      </c>
      <c r="F1311">
        <f t="shared" si="41"/>
        <v>0</v>
      </c>
    </row>
    <row r="1312" spans="1:6" x14ac:dyDescent="0.35">
      <c r="A1312" s="5">
        <v>8487003</v>
      </c>
      <c r="B1312" s="6">
        <v>42935</v>
      </c>
      <c r="C1312" s="7">
        <v>0.61648148148148152</v>
      </c>
      <c r="D1312" s="8">
        <v>0.62589120370370366</v>
      </c>
      <c r="E1312" s="20">
        <f t="shared" si="40"/>
        <v>0</v>
      </c>
      <c r="F1312">
        <f t="shared" si="41"/>
        <v>0</v>
      </c>
    </row>
    <row r="1313" spans="1:6" x14ac:dyDescent="0.35">
      <c r="A1313" s="9">
        <v>50583407</v>
      </c>
      <c r="B1313" s="10">
        <v>42935</v>
      </c>
      <c r="C1313" s="11">
        <v>0.62137731481481484</v>
      </c>
      <c r="D1313" s="12">
        <v>0.63218750000000001</v>
      </c>
      <c r="E1313" s="20">
        <f t="shared" si="40"/>
        <v>0</v>
      </c>
      <c r="F1313">
        <f t="shared" si="41"/>
        <v>0</v>
      </c>
    </row>
    <row r="1314" spans="1:6" x14ac:dyDescent="0.35">
      <c r="A1314" s="5">
        <v>4983193</v>
      </c>
      <c r="B1314" s="6">
        <v>42935</v>
      </c>
      <c r="C1314" s="7">
        <v>0.62288194444444445</v>
      </c>
      <c r="D1314" s="8">
        <v>0.63325231481481481</v>
      </c>
      <c r="E1314" s="20">
        <f t="shared" si="40"/>
        <v>0</v>
      </c>
      <c r="F1314">
        <f t="shared" si="41"/>
        <v>0</v>
      </c>
    </row>
    <row r="1315" spans="1:6" x14ac:dyDescent="0.35">
      <c r="A1315" s="9">
        <v>1316116</v>
      </c>
      <c r="B1315" s="10">
        <v>42935</v>
      </c>
      <c r="C1315" s="11">
        <v>0.62394675925925924</v>
      </c>
      <c r="D1315" s="12">
        <v>0.62461805555555561</v>
      </c>
      <c r="E1315" s="20">
        <f t="shared" si="40"/>
        <v>0</v>
      </c>
      <c r="F1315">
        <f t="shared" si="41"/>
        <v>0</v>
      </c>
    </row>
    <row r="1316" spans="1:6" x14ac:dyDescent="0.35">
      <c r="A1316" s="5">
        <v>5696056</v>
      </c>
      <c r="B1316" s="6">
        <v>42935</v>
      </c>
      <c r="C1316" s="7">
        <v>0.62967592592592592</v>
      </c>
      <c r="D1316" s="8">
        <v>0.63277777777777777</v>
      </c>
      <c r="E1316" s="20">
        <f t="shared" si="40"/>
        <v>0</v>
      </c>
      <c r="F1316">
        <f t="shared" si="41"/>
        <v>0</v>
      </c>
    </row>
    <row r="1317" spans="1:6" x14ac:dyDescent="0.35">
      <c r="A1317" s="9">
        <v>3574623</v>
      </c>
      <c r="B1317" s="10">
        <v>42936</v>
      </c>
      <c r="C1317" s="11">
        <v>0.33447916666666666</v>
      </c>
      <c r="D1317" s="12">
        <v>0.33721064814814816</v>
      </c>
      <c r="E1317" s="20">
        <f t="shared" si="40"/>
        <v>0</v>
      </c>
      <c r="F1317">
        <f t="shared" si="41"/>
        <v>0</v>
      </c>
    </row>
    <row r="1318" spans="1:6" x14ac:dyDescent="0.35">
      <c r="A1318" s="5">
        <v>71218936</v>
      </c>
      <c r="B1318" s="6">
        <v>42936</v>
      </c>
      <c r="C1318" s="7">
        <v>0.34012731481481484</v>
      </c>
      <c r="D1318" s="8">
        <v>0.34192129629629631</v>
      </c>
      <c r="E1318" s="20">
        <f t="shared" si="40"/>
        <v>0</v>
      </c>
      <c r="F1318">
        <f t="shared" si="41"/>
        <v>0</v>
      </c>
    </row>
    <row r="1319" spans="1:6" x14ac:dyDescent="0.35">
      <c r="A1319" s="9">
        <v>55621633</v>
      </c>
      <c r="B1319" s="10">
        <v>42936</v>
      </c>
      <c r="C1319" s="11">
        <v>0.34114583333333331</v>
      </c>
      <c r="D1319" s="12">
        <v>0.3525578703703704</v>
      </c>
      <c r="E1319" s="20">
        <f t="shared" si="40"/>
        <v>0</v>
      </c>
      <c r="F1319">
        <f t="shared" si="41"/>
        <v>0</v>
      </c>
    </row>
    <row r="1320" spans="1:6" x14ac:dyDescent="0.35">
      <c r="A1320" s="5">
        <v>1898174</v>
      </c>
      <c r="B1320" s="6">
        <v>42936</v>
      </c>
      <c r="C1320" s="7">
        <v>0.34371527777777777</v>
      </c>
      <c r="D1320" s="8">
        <v>0.34609953703703705</v>
      </c>
      <c r="E1320" s="20">
        <f t="shared" si="40"/>
        <v>0</v>
      </c>
      <c r="F1320">
        <f t="shared" si="41"/>
        <v>0</v>
      </c>
    </row>
    <row r="1321" spans="1:6" x14ac:dyDescent="0.35">
      <c r="A1321" s="9">
        <v>4844054</v>
      </c>
      <c r="B1321" s="10">
        <v>42936</v>
      </c>
      <c r="C1321" s="11">
        <v>0.34857638888888887</v>
      </c>
      <c r="D1321" s="12">
        <v>0.34998842592592594</v>
      </c>
      <c r="E1321" s="20">
        <f t="shared" si="40"/>
        <v>0</v>
      </c>
      <c r="F1321">
        <f t="shared" si="41"/>
        <v>0</v>
      </c>
    </row>
    <row r="1322" spans="1:6" x14ac:dyDescent="0.35">
      <c r="A1322" s="5">
        <v>7701901</v>
      </c>
      <c r="B1322" s="6">
        <v>42936</v>
      </c>
      <c r="C1322" s="7">
        <v>0.3533101851851852</v>
      </c>
      <c r="D1322" s="8">
        <v>0.3555787037037037</v>
      </c>
      <c r="E1322" s="20">
        <f t="shared" si="40"/>
        <v>0</v>
      </c>
      <c r="F1322">
        <f t="shared" si="41"/>
        <v>0</v>
      </c>
    </row>
    <row r="1323" spans="1:6" x14ac:dyDescent="0.35">
      <c r="A1323" s="9">
        <v>5900664</v>
      </c>
      <c r="B1323" s="10">
        <v>42936</v>
      </c>
      <c r="C1323" s="11">
        <v>0.3558912037037037</v>
      </c>
      <c r="D1323" s="12">
        <v>0.36550925925925926</v>
      </c>
      <c r="E1323" s="20">
        <f t="shared" si="40"/>
        <v>0</v>
      </c>
      <c r="F1323">
        <f t="shared" si="41"/>
        <v>0</v>
      </c>
    </row>
    <row r="1324" spans="1:6" x14ac:dyDescent="0.35">
      <c r="A1324" s="5">
        <v>4698731</v>
      </c>
      <c r="B1324" s="6">
        <v>42936</v>
      </c>
      <c r="C1324" s="7">
        <v>0.35894675925925928</v>
      </c>
      <c r="D1324" s="8">
        <v>0.3689351851851852</v>
      </c>
      <c r="E1324" s="20">
        <f t="shared" si="40"/>
        <v>0</v>
      </c>
      <c r="F1324">
        <f t="shared" si="41"/>
        <v>0</v>
      </c>
    </row>
    <row r="1325" spans="1:6" x14ac:dyDescent="0.35">
      <c r="A1325" s="9">
        <v>4606501</v>
      </c>
      <c r="B1325" s="10">
        <v>42936</v>
      </c>
      <c r="C1325" s="11">
        <v>0.36222222222222222</v>
      </c>
      <c r="D1325" s="12">
        <v>0.36548611111111112</v>
      </c>
      <c r="E1325" s="20">
        <f t="shared" si="40"/>
        <v>0</v>
      </c>
      <c r="F1325">
        <f t="shared" si="41"/>
        <v>0</v>
      </c>
    </row>
    <row r="1326" spans="1:6" x14ac:dyDescent="0.35">
      <c r="A1326" s="5">
        <v>3851940</v>
      </c>
      <c r="B1326" s="6">
        <v>42936</v>
      </c>
      <c r="C1326" s="7">
        <v>0.36473379629629632</v>
      </c>
      <c r="D1326" s="8">
        <v>0.36630787037037038</v>
      </c>
      <c r="E1326" s="20">
        <f t="shared" si="40"/>
        <v>0</v>
      </c>
      <c r="F1326">
        <f t="shared" si="41"/>
        <v>0</v>
      </c>
    </row>
    <row r="1327" spans="1:6" x14ac:dyDescent="0.35">
      <c r="A1327" s="9">
        <v>7972076</v>
      </c>
      <c r="B1327" s="10">
        <v>42936</v>
      </c>
      <c r="C1327" s="11">
        <v>0.37011574074074072</v>
      </c>
      <c r="D1327" s="12">
        <v>0.37928240740740743</v>
      </c>
      <c r="E1327" s="20">
        <f t="shared" si="40"/>
        <v>0</v>
      </c>
      <c r="F1327">
        <f t="shared" si="41"/>
        <v>0</v>
      </c>
    </row>
    <row r="1328" spans="1:6" x14ac:dyDescent="0.35">
      <c r="A1328" s="5">
        <v>1911796</v>
      </c>
      <c r="B1328" s="6">
        <v>42936</v>
      </c>
      <c r="C1328" s="7">
        <v>0.37506944444444446</v>
      </c>
      <c r="D1328" s="8">
        <v>0.38142361111111112</v>
      </c>
      <c r="E1328" s="20">
        <f t="shared" si="40"/>
        <v>0</v>
      </c>
      <c r="F1328">
        <f t="shared" si="41"/>
        <v>0</v>
      </c>
    </row>
    <row r="1329" spans="1:6" x14ac:dyDescent="0.35">
      <c r="A1329" s="9">
        <v>7362963</v>
      </c>
      <c r="B1329" s="10">
        <v>42936</v>
      </c>
      <c r="C1329" s="11">
        <v>0.37658564814814816</v>
      </c>
      <c r="D1329" s="12">
        <v>0.37936342592592592</v>
      </c>
      <c r="E1329" s="20">
        <f t="shared" si="40"/>
        <v>0</v>
      </c>
      <c r="F1329">
        <f t="shared" si="41"/>
        <v>0</v>
      </c>
    </row>
    <row r="1330" spans="1:6" x14ac:dyDescent="0.35">
      <c r="A1330" s="5">
        <v>24290062</v>
      </c>
      <c r="B1330" s="6">
        <v>42936</v>
      </c>
      <c r="C1330" s="7">
        <v>0.38047453703703704</v>
      </c>
      <c r="D1330" s="8">
        <v>0.39142361111111112</v>
      </c>
      <c r="E1330" s="20">
        <f t="shared" si="40"/>
        <v>0</v>
      </c>
      <c r="F1330">
        <f t="shared" si="41"/>
        <v>0</v>
      </c>
    </row>
    <row r="1331" spans="1:6" x14ac:dyDescent="0.35">
      <c r="A1331" s="9">
        <v>3086185</v>
      </c>
      <c r="B1331" s="10">
        <v>42936</v>
      </c>
      <c r="C1331" s="11">
        <v>0.38394675925925925</v>
      </c>
      <c r="D1331" s="12">
        <v>0.39547453703703705</v>
      </c>
      <c r="E1331" s="20">
        <f t="shared" si="40"/>
        <v>0</v>
      </c>
      <c r="F1331">
        <f t="shared" si="41"/>
        <v>0</v>
      </c>
    </row>
    <row r="1332" spans="1:6" x14ac:dyDescent="0.35">
      <c r="A1332" s="5">
        <v>7622819</v>
      </c>
      <c r="B1332" s="6">
        <v>42936</v>
      </c>
      <c r="C1332" s="7">
        <v>0.38599537037037035</v>
      </c>
      <c r="D1332" s="8">
        <v>0.39438657407407407</v>
      </c>
      <c r="E1332" s="20">
        <f t="shared" si="40"/>
        <v>0</v>
      </c>
      <c r="F1332">
        <f t="shared" si="41"/>
        <v>0</v>
      </c>
    </row>
    <row r="1333" spans="1:6" x14ac:dyDescent="0.35">
      <c r="A1333" s="9">
        <v>5610335</v>
      </c>
      <c r="B1333" s="10">
        <v>42936</v>
      </c>
      <c r="C1333" s="11">
        <v>0.39055555555555554</v>
      </c>
      <c r="D1333" s="12">
        <v>0.39101851851851854</v>
      </c>
      <c r="E1333" s="20">
        <f t="shared" si="40"/>
        <v>0</v>
      </c>
      <c r="F1333">
        <f t="shared" si="41"/>
        <v>0</v>
      </c>
    </row>
    <row r="1334" spans="1:6" x14ac:dyDescent="0.35">
      <c r="A1334" s="5">
        <v>97953696</v>
      </c>
      <c r="B1334" s="6">
        <v>42936</v>
      </c>
      <c r="C1334" s="7">
        <v>0.39373842592592595</v>
      </c>
      <c r="D1334" s="8">
        <v>0.40292824074074074</v>
      </c>
      <c r="E1334" s="20">
        <f t="shared" si="40"/>
        <v>0</v>
      </c>
      <c r="F1334">
        <f t="shared" si="41"/>
        <v>0</v>
      </c>
    </row>
    <row r="1335" spans="1:6" x14ac:dyDescent="0.35">
      <c r="A1335" s="9">
        <v>7432767</v>
      </c>
      <c r="B1335" s="10">
        <v>42936</v>
      </c>
      <c r="C1335" s="11">
        <v>0.39446759259259262</v>
      </c>
      <c r="D1335" s="12">
        <v>0.39841435185185187</v>
      </c>
      <c r="E1335" s="20">
        <f t="shared" si="40"/>
        <v>0</v>
      </c>
      <c r="F1335">
        <f t="shared" si="41"/>
        <v>0</v>
      </c>
    </row>
    <row r="1336" spans="1:6" x14ac:dyDescent="0.35">
      <c r="A1336" s="5">
        <v>2089993</v>
      </c>
      <c r="B1336" s="6">
        <v>42936</v>
      </c>
      <c r="C1336" s="7">
        <v>0.39810185185185187</v>
      </c>
      <c r="D1336" s="8">
        <v>0.39876157407407409</v>
      </c>
      <c r="E1336" s="20">
        <f t="shared" si="40"/>
        <v>0</v>
      </c>
      <c r="F1336">
        <f t="shared" si="41"/>
        <v>0</v>
      </c>
    </row>
    <row r="1337" spans="1:6" x14ac:dyDescent="0.35">
      <c r="A1337" s="9">
        <v>2635121</v>
      </c>
      <c r="B1337" s="10">
        <v>42936</v>
      </c>
      <c r="C1337" s="11">
        <v>0.39906249999999999</v>
      </c>
      <c r="D1337" s="12">
        <v>0.40487268518518521</v>
      </c>
      <c r="E1337" s="20">
        <f t="shared" si="40"/>
        <v>0</v>
      </c>
      <c r="F1337">
        <f t="shared" si="41"/>
        <v>0</v>
      </c>
    </row>
    <row r="1338" spans="1:6" x14ac:dyDescent="0.35">
      <c r="A1338" s="5">
        <v>6725216</v>
      </c>
      <c r="B1338" s="6">
        <v>42936</v>
      </c>
      <c r="C1338" s="7">
        <v>0.40190972222222221</v>
      </c>
      <c r="D1338" s="8">
        <v>0.40715277777777775</v>
      </c>
      <c r="E1338" s="20">
        <f t="shared" si="40"/>
        <v>0</v>
      </c>
      <c r="F1338">
        <f t="shared" si="41"/>
        <v>0</v>
      </c>
    </row>
    <row r="1339" spans="1:6" x14ac:dyDescent="0.35">
      <c r="A1339" s="9">
        <v>6530661</v>
      </c>
      <c r="B1339" s="10">
        <v>42936</v>
      </c>
      <c r="C1339" s="11">
        <v>0.40709490740740739</v>
      </c>
      <c r="D1339" s="12">
        <v>0.40795138888888888</v>
      </c>
      <c r="E1339" s="20">
        <f t="shared" si="40"/>
        <v>0</v>
      </c>
      <c r="F1339">
        <f t="shared" si="41"/>
        <v>0</v>
      </c>
    </row>
    <row r="1340" spans="1:6" x14ac:dyDescent="0.35">
      <c r="A1340" s="5">
        <v>8691743</v>
      </c>
      <c r="B1340" s="6">
        <v>42936</v>
      </c>
      <c r="C1340" s="7">
        <v>0.41228009259259257</v>
      </c>
      <c r="D1340" s="8">
        <v>0.42214120370370373</v>
      </c>
      <c r="E1340" s="20">
        <f t="shared" si="40"/>
        <v>0</v>
      </c>
      <c r="F1340">
        <f t="shared" si="41"/>
        <v>0</v>
      </c>
    </row>
    <row r="1341" spans="1:6" x14ac:dyDescent="0.35">
      <c r="A1341" s="9">
        <v>2771511</v>
      </c>
      <c r="B1341" s="10">
        <v>42936</v>
      </c>
      <c r="C1341" s="11">
        <v>0.41271990740740738</v>
      </c>
      <c r="D1341" s="12">
        <v>0.41487268518518516</v>
      </c>
      <c r="E1341" s="20">
        <f t="shared" si="40"/>
        <v>0</v>
      </c>
      <c r="F1341">
        <f t="shared" si="41"/>
        <v>0</v>
      </c>
    </row>
    <row r="1342" spans="1:6" x14ac:dyDescent="0.35">
      <c r="A1342" s="5">
        <v>7471152</v>
      </c>
      <c r="B1342" s="6">
        <v>42936</v>
      </c>
      <c r="C1342" s="7">
        <v>0.41456018518518517</v>
      </c>
      <c r="D1342" s="8">
        <v>0.41495370370370371</v>
      </c>
      <c r="E1342" s="20">
        <f t="shared" si="40"/>
        <v>0</v>
      </c>
      <c r="F1342">
        <f t="shared" si="41"/>
        <v>0</v>
      </c>
    </row>
    <row r="1343" spans="1:6" x14ac:dyDescent="0.35">
      <c r="A1343" s="9">
        <v>89691426</v>
      </c>
      <c r="B1343" s="10">
        <v>42936</v>
      </c>
      <c r="C1343" s="11">
        <v>0.41677083333333331</v>
      </c>
      <c r="D1343" s="12">
        <v>0.42192129629629632</v>
      </c>
      <c r="E1343" s="20">
        <f t="shared" si="40"/>
        <v>0</v>
      </c>
      <c r="F1343">
        <f t="shared" si="41"/>
        <v>0</v>
      </c>
    </row>
    <row r="1344" spans="1:6" x14ac:dyDescent="0.35">
      <c r="A1344" s="5">
        <v>5305478</v>
      </c>
      <c r="B1344" s="6">
        <v>42936</v>
      </c>
      <c r="C1344" s="7">
        <v>0.41980324074074077</v>
      </c>
      <c r="D1344" s="8">
        <v>0.42957175925925928</v>
      </c>
      <c r="E1344" s="20">
        <f t="shared" si="40"/>
        <v>0</v>
      </c>
      <c r="F1344">
        <f t="shared" si="41"/>
        <v>0</v>
      </c>
    </row>
    <row r="1345" spans="1:6" x14ac:dyDescent="0.35">
      <c r="A1345" s="9">
        <v>4305632</v>
      </c>
      <c r="B1345" s="10">
        <v>42936</v>
      </c>
      <c r="C1345" s="11">
        <v>0.42534722222222221</v>
      </c>
      <c r="D1345" s="12">
        <v>0.43634259259259262</v>
      </c>
      <c r="E1345" s="20">
        <f t="shared" si="40"/>
        <v>0</v>
      </c>
      <c r="F1345">
        <f t="shared" si="41"/>
        <v>0</v>
      </c>
    </row>
    <row r="1346" spans="1:6" x14ac:dyDescent="0.35">
      <c r="A1346" s="5">
        <v>9526179</v>
      </c>
      <c r="B1346" s="6">
        <v>42936</v>
      </c>
      <c r="C1346" s="7">
        <v>0.42761574074074077</v>
      </c>
      <c r="D1346" s="8">
        <v>0.4314236111111111</v>
      </c>
      <c r="E1346" s="20">
        <f t="shared" si="40"/>
        <v>0</v>
      </c>
      <c r="F1346">
        <f t="shared" si="41"/>
        <v>0</v>
      </c>
    </row>
    <row r="1347" spans="1:6" x14ac:dyDescent="0.35">
      <c r="A1347" s="9">
        <v>1268336</v>
      </c>
      <c r="B1347" s="10">
        <v>42936</v>
      </c>
      <c r="C1347" s="11">
        <v>0.43172453703703706</v>
      </c>
      <c r="D1347" s="12">
        <v>0.44153935185185184</v>
      </c>
      <c r="E1347" s="20">
        <f t="shared" ref="E1347:E1410" si="42">IF(F1347=1,D1347-C1347,0)</f>
        <v>9.8148148148147762E-3</v>
      </c>
      <c r="F1347">
        <f t="shared" ref="F1347:F1410" si="43">IF(AND(LEN(A1347)=7,LEFT(A1347,2) = "12"),1,0)</f>
        <v>1</v>
      </c>
    </row>
    <row r="1348" spans="1:6" x14ac:dyDescent="0.35">
      <c r="A1348" s="5">
        <v>7288626</v>
      </c>
      <c r="B1348" s="6">
        <v>42936</v>
      </c>
      <c r="C1348" s="7">
        <v>0.43606481481481479</v>
      </c>
      <c r="D1348" s="8">
        <v>0.44609953703703703</v>
      </c>
      <c r="E1348" s="20">
        <f t="shared" si="42"/>
        <v>0</v>
      </c>
      <c r="F1348">
        <f t="shared" si="43"/>
        <v>0</v>
      </c>
    </row>
    <row r="1349" spans="1:6" x14ac:dyDescent="0.35">
      <c r="A1349" s="9">
        <v>53117702</v>
      </c>
      <c r="B1349" s="10">
        <v>42936</v>
      </c>
      <c r="C1349" s="11">
        <v>0.44170138888888888</v>
      </c>
      <c r="D1349" s="12">
        <v>0.44903935185185184</v>
      </c>
      <c r="E1349" s="20">
        <f t="shared" si="42"/>
        <v>0</v>
      </c>
      <c r="F1349">
        <f t="shared" si="43"/>
        <v>0</v>
      </c>
    </row>
    <row r="1350" spans="1:6" x14ac:dyDescent="0.35">
      <c r="A1350" s="5">
        <v>10201038</v>
      </c>
      <c r="B1350" s="6">
        <v>42936</v>
      </c>
      <c r="C1350" s="7">
        <v>0.44615740740740739</v>
      </c>
      <c r="D1350" s="8">
        <v>0.45019675925925928</v>
      </c>
      <c r="E1350" s="20">
        <f t="shared" si="42"/>
        <v>0</v>
      </c>
      <c r="F1350">
        <f t="shared" si="43"/>
        <v>0</v>
      </c>
    </row>
    <row r="1351" spans="1:6" x14ac:dyDescent="0.35">
      <c r="A1351" s="9">
        <v>4738129</v>
      </c>
      <c r="B1351" s="10">
        <v>42936</v>
      </c>
      <c r="C1351" s="11">
        <v>0.4503935185185185</v>
      </c>
      <c r="D1351" s="12">
        <v>0.46037037037037037</v>
      </c>
      <c r="E1351" s="20">
        <f t="shared" si="42"/>
        <v>0</v>
      </c>
      <c r="F1351">
        <f t="shared" si="43"/>
        <v>0</v>
      </c>
    </row>
    <row r="1352" spans="1:6" x14ac:dyDescent="0.35">
      <c r="A1352" s="5">
        <v>3153023</v>
      </c>
      <c r="B1352" s="6">
        <v>42936</v>
      </c>
      <c r="C1352" s="7">
        <v>0.45503472222222224</v>
      </c>
      <c r="D1352" s="8">
        <v>0.45876157407407409</v>
      </c>
      <c r="E1352" s="20">
        <f t="shared" si="42"/>
        <v>0</v>
      </c>
      <c r="F1352">
        <f t="shared" si="43"/>
        <v>0</v>
      </c>
    </row>
    <row r="1353" spans="1:6" x14ac:dyDescent="0.35">
      <c r="A1353" s="9">
        <v>1747389</v>
      </c>
      <c r="B1353" s="10">
        <v>42936</v>
      </c>
      <c r="C1353" s="11">
        <v>0.45795138888888887</v>
      </c>
      <c r="D1353" s="12">
        <v>0.46004629629629629</v>
      </c>
      <c r="E1353" s="20">
        <f t="shared" si="42"/>
        <v>0</v>
      </c>
      <c r="F1353">
        <f t="shared" si="43"/>
        <v>0</v>
      </c>
    </row>
    <row r="1354" spans="1:6" x14ac:dyDescent="0.35">
      <c r="A1354" s="5">
        <v>5526425146</v>
      </c>
      <c r="B1354" s="6">
        <v>42936</v>
      </c>
      <c r="C1354" s="7">
        <v>0.46164351851851854</v>
      </c>
      <c r="D1354" s="8">
        <v>0.46197916666666666</v>
      </c>
      <c r="E1354" s="20">
        <f t="shared" si="42"/>
        <v>0</v>
      </c>
      <c r="F1354">
        <f t="shared" si="43"/>
        <v>0</v>
      </c>
    </row>
    <row r="1355" spans="1:6" x14ac:dyDescent="0.35">
      <c r="A1355" s="9">
        <v>93050839</v>
      </c>
      <c r="B1355" s="10">
        <v>42936</v>
      </c>
      <c r="C1355" s="11">
        <v>0.46225694444444443</v>
      </c>
      <c r="D1355" s="12">
        <v>0.46591435185185187</v>
      </c>
      <c r="E1355" s="20">
        <f t="shared" si="42"/>
        <v>0</v>
      </c>
      <c r="F1355">
        <f t="shared" si="43"/>
        <v>0</v>
      </c>
    </row>
    <row r="1356" spans="1:6" x14ac:dyDescent="0.35">
      <c r="A1356" s="5">
        <v>1288318920</v>
      </c>
      <c r="B1356" s="6">
        <v>42936</v>
      </c>
      <c r="C1356" s="7">
        <v>0.46606481481481482</v>
      </c>
      <c r="D1356" s="8">
        <v>0.47375</v>
      </c>
      <c r="E1356" s="20">
        <f t="shared" si="42"/>
        <v>0</v>
      </c>
      <c r="F1356">
        <f t="shared" si="43"/>
        <v>0</v>
      </c>
    </row>
    <row r="1357" spans="1:6" x14ac:dyDescent="0.35">
      <c r="A1357" s="9">
        <v>5613566</v>
      </c>
      <c r="B1357" s="10">
        <v>42936</v>
      </c>
      <c r="C1357" s="11">
        <v>0.47105324074074073</v>
      </c>
      <c r="D1357" s="12">
        <v>0.47146990740740741</v>
      </c>
      <c r="E1357" s="20">
        <f t="shared" si="42"/>
        <v>0</v>
      </c>
      <c r="F1357">
        <f t="shared" si="43"/>
        <v>0</v>
      </c>
    </row>
    <row r="1358" spans="1:6" x14ac:dyDescent="0.35">
      <c r="A1358" s="5">
        <v>2406196</v>
      </c>
      <c r="B1358" s="6">
        <v>42936</v>
      </c>
      <c r="C1358" s="7">
        <v>0.47244212962962961</v>
      </c>
      <c r="D1358" s="8">
        <v>0.48127314814814814</v>
      </c>
      <c r="E1358" s="20">
        <f t="shared" si="42"/>
        <v>0</v>
      </c>
      <c r="F1358">
        <f t="shared" si="43"/>
        <v>0</v>
      </c>
    </row>
    <row r="1359" spans="1:6" x14ac:dyDescent="0.35">
      <c r="A1359" s="9">
        <v>9046365</v>
      </c>
      <c r="B1359" s="10">
        <v>42936</v>
      </c>
      <c r="C1359" s="11">
        <v>0.47531250000000003</v>
      </c>
      <c r="D1359" s="12">
        <v>0.47684027777777777</v>
      </c>
      <c r="E1359" s="20">
        <f t="shared" si="42"/>
        <v>0</v>
      </c>
      <c r="F1359">
        <f t="shared" si="43"/>
        <v>0</v>
      </c>
    </row>
    <row r="1360" spans="1:6" x14ac:dyDescent="0.35">
      <c r="A1360" s="5">
        <v>5019634</v>
      </c>
      <c r="B1360" s="6">
        <v>42936</v>
      </c>
      <c r="C1360" s="7">
        <v>0.48032407407407407</v>
      </c>
      <c r="D1360" s="8">
        <v>0.4916550925925926</v>
      </c>
      <c r="E1360" s="20">
        <f t="shared" si="42"/>
        <v>0</v>
      </c>
      <c r="F1360">
        <f t="shared" si="43"/>
        <v>0</v>
      </c>
    </row>
    <row r="1361" spans="1:6" x14ac:dyDescent="0.35">
      <c r="A1361" s="9">
        <v>90993861</v>
      </c>
      <c r="B1361" s="10">
        <v>42936</v>
      </c>
      <c r="C1361" s="11">
        <v>0.48280092592592594</v>
      </c>
      <c r="D1361" s="12">
        <v>0.48798611111111112</v>
      </c>
      <c r="E1361" s="20">
        <f t="shared" si="42"/>
        <v>0</v>
      </c>
      <c r="F1361">
        <f t="shared" si="43"/>
        <v>0</v>
      </c>
    </row>
    <row r="1362" spans="1:6" x14ac:dyDescent="0.35">
      <c r="A1362" s="5">
        <v>4034491</v>
      </c>
      <c r="B1362" s="6">
        <v>42936</v>
      </c>
      <c r="C1362" s="7">
        <v>0.48813657407407407</v>
      </c>
      <c r="D1362" s="8">
        <v>0.49116898148148147</v>
      </c>
      <c r="E1362" s="20">
        <f t="shared" si="42"/>
        <v>0</v>
      </c>
      <c r="F1362">
        <f t="shared" si="43"/>
        <v>0</v>
      </c>
    </row>
    <row r="1363" spans="1:6" x14ac:dyDescent="0.35">
      <c r="A1363" s="9">
        <v>57395204</v>
      </c>
      <c r="B1363" s="10">
        <v>42936</v>
      </c>
      <c r="C1363" s="11">
        <v>0.49015046296296294</v>
      </c>
      <c r="D1363" s="12">
        <v>0.49456018518518519</v>
      </c>
      <c r="E1363" s="20">
        <f t="shared" si="42"/>
        <v>0</v>
      </c>
      <c r="F1363">
        <f t="shared" si="43"/>
        <v>0</v>
      </c>
    </row>
    <row r="1364" spans="1:6" x14ac:dyDescent="0.35">
      <c r="A1364" s="5">
        <v>9156106</v>
      </c>
      <c r="B1364" s="6">
        <v>42936</v>
      </c>
      <c r="C1364" s="7">
        <v>0.49103009259259262</v>
      </c>
      <c r="D1364" s="8">
        <v>0.4937037037037037</v>
      </c>
      <c r="E1364" s="20">
        <f t="shared" si="42"/>
        <v>0</v>
      </c>
      <c r="F1364">
        <f t="shared" si="43"/>
        <v>0</v>
      </c>
    </row>
    <row r="1365" spans="1:6" x14ac:dyDescent="0.35">
      <c r="A1365" s="9">
        <v>7076463</v>
      </c>
      <c r="B1365" s="10">
        <v>42936</v>
      </c>
      <c r="C1365" s="11">
        <v>0.49519675925925927</v>
      </c>
      <c r="D1365" s="12">
        <v>0.49532407407407408</v>
      </c>
      <c r="E1365" s="20">
        <f t="shared" si="42"/>
        <v>0</v>
      </c>
      <c r="F1365">
        <f t="shared" si="43"/>
        <v>0</v>
      </c>
    </row>
    <row r="1366" spans="1:6" x14ac:dyDescent="0.35">
      <c r="A1366" s="5">
        <v>3136675</v>
      </c>
      <c r="B1366" s="6">
        <v>42936</v>
      </c>
      <c r="C1366" s="7">
        <v>0.49833333333333335</v>
      </c>
      <c r="D1366" s="8">
        <v>0.50942129629629629</v>
      </c>
      <c r="E1366" s="20">
        <f t="shared" si="42"/>
        <v>0</v>
      </c>
      <c r="F1366">
        <f t="shared" si="43"/>
        <v>0</v>
      </c>
    </row>
    <row r="1367" spans="1:6" x14ac:dyDescent="0.35">
      <c r="A1367" s="9">
        <v>7826456</v>
      </c>
      <c r="B1367" s="10">
        <v>42936</v>
      </c>
      <c r="C1367" s="11">
        <v>0.50298611111111113</v>
      </c>
      <c r="D1367" s="12">
        <v>0.50312500000000004</v>
      </c>
      <c r="E1367" s="20">
        <f t="shared" si="42"/>
        <v>0</v>
      </c>
      <c r="F1367">
        <f t="shared" si="43"/>
        <v>0</v>
      </c>
    </row>
    <row r="1368" spans="1:6" x14ac:dyDescent="0.35">
      <c r="A1368" s="5">
        <v>4094662</v>
      </c>
      <c r="B1368" s="6">
        <v>42936</v>
      </c>
      <c r="C1368" s="7">
        <v>0.50581018518518517</v>
      </c>
      <c r="D1368" s="8">
        <v>0.51442129629629629</v>
      </c>
      <c r="E1368" s="20">
        <f t="shared" si="42"/>
        <v>0</v>
      </c>
      <c r="F1368">
        <f t="shared" si="43"/>
        <v>0</v>
      </c>
    </row>
    <row r="1369" spans="1:6" x14ac:dyDescent="0.35">
      <c r="A1369" s="9">
        <v>3134379</v>
      </c>
      <c r="B1369" s="10">
        <v>42936</v>
      </c>
      <c r="C1369" s="11">
        <v>0.508275462962963</v>
      </c>
      <c r="D1369" s="12">
        <v>0.51652777777777781</v>
      </c>
      <c r="E1369" s="20">
        <f t="shared" si="42"/>
        <v>0</v>
      </c>
      <c r="F1369">
        <f t="shared" si="43"/>
        <v>0</v>
      </c>
    </row>
    <row r="1370" spans="1:6" x14ac:dyDescent="0.35">
      <c r="A1370" s="5">
        <v>1119016</v>
      </c>
      <c r="B1370" s="6">
        <v>42936</v>
      </c>
      <c r="C1370" s="7">
        <v>0.50880787037037034</v>
      </c>
      <c r="D1370" s="8">
        <v>0.51409722222222221</v>
      </c>
      <c r="E1370" s="20">
        <f t="shared" si="42"/>
        <v>0</v>
      </c>
      <c r="F1370">
        <f t="shared" si="43"/>
        <v>0</v>
      </c>
    </row>
    <row r="1371" spans="1:6" x14ac:dyDescent="0.35">
      <c r="A1371" s="9">
        <v>3539762</v>
      </c>
      <c r="B1371" s="10">
        <v>42936</v>
      </c>
      <c r="C1371" s="11">
        <v>0.51028935185185187</v>
      </c>
      <c r="D1371" s="12">
        <v>0.52089120370370368</v>
      </c>
      <c r="E1371" s="20">
        <f t="shared" si="42"/>
        <v>0</v>
      </c>
      <c r="F1371">
        <f t="shared" si="43"/>
        <v>0</v>
      </c>
    </row>
    <row r="1372" spans="1:6" x14ac:dyDescent="0.35">
      <c r="A1372" s="5">
        <v>28601187</v>
      </c>
      <c r="B1372" s="6">
        <v>42936</v>
      </c>
      <c r="C1372" s="7">
        <v>0.51511574074074074</v>
      </c>
      <c r="D1372" s="8">
        <v>0.51787037037037043</v>
      </c>
      <c r="E1372" s="20">
        <f t="shared" si="42"/>
        <v>0</v>
      </c>
      <c r="F1372">
        <f t="shared" si="43"/>
        <v>0</v>
      </c>
    </row>
    <row r="1373" spans="1:6" x14ac:dyDescent="0.35">
      <c r="A1373" s="9">
        <v>2841969</v>
      </c>
      <c r="B1373" s="10">
        <v>42936</v>
      </c>
      <c r="C1373" s="11">
        <v>0.51512731481481477</v>
      </c>
      <c r="D1373" s="12">
        <v>0.51556712962962958</v>
      </c>
      <c r="E1373" s="20">
        <f t="shared" si="42"/>
        <v>0</v>
      </c>
      <c r="F1373">
        <f t="shared" si="43"/>
        <v>0</v>
      </c>
    </row>
    <row r="1374" spans="1:6" x14ac:dyDescent="0.35">
      <c r="A1374" s="5">
        <v>57957786</v>
      </c>
      <c r="B1374" s="6">
        <v>42936</v>
      </c>
      <c r="C1374" s="7">
        <v>0.51928240740740739</v>
      </c>
      <c r="D1374" s="8">
        <v>0.53030092592592593</v>
      </c>
      <c r="E1374" s="20">
        <f t="shared" si="42"/>
        <v>0</v>
      </c>
      <c r="F1374">
        <f t="shared" si="43"/>
        <v>0</v>
      </c>
    </row>
    <row r="1375" spans="1:6" x14ac:dyDescent="0.35">
      <c r="A1375" s="9">
        <v>6068132</v>
      </c>
      <c r="B1375" s="10">
        <v>42936</v>
      </c>
      <c r="C1375" s="11">
        <v>0.52225694444444448</v>
      </c>
      <c r="D1375" s="12">
        <v>0.5236574074074074</v>
      </c>
      <c r="E1375" s="20">
        <f t="shared" si="42"/>
        <v>0</v>
      </c>
      <c r="F1375">
        <f t="shared" si="43"/>
        <v>0</v>
      </c>
    </row>
    <row r="1376" spans="1:6" x14ac:dyDescent="0.35">
      <c r="A1376" s="5">
        <v>8195842</v>
      </c>
      <c r="B1376" s="6">
        <v>42936</v>
      </c>
      <c r="C1376" s="7">
        <v>0.52240740740740743</v>
      </c>
      <c r="D1376" s="8">
        <v>0.53074074074074074</v>
      </c>
      <c r="E1376" s="20">
        <f t="shared" si="42"/>
        <v>0</v>
      </c>
      <c r="F1376">
        <f t="shared" si="43"/>
        <v>0</v>
      </c>
    </row>
    <row r="1377" spans="1:6" x14ac:dyDescent="0.35">
      <c r="A1377" s="9">
        <v>98737794</v>
      </c>
      <c r="B1377" s="10">
        <v>42936</v>
      </c>
      <c r="C1377" s="11">
        <v>0.52379629629629632</v>
      </c>
      <c r="D1377" s="12">
        <v>0.52883101851851855</v>
      </c>
      <c r="E1377" s="20">
        <f t="shared" si="42"/>
        <v>0</v>
      </c>
      <c r="F1377">
        <f t="shared" si="43"/>
        <v>0</v>
      </c>
    </row>
    <row r="1378" spans="1:6" x14ac:dyDescent="0.35">
      <c r="A1378" s="5">
        <v>6523054</v>
      </c>
      <c r="B1378" s="6">
        <v>42936</v>
      </c>
      <c r="C1378" s="7">
        <v>0.52813657407407411</v>
      </c>
      <c r="D1378" s="8">
        <v>0.53877314814814814</v>
      </c>
      <c r="E1378" s="20">
        <f t="shared" si="42"/>
        <v>0</v>
      </c>
      <c r="F1378">
        <f t="shared" si="43"/>
        <v>0</v>
      </c>
    </row>
    <row r="1379" spans="1:6" x14ac:dyDescent="0.35">
      <c r="A1379" s="9">
        <v>26895957</v>
      </c>
      <c r="B1379" s="10">
        <v>42936</v>
      </c>
      <c r="C1379" s="11">
        <v>0.53083333333333338</v>
      </c>
      <c r="D1379" s="12">
        <v>0.53511574074074075</v>
      </c>
      <c r="E1379" s="20">
        <f t="shared" si="42"/>
        <v>0</v>
      </c>
      <c r="F1379">
        <f t="shared" si="43"/>
        <v>0</v>
      </c>
    </row>
    <row r="1380" spans="1:6" x14ac:dyDescent="0.35">
      <c r="A1380" s="5">
        <v>5254694</v>
      </c>
      <c r="B1380" s="6">
        <v>42936</v>
      </c>
      <c r="C1380" s="7">
        <v>0.5330555555555555</v>
      </c>
      <c r="D1380" s="8">
        <v>0.54049768518518515</v>
      </c>
      <c r="E1380" s="20">
        <f t="shared" si="42"/>
        <v>0</v>
      </c>
      <c r="F1380">
        <f t="shared" si="43"/>
        <v>0</v>
      </c>
    </row>
    <row r="1381" spans="1:6" x14ac:dyDescent="0.35">
      <c r="A1381" s="9">
        <v>3979680</v>
      </c>
      <c r="B1381" s="10">
        <v>42936</v>
      </c>
      <c r="C1381" s="11">
        <v>0.53820601851851857</v>
      </c>
      <c r="D1381" s="12">
        <v>0.54369212962962965</v>
      </c>
      <c r="E1381" s="20">
        <f t="shared" si="42"/>
        <v>0</v>
      </c>
      <c r="F1381">
        <f t="shared" si="43"/>
        <v>0</v>
      </c>
    </row>
    <row r="1382" spans="1:6" x14ac:dyDescent="0.35">
      <c r="A1382" s="5">
        <v>96424596</v>
      </c>
      <c r="B1382" s="6">
        <v>42936</v>
      </c>
      <c r="C1382" s="7">
        <v>0.53964120370370372</v>
      </c>
      <c r="D1382" s="8">
        <v>0.54423611111111114</v>
      </c>
      <c r="E1382" s="20">
        <f t="shared" si="42"/>
        <v>0</v>
      </c>
      <c r="F1382">
        <f t="shared" si="43"/>
        <v>0</v>
      </c>
    </row>
    <row r="1383" spans="1:6" x14ac:dyDescent="0.35">
      <c r="A1383" s="9">
        <v>4923459</v>
      </c>
      <c r="B1383" s="10">
        <v>42936</v>
      </c>
      <c r="C1383" s="11">
        <v>0.54450231481481481</v>
      </c>
      <c r="D1383" s="12">
        <v>0.55406250000000001</v>
      </c>
      <c r="E1383" s="20">
        <f t="shared" si="42"/>
        <v>0</v>
      </c>
      <c r="F1383">
        <f t="shared" si="43"/>
        <v>0</v>
      </c>
    </row>
    <row r="1384" spans="1:6" x14ac:dyDescent="0.35">
      <c r="A1384" s="5">
        <v>6719542</v>
      </c>
      <c r="B1384" s="6">
        <v>42936</v>
      </c>
      <c r="C1384" s="7">
        <v>0.54556712962962961</v>
      </c>
      <c r="D1384" s="8">
        <v>0.54894675925925929</v>
      </c>
      <c r="E1384" s="20">
        <f t="shared" si="42"/>
        <v>0</v>
      </c>
      <c r="F1384">
        <f t="shared" si="43"/>
        <v>0</v>
      </c>
    </row>
    <row r="1385" spans="1:6" x14ac:dyDescent="0.35">
      <c r="A1385" s="9">
        <v>81218024</v>
      </c>
      <c r="B1385" s="10">
        <v>42936</v>
      </c>
      <c r="C1385" s="11">
        <v>0.54946759259259259</v>
      </c>
      <c r="D1385" s="12">
        <v>0.55583333333333329</v>
      </c>
      <c r="E1385" s="20">
        <f t="shared" si="42"/>
        <v>0</v>
      </c>
      <c r="F1385">
        <f t="shared" si="43"/>
        <v>0</v>
      </c>
    </row>
    <row r="1386" spans="1:6" x14ac:dyDescent="0.35">
      <c r="A1386" s="5">
        <v>6552755</v>
      </c>
      <c r="B1386" s="6">
        <v>42936</v>
      </c>
      <c r="C1386" s="7">
        <v>0.55306712962962967</v>
      </c>
      <c r="D1386" s="8">
        <v>0.56304398148148149</v>
      </c>
      <c r="E1386" s="20">
        <f t="shared" si="42"/>
        <v>0</v>
      </c>
      <c r="F1386">
        <f t="shared" si="43"/>
        <v>0</v>
      </c>
    </row>
    <row r="1387" spans="1:6" x14ac:dyDescent="0.35">
      <c r="A1387" s="9">
        <v>44017210</v>
      </c>
      <c r="B1387" s="10">
        <v>42936</v>
      </c>
      <c r="C1387" s="11">
        <v>0.55476851851851849</v>
      </c>
      <c r="D1387" s="12">
        <v>0.56596064814814817</v>
      </c>
      <c r="E1387" s="20">
        <f t="shared" si="42"/>
        <v>0</v>
      </c>
      <c r="F1387">
        <f t="shared" si="43"/>
        <v>0</v>
      </c>
    </row>
    <row r="1388" spans="1:6" x14ac:dyDescent="0.35">
      <c r="A1388" s="5">
        <v>8679036</v>
      </c>
      <c r="B1388" s="6">
        <v>42936</v>
      </c>
      <c r="C1388" s="7">
        <v>0.55827546296296293</v>
      </c>
      <c r="D1388" s="8">
        <v>0.55864583333333329</v>
      </c>
      <c r="E1388" s="20">
        <f t="shared" si="42"/>
        <v>0</v>
      </c>
      <c r="F1388">
        <f t="shared" si="43"/>
        <v>0</v>
      </c>
    </row>
    <row r="1389" spans="1:6" x14ac:dyDescent="0.35">
      <c r="A1389" s="9">
        <v>64733982</v>
      </c>
      <c r="B1389" s="10">
        <v>42936</v>
      </c>
      <c r="C1389" s="11">
        <v>0.56180555555555556</v>
      </c>
      <c r="D1389" s="12">
        <v>0.56400462962962961</v>
      </c>
      <c r="E1389" s="20">
        <f t="shared" si="42"/>
        <v>0</v>
      </c>
      <c r="F1389">
        <f t="shared" si="43"/>
        <v>0</v>
      </c>
    </row>
    <row r="1390" spans="1:6" x14ac:dyDescent="0.35">
      <c r="A1390" s="5">
        <v>2289072</v>
      </c>
      <c r="B1390" s="6">
        <v>42936</v>
      </c>
      <c r="C1390" s="7">
        <v>0.56320601851851848</v>
      </c>
      <c r="D1390" s="8">
        <v>0.57020833333333332</v>
      </c>
      <c r="E1390" s="20">
        <f t="shared" si="42"/>
        <v>0</v>
      </c>
      <c r="F1390">
        <f t="shared" si="43"/>
        <v>0</v>
      </c>
    </row>
    <row r="1391" spans="1:6" x14ac:dyDescent="0.35">
      <c r="A1391" s="9">
        <v>71730854</v>
      </c>
      <c r="B1391" s="10">
        <v>42936</v>
      </c>
      <c r="C1391" s="11">
        <v>0.56537037037037041</v>
      </c>
      <c r="D1391" s="12">
        <v>0.57611111111111113</v>
      </c>
      <c r="E1391" s="20">
        <f t="shared" si="42"/>
        <v>0</v>
      </c>
      <c r="F1391">
        <f t="shared" si="43"/>
        <v>0</v>
      </c>
    </row>
    <row r="1392" spans="1:6" x14ac:dyDescent="0.35">
      <c r="A1392" s="5">
        <v>3757504</v>
      </c>
      <c r="B1392" s="6">
        <v>42936</v>
      </c>
      <c r="C1392" s="7">
        <v>0.57105324074074071</v>
      </c>
      <c r="D1392" s="8">
        <v>0.57465277777777779</v>
      </c>
      <c r="E1392" s="20">
        <f t="shared" si="42"/>
        <v>0</v>
      </c>
      <c r="F1392">
        <f t="shared" si="43"/>
        <v>0</v>
      </c>
    </row>
    <row r="1393" spans="1:6" x14ac:dyDescent="0.35">
      <c r="A1393" s="9">
        <v>8501225</v>
      </c>
      <c r="B1393" s="10">
        <v>42936</v>
      </c>
      <c r="C1393" s="11">
        <v>0.57517361111111109</v>
      </c>
      <c r="D1393" s="12">
        <v>0.57784722222222218</v>
      </c>
      <c r="E1393" s="20">
        <f t="shared" si="42"/>
        <v>0</v>
      </c>
      <c r="F1393">
        <f t="shared" si="43"/>
        <v>0</v>
      </c>
    </row>
    <row r="1394" spans="1:6" x14ac:dyDescent="0.35">
      <c r="A1394" s="5">
        <v>3704193</v>
      </c>
      <c r="B1394" s="6">
        <v>42936</v>
      </c>
      <c r="C1394" s="7">
        <v>0.57671296296296293</v>
      </c>
      <c r="D1394" s="8">
        <v>0.58539351851851851</v>
      </c>
      <c r="E1394" s="20">
        <f t="shared" si="42"/>
        <v>0</v>
      </c>
      <c r="F1394">
        <f t="shared" si="43"/>
        <v>0</v>
      </c>
    </row>
    <row r="1395" spans="1:6" x14ac:dyDescent="0.35">
      <c r="A1395" s="9">
        <v>4577789</v>
      </c>
      <c r="B1395" s="10">
        <v>42936</v>
      </c>
      <c r="C1395" s="11">
        <v>0.57781249999999995</v>
      </c>
      <c r="D1395" s="12">
        <v>0.57953703703703707</v>
      </c>
      <c r="E1395" s="20">
        <f t="shared" si="42"/>
        <v>0</v>
      </c>
      <c r="F1395">
        <f t="shared" si="43"/>
        <v>0</v>
      </c>
    </row>
    <row r="1396" spans="1:6" x14ac:dyDescent="0.35">
      <c r="A1396" s="5">
        <v>5730350</v>
      </c>
      <c r="B1396" s="6">
        <v>42936</v>
      </c>
      <c r="C1396" s="7">
        <v>0.58206018518518521</v>
      </c>
      <c r="D1396" s="8">
        <v>0.59037037037037032</v>
      </c>
      <c r="E1396" s="20">
        <f t="shared" si="42"/>
        <v>0</v>
      </c>
      <c r="F1396">
        <f t="shared" si="43"/>
        <v>0</v>
      </c>
    </row>
    <row r="1397" spans="1:6" x14ac:dyDescent="0.35">
      <c r="A1397" s="9">
        <v>8953850</v>
      </c>
      <c r="B1397" s="10">
        <v>42936</v>
      </c>
      <c r="C1397" s="11">
        <v>0.58328703703703699</v>
      </c>
      <c r="D1397" s="12">
        <v>0.5920023148148148</v>
      </c>
      <c r="E1397" s="20">
        <f t="shared" si="42"/>
        <v>0</v>
      </c>
      <c r="F1397">
        <f t="shared" si="43"/>
        <v>0</v>
      </c>
    </row>
    <row r="1398" spans="1:6" x14ac:dyDescent="0.35">
      <c r="A1398" s="5">
        <v>3109133</v>
      </c>
      <c r="B1398" s="6">
        <v>42936</v>
      </c>
      <c r="C1398" s="7">
        <v>0.58564814814814814</v>
      </c>
      <c r="D1398" s="8">
        <v>0.58964120370370365</v>
      </c>
      <c r="E1398" s="20">
        <f t="shared" si="42"/>
        <v>0</v>
      </c>
      <c r="F1398">
        <f t="shared" si="43"/>
        <v>0</v>
      </c>
    </row>
    <row r="1399" spans="1:6" x14ac:dyDescent="0.35">
      <c r="A1399" s="9">
        <v>3382699</v>
      </c>
      <c r="B1399" s="10">
        <v>42936</v>
      </c>
      <c r="C1399" s="11">
        <v>0.59053240740740742</v>
      </c>
      <c r="D1399" s="12">
        <v>0.59318287037037032</v>
      </c>
      <c r="E1399" s="20">
        <f t="shared" si="42"/>
        <v>0</v>
      </c>
      <c r="F1399">
        <f t="shared" si="43"/>
        <v>0</v>
      </c>
    </row>
    <row r="1400" spans="1:6" x14ac:dyDescent="0.35">
      <c r="A1400" s="5">
        <v>9132555</v>
      </c>
      <c r="B1400" s="6">
        <v>42936</v>
      </c>
      <c r="C1400" s="7">
        <v>0.59621527777777783</v>
      </c>
      <c r="D1400" s="8">
        <v>0.59906250000000005</v>
      </c>
      <c r="E1400" s="20">
        <f t="shared" si="42"/>
        <v>0</v>
      </c>
      <c r="F1400">
        <f t="shared" si="43"/>
        <v>0</v>
      </c>
    </row>
    <row r="1401" spans="1:6" x14ac:dyDescent="0.35">
      <c r="A1401" s="9">
        <v>5016981</v>
      </c>
      <c r="B1401" s="10">
        <v>42936</v>
      </c>
      <c r="C1401" s="11">
        <v>0.59693287037037035</v>
      </c>
      <c r="D1401" s="12">
        <v>0.59743055555555558</v>
      </c>
      <c r="E1401" s="20">
        <f t="shared" si="42"/>
        <v>0</v>
      </c>
      <c r="F1401">
        <f t="shared" si="43"/>
        <v>0</v>
      </c>
    </row>
    <row r="1402" spans="1:6" x14ac:dyDescent="0.35">
      <c r="A1402" s="5">
        <v>1294973</v>
      </c>
      <c r="B1402" s="6">
        <v>42936</v>
      </c>
      <c r="C1402" s="7">
        <v>0.59783564814814816</v>
      </c>
      <c r="D1402" s="8">
        <v>0.60715277777777776</v>
      </c>
      <c r="E1402" s="20">
        <f t="shared" si="42"/>
        <v>9.3171296296296058E-3</v>
      </c>
      <c r="F1402">
        <f t="shared" si="43"/>
        <v>1</v>
      </c>
    </row>
    <row r="1403" spans="1:6" x14ac:dyDescent="0.35">
      <c r="A1403" s="9">
        <v>7769531</v>
      </c>
      <c r="B1403" s="10">
        <v>42936</v>
      </c>
      <c r="C1403" s="11">
        <v>0.60048611111111116</v>
      </c>
      <c r="D1403" s="12">
        <v>0.60371527777777778</v>
      </c>
      <c r="E1403" s="20">
        <f t="shared" si="42"/>
        <v>0</v>
      </c>
      <c r="F1403">
        <f t="shared" si="43"/>
        <v>0</v>
      </c>
    </row>
    <row r="1404" spans="1:6" x14ac:dyDescent="0.35">
      <c r="A1404" s="5">
        <v>1068000</v>
      </c>
      <c r="B1404" s="6">
        <v>42936</v>
      </c>
      <c r="C1404" s="7">
        <v>0.60251157407407407</v>
      </c>
      <c r="D1404" s="8">
        <v>0.60608796296296297</v>
      </c>
      <c r="E1404" s="20">
        <f t="shared" si="42"/>
        <v>0</v>
      </c>
      <c r="F1404">
        <f t="shared" si="43"/>
        <v>0</v>
      </c>
    </row>
    <row r="1405" spans="1:6" x14ac:dyDescent="0.35">
      <c r="A1405" s="9">
        <v>1467591</v>
      </c>
      <c r="B1405" s="10">
        <v>42936</v>
      </c>
      <c r="C1405" s="11">
        <v>0.60277777777777775</v>
      </c>
      <c r="D1405" s="12">
        <v>0.61222222222222222</v>
      </c>
      <c r="E1405" s="20">
        <f t="shared" si="42"/>
        <v>0</v>
      </c>
      <c r="F1405">
        <f t="shared" si="43"/>
        <v>0</v>
      </c>
    </row>
    <row r="1406" spans="1:6" x14ac:dyDescent="0.35">
      <c r="A1406" s="5">
        <v>5980925</v>
      </c>
      <c r="B1406" s="6">
        <v>42936</v>
      </c>
      <c r="C1406" s="7">
        <v>0.60282407407407412</v>
      </c>
      <c r="D1406" s="8">
        <v>0.61041666666666672</v>
      </c>
      <c r="E1406" s="20">
        <f t="shared" si="42"/>
        <v>0</v>
      </c>
      <c r="F1406">
        <f t="shared" si="43"/>
        <v>0</v>
      </c>
    </row>
    <row r="1407" spans="1:6" x14ac:dyDescent="0.35">
      <c r="A1407" s="9">
        <v>9905075</v>
      </c>
      <c r="B1407" s="10">
        <v>42936</v>
      </c>
      <c r="C1407" s="11">
        <v>0.60693287037037036</v>
      </c>
      <c r="D1407" s="12">
        <v>0.61001157407407403</v>
      </c>
      <c r="E1407" s="20">
        <f t="shared" si="42"/>
        <v>0</v>
      </c>
      <c r="F1407">
        <f t="shared" si="43"/>
        <v>0</v>
      </c>
    </row>
    <row r="1408" spans="1:6" x14ac:dyDescent="0.35">
      <c r="A1408" s="5">
        <v>1043289</v>
      </c>
      <c r="B1408" s="6">
        <v>42936</v>
      </c>
      <c r="C1408" s="7">
        <v>0.60990740740740745</v>
      </c>
      <c r="D1408" s="8">
        <v>0.61383101851851851</v>
      </c>
      <c r="E1408" s="20">
        <f t="shared" si="42"/>
        <v>0</v>
      </c>
      <c r="F1408">
        <f t="shared" si="43"/>
        <v>0</v>
      </c>
    </row>
    <row r="1409" spans="1:6" x14ac:dyDescent="0.35">
      <c r="A1409" s="9">
        <v>8252939</v>
      </c>
      <c r="B1409" s="10">
        <v>42936</v>
      </c>
      <c r="C1409" s="11">
        <v>0.61320601851851853</v>
      </c>
      <c r="D1409" s="12">
        <v>0.62115740740740744</v>
      </c>
      <c r="E1409" s="20">
        <f t="shared" si="42"/>
        <v>0</v>
      </c>
      <c r="F1409">
        <f t="shared" si="43"/>
        <v>0</v>
      </c>
    </row>
    <row r="1410" spans="1:6" x14ac:dyDescent="0.35">
      <c r="A1410" s="5">
        <v>67748426</v>
      </c>
      <c r="B1410" s="6">
        <v>42936</v>
      </c>
      <c r="C1410" s="7">
        <v>0.61535879629629631</v>
      </c>
      <c r="D1410" s="8">
        <v>0.62503472222222223</v>
      </c>
      <c r="E1410" s="20">
        <f t="shared" si="42"/>
        <v>0</v>
      </c>
      <c r="F1410">
        <f t="shared" si="43"/>
        <v>0</v>
      </c>
    </row>
    <row r="1411" spans="1:6" x14ac:dyDescent="0.35">
      <c r="A1411" s="9">
        <v>4376637</v>
      </c>
      <c r="B1411" s="10">
        <v>42936</v>
      </c>
      <c r="C1411" s="11">
        <v>0.61559027777777775</v>
      </c>
      <c r="D1411" s="12">
        <v>0.62532407407407409</v>
      </c>
      <c r="E1411" s="20">
        <f t="shared" ref="E1411:E1474" si="44">IF(F1411=1,D1411-C1411,0)</f>
        <v>0</v>
      </c>
      <c r="F1411">
        <f t="shared" ref="F1411:F1474" si="45">IF(AND(LEN(A1411)=7,LEFT(A1411,2) = "12"),1,0)</f>
        <v>0</v>
      </c>
    </row>
    <row r="1412" spans="1:6" x14ac:dyDescent="0.35">
      <c r="A1412" s="5">
        <v>6426011</v>
      </c>
      <c r="B1412" s="6">
        <v>42936</v>
      </c>
      <c r="C1412" s="7">
        <v>0.62078703703703708</v>
      </c>
      <c r="D1412" s="8">
        <v>0.62863425925925931</v>
      </c>
      <c r="E1412" s="20">
        <f t="shared" si="44"/>
        <v>0</v>
      </c>
      <c r="F1412">
        <f t="shared" si="45"/>
        <v>0</v>
      </c>
    </row>
    <row r="1413" spans="1:6" x14ac:dyDescent="0.35">
      <c r="A1413" s="9">
        <v>9137235</v>
      </c>
      <c r="B1413" s="10">
        <v>42936</v>
      </c>
      <c r="C1413" s="11">
        <v>0.62524305555555559</v>
      </c>
      <c r="D1413" s="12">
        <v>0.62846064814814817</v>
      </c>
      <c r="E1413" s="20">
        <f t="shared" si="44"/>
        <v>0</v>
      </c>
      <c r="F1413">
        <f t="shared" si="45"/>
        <v>0</v>
      </c>
    </row>
    <row r="1414" spans="1:6" x14ac:dyDescent="0.35">
      <c r="A1414" s="5">
        <v>6735390</v>
      </c>
      <c r="B1414" s="6">
        <v>42937</v>
      </c>
      <c r="C1414" s="7">
        <v>0.33421296296296299</v>
      </c>
      <c r="D1414" s="8">
        <v>0.33674768518518516</v>
      </c>
      <c r="E1414" s="20">
        <f t="shared" si="44"/>
        <v>0</v>
      </c>
      <c r="F1414">
        <f t="shared" si="45"/>
        <v>0</v>
      </c>
    </row>
    <row r="1415" spans="1:6" x14ac:dyDescent="0.35">
      <c r="A1415" s="9">
        <v>7151490</v>
      </c>
      <c r="B1415" s="10">
        <v>42937</v>
      </c>
      <c r="C1415" s="11">
        <v>0.33513888888888888</v>
      </c>
      <c r="D1415" s="12">
        <v>0.33787037037037038</v>
      </c>
      <c r="E1415" s="20">
        <f t="shared" si="44"/>
        <v>0</v>
      </c>
      <c r="F1415">
        <f t="shared" si="45"/>
        <v>0</v>
      </c>
    </row>
    <row r="1416" spans="1:6" x14ac:dyDescent="0.35">
      <c r="A1416" s="5">
        <v>5138547</v>
      </c>
      <c r="B1416" s="6">
        <v>42937</v>
      </c>
      <c r="C1416" s="7">
        <v>0.33642361111111113</v>
      </c>
      <c r="D1416" s="8">
        <v>0.33778935185185183</v>
      </c>
      <c r="E1416" s="20">
        <f t="shared" si="44"/>
        <v>0</v>
      </c>
      <c r="F1416">
        <f t="shared" si="45"/>
        <v>0</v>
      </c>
    </row>
    <row r="1417" spans="1:6" x14ac:dyDescent="0.35">
      <c r="A1417" s="9">
        <v>79212542</v>
      </c>
      <c r="B1417" s="10">
        <v>42937</v>
      </c>
      <c r="C1417" s="11">
        <v>0.34157407407407409</v>
      </c>
      <c r="D1417" s="12">
        <v>0.34684027777777776</v>
      </c>
      <c r="E1417" s="20">
        <f t="shared" si="44"/>
        <v>0</v>
      </c>
      <c r="F1417">
        <f t="shared" si="45"/>
        <v>0</v>
      </c>
    </row>
    <row r="1418" spans="1:6" x14ac:dyDescent="0.35">
      <c r="A1418" s="5">
        <v>1507196</v>
      </c>
      <c r="B1418" s="6">
        <v>42937</v>
      </c>
      <c r="C1418" s="7">
        <v>0.34197916666666667</v>
      </c>
      <c r="D1418" s="8">
        <v>0.3460300925925926</v>
      </c>
      <c r="E1418" s="20">
        <f t="shared" si="44"/>
        <v>0</v>
      </c>
      <c r="F1418">
        <f t="shared" si="45"/>
        <v>0</v>
      </c>
    </row>
    <row r="1419" spans="1:6" x14ac:dyDescent="0.35">
      <c r="A1419" s="9">
        <v>8362094</v>
      </c>
      <c r="B1419" s="10">
        <v>42937</v>
      </c>
      <c r="C1419" s="11">
        <v>0.34567129629629628</v>
      </c>
      <c r="D1419" s="12">
        <v>0.34745370370370371</v>
      </c>
      <c r="E1419" s="20">
        <f t="shared" si="44"/>
        <v>0</v>
      </c>
      <c r="F1419">
        <f t="shared" si="45"/>
        <v>0</v>
      </c>
    </row>
    <row r="1420" spans="1:6" x14ac:dyDescent="0.35">
      <c r="A1420" s="5">
        <v>5379981</v>
      </c>
      <c r="B1420" s="6">
        <v>42937</v>
      </c>
      <c r="C1420" s="7">
        <v>0.34690972222222222</v>
      </c>
      <c r="D1420" s="8">
        <v>0.35206018518518517</v>
      </c>
      <c r="E1420" s="20">
        <f t="shared" si="44"/>
        <v>0</v>
      </c>
      <c r="F1420">
        <f t="shared" si="45"/>
        <v>0</v>
      </c>
    </row>
    <row r="1421" spans="1:6" x14ac:dyDescent="0.35">
      <c r="A1421" s="9">
        <v>4960672</v>
      </c>
      <c r="B1421" s="10">
        <v>42937</v>
      </c>
      <c r="C1421" s="11">
        <v>0.34745370370370371</v>
      </c>
      <c r="D1421" s="12">
        <v>0.3526273148148148</v>
      </c>
      <c r="E1421" s="20">
        <f t="shared" si="44"/>
        <v>0</v>
      </c>
      <c r="F1421">
        <f t="shared" si="45"/>
        <v>0</v>
      </c>
    </row>
    <row r="1422" spans="1:6" x14ac:dyDescent="0.35">
      <c r="A1422" s="5">
        <v>9052582</v>
      </c>
      <c r="B1422" s="6">
        <v>42937</v>
      </c>
      <c r="C1422" s="7">
        <v>0.34961805555555553</v>
      </c>
      <c r="D1422" s="8">
        <v>0.3535300925925926</v>
      </c>
      <c r="E1422" s="20">
        <f t="shared" si="44"/>
        <v>0</v>
      </c>
      <c r="F1422">
        <f t="shared" si="45"/>
        <v>0</v>
      </c>
    </row>
    <row r="1423" spans="1:6" x14ac:dyDescent="0.35">
      <c r="A1423" s="9">
        <v>2054346</v>
      </c>
      <c r="B1423" s="10">
        <v>42937</v>
      </c>
      <c r="C1423" s="11">
        <v>0.35003472222222221</v>
      </c>
      <c r="D1423" s="12">
        <v>0.35540509259259262</v>
      </c>
      <c r="E1423" s="20">
        <f t="shared" si="44"/>
        <v>0</v>
      </c>
      <c r="F1423">
        <f t="shared" si="45"/>
        <v>0</v>
      </c>
    </row>
    <row r="1424" spans="1:6" x14ac:dyDescent="0.35">
      <c r="A1424" s="5">
        <v>6070136</v>
      </c>
      <c r="B1424" s="6">
        <v>42937</v>
      </c>
      <c r="C1424" s="7">
        <v>0.3515625</v>
      </c>
      <c r="D1424" s="8">
        <v>0.35299768518518521</v>
      </c>
      <c r="E1424" s="20">
        <f t="shared" si="44"/>
        <v>0</v>
      </c>
      <c r="F1424">
        <f t="shared" si="45"/>
        <v>0</v>
      </c>
    </row>
    <row r="1425" spans="1:6" x14ac:dyDescent="0.35">
      <c r="A1425" s="9">
        <v>3086185</v>
      </c>
      <c r="B1425" s="10">
        <v>42937</v>
      </c>
      <c r="C1425" s="11">
        <v>0.35401620370370368</v>
      </c>
      <c r="D1425" s="12">
        <v>0.35944444444444446</v>
      </c>
      <c r="E1425" s="20">
        <f t="shared" si="44"/>
        <v>0</v>
      </c>
      <c r="F1425">
        <f t="shared" si="45"/>
        <v>0</v>
      </c>
    </row>
    <row r="1426" spans="1:6" x14ac:dyDescent="0.35">
      <c r="A1426" s="5">
        <v>6949463</v>
      </c>
      <c r="B1426" s="6">
        <v>42937</v>
      </c>
      <c r="C1426" s="7">
        <v>0.35912037037037037</v>
      </c>
      <c r="D1426" s="8">
        <v>0.36318287037037039</v>
      </c>
      <c r="E1426" s="20">
        <f t="shared" si="44"/>
        <v>0</v>
      </c>
      <c r="F1426">
        <f t="shared" si="45"/>
        <v>0</v>
      </c>
    </row>
    <row r="1427" spans="1:6" x14ac:dyDescent="0.35">
      <c r="A1427" s="9">
        <v>1626862</v>
      </c>
      <c r="B1427" s="10">
        <v>42937</v>
      </c>
      <c r="C1427" s="11">
        <v>0.36155092592592591</v>
      </c>
      <c r="D1427" s="12">
        <v>0.36355324074074075</v>
      </c>
      <c r="E1427" s="20">
        <f t="shared" si="44"/>
        <v>0</v>
      </c>
      <c r="F1427">
        <f t="shared" si="45"/>
        <v>0</v>
      </c>
    </row>
    <row r="1428" spans="1:6" x14ac:dyDescent="0.35">
      <c r="A1428" s="5">
        <v>99905503</v>
      </c>
      <c r="B1428" s="6">
        <v>42937</v>
      </c>
      <c r="C1428" s="7">
        <v>0.36631944444444442</v>
      </c>
      <c r="D1428" s="8">
        <v>0.37376157407407407</v>
      </c>
      <c r="E1428" s="20">
        <f t="shared" si="44"/>
        <v>0</v>
      </c>
      <c r="F1428">
        <f t="shared" si="45"/>
        <v>0</v>
      </c>
    </row>
    <row r="1429" spans="1:6" x14ac:dyDescent="0.35">
      <c r="A1429" s="9">
        <v>2753778</v>
      </c>
      <c r="B1429" s="10">
        <v>42937</v>
      </c>
      <c r="C1429" s="11">
        <v>0.37133101851851852</v>
      </c>
      <c r="D1429" s="12">
        <v>0.38075231481481481</v>
      </c>
      <c r="E1429" s="20">
        <f t="shared" si="44"/>
        <v>0</v>
      </c>
      <c r="F1429">
        <f t="shared" si="45"/>
        <v>0</v>
      </c>
    </row>
    <row r="1430" spans="1:6" x14ac:dyDescent="0.35">
      <c r="A1430" s="5">
        <v>3508755</v>
      </c>
      <c r="B1430" s="6">
        <v>42937</v>
      </c>
      <c r="C1430" s="7">
        <v>0.37569444444444444</v>
      </c>
      <c r="D1430" s="8">
        <v>0.38611111111111113</v>
      </c>
      <c r="E1430" s="20">
        <f t="shared" si="44"/>
        <v>0</v>
      </c>
      <c r="F1430">
        <f t="shared" si="45"/>
        <v>0</v>
      </c>
    </row>
    <row r="1431" spans="1:6" x14ac:dyDescent="0.35">
      <c r="A1431" s="9">
        <v>14783929</v>
      </c>
      <c r="B1431" s="10">
        <v>42937</v>
      </c>
      <c r="C1431" s="11">
        <v>0.37891203703703702</v>
      </c>
      <c r="D1431" s="12">
        <v>0.38443287037037038</v>
      </c>
      <c r="E1431" s="20">
        <f t="shared" si="44"/>
        <v>0</v>
      </c>
      <c r="F1431">
        <f t="shared" si="45"/>
        <v>0</v>
      </c>
    </row>
    <row r="1432" spans="1:6" x14ac:dyDescent="0.35">
      <c r="A1432" s="5">
        <v>1409543</v>
      </c>
      <c r="B1432" s="6">
        <v>42937</v>
      </c>
      <c r="C1432" s="7">
        <v>0.38086805555555553</v>
      </c>
      <c r="D1432" s="8">
        <v>0.38918981481481479</v>
      </c>
      <c r="E1432" s="20">
        <f t="shared" si="44"/>
        <v>0</v>
      </c>
      <c r="F1432">
        <f t="shared" si="45"/>
        <v>0</v>
      </c>
    </row>
    <row r="1433" spans="1:6" x14ac:dyDescent="0.35">
      <c r="A1433" s="9">
        <v>6891636</v>
      </c>
      <c r="B1433" s="10">
        <v>42937</v>
      </c>
      <c r="C1433" s="11">
        <v>0.38633101851851853</v>
      </c>
      <c r="D1433" s="12">
        <v>0.38923611111111112</v>
      </c>
      <c r="E1433" s="20">
        <f t="shared" si="44"/>
        <v>0</v>
      </c>
      <c r="F1433">
        <f t="shared" si="45"/>
        <v>0</v>
      </c>
    </row>
    <row r="1434" spans="1:6" x14ac:dyDescent="0.35">
      <c r="A1434" s="5">
        <v>8541151</v>
      </c>
      <c r="B1434" s="6">
        <v>42937</v>
      </c>
      <c r="C1434" s="7">
        <v>0.38848379629629631</v>
      </c>
      <c r="D1434" s="8">
        <v>0.39874999999999999</v>
      </c>
      <c r="E1434" s="20">
        <f t="shared" si="44"/>
        <v>0</v>
      </c>
      <c r="F1434">
        <f t="shared" si="45"/>
        <v>0</v>
      </c>
    </row>
    <row r="1435" spans="1:6" x14ac:dyDescent="0.35">
      <c r="A1435" s="9">
        <v>8322802</v>
      </c>
      <c r="B1435" s="10">
        <v>42937</v>
      </c>
      <c r="C1435" s="11">
        <v>0.39089120370370373</v>
      </c>
      <c r="D1435" s="12">
        <v>0.39620370370370372</v>
      </c>
      <c r="E1435" s="20">
        <f t="shared" si="44"/>
        <v>0</v>
      </c>
      <c r="F1435">
        <f t="shared" si="45"/>
        <v>0</v>
      </c>
    </row>
    <row r="1436" spans="1:6" x14ac:dyDescent="0.35">
      <c r="A1436" s="5">
        <v>30678431</v>
      </c>
      <c r="B1436" s="6">
        <v>42937</v>
      </c>
      <c r="C1436" s="7">
        <v>0.39469907407407406</v>
      </c>
      <c r="D1436" s="8">
        <v>0.40141203703703704</v>
      </c>
      <c r="E1436" s="20">
        <f t="shared" si="44"/>
        <v>0</v>
      </c>
      <c r="F1436">
        <f t="shared" si="45"/>
        <v>0</v>
      </c>
    </row>
    <row r="1437" spans="1:6" x14ac:dyDescent="0.35">
      <c r="A1437" s="9">
        <v>41837828</v>
      </c>
      <c r="B1437" s="10">
        <v>42937</v>
      </c>
      <c r="C1437" s="11">
        <v>0.39953703703703702</v>
      </c>
      <c r="D1437" s="12">
        <v>0.40038194444444447</v>
      </c>
      <c r="E1437" s="20">
        <f t="shared" si="44"/>
        <v>0</v>
      </c>
      <c r="F1437">
        <f t="shared" si="45"/>
        <v>0</v>
      </c>
    </row>
    <row r="1438" spans="1:6" x14ac:dyDescent="0.35">
      <c r="A1438" s="5">
        <v>13639748</v>
      </c>
      <c r="B1438" s="6">
        <v>42937</v>
      </c>
      <c r="C1438" s="7">
        <v>0.40379629629629632</v>
      </c>
      <c r="D1438" s="8">
        <v>0.40822916666666664</v>
      </c>
      <c r="E1438" s="20">
        <f t="shared" si="44"/>
        <v>0</v>
      </c>
      <c r="F1438">
        <f t="shared" si="45"/>
        <v>0</v>
      </c>
    </row>
    <row r="1439" spans="1:6" x14ac:dyDescent="0.35">
      <c r="A1439" s="9">
        <v>8972366</v>
      </c>
      <c r="B1439" s="10">
        <v>42937</v>
      </c>
      <c r="C1439" s="11">
        <v>0.40462962962962962</v>
      </c>
      <c r="D1439" s="12">
        <v>0.40875</v>
      </c>
      <c r="E1439" s="20">
        <f t="shared" si="44"/>
        <v>0</v>
      </c>
      <c r="F1439">
        <f t="shared" si="45"/>
        <v>0</v>
      </c>
    </row>
    <row r="1440" spans="1:6" x14ac:dyDescent="0.35">
      <c r="A1440" s="5">
        <v>5233531</v>
      </c>
      <c r="B1440" s="6">
        <v>42937</v>
      </c>
      <c r="C1440" s="7">
        <v>0.40465277777777775</v>
      </c>
      <c r="D1440" s="8">
        <v>0.40887731481481482</v>
      </c>
      <c r="E1440" s="20">
        <f t="shared" si="44"/>
        <v>0</v>
      </c>
      <c r="F1440">
        <f t="shared" si="45"/>
        <v>0</v>
      </c>
    </row>
    <row r="1441" spans="1:6" x14ac:dyDescent="0.35">
      <c r="A1441" s="9">
        <v>3691176</v>
      </c>
      <c r="B1441" s="10">
        <v>42937</v>
      </c>
      <c r="C1441" s="11">
        <v>0.40505787037037039</v>
      </c>
      <c r="D1441" s="12">
        <v>0.40561342592592592</v>
      </c>
      <c r="E1441" s="20">
        <f t="shared" si="44"/>
        <v>0</v>
      </c>
      <c r="F1441">
        <f t="shared" si="45"/>
        <v>0</v>
      </c>
    </row>
    <row r="1442" spans="1:6" x14ac:dyDescent="0.35">
      <c r="A1442" s="5">
        <v>66377806</v>
      </c>
      <c r="B1442" s="6">
        <v>42937</v>
      </c>
      <c r="C1442" s="7">
        <v>0.40694444444444444</v>
      </c>
      <c r="D1442" s="8">
        <v>0.40991898148148148</v>
      </c>
      <c r="E1442" s="20">
        <f t="shared" si="44"/>
        <v>0</v>
      </c>
      <c r="F1442">
        <f t="shared" si="45"/>
        <v>0</v>
      </c>
    </row>
    <row r="1443" spans="1:6" x14ac:dyDescent="0.35">
      <c r="A1443" s="9">
        <v>6357818</v>
      </c>
      <c r="B1443" s="10">
        <v>42937</v>
      </c>
      <c r="C1443" s="11">
        <v>0.41228009259259257</v>
      </c>
      <c r="D1443" s="12">
        <v>0.41648148148148151</v>
      </c>
      <c r="E1443" s="20">
        <f t="shared" si="44"/>
        <v>0</v>
      </c>
      <c r="F1443">
        <f t="shared" si="45"/>
        <v>0</v>
      </c>
    </row>
    <row r="1444" spans="1:6" x14ac:dyDescent="0.35">
      <c r="A1444" s="5">
        <v>7123731</v>
      </c>
      <c r="B1444" s="6">
        <v>42937</v>
      </c>
      <c r="C1444" s="7">
        <v>0.41494212962962962</v>
      </c>
      <c r="D1444" s="8">
        <v>0.41641203703703705</v>
      </c>
      <c r="E1444" s="20">
        <f t="shared" si="44"/>
        <v>0</v>
      </c>
      <c r="F1444">
        <f t="shared" si="45"/>
        <v>0</v>
      </c>
    </row>
    <row r="1445" spans="1:6" x14ac:dyDescent="0.35">
      <c r="A1445" s="9">
        <v>91907883</v>
      </c>
      <c r="B1445" s="10">
        <v>42937</v>
      </c>
      <c r="C1445" s="11">
        <v>0.42054398148148148</v>
      </c>
      <c r="D1445" s="12">
        <v>0.42721064814814813</v>
      </c>
      <c r="E1445" s="20">
        <f t="shared" si="44"/>
        <v>0</v>
      </c>
      <c r="F1445">
        <f t="shared" si="45"/>
        <v>0</v>
      </c>
    </row>
    <row r="1446" spans="1:6" x14ac:dyDescent="0.35">
      <c r="A1446" s="5">
        <v>69734527</v>
      </c>
      <c r="B1446" s="6">
        <v>42937</v>
      </c>
      <c r="C1446" s="7">
        <v>0.42084490740740743</v>
      </c>
      <c r="D1446" s="8">
        <v>0.43167824074074074</v>
      </c>
      <c r="E1446" s="20">
        <f t="shared" si="44"/>
        <v>0</v>
      </c>
      <c r="F1446">
        <f t="shared" si="45"/>
        <v>0</v>
      </c>
    </row>
    <row r="1447" spans="1:6" x14ac:dyDescent="0.35">
      <c r="A1447" s="9">
        <v>7536096</v>
      </c>
      <c r="B1447" s="10">
        <v>42937</v>
      </c>
      <c r="C1447" s="11">
        <v>0.42357638888888888</v>
      </c>
      <c r="D1447" s="12">
        <v>0.4322685185185185</v>
      </c>
      <c r="E1447" s="20">
        <f t="shared" si="44"/>
        <v>0</v>
      </c>
      <c r="F1447">
        <f t="shared" si="45"/>
        <v>0</v>
      </c>
    </row>
    <row r="1448" spans="1:6" x14ac:dyDescent="0.35">
      <c r="A1448" s="5">
        <v>60158843</v>
      </c>
      <c r="B1448" s="6">
        <v>42937</v>
      </c>
      <c r="C1448" s="7">
        <v>0.42814814814814817</v>
      </c>
      <c r="D1448" s="8">
        <v>0.43784722222222222</v>
      </c>
      <c r="E1448" s="20">
        <f t="shared" si="44"/>
        <v>0</v>
      </c>
      <c r="F1448">
        <f t="shared" si="45"/>
        <v>0</v>
      </c>
    </row>
    <row r="1449" spans="1:6" x14ac:dyDescent="0.35">
      <c r="A1449" s="9">
        <v>6942059</v>
      </c>
      <c r="B1449" s="10">
        <v>42937</v>
      </c>
      <c r="C1449" s="11">
        <v>0.43002314814814813</v>
      </c>
      <c r="D1449" s="12">
        <v>0.43030092592592595</v>
      </c>
      <c r="E1449" s="20">
        <f t="shared" si="44"/>
        <v>0</v>
      </c>
      <c r="F1449">
        <f t="shared" si="45"/>
        <v>0</v>
      </c>
    </row>
    <row r="1450" spans="1:6" x14ac:dyDescent="0.35">
      <c r="A1450" s="5">
        <v>28282891</v>
      </c>
      <c r="B1450" s="6">
        <v>42937</v>
      </c>
      <c r="C1450" s="7">
        <v>0.4307523148148148</v>
      </c>
      <c r="D1450" s="8">
        <v>0.4412847222222222</v>
      </c>
      <c r="E1450" s="20">
        <f t="shared" si="44"/>
        <v>0</v>
      </c>
      <c r="F1450">
        <f t="shared" si="45"/>
        <v>0</v>
      </c>
    </row>
    <row r="1451" spans="1:6" x14ac:dyDescent="0.35">
      <c r="A1451" s="9">
        <v>1617146</v>
      </c>
      <c r="B1451" s="10">
        <v>42937</v>
      </c>
      <c r="C1451" s="11">
        <v>0.43400462962962966</v>
      </c>
      <c r="D1451" s="12">
        <v>0.44041666666666668</v>
      </c>
      <c r="E1451" s="20">
        <f t="shared" si="44"/>
        <v>0</v>
      </c>
      <c r="F1451">
        <f t="shared" si="45"/>
        <v>0</v>
      </c>
    </row>
    <row r="1452" spans="1:6" x14ac:dyDescent="0.35">
      <c r="A1452" s="5">
        <v>2186880</v>
      </c>
      <c r="B1452" s="6">
        <v>42937</v>
      </c>
      <c r="C1452" s="7">
        <v>0.43582175925925926</v>
      </c>
      <c r="D1452" s="8">
        <v>0.44550925925925927</v>
      </c>
      <c r="E1452" s="20">
        <f t="shared" si="44"/>
        <v>0</v>
      </c>
      <c r="F1452">
        <f t="shared" si="45"/>
        <v>0</v>
      </c>
    </row>
    <row r="1453" spans="1:6" x14ac:dyDescent="0.35">
      <c r="A1453" s="9">
        <v>92461001</v>
      </c>
      <c r="B1453" s="10">
        <v>42937</v>
      </c>
      <c r="C1453" s="11">
        <v>0.43730324074074073</v>
      </c>
      <c r="D1453" s="12">
        <v>0.44869212962962962</v>
      </c>
      <c r="E1453" s="20">
        <f t="shared" si="44"/>
        <v>0</v>
      </c>
      <c r="F1453">
        <f t="shared" si="45"/>
        <v>0</v>
      </c>
    </row>
    <row r="1454" spans="1:6" x14ac:dyDescent="0.35">
      <c r="A1454" s="5">
        <v>4657345</v>
      </c>
      <c r="B1454" s="6">
        <v>42937</v>
      </c>
      <c r="C1454" s="7">
        <v>0.44291666666666668</v>
      </c>
      <c r="D1454" s="8">
        <v>0.45256944444444447</v>
      </c>
      <c r="E1454" s="20">
        <f t="shared" si="44"/>
        <v>0</v>
      </c>
      <c r="F1454">
        <f t="shared" si="45"/>
        <v>0</v>
      </c>
    </row>
    <row r="1455" spans="1:6" x14ac:dyDescent="0.35">
      <c r="A1455" s="9">
        <v>16775888</v>
      </c>
      <c r="B1455" s="10">
        <v>42937</v>
      </c>
      <c r="C1455" s="11">
        <v>0.4478240740740741</v>
      </c>
      <c r="D1455" s="12">
        <v>0.45548611111111109</v>
      </c>
      <c r="E1455" s="20">
        <f t="shared" si="44"/>
        <v>0</v>
      </c>
      <c r="F1455">
        <f t="shared" si="45"/>
        <v>0</v>
      </c>
    </row>
    <row r="1456" spans="1:6" x14ac:dyDescent="0.35">
      <c r="A1456" s="5">
        <v>97953696</v>
      </c>
      <c r="B1456" s="6">
        <v>42937</v>
      </c>
      <c r="C1456" s="7">
        <v>0.45187500000000003</v>
      </c>
      <c r="D1456" s="8">
        <v>0.45925925925925926</v>
      </c>
      <c r="E1456" s="20">
        <f t="shared" si="44"/>
        <v>0</v>
      </c>
      <c r="F1456">
        <f t="shared" si="45"/>
        <v>0</v>
      </c>
    </row>
    <row r="1457" spans="1:6" x14ac:dyDescent="0.35">
      <c r="A1457" s="9">
        <v>1166111</v>
      </c>
      <c r="B1457" s="10">
        <v>42937</v>
      </c>
      <c r="C1457" s="11">
        <v>0.45458333333333334</v>
      </c>
      <c r="D1457" s="12">
        <v>0.46295138888888887</v>
      </c>
      <c r="E1457" s="20">
        <f t="shared" si="44"/>
        <v>0</v>
      </c>
      <c r="F1457">
        <f t="shared" si="45"/>
        <v>0</v>
      </c>
    </row>
    <row r="1458" spans="1:6" x14ac:dyDescent="0.35">
      <c r="A1458" s="5">
        <v>91907883</v>
      </c>
      <c r="B1458" s="6">
        <v>42937</v>
      </c>
      <c r="C1458" s="7">
        <v>0.45689814814814816</v>
      </c>
      <c r="D1458" s="8">
        <v>0.4574537037037037</v>
      </c>
      <c r="E1458" s="20">
        <f t="shared" si="44"/>
        <v>0</v>
      </c>
      <c r="F1458">
        <f t="shared" si="45"/>
        <v>0</v>
      </c>
    </row>
    <row r="1459" spans="1:6" x14ac:dyDescent="0.35">
      <c r="A1459" s="9">
        <v>9225043</v>
      </c>
      <c r="B1459" s="10">
        <v>42937</v>
      </c>
      <c r="C1459" s="11">
        <v>0.4612384259259259</v>
      </c>
      <c r="D1459" s="12">
        <v>0.46285879629629628</v>
      </c>
      <c r="E1459" s="20">
        <f t="shared" si="44"/>
        <v>0</v>
      </c>
      <c r="F1459">
        <f t="shared" si="45"/>
        <v>0</v>
      </c>
    </row>
    <row r="1460" spans="1:6" x14ac:dyDescent="0.35">
      <c r="A1460" s="5">
        <v>6408952</v>
      </c>
      <c r="B1460" s="6">
        <v>42937</v>
      </c>
      <c r="C1460" s="7">
        <v>0.46553240740740742</v>
      </c>
      <c r="D1460" s="8">
        <v>0.47234953703703703</v>
      </c>
      <c r="E1460" s="20">
        <f t="shared" si="44"/>
        <v>0</v>
      </c>
      <c r="F1460">
        <f t="shared" si="45"/>
        <v>0</v>
      </c>
    </row>
    <row r="1461" spans="1:6" x14ac:dyDescent="0.35">
      <c r="A1461" s="9">
        <v>81010250</v>
      </c>
      <c r="B1461" s="10">
        <v>42937</v>
      </c>
      <c r="C1461" s="11">
        <v>0.47075231481481483</v>
      </c>
      <c r="D1461" s="12">
        <v>0.47239583333333335</v>
      </c>
      <c r="E1461" s="20">
        <f t="shared" si="44"/>
        <v>0</v>
      </c>
      <c r="F1461">
        <f t="shared" si="45"/>
        <v>0</v>
      </c>
    </row>
    <row r="1462" spans="1:6" x14ac:dyDescent="0.35">
      <c r="A1462" s="5">
        <v>8596442</v>
      </c>
      <c r="B1462" s="6">
        <v>42937</v>
      </c>
      <c r="C1462" s="7">
        <v>0.47105324074074073</v>
      </c>
      <c r="D1462" s="8">
        <v>0.48011574074074076</v>
      </c>
      <c r="E1462" s="20">
        <f t="shared" si="44"/>
        <v>0</v>
      </c>
      <c r="F1462">
        <f t="shared" si="45"/>
        <v>0</v>
      </c>
    </row>
    <row r="1463" spans="1:6" x14ac:dyDescent="0.35">
      <c r="A1463" s="9">
        <v>79890857</v>
      </c>
      <c r="B1463" s="10">
        <v>42937</v>
      </c>
      <c r="C1463" s="11">
        <v>0.47285879629629629</v>
      </c>
      <c r="D1463" s="12">
        <v>0.47846064814814815</v>
      </c>
      <c r="E1463" s="20">
        <f t="shared" si="44"/>
        <v>0</v>
      </c>
      <c r="F1463">
        <f t="shared" si="45"/>
        <v>0</v>
      </c>
    </row>
    <row r="1464" spans="1:6" x14ac:dyDescent="0.35">
      <c r="A1464" s="5">
        <v>3804078</v>
      </c>
      <c r="B1464" s="6">
        <v>42937</v>
      </c>
      <c r="C1464" s="7">
        <v>0.4729976851851852</v>
      </c>
      <c r="D1464" s="8">
        <v>0.48243055555555553</v>
      </c>
      <c r="E1464" s="20">
        <f t="shared" si="44"/>
        <v>0</v>
      </c>
      <c r="F1464">
        <f t="shared" si="45"/>
        <v>0</v>
      </c>
    </row>
    <row r="1465" spans="1:6" x14ac:dyDescent="0.35">
      <c r="A1465" s="9">
        <v>6312012</v>
      </c>
      <c r="B1465" s="10">
        <v>42937</v>
      </c>
      <c r="C1465" s="11">
        <v>0.47697916666666668</v>
      </c>
      <c r="D1465" s="12">
        <v>0.48678240740740741</v>
      </c>
      <c r="E1465" s="20">
        <f t="shared" si="44"/>
        <v>0</v>
      </c>
      <c r="F1465">
        <f t="shared" si="45"/>
        <v>0</v>
      </c>
    </row>
    <row r="1466" spans="1:6" x14ac:dyDescent="0.35">
      <c r="A1466" s="5">
        <v>7322741</v>
      </c>
      <c r="B1466" s="6">
        <v>42937</v>
      </c>
      <c r="C1466" s="7">
        <v>0.47833333333333333</v>
      </c>
      <c r="D1466" s="8">
        <v>0.48989583333333331</v>
      </c>
      <c r="E1466" s="20">
        <f t="shared" si="44"/>
        <v>0</v>
      </c>
      <c r="F1466">
        <f t="shared" si="45"/>
        <v>0</v>
      </c>
    </row>
    <row r="1467" spans="1:6" x14ac:dyDescent="0.35">
      <c r="A1467" s="9">
        <v>2354992</v>
      </c>
      <c r="B1467" s="10">
        <v>42937</v>
      </c>
      <c r="C1467" s="11">
        <v>0.4828587962962963</v>
      </c>
      <c r="D1467" s="12">
        <v>0.48295138888888889</v>
      </c>
      <c r="E1467" s="20">
        <f t="shared" si="44"/>
        <v>0</v>
      </c>
      <c r="F1467">
        <f t="shared" si="45"/>
        <v>0</v>
      </c>
    </row>
    <row r="1468" spans="1:6" x14ac:dyDescent="0.35">
      <c r="A1468" s="5">
        <v>1766133</v>
      </c>
      <c r="B1468" s="6">
        <v>42937</v>
      </c>
      <c r="C1468" s="7">
        <v>0.48439814814814813</v>
      </c>
      <c r="D1468" s="8">
        <v>0.4878587962962963</v>
      </c>
      <c r="E1468" s="20">
        <f t="shared" si="44"/>
        <v>0</v>
      </c>
      <c r="F1468">
        <f t="shared" si="45"/>
        <v>0</v>
      </c>
    </row>
    <row r="1469" spans="1:6" x14ac:dyDescent="0.35">
      <c r="A1469" s="9">
        <v>2922327</v>
      </c>
      <c r="B1469" s="10">
        <v>42937</v>
      </c>
      <c r="C1469" s="11">
        <v>0.48690972222222223</v>
      </c>
      <c r="D1469" s="12">
        <v>0.49665509259259261</v>
      </c>
      <c r="E1469" s="20">
        <f t="shared" si="44"/>
        <v>0</v>
      </c>
      <c r="F1469">
        <f t="shared" si="45"/>
        <v>0</v>
      </c>
    </row>
    <row r="1470" spans="1:6" x14ac:dyDescent="0.35">
      <c r="A1470" s="5">
        <v>8679036</v>
      </c>
      <c r="B1470" s="6">
        <v>42937</v>
      </c>
      <c r="C1470" s="7">
        <v>0.4924189814814815</v>
      </c>
      <c r="D1470" s="8">
        <v>0.49381944444444442</v>
      </c>
      <c r="E1470" s="20">
        <f t="shared" si="44"/>
        <v>0</v>
      </c>
      <c r="F1470">
        <f t="shared" si="45"/>
        <v>0</v>
      </c>
    </row>
    <row r="1471" spans="1:6" x14ac:dyDescent="0.35">
      <c r="A1471" s="9">
        <v>1469705</v>
      </c>
      <c r="B1471" s="10">
        <v>42937</v>
      </c>
      <c r="C1471" s="11">
        <v>0.49327546296296299</v>
      </c>
      <c r="D1471" s="12">
        <v>0.50351851851851848</v>
      </c>
      <c r="E1471" s="20">
        <f t="shared" si="44"/>
        <v>0</v>
      </c>
      <c r="F1471">
        <f t="shared" si="45"/>
        <v>0</v>
      </c>
    </row>
    <row r="1472" spans="1:6" x14ac:dyDescent="0.35">
      <c r="A1472" s="5">
        <v>8079505</v>
      </c>
      <c r="B1472" s="6">
        <v>42937</v>
      </c>
      <c r="C1472" s="7">
        <v>0.49811342592592595</v>
      </c>
      <c r="D1472" s="8">
        <v>0.5065277777777778</v>
      </c>
      <c r="E1472" s="20">
        <f t="shared" si="44"/>
        <v>0</v>
      </c>
      <c r="F1472">
        <f t="shared" si="45"/>
        <v>0</v>
      </c>
    </row>
    <row r="1473" spans="1:6" x14ac:dyDescent="0.35">
      <c r="A1473" s="9">
        <v>4661635</v>
      </c>
      <c r="B1473" s="10">
        <v>42937</v>
      </c>
      <c r="C1473" s="11">
        <v>0.50016203703703699</v>
      </c>
      <c r="D1473" s="12">
        <v>0.50506944444444446</v>
      </c>
      <c r="E1473" s="20">
        <f t="shared" si="44"/>
        <v>0</v>
      </c>
      <c r="F1473">
        <f t="shared" si="45"/>
        <v>0</v>
      </c>
    </row>
    <row r="1474" spans="1:6" x14ac:dyDescent="0.35">
      <c r="A1474" s="5">
        <v>4497624</v>
      </c>
      <c r="B1474" s="6">
        <v>42937</v>
      </c>
      <c r="C1474" s="7">
        <v>0.50284722222222222</v>
      </c>
      <c r="D1474" s="8">
        <v>0.51432870370370365</v>
      </c>
      <c r="E1474" s="20">
        <f t="shared" si="44"/>
        <v>0</v>
      </c>
      <c r="F1474">
        <f t="shared" si="45"/>
        <v>0</v>
      </c>
    </row>
    <row r="1475" spans="1:6" x14ac:dyDescent="0.35">
      <c r="A1475" s="9">
        <v>52468382</v>
      </c>
      <c r="B1475" s="10">
        <v>42937</v>
      </c>
      <c r="C1475" s="11">
        <v>0.50840277777777776</v>
      </c>
      <c r="D1475" s="12">
        <v>0.50968749999999996</v>
      </c>
      <c r="E1475" s="20">
        <f t="shared" ref="E1475:E1538" si="46">IF(F1475=1,D1475-C1475,0)</f>
        <v>0</v>
      </c>
      <c r="F1475">
        <f t="shared" ref="F1475:F1538" si="47">IF(AND(LEN(A1475)=7,LEFT(A1475,2) = "12"),1,0)</f>
        <v>0</v>
      </c>
    </row>
    <row r="1476" spans="1:6" x14ac:dyDescent="0.35">
      <c r="A1476" s="5">
        <v>5687077</v>
      </c>
      <c r="B1476" s="6">
        <v>42937</v>
      </c>
      <c r="C1476" s="7">
        <v>0.51200231481481484</v>
      </c>
      <c r="D1476" s="8">
        <v>0.52253472222222219</v>
      </c>
      <c r="E1476" s="20">
        <f t="shared" si="46"/>
        <v>0</v>
      </c>
      <c r="F1476">
        <f t="shared" si="47"/>
        <v>0</v>
      </c>
    </row>
    <row r="1477" spans="1:6" x14ac:dyDescent="0.35">
      <c r="A1477" s="9">
        <v>3914070</v>
      </c>
      <c r="B1477" s="10">
        <v>42937</v>
      </c>
      <c r="C1477" s="11">
        <v>0.51249999999999996</v>
      </c>
      <c r="D1477" s="12">
        <v>0.51405092592592594</v>
      </c>
      <c r="E1477" s="20">
        <f t="shared" si="46"/>
        <v>0</v>
      </c>
      <c r="F1477">
        <f t="shared" si="47"/>
        <v>0</v>
      </c>
    </row>
    <row r="1478" spans="1:6" x14ac:dyDescent="0.35">
      <c r="A1478" s="5">
        <v>84684423</v>
      </c>
      <c r="B1478" s="6">
        <v>42937</v>
      </c>
      <c r="C1478" s="7">
        <v>0.51520833333333338</v>
      </c>
      <c r="D1478" s="8">
        <v>0.51918981481481485</v>
      </c>
      <c r="E1478" s="20">
        <f t="shared" si="46"/>
        <v>0</v>
      </c>
      <c r="F1478">
        <f t="shared" si="47"/>
        <v>0</v>
      </c>
    </row>
    <row r="1479" spans="1:6" x14ac:dyDescent="0.35">
      <c r="A1479" s="9">
        <v>6493406</v>
      </c>
      <c r="B1479" s="10">
        <v>42937</v>
      </c>
      <c r="C1479" s="11">
        <v>0.51936342592592588</v>
      </c>
      <c r="D1479" s="12">
        <v>0.52559027777777778</v>
      </c>
      <c r="E1479" s="20">
        <f t="shared" si="46"/>
        <v>0</v>
      </c>
      <c r="F1479">
        <f t="shared" si="47"/>
        <v>0</v>
      </c>
    </row>
    <row r="1480" spans="1:6" x14ac:dyDescent="0.35">
      <c r="A1480" s="5">
        <v>1563816</v>
      </c>
      <c r="B1480" s="6">
        <v>42937</v>
      </c>
      <c r="C1480" s="7">
        <v>0.52243055555555551</v>
      </c>
      <c r="D1480" s="8">
        <v>0.52681712962962968</v>
      </c>
      <c r="E1480" s="20">
        <f t="shared" si="46"/>
        <v>0</v>
      </c>
      <c r="F1480">
        <f t="shared" si="47"/>
        <v>0</v>
      </c>
    </row>
    <row r="1481" spans="1:6" x14ac:dyDescent="0.35">
      <c r="A1481" s="9">
        <v>7779935</v>
      </c>
      <c r="B1481" s="10">
        <v>42937</v>
      </c>
      <c r="C1481" s="11">
        <v>0.52469907407407412</v>
      </c>
      <c r="D1481" s="12">
        <v>0.53218750000000004</v>
      </c>
      <c r="E1481" s="20">
        <f t="shared" si="46"/>
        <v>0</v>
      </c>
      <c r="F1481">
        <f t="shared" si="47"/>
        <v>0</v>
      </c>
    </row>
    <row r="1482" spans="1:6" x14ac:dyDescent="0.35">
      <c r="A1482" s="5">
        <v>4429479</v>
      </c>
      <c r="B1482" s="6">
        <v>42937</v>
      </c>
      <c r="C1482" s="7">
        <v>0.52749999999999997</v>
      </c>
      <c r="D1482" s="8">
        <v>0.53034722222222219</v>
      </c>
      <c r="E1482" s="20">
        <f t="shared" si="46"/>
        <v>0</v>
      </c>
      <c r="F1482">
        <f t="shared" si="47"/>
        <v>0</v>
      </c>
    </row>
    <row r="1483" spans="1:6" x14ac:dyDescent="0.35">
      <c r="A1483" s="9">
        <v>2963652</v>
      </c>
      <c r="B1483" s="10">
        <v>42937</v>
      </c>
      <c r="C1483" s="11">
        <v>0.53240740740740744</v>
      </c>
      <c r="D1483" s="12">
        <v>0.53785879629629629</v>
      </c>
      <c r="E1483" s="20">
        <f t="shared" si="46"/>
        <v>0</v>
      </c>
      <c r="F1483">
        <f t="shared" si="47"/>
        <v>0</v>
      </c>
    </row>
    <row r="1484" spans="1:6" x14ac:dyDescent="0.35">
      <c r="A1484" s="5">
        <v>91032395</v>
      </c>
      <c r="B1484" s="6">
        <v>42937</v>
      </c>
      <c r="C1484" s="7">
        <v>0.53811342592592593</v>
      </c>
      <c r="D1484" s="8">
        <v>0.54365740740740742</v>
      </c>
      <c r="E1484" s="20">
        <f t="shared" si="46"/>
        <v>0</v>
      </c>
      <c r="F1484">
        <f t="shared" si="47"/>
        <v>0</v>
      </c>
    </row>
    <row r="1485" spans="1:6" x14ac:dyDescent="0.35">
      <c r="A1485" s="9">
        <v>6999348</v>
      </c>
      <c r="B1485" s="10">
        <v>42937</v>
      </c>
      <c r="C1485" s="11">
        <v>0.53831018518518514</v>
      </c>
      <c r="D1485" s="12">
        <v>0.53998842592592589</v>
      </c>
      <c r="E1485" s="20">
        <f t="shared" si="46"/>
        <v>0</v>
      </c>
      <c r="F1485">
        <f t="shared" si="47"/>
        <v>0</v>
      </c>
    </row>
    <row r="1486" spans="1:6" x14ac:dyDescent="0.35">
      <c r="A1486" s="5">
        <v>4424322</v>
      </c>
      <c r="B1486" s="6">
        <v>42937</v>
      </c>
      <c r="C1486" s="7">
        <v>0.54233796296296299</v>
      </c>
      <c r="D1486" s="8">
        <v>0.55148148148148146</v>
      </c>
      <c r="E1486" s="20">
        <f t="shared" si="46"/>
        <v>0</v>
      </c>
      <c r="F1486">
        <f t="shared" si="47"/>
        <v>0</v>
      </c>
    </row>
    <row r="1487" spans="1:6" x14ac:dyDescent="0.35">
      <c r="A1487" s="9">
        <v>9500083</v>
      </c>
      <c r="B1487" s="10">
        <v>42937</v>
      </c>
      <c r="C1487" s="11">
        <v>0.54631944444444447</v>
      </c>
      <c r="D1487" s="12">
        <v>0.55652777777777773</v>
      </c>
      <c r="E1487" s="20">
        <f t="shared" si="46"/>
        <v>0</v>
      </c>
      <c r="F1487">
        <f t="shared" si="47"/>
        <v>0</v>
      </c>
    </row>
    <row r="1488" spans="1:6" x14ac:dyDescent="0.35">
      <c r="A1488" s="5">
        <v>2912297</v>
      </c>
      <c r="B1488" s="6">
        <v>42937</v>
      </c>
      <c r="C1488" s="7">
        <v>0.54761574074074071</v>
      </c>
      <c r="D1488" s="8">
        <v>0.55443287037037037</v>
      </c>
      <c r="E1488" s="20">
        <f t="shared" si="46"/>
        <v>0</v>
      </c>
      <c r="F1488">
        <f t="shared" si="47"/>
        <v>0</v>
      </c>
    </row>
    <row r="1489" spans="1:6" x14ac:dyDescent="0.35">
      <c r="A1489" s="9">
        <v>4303945</v>
      </c>
      <c r="B1489" s="10">
        <v>42937</v>
      </c>
      <c r="C1489" s="11">
        <v>0.54953703703703705</v>
      </c>
      <c r="D1489" s="12">
        <v>0.55783564814814812</v>
      </c>
      <c r="E1489" s="20">
        <f t="shared" si="46"/>
        <v>0</v>
      </c>
      <c r="F1489">
        <f t="shared" si="47"/>
        <v>0</v>
      </c>
    </row>
    <row r="1490" spans="1:6" x14ac:dyDescent="0.35">
      <c r="A1490" s="5">
        <v>3264546470</v>
      </c>
      <c r="B1490" s="6">
        <v>42937</v>
      </c>
      <c r="C1490" s="7">
        <v>0.55311342592592594</v>
      </c>
      <c r="D1490" s="8">
        <v>0.55469907407407404</v>
      </c>
      <c r="E1490" s="20">
        <f t="shared" si="46"/>
        <v>0</v>
      </c>
      <c r="F1490">
        <f t="shared" si="47"/>
        <v>0</v>
      </c>
    </row>
    <row r="1491" spans="1:6" x14ac:dyDescent="0.35">
      <c r="A1491" s="9">
        <v>7275091</v>
      </c>
      <c r="B1491" s="10">
        <v>42937</v>
      </c>
      <c r="C1491" s="11">
        <v>0.55652777777777773</v>
      </c>
      <c r="D1491" s="12">
        <v>0.56657407407407412</v>
      </c>
      <c r="E1491" s="20">
        <f t="shared" si="46"/>
        <v>0</v>
      </c>
      <c r="F1491">
        <f t="shared" si="47"/>
        <v>0</v>
      </c>
    </row>
    <row r="1492" spans="1:6" x14ac:dyDescent="0.35">
      <c r="A1492" s="5">
        <v>9021766</v>
      </c>
      <c r="B1492" s="6">
        <v>42937</v>
      </c>
      <c r="C1492" s="7">
        <v>0.5575</v>
      </c>
      <c r="D1492" s="8">
        <v>0.56418981481481478</v>
      </c>
      <c r="E1492" s="20">
        <f t="shared" si="46"/>
        <v>0</v>
      </c>
      <c r="F1492">
        <f t="shared" si="47"/>
        <v>0</v>
      </c>
    </row>
    <row r="1493" spans="1:6" x14ac:dyDescent="0.35">
      <c r="A1493" s="9">
        <v>1500342</v>
      </c>
      <c r="B1493" s="10">
        <v>42937</v>
      </c>
      <c r="C1493" s="11">
        <v>0.56297453703703704</v>
      </c>
      <c r="D1493" s="12">
        <v>0.56752314814814819</v>
      </c>
      <c r="E1493" s="20">
        <f t="shared" si="46"/>
        <v>0</v>
      </c>
      <c r="F1493">
        <f t="shared" si="47"/>
        <v>0</v>
      </c>
    </row>
    <row r="1494" spans="1:6" x14ac:dyDescent="0.35">
      <c r="A1494" s="5">
        <v>7295667</v>
      </c>
      <c r="B1494" s="6">
        <v>42937</v>
      </c>
      <c r="C1494" s="7">
        <v>0.56578703703703703</v>
      </c>
      <c r="D1494" s="8">
        <v>0.57518518518518513</v>
      </c>
      <c r="E1494" s="20">
        <f t="shared" si="46"/>
        <v>0</v>
      </c>
      <c r="F1494">
        <f t="shared" si="47"/>
        <v>0</v>
      </c>
    </row>
    <row r="1495" spans="1:6" x14ac:dyDescent="0.35">
      <c r="A1495" s="9">
        <v>5512237</v>
      </c>
      <c r="B1495" s="10">
        <v>42937</v>
      </c>
      <c r="C1495" s="11">
        <v>0.5713773148148148</v>
      </c>
      <c r="D1495" s="12">
        <v>0.58107638888888891</v>
      </c>
      <c r="E1495" s="20">
        <f t="shared" si="46"/>
        <v>0</v>
      </c>
      <c r="F1495">
        <f t="shared" si="47"/>
        <v>0</v>
      </c>
    </row>
    <row r="1496" spans="1:6" x14ac:dyDescent="0.35">
      <c r="A1496" s="5">
        <v>22266436</v>
      </c>
      <c r="B1496" s="6">
        <v>42937</v>
      </c>
      <c r="C1496" s="7">
        <v>0.57549768518518518</v>
      </c>
      <c r="D1496" s="8">
        <v>0.57925925925925925</v>
      </c>
      <c r="E1496" s="20">
        <f t="shared" si="46"/>
        <v>0</v>
      </c>
      <c r="F1496">
        <f t="shared" si="47"/>
        <v>0</v>
      </c>
    </row>
    <row r="1497" spans="1:6" x14ac:dyDescent="0.35">
      <c r="A1497" s="9">
        <v>60885211</v>
      </c>
      <c r="B1497" s="10">
        <v>42937</v>
      </c>
      <c r="C1497" s="11">
        <v>0.57828703703703699</v>
      </c>
      <c r="D1497" s="12">
        <v>0.58940972222222221</v>
      </c>
      <c r="E1497" s="20">
        <f t="shared" si="46"/>
        <v>0</v>
      </c>
      <c r="F1497">
        <f t="shared" si="47"/>
        <v>0</v>
      </c>
    </row>
    <row r="1498" spans="1:6" x14ac:dyDescent="0.35">
      <c r="A1498" s="5">
        <v>4379415</v>
      </c>
      <c r="B1498" s="6">
        <v>42937</v>
      </c>
      <c r="C1498" s="7">
        <v>0.57983796296296297</v>
      </c>
      <c r="D1498" s="8">
        <v>0.58756944444444448</v>
      </c>
      <c r="E1498" s="20">
        <f t="shared" si="46"/>
        <v>0</v>
      </c>
      <c r="F1498">
        <f t="shared" si="47"/>
        <v>0</v>
      </c>
    </row>
    <row r="1499" spans="1:6" x14ac:dyDescent="0.35">
      <c r="A1499" s="9">
        <v>22747425</v>
      </c>
      <c r="B1499" s="10">
        <v>42937</v>
      </c>
      <c r="C1499" s="11">
        <v>0.58520833333333333</v>
      </c>
      <c r="D1499" s="12">
        <v>0.59646990740740746</v>
      </c>
      <c r="E1499" s="20">
        <f t="shared" si="46"/>
        <v>0</v>
      </c>
      <c r="F1499">
        <f t="shared" si="47"/>
        <v>0</v>
      </c>
    </row>
    <row r="1500" spans="1:6" x14ac:dyDescent="0.35">
      <c r="A1500" s="5">
        <v>3858766</v>
      </c>
      <c r="B1500" s="6">
        <v>42937</v>
      </c>
      <c r="C1500" s="7">
        <v>0.59026620370370375</v>
      </c>
      <c r="D1500" s="8">
        <v>0.59652777777777777</v>
      </c>
      <c r="E1500" s="20">
        <f t="shared" si="46"/>
        <v>0</v>
      </c>
      <c r="F1500">
        <f t="shared" si="47"/>
        <v>0</v>
      </c>
    </row>
    <row r="1501" spans="1:6" x14ac:dyDescent="0.35">
      <c r="A1501" s="9">
        <v>6231537</v>
      </c>
      <c r="B1501" s="10">
        <v>42937</v>
      </c>
      <c r="C1501" s="11">
        <v>0.59401620370370367</v>
      </c>
      <c r="D1501" s="12">
        <v>0.60012731481481485</v>
      </c>
      <c r="E1501" s="20">
        <f t="shared" si="46"/>
        <v>0</v>
      </c>
      <c r="F1501">
        <f t="shared" si="47"/>
        <v>0</v>
      </c>
    </row>
    <row r="1502" spans="1:6" x14ac:dyDescent="0.35">
      <c r="A1502" s="5">
        <v>1296262</v>
      </c>
      <c r="B1502" s="6">
        <v>42937</v>
      </c>
      <c r="C1502" s="7">
        <v>0.59712962962962968</v>
      </c>
      <c r="D1502" s="8">
        <v>0.6026273148148148</v>
      </c>
      <c r="E1502" s="20">
        <f t="shared" si="46"/>
        <v>5.4976851851851194E-3</v>
      </c>
      <c r="F1502">
        <f t="shared" si="47"/>
        <v>1</v>
      </c>
    </row>
    <row r="1503" spans="1:6" x14ac:dyDescent="0.35">
      <c r="A1503" s="9">
        <v>6175467</v>
      </c>
      <c r="B1503" s="10">
        <v>42937</v>
      </c>
      <c r="C1503" s="11">
        <v>0.60185185185185186</v>
      </c>
      <c r="D1503" s="12">
        <v>0.61021990740740739</v>
      </c>
      <c r="E1503" s="20">
        <f t="shared" si="46"/>
        <v>0</v>
      </c>
      <c r="F1503">
        <f t="shared" si="47"/>
        <v>0</v>
      </c>
    </row>
    <row r="1504" spans="1:6" x14ac:dyDescent="0.35">
      <c r="A1504" s="5">
        <v>6434255</v>
      </c>
      <c r="B1504" s="6">
        <v>42937</v>
      </c>
      <c r="C1504" s="7">
        <v>0.60196759259259258</v>
      </c>
      <c r="D1504" s="8">
        <v>0.60356481481481483</v>
      </c>
      <c r="E1504" s="20">
        <f t="shared" si="46"/>
        <v>0</v>
      </c>
      <c r="F1504">
        <f t="shared" si="47"/>
        <v>0</v>
      </c>
    </row>
    <row r="1505" spans="1:6" x14ac:dyDescent="0.35">
      <c r="A1505" s="9">
        <v>2723614</v>
      </c>
      <c r="B1505" s="10">
        <v>42937</v>
      </c>
      <c r="C1505" s="11">
        <v>0.60465277777777782</v>
      </c>
      <c r="D1505" s="12">
        <v>0.60886574074074074</v>
      </c>
      <c r="E1505" s="20">
        <f t="shared" si="46"/>
        <v>0</v>
      </c>
      <c r="F1505">
        <f t="shared" si="47"/>
        <v>0</v>
      </c>
    </row>
    <row r="1506" spans="1:6" x14ac:dyDescent="0.35">
      <c r="A1506" s="5">
        <v>92326393</v>
      </c>
      <c r="B1506" s="6">
        <v>42937</v>
      </c>
      <c r="C1506" s="7">
        <v>0.60782407407407413</v>
      </c>
      <c r="D1506" s="8">
        <v>0.61331018518518521</v>
      </c>
      <c r="E1506" s="20">
        <f t="shared" si="46"/>
        <v>0</v>
      </c>
      <c r="F1506">
        <f t="shared" si="47"/>
        <v>0</v>
      </c>
    </row>
    <row r="1507" spans="1:6" x14ac:dyDescent="0.35">
      <c r="A1507" s="9">
        <v>5039266</v>
      </c>
      <c r="B1507" s="10">
        <v>42937</v>
      </c>
      <c r="C1507" s="11">
        <v>0.6121875</v>
      </c>
      <c r="D1507" s="12">
        <v>0.6181712962962963</v>
      </c>
      <c r="E1507" s="20">
        <f t="shared" si="46"/>
        <v>0</v>
      </c>
      <c r="F1507">
        <f t="shared" si="47"/>
        <v>0</v>
      </c>
    </row>
    <row r="1508" spans="1:6" x14ac:dyDescent="0.35">
      <c r="A1508" s="5">
        <v>3861280</v>
      </c>
      <c r="B1508" s="6">
        <v>42937</v>
      </c>
      <c r="C1508" s="7">
        <v>0.6147569444444444</v>
      </c>
      <c r="D1508" s="8">
        <v>0.62420138888888888</v>
      </c>
      <c r="E1508" s="20">
        <f t="shared" si="46"/>
        <v>0</v>
      </c>
      <c r="F1508">
        <f t="shared" si="47"/>
        <v>0</v>
      </c>
    </row>
    <row r="1509" spans="1:6" x14ac:dyDescent="0.35">
      <c r="A1509" s="9">
        <v>3982833</v>
      </c>
      <c r="B1509" s="10">
        <v>42937</v>
      </c>
      <c r="C1509" s="11">
        <v>0.61690972222222218</v>
      </c>
      <c r="D1509" s="12">
        <v>0.62290509259259264</v>
      </c>
      <c r="E1509" s="20">
        <f t="shared" si="46"/>
        <v>0</v>
      </c>
      <c r="F1509">
        <f t="shared" si="47"/>
        <v>0</v>
      </c>
    </row>
    <row r="1510" spans="1:6" x14ac:dyDescent="0.35">
      <c r="A1510" s="5">
        <v>5835972</v>
      </c>
      <c r="B1510" s="6">
        <v>42937</v>
      </c>
      <c r="C1510" s="7">
        <v>0.6206828703703704</v>
      </c>
      <c r="D1510" s="8">
        <v>0.62291666666666667</v>
      </c>
      <c r="E1510" s="20">
        <f t="shared" si="46"/>
        <v>0</v>
      </c>
      <c r="F1510">
        <f t="shared" si="47"/>
        <v>0</v>
      </c>
    </row>
    <row r="1511" spans="1:6" x14ac:dyDescent="0.35">
      <c r="A1511" s="9">
        <v>98382147</v>
      </c>
      <c r="B1511" s="10">
        <v>42937</v>
      </c>
      <c r="C1511" s="11">
        <v>0.62484953703703705</v>
      </c>
      <c r="D1511" s="12">
        <v>0.62848379629629625</v>
      </c>
      <c r="E1511" s="20">
        <f t="shared" si="46"/>
        <v>0</v>
      </c>
      <c r="F1511">
        <f t="shared" si="47"/>
        <v>0</v>
      </c>
    </row>
    <row r="1512" spans="1:6" x14ac:dyDescent="0.35">
      <c r="A1512" s="5">
        <v>9427353</v>
      </c>
      <c r="B1512" s="6">
        <v>42937</v>
      </c>
      <c r="C1512" s="7">
        <v>0.62612268518518521</v>
      </c>
      <c r="D1512" s="8">
        <v>0.62835648148148149</v>
      </c>
      <c r="E1512" s="20">
        <f t="shared" si="46"/>
        <v>0</v>
      </c>
      <c r="F1512">
        <f t="shared" si="47"/>
        <v>0</v>
      </c>
    </row>
    <row r="1513" spans="1:6" x14ac:dyDescent="0.35">
      <c r="A1513" s="9">
        <v>11274735</v>
      </c>
      <c r="B1513" s="10">
        <v>42940</v>
      </c>
      <c r="C1513" s="11">
        <v>0.33624999999999999</v>
      </c>
      <c r="D1513" s="12">
        <v>0.34670138888888891</v>
      </c>
      <c r="E1513" s="20">
        <f t="shared" si="46"/>
        <v>0</v>
      </c>
      <c r="F1513">
        <f t="shared" si="47"/>
        <v>0</v>
      </c>
    </row>
    <row r="1514" spans="1:6" x14ac:dyDescent="0.35">
      <c r="A1514" s="5">
        <v>9727873</v>
      </c>
      <c r="B1514" s="6">
        <v>42940</v>
      </c>
      <c r="C1514" s="7">
        <v>0.33728009259259262</v>
      </c>
      <c r="D1514" s="8">
        <v>0.34291666666666665</v>
      </c>
      <c r="E1514" s="20">
        <f t="shared" si="46"/>
        <v>0</v>
      </c>
      <c r="F1514">
        <f t="shared" si="47"/>
        <v>0</v>
      </c>
    </row>
    <row r="1515" spans="1:6" x14ac:dyDescent="0.35">
      <c r="A1515" s="9">
        <v>4804872</v>
      </c>
      <c r="B1515" s="10">
        <v>42940</v>
      </c>
      <c r="C1515" s="11">
        <v>0.3402662037037037</v>
      </c>
      <c r="D1515" s="12">
        <v>0.34250000000000003</v>
      </c>
      <c r="E1515" s="20">
        <f t="shared" si="46"/>
        <v>0</v>
      </c>
      <c r="F1515">
        <f t="shared" si="47"/>
        <v>0</v>
      </c>
    </row>
    <row r="1516" spans="1:6" x14ac:dyDescent="0.35">
      <c r="A1516" s="5">
        <v>22583033</v>
      </c>
      <c r="B1516" s="6">
        <v>42940</v>
      </c>
      <c r="C1516" s="7">
        <v>0.34495370370370371</v>
      </c>
      <c r="D1516" s="8">
        <v>0.3467824074074074</v>
      </c>
      <c r="E1516" s="20">
        <f t="shared" si="46"/>
        <v>0</v>
      </c>
      <c r="F1516">
        <f t="shared" si="47"/>
        <v>0</v>
      </c>
    </row>
    <row r="1517" spans="1:6" x14ac:dyDescent="0.35">
      <c r="A1517" s="9">
        <v>4056070</v>
      </c>
      <c r="B1517" s="10">
        <v>42940</v>
      </c>
      <c r="C1517" s="11">
        <v>0.3480787037037037</v>
      </c>
      <c r="D1517" s="12">
        <v>0.35413194444444446</v>
      </c>
      <c r="E1517" s="20">
        <f t="shared" si="46"/>
        <v>0</v>
      </c>
      <c r="F1517">
        <f t="shared" si="47"/>
        <v>0</v>
      </c>
    </row>
    <row r="1518" spans="1:6" x14ac:dyDescent="0.35">
      <c r="A1518" s="5">
        <v>2701816</v>
      </c>
      <c r="B1518" s="6">
        <v>42940</v>
      </c>
      <c r="C1518" s="7">
        <v>0.34879629629629627</v>
      </c>
      <c r="D1518" s="8">
        <v>0.35699074074074072</v>
      </c>
      <c r="E1518" s="20">
        <f t="shared" si="46"/>
        <v>0</v>
      </c>
      <c r="F1518">
        <f t="shared" si="47"/>
        <v>0</v>
      </c>
    </row>
    <row r="1519" spans="1:6" x14ac:dyDescent="0.35">
      <c r="A1519" s="9">
        <v>20735440</v>
      </c>
      <c r="B1519" s="10">
        <v>42940</v>
      </c>
      <c r="C1519" s="11">
        <v>0.35041666666666665</v>
      </c>
      <c r="D1519" s="12">
        <v>0.35834490740740743</v>
      </c>
      <c r="E1519" s="20">
        <f t="shared" si="46"/>
        <v>0</v>
      </c>
      <c r="F1519">
        <f t="shared" si="47"/>
        <v>0</v>
      </c>
    </row>
    <row r="1520" spans="1:6" x14ac:dyDescent="0.35">
      <c r="A1520" s="5">
        <v>9076015</v>
      </c>
      <c r="B1520" s="6">
        <v>42940</v>
      </c>
      <c r="C1520" s="7">
        <v>0.35129629629629627</v>
      </c>
      <c r="D1520" s="8">
        <v>0.35626157407407405</v>
      </c>
      <c r="E1520" s="20">
        <f t="shared" si="46"/>
        <v>0</v>
      </c>
      <c r="F1520">
        <f t="shared" si="47"/>
        <v>0</v>
      </c>
    </row>
    <row r="1521" spans="1:6" x14ac:dyDescent="0.35">
      <c r="A1521" s="9">
        <v>11070759</v>
      </c>
      <c r="B1521" s="10">
        <v>42940</v>
      </c>
      <c r="C1521" s="11">
        <v>0.35653935185185187</v>
      </c>
      <c r="D1521" s="12">
        <v>0.35864583333333333</v>
      </c>
      <c r="E1521" s="20">
        <f t="shared" si="46"/>
        <v>0</v>
      </c>
      <c r="F1521">
        <f t="shared" si="47"/>
        <v>0</v>
      </c>
    </row>
    <row r="1522" spans="1:6" x14ac:dyDescent="0.35">
      <c r="A1522" s="5">
        <v>22176115</v>
      </c>
      <c r="B1522" s="6">
        <v>42940</v>
      </c>
      <c r="C1522" s="7">
        <v>0.35991898148148149</v>
      </c>
      <c r="D1522" s="8">
        <v>0.36880787037037038</v>
      </c>
      <c r="E1522" s="20">
        <f t="shared" si="46"/>
        <v>0</v>
      </c>
      <c r="F1522">
        <f t="shared" si="47"/>
        <v>0</v>
      </c>
    </row>
    <row r="1523" spans="1:6" x14ac:dyDescent="0.35">
      <c r="A1523" s="9">
        <v>7456918</v>
      </c>
      <c r="B1523" s="10">
        <v>42940</v>
      </c>
      <c r="C1523" s="11">
        <v>0.36061342592592593</v>
      </c>
      <c r="D1523" s="12">
        <v>0.36667824074074074</v>
      </c>
      <c r="E1523" s="20">
        <f t="shared" si="46"/>
        <v>0</v>
      </c>
      <c r="F1523">
        <f t="shared" si="47"/>
        <v>0</v>
      </c>
    </row>
    <row r="1524" spans="1:6" x14ac:dyDescent="0.35">
      <c r="A1524" s="5">
        <v>6896787</v>
      </c>
      <c r="B1524" s="6">
        <v>42940</v>
      </c>
      <c r="C1524" s="7">
        <v>0.36243055555555553</v>
      </c>
      <c r="D1524" s="8">
        <v>0.36993055555555554</v>
      </c>
      <c r="E1524" s="20">
        <f t="shared" si="46"/>
        <v>0</v>
      </c>
      <c r="F1524">
        <f t="shared" si="47"/>
        <v>0</v>
      </c>
    </row>
    <row r="1525" spans="1:6" x14ac:dyDescent="0.35">
      <c r="A1525" s="9">
        <v>6561564994</v>
      </c>
      <c r="B1525" s="10">
        <v>42940</v>
      </c>
      <c r="C1525" s="11">
        <v>0.36334490740740738</v>
      </c>
      <c r="D1525" s="12">
        <v>0.3696875</v>
      </c>
      <c r="E1525" s="20">
        <f t="shared" si="46"/>
        <v>0</v>
      </c>
      <c r="F1525">
        <f t="shared" si="47"/>
        <v>0</v>
      </c>
    </row>
    <row r="1526" spans="1:6" x14ac:dyDescent="0.35">
      <c r="A1526" s="5">
        <v>8414788</v>
      </c>
      <c r="B1526" s="6">
        <v>42940</v>
      </c>
      <c r="C1526" s="7">
        <v>0.36887731481481484</v>
      </c>
      <c r="D1526" s="8">
        <v>0.37443287037037037</v>
      </c>
      <c r="E1526" s="20">
        <f t="shared" si="46"/>
        <v>0</v>
      </c>
      <c r="F1526">
        <f t="shared" si="47"/>
        <v>0</v>
      </c>
    </row>
    <row r="1527" spans="1:6" x14ac:dyDescent="0.35">
      <c r="A1527" s="9">
        <v>7896629</v>
      </c>
      <c r="B1527" s="10">
        <v>42940</v>
      </c>
      <c r="C1527" s="11">
        <v>0.37025462962962963</v>
      </c>
      <c r="D1527" s="12">
        <v>0.3785648148148148</v>
      </c>
      <c r="E1527" s="20">
        <f t="shared" si="46"/>
        <v>0</v>
      </c>
      <c r="F1527">
        <f t="shared" si="47"/>
        <v>0</v>
      </c>
    </row>
    <row r="1528" spans="1:6" x14ac:dyDescent="0.35">
      <c r="A1528" s="5">
        <v>5970183</v>
      </c>
      <c r="B1528" s="6">
        <v>42940</v>
      </c>
      <c r="C1528" s="7">
        <v>0.37150462962962966</v>
      </c>
      <c r="D1528" s="8">
        <v>0.37246527777777777</v>
      </c>
      <c r="E1528" s="20">
        <f t="shared" si="46"/>
        <v>0</v>
      </c>
      <c r="F1528">
        <f t="shared" si="47"/>
        <v>0</v>
      </c>
    </row>
    <row r="1529" spans="1:6" x14ac:dyDescent="0.35">
      <c r="A1529" s="9">
        <v>57891628</v>
      </c>
      <c r="B1529" s="10">
        <v>42940</v>
      </c>
      <c r="C1529" s="11">
        <v>0.37296296296296294</v>
      </c>
      <c r="D1529" s="12">
        <v>0.38413194444444443</v>
      </c>
      <c r="E1529" s="20">
        <f t="shared" si="46"/>
        <v>0</v>
      </c>
      <c r="F1529">
        <f t="shared" si="47"/>
        <v>0</v>
      </c>
    </row>
    <row r="1530" spans="1:6" x14ac:dyDescent="0.35">
      <c r="A1530" s="5">
        <v>53378457</v>
      </c>
      <c r="B1530" s="6">
        <v>42940</v>
      </c>
      <c r="C1530" s="7">
        <v>0.3777314814814815</v>
      </c>
      <c r="D1530" s="8">
        <v>0.38680555555555557</v>
      </c>
      <c r="E1530" s="20">
        <f t="shared" si="46"/>
        <v>0</v>
      </c>
      <c r="F1530">
        <f t="shared" si="47"/>
        <v>0</v>
      </c>
    </row>
    <row r="1531" spans="1:6" x14ac:dyDescent="0.35">
      <c r="A1531" s="9">
        <v>88666908</v>
      </c>
      <c r="B1531" s="10">
        <v>42940</v>
      </c>
      <c r="C1531" s="11">
        <v>0.37983796296296296</v>
      </c>
      <c r="D1531" s="12">
        <v>0.38929398148148148</v>
      </c>
      <c r="E1531" s="20">
        <f t="shared" si="46"/>
        <v>0</v>
      </c>
      <c r="F1531">
        <f t="shared" si="47"/>
        <v>0</v>
      </c>
    </row>
    <row r="1532" spans="1:6" x14ac:dyDescent="0.35">
      <c r="A1532" s="5">
        <v>9279730</v>
      </c>
      <c r="B1532" s="6">
        <v>42940</v>
      </c>
      <c r="C1532" s="7">
        <v>0.38046296296296295</v>
      </c>
      <c r="D1532" s="8">
        <v>0.38836805555555554</v>
      </c>
      <c r="E1532" s="20">
        <f t="shared" si="46"/>
        <v>0</v>
      </c>
      <c r="F1532">
        <f t="shared" si="47"/>
        <v>0</v>
      </c>
    </row>
    <row r="1533" spans="1:6" x14ac:dyDescent="0.35">
      <c r="A1533" s="9">
        <v>2928766</v>
      </c>
      <c r="B1533" s="10">
        <v>42940</v>
      </c>
      <c r="C1533" s="11">
        <v>0.38156250000000003</v>
      </c>
      <c r="D1533" s="12">
        <v>0.3893402777777778</v>
      </c>
      <c r="E1533" s="20">
        <f t="shared" si="46"/>
        <v>0</v>
      </c>
      <c r="F1533">
        <f t="shared" si="47"/>
        <v>0</v>
      </c>
    </row>
    <row r="1534" spans="1:6" x14ac:dyDescent="0.35">
      <c r="A1534" s="5">
        <v>4334364</v>
      </c>
      <c r="B1534" s="6">
        <v>42940</v>
      </c>
      <c r="C1534" s="7">
        <v>0.3837962962962963</v>
      </c>
      <c r="D1534" s="8">
        <v>0.39385416666666667</v>
      </c>
      <c r="E1534" s="20">
        <f t="shared" si="46"/>
        <v>0</v>
      </c>
      <c r="F1534">
        <f t="shared" si="47"/>
        <v>0</v>
      </c>
    </row>
    <row r="1535" spans="1:6" x14ac:dyDescent="0.35">
      <c r="A1535" s="9">
        <v>8405292</v>
      </c>
      <c r="B1535" s="10">
        <v>42940</v>
      </c>
      <c r="C1535" s="11">
        <v>0.38635416666666667</v>
      </c>
      <c r="D1535" s="12">
        <v>0.39378472222222222</v>
      </c>
      <c r="E1535" s="20">
        <f t="shared" si="46"/>
        <v>0</v>
      </c>
      <c r="F1535">
        <f t="shared" si="47"/>
        <v>0</v>
      </c>
    </row>
    <row r="1536" spans="1:6" x14ac:dyDescent="0.35">
      <c r="A1536" s="5">
        <v>9870841</v>
      </c>
      <c r="B1536" s="6">
        <v>42940</v>
      </c>
      <c r="C1536" s="7">
        <v>0.39209490740740743</v>
      </c>
      <c r="D1536" s="8">
        <v>0.39672453703703703</v>
      </c>
      <c r="E1536" s="20">
        <f t="shared" si="46"/>
        <v>0</v>
      </c>
      <c r="F1536">
        <f t="shared" si="47"/>
        <v>0</v>
      </c>
    </row>
    <row r="1537" spans="1:6" x14ac:dyDescent="0.35">
      <c r="A1537" s="9">
        <v>9722484</v>
      </c>
      <c r="B1537" s="10">
        <v>42940</v>
      </c>
      <c r="C1537" s="11">
        <v>0.39383101851851854</v>
      </c>
      <c r="D1537" s="12">
        <v>0.39630787037037035</v>
      </c>
      <c r="E1537" s="20">
        <f t="shared" si="46"/>
        <v>0</v>
      </c>
      <c r="F1537">
        <f t="shared" si="47"/>
        <v>0</v>
      </c>
    </row>
    <row r="1538" spans="1:6" x14ac:dyDescent="0.35">
      <c r="A1538" s="5">
        <v>1159432</v>
      </c>
      <c r="B1538" s="6">
        <v>42940</v>
      </c>
      <c r="C1538" s="7">
        <v>0.39391203703703703</v>
      </c>
      <c r="D1538" s="8">
        <v>0.39478009259259261</v>
      </c>
      <c r="E1538" s="20">
        <f t="shared" si="46"/>
        <v>0</v>
      </c>
      <c r="F1538">
        <f t="shared" si="47"/>
        <v>0</v>
      </c>
    </row>
    <row r="1539" spans="1:6" x14ac:dyDescent="0.35">
      <c r="A1539" s="9">
        <v>25194612</v>
      </c>
      <c r="B1539" s="10">
        <v>42940</v>
      </c>
      <c r="C1539" s="11">
        <v>0.39516203703703706</v>
      </c>
      <c r="D1539" s="12">
        <v>0.4057986111111111</v>
      </c>
      <c r="E1539" s="20">
        <f t="shared" ref="E1539:E1602" si="48">IF(F1539=1,D1539-C1539,0)</f>
        <v>0</v>
      </c>
      <c r="F1539">
        <f t="shared" ref="F1539:F1602" si="49">IF(AND(LEN(A1539)=7,LEFT(A1539,2) = "12"),1,0)</f>
        <v>0</v>
      </c>
    </row>
    <row r="1540" spans="1:6" x14ac:dyDescent="0.35">
      <c r="A1540" s="5">
        <v>1117628</v>
      </c>
      <c r="B1540" s="6">
        <v>42940</v>
      </c>
      <c r="C1540" s="7">
        <v>0.39614583333333331</v>
      </c>
      <c r="D1540" s="8">
        <v>0.39976851851851852</v>
      </c>
      <c r="E1540" s="20">
        <f t="shared" si="48"/>
        <v>0</v>
      </c>
      <c r="F1540">
        <f t="shared" si="49"/>
        <v>0</v>
      </c>
    </row>
    <row r="1541" spans="1:6" x14ac:dyDescent="0.35">
      <c r="A1541" s="9">
        <v>3624713</v>
      </c>
      <c r="B1541" s="10">
        <v>42940</v>
      </c>
      <c r="C1541" s="11">
        <v>0.39864583333333331</v>
      </c>
      <c r="D1541" s="12">
        <v>0.40440972222222221</v>
      </c>
      <c r="E1541" s="20">
        <f t="shared" si="48"/>
        <v>0</v>
      </c>
      <c r="F1541">
        <f t="shared" si="49"/>
        <v>0</v>
      </c>
    </row>
    <row r="1542" spans="1:6" x14ac:dyDescent="0.35">
      <c r="A1542" s="5">
        <v>5616210</v>
      </c>
      <c r="B1542" s="6">
        <v>42940</v>
      </c>
      <c r="C1542" s="7">
        <v>0.39956018518518521</v>
      </c>
      <c r="D1542" s="8">
        <v>0.40803240740740743</v>
      </c>
      <c r="E1542" s="20">
        <f t="shared" si="48"/>
        <v>0</v>
      </c>
      <c r="F1542">
        <f t="shared" si="49"/>
        <v>0</v>
      </c>
    </row>
    <row r="1543" spans="1:6" x14ac:dyDescent="0.35">
      <c r="A1543" s="9">
        <v>6772052</v>
      </c>
      <c r="B1543" s="10">
        <v>42940</v>
      </c>
      <c r="C1543" s="11">
        <v>0.40263888888888888</v>
      </c>
      <c r="D1543" s="12">
        <v>0.40825231481481483</v>
      </c>
      <c r="E1543" s="20">
        <f t="shared" si="48"/>
        <v>0</v>
      </c>
      <c r="F1543">
        <f t="shared" si="49"/>
        <v>0</v>
      </c>
    </row>
    <row r="1544" spans="1:6" x14ac:dyDescent="0.35">
      <c r="A1544" s="5">
        <v>3305212</v>
      </c>
      <c r="B1544" s="6">
        <v>42940</v>
      </c>
      <c r="C1544" s="7">
        <v>0.40641203703703704</v>
      </c>
      <c r="D1544" s="8">
        <v>0.41187499999999999</v>
      </c>
      <c r="E1544" s="20">
        <f t="shared" si="48"/>
        <v>0</v>
      </c>
      <c r="F1544">
        <f t="shared" si="49"/>
        <v>0</v>
      </c>
    </row>
    <row r="1545" spans="1:6" x14ac:dyDescent="0.35">
      <c r="A1545" s="9">
        <v>72701808</v>
      </c>
      <c r="B1545" s="10">
        <v>42940</v>
      </c>
      <c r="C1545" s="11">
        <v>0.40930555555555553</v>
      </c>
      <c r="D1545" s="12">
        <v>0.41968749999999999</v>
      </c>
      <c r="E1545" s="20">
        <f t="shared" si="48"/>
        <v>0</v>
      </c>
      <c r="F1545">
        <f t="shared" si="49"/>
        <v>0</v>
      </c>
    </row>
    <row r="1546" spans="1:6" x14ac:dyDescent="0.35">
      <c r="A1546" s="5">
        <v>4285095</v>
      </c>
      <c r="B1546" s="6">
        <v>42940</v>
      </c>
      <c r="C1546" s="7">
        <v>0.41351851851851851</v>
      </c>
      <c r="D1546" s="8">
        <v>0.41790509259259262</v>
      </c>
      <c r="E1546" s="20">
        <f t="shared" si="48"/>
        <v>0</v>
      </c>
      <c r="F1546">
        <f t="shared" si="49"/>
        <v>0</v>
      </c>
    </row>
    <row r="1547" spans="1:6" x14ac:dyDescent="0.35">
      <c r="A1547" s="9">
        <v>2585298</v>
      </c>
      <c r="B1547" s="10">
        <v>42940</v>
      </c>
      <c r="C1547" s="11">
        <v>0.41853009259259261</v>
      </c>
      <c r="D1547" s="12">
        <v>0.42252314814814818</v>
      </c>
      <c r="E1547" s="20">
        <f t="shared" si="48"/>
        <v>0</v>
      </c>
      <c r="F1547">
        <f t="shared" si="49"/>
        <v>0</v>
      </c>
    </row>
    <row r="1548" spans="1:6" x14ac:dyDescent="0.35">
      <c r="A1548" s="5">
        <v>2947035</v>
      </c>
      <c r="B1548" s="6">
        <v>42940</v>
      </c>
      <c r="C1548" s="7">
        <v>0.42241898148148149</v>
      </c>
      <c r="D1548" s="8">
        <v>0.42863425925925924</v>
      </c>
      <c r="E1548" s="20">
        <f t="shared" si="48"/>
        <v>0</v>
      </c>
      <c r="F1548">
        <f t="shared" si="49"/>
        <v>0</v>
      </c>
    </row>
    <row r="1549" spans="1:6" x14ac:dyDescent="0.35">
      <c r="A1549" s="9">
        <v>6615729</v>
      </c>
      <c r="B1549" s="10">
        <v>42940</v>
      </c>
      <c r="C1549" s="11">
        <v>0.42561342592592594</v>
      </c>
      <c r="D1549" s="12">
        <v>0.42799768518518516</v>
      </c>
      <c r="E1549" s="20">
        <f t="shared" si="48"/>
        <v>0</v>
      </c>
      <c r="F1549">
        <f t="shared" si="49"/>
        <v>0</v>
      </c>
    </row>
    <row r="1550" spans="1:6" x14ac:dyDescent="0.35">
      <c r="A1550" s="5">
        <v>2135609</v>
      </c>
      <c r="B1550" s="6">
        <v>42940</v>
      </c>
      <c r="C1550" s="7">
        <v>0.42563657407407407</v>
      </c>
      <c r="D1550" s="8">
        <v>0.42670138888888887</v>
      </c>
      <c r="E1550" s="20">
        <f t="shared" si="48"/>
        <v>0</v>
      </c>
      <c r="F1550">
        <f t="shared" si="49"/>
        <v>0</v>
      </c>
    </row>
    <row r="1551" spans="1:6" x14ac:dyDescent="0.35">
      <c r="A1551" s="9">
        <v>2697566</v>
      </c>
      <c r="B1551" s="10">
        <v>42940</v>
      </c>
      <c r="C1551" s="11">
        <v>0.42951388888888886</v>
      </c>
      <c r="D1551" s="12">
        <v>0.44059027777777776</v>
      </c>
      <c r="E1551" s="20">
        <f t="shared" si="48"/>
        <v>0</v>
      </c>
      <c r="F1551">
        <f t="shared" si="49"/>
        <v>0</v>
      </c>
    </row>
    <row r="1552" spans="1:6" x14ac:dyDescent="0.35">
      <c r="A1552" s="5">
        <v>2569721</v>
      </c>
      <c r="B1552" s="6">
        <v>42940</v>
      </c>
      <c r="C1552" s="7">
        <v>0.43133101851851852</v>
      </c>
      <c r="D1552" s="8">
        <v>0.43762731481481482</v>
      </c>
      <c r="E1552" s="20">
        <f t="shared" si="48"/>
        <v>0</v>
      </c>
      <c r="F1552">
        <f t="shared" si="49"/>
        <v>0</v>
      </c>
    </row>
    <row r="1553" spans="1:6" x14ac:dyDescent="0.35">
      <c r="A1553" s="9">
        <v>96375379</v>
      </c>
      <c r="B1553" s="10">
        <v>42940</v>
      </c>
      <c r="C1553" s="11">
        <v>0.43637731481481479</v>
      </c>
      <c r="D1553" s="12">
        <v>0.44526620370370368</v>
      </c>
      <c r="E1553" s="20">
        <f t="shared" si="48"/>
        <v>0</v>
      </c>
      <c r="F1553">
        <f t="shared" si="49"/>
        <v>0</v>
      </c>
    </row>
    <row r="1554" spans="1:6" x14ac:dyDescent="0.35">
      <c r="A1554" s="5">
        <v>3968528766</v>
      </c>
      <c r="B1554" s="6">
        <v>42940</v>
      </c>
      <c r="C1554" s="7">
        <v>0.44081018518518517</v>
      </c>
      <c r="D1554" s="8">
        <v>0.44767361111111109</v>
      </c>
      <c r="E1554" s="20">
        <f t="shared" si="48"/>
        <v>0</v>
      </c>
      <c r="F1554">
        <f t="shared" si="49"/>
        <v>0</v>
      </c>
    </row>
    <row r="1555" spans="1:6" x14ac:dyDescent="0.35">
      <c r="A1555" s="9">
        <v>8133585</v>
      </c>
      <c r="B1555" s="10">
        <v>42940</v>
      </c>
      <c r="C1555" s="11">
        <v>0.44185185185185183</v>
      </c>
      <c r="D1555" s="12">
        <v>0.44634259259259257</v>
      </c>
      <c r="E1555" s="20">
        <f t="shared" si="48"/>
        <v>0</v>
      </c>
      <c r="F1555">
        <f t="shared" si="49"/>
        <v>0</v>
      </c>
    </row>
    <row r="1556" spans="1:6" x14ac:dyDescent="0.35">
      <c r="A1556" s="5">
        <v>45232967</v>
      </c>
      <c r="B1556" s="6">
        <v>42940</v>
      </c>
      <c r="C1556" s="7">
        <v>0.4462962962962963</v>
      </c>
      <c r="D1556" s="8">
        <v>0.44753472222222224</v>
      </c>
      <c r="E1556" s="20">
        <f t="shared" si="48"/>
        <v>0</v>
      </c>
      <c r="F1556">
        <f t="shared" si="49"/>
        <v>0</v>
      </c>
    </row>
    <row r="1557" spans="1:6" x14ac:dyDescent="0.35">
      <c r="A1557" s="9">
        <v>8900603</v>
      </c>
      <c r="B1557" s="10">
        <v>42940</v>
      </c>
      <c r="C1557" s="11">
        <v>0.44680555555555557</v>
      </c>
      <c r="D1557" s="12">
        <v>0.45518518518518519</v>
      </c>
      <c r="E1557" s="20">
        <f t="shared" si="48"/>
        <v>0</v>
      </c>
      <c r="F1557">
        <f t="shared" si="49"/>
        <v>0</v>
      </c>
    </row>
    <row r="1558" spans="1:6" x14ac:dyDescent="0.35">
      <c r="A1558" s="5">
        <v>9413315</v>
      </c>
      <c r="B1558" s="6">
        <v>42940</v>
      </c>
      <c r="C1558" s="7">
        <v>0.4490277777777778</v>
      </c>
      <c r="D1558" s="8">
        <v>0.45984953703703701</v>
      </c>
      <c r="E1558" s="20">
        <f t="shared" si="48"/>
        <v>0</v>
      </c>
      <c r="F1558">
        <f t="shared" si="49"/>
        <v>0</v>
      </c>
    </row>
    <row r="1559" spans="1:6" x14ac:dyDescent="0.35">
      <c r="A1559" s="9">
        <v>9781981</v>
      </c>
      <c r="B1559" s="10">
        <v>42940</v>
      </c>
      <c r="C1559" s="11">
        <v>0.45392361111111112</v>
      </c>
      <c r="D1559" s="12">
        <v>0.4582060185185185</v>
      </c>
      <c r="E1559" s="20">
        <f t="shared" si="48"/>
        <v>0</v>
      </c>
      <c r="F1559">
        <f t="shared" si="49"/>
        <v>0</v>
      </c>
    </row>
    <row r="1560" spans="1:6" x14ac:dyDescent="0.35">
      <c r="A1560" s="5">
        <v>9527543</v>
      </c>
      <c r="B1560" s="6">
        <v>42940</v>
      </c>
      <c r="C1560" s="7">
        <v>0.45481481481481484</v>
      </c>
      <c r="D1560" s="8">
        <v>0.45863425925925927</v>
      </c>
      <c r="E1560" s="20">
        <f t="shared" si="48"/>
        <v>0</v>
      </c>
      <c r="F1560">
        <f t="shared" si="49"/>
        <v>0</v>
      </c>
    </row>
    <row r="1561" spans="1:6" x14ac:dyDescent="0.35">
      <c r="A1561" s="9">
        <v>91626903</v>
      </c>
      <c r="B1561" s="10">
        <v>42940</v>
      </c>
      <c r="C1561" s="11">
        <v>0.45930555555555558</v>
      </c>
      <c r="D1561" s="12">
        <v>0.46885416666666668</v>
      </c>
      <c r="E1561" s="20">
        <f t="shared" si="48"/>
        <v>0</v>
      </c>
      <c r="F1561">
        <f t="shared" si="49"/>
        <v>0</v>
      </c>
    </row>
    <row r="1562" spans="1:6" x14ac:dyDescent="0.35">
      <c r="A1562" s="5">
        <v>1475008</v>
      </c>
      <c r="B1562" s="6">
        <v>42940</v>
      </c>
      <c r="C1562" s="7">
        <v>0.46489583333333334</v>
      </c>
      <c r="D1562" s="8">
        <v>0.47530092592592593</v>
      </c>
      <c r="E1562" s="20">
        <f t="shared" si="48"/>
        <v>0</v>
      </c>
      <c r="F1562">
        <f t="shared" si="49"/>
        <v>0</v>
      </c>
    </row>
    <row r="1563" spans="1:6" x14ac:dyDescent="0.35">
      <c r="A1563" s="9">
        <v>4767842</v>
      </c>
      <c r="B1563" s="10">
        <v>42940</v>
      </c>
      <c r="C1563" s="11">
        <v>0.46971064814814817</v>
      </c>
      <c r="D1563" s="12">
        <v>0.47116898148148151</v>
      </c>
      <c r="E1563" s="20">
        <f t="shared" si="48"/>
        <v>0</v>
      </c>
      <c r="F1563">
        <f t="shared" si="49"/>
        <v>0</v>
      </c>
    </row>
    <row r="1564" spans="1:6" x14ac:dyDescent="0.35">
      <c r="A1564" s="5">
        <v>64586869</v>
      </c>
      <c r="B1564" s="6">
        <v>42940</v>
      </c>
      <c r="C1564" s="7">
        <v>0.47188657407407408</v>
      </c>
      <c r="D1564" s="8">
        <v>0.47260416666666666</v>
      </c>
      <c r="E1564" s="20">
        <f t="shared" si="48"/>
        <v>0</v>
      </c>
      <c r="F1564">
        <f t="shared" si="49"/>
        <v>0</v>
      </c>
    </row>
    <row r="1565" spans="1:6" x14ac:dyDescent="0.35">
      <c r="A1565" s="9">
        <v>7066389</v>
      </c>
      <c r="B1565" s="10">
        <v>42940</v>
      </c>
      <c r="C1565" s="11">
        <v>0.47590277777777779</v>
      </c>
      <c r="D1565" s="12">
        <v>0.47621527777777778</v>
      </c>
      <c r="E1565" s="20">
        <f t="shared" si="48"/>
        <v>0</v>
      </c>
      <c r="F1565">
        <f t="shared" si="49"/>
        <v>0</v>
      </c>
    </row>
    <row r="1566" spans="1:6" x14ac:dyDescent="0.35">
      <c r="A1566" s="5">
        <v>28791070</v>
      </c>
      <c r="B1566" s="6">
        <v>42940</v>
      </c>
      <c r="C1566" s="7">
        <v>0.48082175925925924</v>
      </c>
      <c r="D1566" s="8">
        <v>0.49135416666666665</v>
      </c>
      <c r="E1566" s="20">
        <f t="shared" si="48"/>
        <v>0</v>
      </c>
      <c r="F1566">
        <f t="shared" si="49"/>
        <v>0</v>
      </c>
    </row>
    <row r="1567" spans="1:6" x14ac:dyDescent="0.35">
      <c r="A1567" s="9">
        <v>5094248</v>
      </c>
      <c r="B1567" s="10">
        <v>42940</v>
      </c>
      <c r="C1567" s="11">
        <v>0.48358796296296297</v>
      </c>
      <c r="D1567" s="12">
        <v>0.48965277777777777</v>
      </c>
      <c r="E1567" s="20">
        <f t="shared" si="48"/>
        <v>0</v>
      </c>
      <c r="F1567">
        <f t="shared" si="49"/>
        <v>0</v>
      </c>
    </row>
    <row r="1568" spans="1:6" x14ac:dyDescent="0.35">
      <c r="A1568" s="5">
        <v>44882393</v>
      </c>
      <c r="B1568" s="6">
        <v>42940</v>
      </c>
      <c r="C1568" s="7">
        <v>0.4866550925925926</v>
      </c>
      <c r="D1568" s="8">
        <v>0.49528935185185186</v>
      </c>
      <c r="E1568" s="20">
        <f t="shared" si="48"/>
        <v>0</v>
      </c>
      <c r="F1568">
        <f t="shared" si="49"/>
        <v>0</v>
      </c>
    </row>
    <row r="1569" spans="1:6" x14ac:dyDescent="0.35">
      <c r="A1569" s="9">
        <v>29391132</v>
      </c>
      <c r="B1569" s="10">
        <v>42940</v>
      </c>
      <c r="C1569" s="11">
        <v>0.48770833333333335</v>
      </c>
      <c r="D1569" s="12">
        <v>0.49613425925925925</v>
      </c>
      <c r="E1569" s="20">
        <f t="shared" si="48"/>
        <v>0</v>
      </c>
      <c r="F1569">
        <f t="shared" si="49"/>
        <v>0</v>
      </c>
    </row>
    <row r="1570" spans="1:6" x14ac:dyDescent="0.35">
      <c r="A1570" s="5">
        <v>9892639</v>
      </c>
      <c r="B1570" s="6">
        <v>42940</v>
      </c>
      <c r="C1570" s="7">
        <v>0.48836805555555557</v>
      </c>
      <c r="D1570" s="8">
        <v>0.48893518518518519</v>
      </c>
      <c r="E1570" s="20">
        <f t="shared" si="48"/>
        <v>0</v>
      </c>
      <c r="F1570">
        <f t="shared" si="49"/>
        <v>0</v>
      </c>
    </row>
    <row r="1571" spans="1:6" x14ac:dyDescent="0.35">
      <c r="A1571" s="9">
        <v>3979295</v>
      </c>
      <c r="B1571" s="10">
        <v>42940</v>
      </c>
      <c r="C1571" s="11">
        <v>0.49062499999999998</v>
      </c>
      <c r="D1571" s="12">
        <v>0.49767361111111114</v>
      </c>
      <c r="E1571" s="20">
        <f t="shared" si="48"/>
        <v>0</v>
      </c>
      <c r="F1571">
        <f t="shared" si="49"/>
        <v>0</v>
      </c>
    </row>
    <row r="1572" spans="1:6" x14ac:dyDescent="0.35">
      <c r="A1572" s="5">
        <v>8471219</v>
      </c>
      <c r="B1572" s="6">
        <v>42940</v>
      </c>
      <c r="C1572" s="7">
        <v>0.49229166666666668</v>
      </c>
      <c r="D1572" s="8">
        <v>0.49554398148148149</v>
      </c>
      <c r="E1572" s="20">
        <f t="shared" si="48"/>
        <v>0</v>
      </c>
      <c r="F1572">
        <f t="shared" si="49"/>
        <v>0</v>
      </c>
    </row>
    <row r="1573" spans="1:6" x14ac:dyDescent="0.35">
      <c r="A1573" s="9">
        <v>5631380</v>
      </c>
      <c r="B1573" s="10">
        <v>42940</v>
      </c>
      <c r="C1573" s="11">
        <v>0.49274305555555553</v>
      </c>
      <c r="D1573" s="12">
        <v>0.50315972222222227</v>
      </c>
      <c r="E1573" s="20">
        <f t="shared" si="48"/>
        <v>0</v>
      </c>
      <c r="F1573">
        <f t="shared" si="49"/>
        <v>0</v>
      </c>
    </row>
    <row r="1574" spans="1:6" x14ac:dyDescent="0.35">
      <c r="A1574" s="5">
        <v>6309138</v>
      </c>
      <c r="B1574" s="6">
        <v>42940</v>
      </c>
      <c r="C1574" s="7">
        <v>0.49416666666666664</v>
      </c>
      <c r="D1574" s="8">
        <v>0.49465277777777777</v>
      </c>
      <c r="E1574" s="20">
        <f t="shared" si="48"/>
        <v>0</v>
      </c>
      <c r="F1574">
        <f t="shared" si="49"/>
        <v>0</v>
      </c>
    </row>
    <row r="1575" spans="1:6" x14ac:dyDescent="0.35">
      <c r="A1575" s="9">
        <v>72287838</v>
      </c>
      <c r="B1575" s="10">
        <v>42940</v>
      </c>
      <c r="C1575" s="11">
        <v>0.49633101851851852</v>
      </c>
      <c r="D1575" s="12">
        <v>0.50209490740740736</v>
      </c>
      <c r="E1575" s="20">
        <f t="shared" si="48"/>
        <v>0</v>
      </c>
      <c r="F1575">
        <f t="shared" si="49"/>
        <v>0</v>
      </c>
    </row>
    <row r="1576" spans="1:6" x14ac:dyDescent="0.35">
      <c r="A1576" s="5">
        <v>2515441</v>
      </c>
      <c r="B1576" s="6">
        <v>42940</v>
      </c>
      <c r="C1576" s="7">
        <v>0.49857638888888889</v>
      </c>
      <c r="D1576" s="8">
        <v>0.50195601851851857</v>
      </c>
      <c r="E1576" s="20">
        <f t="shared" si="48"/>
        <v>0</v>
      </c>
      <c r="F1576">
        <f t="shared" si="49"/>
        <v>0</v>
      </c>
    </row>
    <row r="1577" spans="1:6" x14ac:dyDescent="0.35">
      <c r="A1577" s="9">
        <v>8056387</v>
      </c>
      <c r="B1577" s="10">
        <v>42940</v>
      </c>
      <c r="C1577" s="11">
        <v>0.50306712962962963</v>
      </c>
      <c r="D1577" s="12">
        <v>0.51333333333333331</v>
      </c>
      <c r="E1577" s="20">
        <f t="shared" si="48"/>
        <v>0</v>
      </c>
      <c r="F1577">
        <f t="shared" si="49"/>
        <v>0</v>
      </c>
    </row>
    <row r="1578" spans="1:6" x14ac:dyDescent="0.35">
      <c r="A1578" s="5">
        <v>5489867</v>
      </c>
      <c r="B1578" s="6">
        <v>42940</v>
      </c>
      <c r="C1578" s="7">
        <v>0.50583333333333336</v>
      </c>
      <c r="D1578" s="8">
        <v>0.51407407407407413</v>
      </c>
      <c r="E1578" s="20">
        <f t="shared" si="48"/>
        <v>0</v>
      </c>
      <c r="F1578">
        <f t="shared" si="49"/>
        <v>0</v>
      </c>
    </row>
    <row r="1579" spans="1:6" x14ac:dyDescent="0.35">
      <c r="A1579" s="9">
        <v>5528648</v>
      </c>
      <c r="B1579" s="10">
        <v>42940</v>
      </c>
      <c r="C1579" s="11">
        <v>0.50611111111111107</v>
      </c>
      <c r="D1579" s="12">
        <v>0.51354166666666667</v>
      </c>
      <c r="E1579" s="20">
        <f t="shared" si="48"/>
        <v>0</v>
      </c>
      <c r="F1579">
        <f t="shared" si="49"/>
        <v>0</v>
      </c>
    </row>
    <row r="1580" spans="1:6" x14ac:dyDescent="0.35">
      <c r="A1580" s="5">
        <v>4293872</v>
      </c>
      <c r="B1580" s="6">
        <v>42940</v>
      </c>
      <c r="C1580" s="7">
        <v>0.50714120370370375</v>
      </c>
      <c r="D1580" s="8">
        <v>0.51232638888888893</v>
      </c>
      <c r="E1580" s="20">
        <f t="shared" si="48"/>
        <v>0</v>
      </c>
      <c r="F1580">
        <f t="shared" si="49"/>
        <v>0</v>
      </c>
    </row>
    <row r="1581" spans="1:6" x14ac:dyDescent="0.35">
      <c r="A1581" s="9">
        <v>99625946</v>
      </c>
      <c r="B1581" s="10">
        <v>42940</v>
      </c>
      <c r="C1581" s="11">
        <v>0.51270833333333332</v>
      </c>
      <c r="D1581" s="12">
        <v>0.52407407407407403</v>
      </c>
      <c r="E1581" s="20">
        <f t="shared" si="48"/>
        <v>0</v>
      </c>
      <c r="F1581">
        <f t="shared" si="49"/>
        <v>0</v>
      </c>
    </row>
    <row r="1582" spans="1:6" x14ac:dyDescent="0.35">
      <c r="A1582" s="5">
        <v>9827875</v>
      </c>
      <c r="B1582" s="6">
        <v>42940</v>
      </c>
      <c r="C1582" s="7">
        <v>0.51512731481481477</v>
      </c>
      <c r="D1582" s="8">
        <v>0.51954861111111106</v>
      </c>
      <c r="E1582" s="20">
        <f t="shared" si="48"/>
        <v>0</v>
      </c>
      <c r="F1582">
        <f t="shared" si="49"/>
        <v>0</v>
      </c>
    </row>
    <row r="1583" spans="1:6" x14ac:dyDescent="0.35">
      <c r="A1583" s="9">
        <v>40120881</v>
      </c>
      <c r="B1583" s="10">
        <v>42940</v>
      </c>
      <c r="C1583" s="11">
        <v>0.51746527777777773</v>
      </c>
      <c r="D1583" s="12">
        <v>0.52686342592592594</v>
      </c>
      <c r="E1583" s="20">
        <f t="shared" si="48"/>
        <v>0</v>
      </c>
      <c r="F1583">
        <f t="shared" si="49"/>
        <v>0</v>
      </c>
    </row>
    <row r="1584" spans="1:6" x14ac:dyDescent="0.35">
      <c r="A1584" s="5">
        <v>42373338</v>
      </c>
      <c r="B1584" s="6">
        <v>42940</v>
      </c>
      <c r="C1584" s="7">
        <v>0.51962962962962966</v>
      </c>
      <c r="D1584" s="8">
        <v>0.53030092592592593</v>
      </c>
      <c r="E1584" s="20">
        <f t="shared" si="48"/>
        <v>0</v>
      </c>
      <c r="F1584">
        <f t="shared" si="49"/>
        <v>0</v>
      </c>
    </row>
    <row r="1585" spans="1:6" x14ac:dyDescent="0.35">
      <c r="A1585" s="9">
        <v>39697250</v>
      </c>
      <c r="B1585" s="10">
        <v>42940</v>
      </c>
      <c r="C1585" s="11">
        <v>0.52520833333333339</v>
      </c>
      <c r="D1585" s="12">
        <v>0.52866898148148145</v>
      </c>
      <c r="E1585" s="20">
        <f t="shared" si="48"/>
        <v>0</v>
      </c>
      <c r="F1585">
        <f t="shared" si="49"/>
        <v>0</v>
      </c>
    </row>
    <row r="1586" spans="1:6" x14ac:dyDescent="0.35">
      <c r="A1586" s="5">
        <v>55464931</v>
      </c>
      <c r="B1586" s="6">
        <v>42940</v>
      </c>
      <c r="C1586" s="7">
        <v>0.5285185185185185</v>
      </c>
      <c r="D1586" s="8">
        <v>0.53349537037037043</v>
      </c>
      <c r="E1586" s="20">
        <f t="shared" si="48"/>
        <v>0</v>
      </c>
      <c r="F1586">
        <f t="shared" si="49"/>
        <v>0</v>
      </c>
    </row>
    <row r="1587" spans="1:6" x14ac:dyDescent="0.35">
      <c r="A1587" s="9">
        <v>3616291</v>
      </c>
      <c r="B1587" s="10">
        <v>42940</v>
      </c>
      <c r="C1587" s="11">
        <v>0.53403935185185181</v>
      </c>
      <c r="D1587" s="12">
        <v>0.54538194444444443</v>
      </c>
      <c r="E1587" s="20">
        <f t="shared" si="48"/>
        <v>0</v>
      </c>
      <c r="F1587">
        <f t="shared" si="49"/>
        <v>0</v>
      </c>
    </row>
    <row r="1588" spans="1:6" x14ac:dyDescent="0.35">
      <c r="A1588" s="5">
        <v>3473734</v>
      </c>
      <c r="B1588" s="6">
        <v>42940</v>
      </c>
      <c r="C1588" s="7">
        <v>0.53949074074074077</v>
      </c>
      <c r="D1588" s="8">
        <v>0.54844907407407406</v>
      </c>
      <c r="E1588" s="20">
        <f t="shared" si="48"/>
        <v>0</v>
      </c>
      <c r="F1588">
        <f t="shared" si="49"/>
        <v>0</v>
      </c>
    </row>
    <row r="1589" spans="1:6" x14ac:dyDescent="0.35">
      <c r="A1589" s="9">
        <v>63492662</v>
      </c>
      <c r="B1589" s="10">
        <v>42940</v>
      </c>
      <c r="C1589" s="11">
        <v>0.54060185185185183</v>
      </c>
      <c r="D1589" s="12">
        <v>0.54240740740740745</v>
      </c>
      <c r="E1589" s="20">
        <f t="shared" si="48"/>
        <v>0</v>
      </c>
      <c r="F1589">
        <f t="shared" si="49"/>
        <v>0</v>
      </c>
    </row>
    <row r="1590" spans="1:6" x14ac:dyDescent="0.35">
      <c r="A1590" s="5">
        <v>2104331</v>
      </c>
      <c r="B1590" s="6">
        <v>42940</v>
      </c>
      <c r="C1590" s="7">
        <v>0.54410879629629627</v>
      </c>
      <c r="D1590" s="8">
        <v>0.55207175925925922</v>
      </c>
      <c r="E1590" s="20">
        <f t="shared" si="48"/>
        <v>0</v>
      </c>
      <c r="F1590">
        <f t="shared" si="49"/>
        <v>0</v>
      </c>
    </row>
    <row r="1591" spans="1:6" x14ac:dyDescent="0.35">
      <c r="A1591" s="9">
        <v>9555643</v>
      </c>
      <c r="B1591" s="10">
        <v>42940</v>
      </c>
      <c r="C1591" s="11">
        <v>0.54478009259259264</v>
      </c>
      <c r="D1591" s="12">
        <v>0.55106481481481484</v>
      </c>
      <c r="E1591" s="20">
        <f t="shared" si="48"/>
        <v>0</v>
      </c>
      <c r="F1591">
        <f t="shared" si="49"/>
        <v>0</v>
      </c>
    </row>
    <row r="1592" spans="1:6" x14ac:dyDescent="0.35">
      <c r="A1592" s="5">
        <v>5220235</v>
      </c>
      <c r="B1592" s="6">
        <v>42940</v>
      </c>
      <c r="C1592" s="7">
        <v>0.54741898148148149</v>
      </c>
      <c r="D1592" s="8">
        <v>0.54915509259259254</v>
      </c>
      <c r="E1592" s="20">
        <f t="shared" si="48"/>
        <v>0</v>
      </c>
      <c r="F1592">
        <f t="shared" si="49"/>
        <v>0</v>
      </c>
    </row>
    <row r="1593" spans="1:6" x14ac:dyDescent="0.35">
      <c r="A1593" s="9">
        <v>26254490</v>
      </c>
      <c r="B1593" s="10">
        <v>42940</v>
      </c>
      <c r="C1593" s="11">
        <v>0.54773148148148143</v>
      </c>
      <c r="D1593" s="12">
        <v>0.55074074074074075</v>
      </c>
      <c r="E1593" s="20">
        <f t="shared" si="48"/>
        <v>0</v>
      </c>
      <c r="F1593">
        <f t="shared" si="49"/>
        <v>0</v>
      </c>
    </row>
    <row r="1594" spans="1:6" x14ac:dyDescent="0.35">
      <c r="A1594" s="5">
        <v>26463662</v>
      </c>
      <c r="B1594" s="6">
        <v>42940</v>
      </c>
      <c r="C1594" s="7">
        <v>0.55153935185185188</v>
      </c>
      <c r="D1594" s="8">
        <v>0.56090277777777775</v>
      </c>
      <c r="E1594" s="20">
        <f t="shared" si="48"/>
        <v>0</v>
      </c>
      <c r="F1594">
        <f t="shared" si="49"/>
        <v>0</v>
      </c>
    </row>
    <row r="1595" spans="1:6" x14ac:dyDescent="0.35">
      <c r="A1595" s="9">
        <v>2853860</v>
      </c>
      <c r="B1595" s="10">
        <v>42940</v>
      </c>
      <c r="C1595" s="11">
        <v>0.55491898148148144</v>
      </c>
      <c r="D1595" s="12">
        <v>0.55787037037037035</v>
      </c>
      <c r="E1595" s="20">
        <f t="shared" si="48"/>
        <v>0</v>
      </c>
      <c r="F1595">
        <f t="shared" si="49"/>
        <v>0</v>
      </c>
    </row>
    <row r="1596" spans="1:6" x14ac:dyDescent="0.35">
      <c r="A1596" s="5">
        <v>1829028</v>
      </c>
      <c r="B1596" s="6">
        <v>42940</v>
      </c>
      <c r="C1596" s="7">
        <v>0.5602893518518518</v>
      </c>
      <c r="D1596" s="8">
        <v>0.57128472222222226</v>
      </c>
      <c r="E1596" s="20">
        <f t="shared" si="48"/>
        <v>0</v>
      </c>
      <c r="F1596">
        <f t="shared" si="49"/>
        <v>0</v>
      </c>
    </row>
    <row r="1597" spans="1:6" x14ac:dyDescent="0.35">
      <c r="A1597" s="9">
        <v>1365581</v>
      </c>
      <c r="B1597" s="10">
        <v>42940</v>
      </c>
      <c r="C1597" s="11">
        <v>0.56196759259259255</v>
      </c>
      <c r="D1597" s="12">
        <v>0.57019675925925928</v>
      </c>
      <c r="E1597" s="20">
        <f t="shared" si="48"/>
        <v>0</v>
      </c>
      <c r="F1597">
        <f t="shared" si="49"/>
        <v>0</v>
      </c>
    </row>
    <row r="1598" spans="1:6" x14ac:dyDescent="0.35">
      <c r="A1598" s="5">
        <v>66800387</v>
      </c>
      <c r="B1598" s="6">
        <v>42940</v>
      </c>
      <c r="C1598" s="7">
        <v>0.5634837962962963</v>
      </c>
      <c r="D1598" s="8">
        <v>0.56763888888888892</v>
      </c>
      <c r="E1598" s="20">
        <f t="shared" si="48"/>
        <v>0</v>
      </c>
      <c r="F1598">
        <f t="shared" si="49"/>
        <v>0</v>
      </c>
    </row>
    <row r="1599" spans="1:6" x14ac:dyDescent="0.35">
      <c r="A1599" s="9">
        <v>9282666</v>
      </c>
      <c r="B1599" s="10">
        <v>42940</v>
      </c>
      <c r="C1599" s="11">
        <v>0.56879629629629624</v>
      </c>
      <c r="D1599" s="12">
        <v>0.56934027777777774</v>
      </c>
      <c r="E1599" s="20">
        <f t="shared" si="48"/>
        <v>0</v>
      </c>
      <c r="F1599">
        <f t="shared" si="49"/>
        <v>0</v>
      </c>
    </row>
    <row r="1600" spans="1:6" x14ac:dyDescent="0.35">
      <c r="A1600" s="5">
        <v>7994769</v>
      </c>
      <c r="B1600" s="6">
        <v>42940</v>
      </c>
      <c r="C1600" s="7">
        <v>0.56980324074074074</v>
      </c>
      <c r="D1600" s="8">
        <v>0.57826388888888891</v>
      </c>
      <c r="E1600" s="20">
        <f t="shared" si="48"/>
        <v>0</v>
      </c>
      <c r="F1600">
        <f t="shared" si="49"/>
        <v>0</v>
      </c>
    </row>
    <row r="1601" spans="1:6" x14ac:dyDescent="0.35">
      <c r="A1601" s="9">
        <v>3638038</v>
      </c>
      <c r="B1601" s="10">
        <v>42940</v>
      </c>
      <c r="C1601" s="11">
        <v>0.57262731481481477</v>
      </c>
      <c r="D1601" s="12">
        <v>0.57846064814814813</v>
      </c>
      <c r="E1601" s="20">
        <f t="shared" si="48"/>
        <v>0</v>
      </c>
      <c r="F1601">
        <f t="shared" si="49"/>
        <v>0</v>
      </c>
    </row>
    <row r="1602" spans="1:6" x14ac:dyDescent="0.35">
      <c r="A1602" s="5">
        <v>5221005</v>
      </c>
      <c r="B1602" s="6">
        <v>42940</v>
      </c>
      <c r="C1602" s="7">
        <v>0.57321759259259264</v>
      </c>
      <c r="D1602" s="8">
        <v>0.57461805555555556</v>
      </c>
      <c r="E1602" s="20">
        <f t="shared" si="48"/>
        <v>0</v>
      </c>
      <c r="F1602">
        <f t="shared" si="49"/>
        <v>0</v>
      </c>
    </row>
    <row r="1603" spans="1:6" x14ac:dyDescent="0.35">
      <c r="A1603" s="9">
        <v>3150344</v>
      </c>
      <c r="B1603" s="10">
        <v>42940</v>
      </c>
      <c r="C1603" s="11">
        <v>0.57322916666666668</v>
      </c>
      <c r="D1603" s="12">
        <v>0.58089120370370373</v>
      </c>
      <c r="E1603" s="20">
        <f t="shared" ref="E1603:E1666" si="50">IF(F1603=1,D1603-C1603,0)</f>
        <v>0</v>
      </c>
      <c r="F1603">
        <f t="shared" ref="F1603:F1666" si="51">IF(AND(LEN(A1603)=7,LEFT(A1603,2) = "12"),1,0)</f>
        <v>0</v>
      </c>
    </row>
    <row r="1604" spans="1:6" x14ac:dyDescent="0.35">
      <c r="A1604" s="5">
        <v>2780765</v>
      </c>
      <c r="B1604" s="6">
        <v>42940</v>
      </c>
      <c r="C1604" s="7">
        <v>0.57582175925925927</v>
      </c>
      <c r="D1604" s="8">
        <v>0.57693287037037033</v>
      </c>
      <c r="E1604" s="20">
        <f t="shared" si="50"/>
        <v>0</v>
      </c>
      <c r="F1604">
        <f t="shared" si="51"/>
        <v>0</v>
      </c>
    </row>
    <row r="1605" spans="1:6" x14ac:dyDescent="0.35">
      <c r="A1605" s="9">
        <v>3720500</v>
      </c>
      <c r="B1605" s="10">
        <v>42940</v>
      </c>
      <c r="C1605" s="11">
        <v>0.57660879629629624</v>
      </c>
      <c r="D1605" s="12">
        <v>0.58250000000000002</v>
      </c>
      <c r="E1605" s="20">
        <f t="shared" si="50"/>
        <v>0</v>
      </c>
      <c r="F1605">
        <f t="shared" si="51"/>
        <v>0</v>
      </c>
    </row>
    <row r="1606" spans="1:6" x14ac:dyDescent="0.35">
      <c r="A1606" s="5">
        <v>89419064</v>
      </c>
      <c r="B1606" s="6">
        <v>42940</v>
      </c>
      <c r="C1606" s="7">
        <v>0.57850694444444439</v>
      </c>
      <c r="D1606" s="8">
        <v>0.58456018518518515</v>
      </c>
      <c r="E1606" s="20">
        <f t="shared" si="50"/>
        <v>0</v>
      </c>
      <c r="F1606">
        <f t="shared" si="51"/>
        <v>0</v>
      </c>
    </row>
    <row r="1607" spans="1:6" x14ac:dyDescent="0.35">
      <c r="A1607" s="9">
        <v>9961121</v>
      </c>
      <c r="B1607" s="10">
        <v>42940</v>
      </c>
      <c r="C1607" s="11">
        <v>0.58304398148148151</v>
      </c>
      <c r="D1607" s="12">
        <v>0.58518518518518514</v>
      </c>
      <c r="E1607" s="20">
        <f t="shared" si="50"/>
        <v>0</v>
      </c>
      <c r="F1607">
        <f t="shared" si="51"/>
        <v>0</v>
      </c>
    </row>
    <row r="1608" spans="1:6" x14ac:dyDescent="0.35">
      <c r="A1608" s="5">
        <v>5303411</v>
      </c>
      <c r="B1608" s="6">
        <v>42940</v>
      </c>
      <c r="C1608" s="7">
        <v>0.58652777777777776</v>
      </c>
      <c r="D1608" s="8">
        <v>0.5917824074074074</v>
      </c>
      <c r="E1608" s="20">
        <f t="shared" si="50"/>
        <v>0</v>
      </c>
      <c r="F1608">
        <f t="shared" si="51"/>
        <v>0</v>
      </c>
    </row>
    <row r="1609" spans="1:6" x14ac:dyDescent="0.35">
      <c r="A1609" s="9">
        <v>4657345</v>
      </c>
      <c r="B1609" s="10">
        <v>42940</v>
      </c>
      <c r="C1609" s="11">
        <v>0.58981481481481479</v>
      </c>
      <c r="D1609" s="12">
        <v>0.59037037037037032</v>
      </c>
      <c r="E1609" s="20">
        <f t="shared" si="50"/>
        <v>0</v>
      </c>
      <c r="F1609">
        <f t="shared" si="51"/>
        <v>0</v>
      </c>
    </row>
    <row r="1610" spans="1:6" x14ac:dyDescent="0.35">
      <c r="A1610" s="5">
        <v>5850216</v>
      </c>
      <c r="B1610" s="6">
        <v>42940</v>
      </c>
      <c r="C1610" s="7">
        <v>0.59325231481481477</v>
      </c>
      <c r="D1610" s="8">
        <v>0.59866898148148151</v>
      </c>
      <c r="E1610" s="20">
        <f t="shared" si="50"/>
        <v>0</v>
      </c>
      <c r="F1610">
        <f t="shared" si="51"/>
        <v>0</v>
      </c>
    </row>
    <row r="1611" spans="1:6" x14ac:dyDescent="0.35">
      <c r="A1611" s="9">
        <v>4927402</v>
      </c>
      <c r="B1611" s="10">
        <v>42940</v>
      </c>
      <c r="C1611" s="11">
        <v>0.59351851851851856</v>
      </c>
      <c r="D1611" s="12">
        <v>0.60163194444444446</v>
      </c>
      <c r="E1611" s="20">
        <f t="shared" si="50"/>
        <v>0</v>
      </c>
      <c r="F1611">
        <f t="shared" si="51"/>
        <v>0</v>
      </c>
    </row>
    <row r="1612" spans="1:6" x14ac:dyDescent="0.35">
      <c r="A1612" s="5">
        <v>60113139</v>
      </c>
      <c r="B1612" s="6">
        <v>42940</v>
      </c>
      <c r="C1612" s="7">
        <v>0.59663194444444445</v>
      </c>
      <c r="D1612" s="8">
        <v>0.60359953703703706</v>
      </c>
      <c r="E1612" s="20">
        <f t="shared" si="50"/>
        <v>0</v>
      </c>
      <c r="F1612">
        <f t="shared" si="51"/>
        <v>0</v>
      </c>
    </row>
    <row r="1613" spans="1:6" x14ac:dyDescent="0.35">
      <c r="A1613" s="9">
        <v>2644526</v>
      </c>
      <c r="B1613" s="10">
        <v>42940</v>
      </c>
      <c r="C1613" s="11">
        <v>0.59864583333333332</v>
      </c>
      <c r="D1613" s="12">
        <v>0.6056597222222222</v>
      </c>
      <c r="E1613" s="20">
        <f t="shared" si="50"/>
        <v>0</v>
      </c>
      <c r="F1613">
        <f t="shared" si="51"/>
        <v>0</v>
      </c>
    </row>
    <row r="1614" spans="1:6" x14ac:dyDescent="0.35">
      <c r="A1614" s="5">
        <v>7226610</v>
      </c>
      <c r="B1614" s="6">
        <v>42940</v>
      </c>
      <c r="C1614" s="7">
        <v>0.6005787037037037</v>
      </c>
      <c r="D1614" s="8">
        <v>0.6107407407407407</v>
      </c>
      <c r="E1614" s="20">
        <f t="shared" si="50"/>
        <v>0</v>
      </c>
      <c r="F1614">
        <f t="shared" si="51"/>
        <v>0</v>
      </c>
    </row>
    <row r="1615" spans="1:6" x14ac:dyDescent="0.35">
      <c r="A1615" s="9">
        <v>9328179</v>
      </c>
      <c r="B1615" s="10">
        <v>42940</v>
      </c>
      <c r="C1615" s="11">
        <v>0.60211805555555553</v>
      </c>
      <c r="D1615" s="12">
        <v>0.60282407407407412</v>
      </c>
      <c r="E1615" s="20">
        <f t="shared" si="50"/>
        <v>0</v>
      </c>
      <c r="F1615">
        <f t="shared" si="51"/>
        <v>0</v>
      </c>
    </row>
    <row r="1616" spans="1:6" x14ac:dyDescent="0.35">
      <c r="A1616" s="5">
        <v>7457716</v>
      </c>
      <c r="B1616" s="6">
        <v>42940</v>
      </c>
      <c r="C1616" s="7">
        <v>0.6068634259259259</v>
      </c>
      <c r="D1616" s="8">
        <v>0.61152777777777778</v>
      </c>
      <c r="E1616" s="20">
        <f t="shared" si="50"/>
        <v>0</v>
      </c>
      <c r="F1616">
        <f t="shared" si="51"/>
        <v>0</v>
      </c>
    </row>
    <row r="1617" spans="1:6" x14ac:dyDescent="0.35">
      <c r="A1617" s="9">
        <v>1739364</v>
      </c>
      <c r="B1617" s="10">
        <v>42940</v>
      </c>
      <c r="C1617" s="11">
        <v>0.61100694444444448</v>
      </c>
      <c r="D1617" s="12">
        <v>0.62071759259259263</v>
      </c>
      <c r="E1617" s="20">
        <f t="shared" si="50"/>
        <v>0</v>
      </c>
      <c r="F1617">
        <f t="shared" si="51"/>
        <v>0</v>
      </c>
    </row>
    <row r="1618" spans="1:6" x14ac:dyDescent="0.35">
      <c r="A1618" s="5">
        <v>1677537</v>
      </c>
      <c r="B1618" s="6">
        <v>42940</v>
      </c>
      <c r="C1618" s="7">
        <v>0.61471064814814813</v>
      </c>
      <c r="D1618" s="8">
        <v>0.62232638888888892</v>
      </c>
      <c r="E1618" s="20">
        <f t="shared" si="50"/>
        <v>0</v>
      </c>
      <c r="F1618">
        <f t="shared" si="51"/>
        <v>0</v>
      </c>
    </row>
    <row r="1619" spans="1:6" x14ac:dyDescent="0.35">
      <c r="A1619" s="9">
        <v>55614678</v>
      </c>
      <c r="B1619" s="10">
        <v>42940</v>
      </c>
      <c r="C1619" s="11">
        <v>0.61826388888888884</v>
      </c>
      <c r="D1619" s="12">
        <v>0.62091435185185184</v>
      </c>
      <c r="E1619" s="20">
        <f t="shared" si="50"/>
        <v>0</v>
      </c>
      <c r="F1619">
        <f t="shared" si="51"/>
        <v>0</v>
      </c>
    </row>
    <row r="1620" spans="1:6" x14ac:dyDescent="0.35">
      <c r="A1620" s="5">
        <v>4272221</v>
      </c>
      <c r="B1620" s="6">
        <v>42940</v>
      </c>
      <c r="C1620" s="7">
        <v>0.62152777777777779</v>
      </c>
      <c r="D1620" s="8">
        <v>0.62572916666666667</v>
      </c>
      <c r="E1620" s="20">
        <f t="shared" si="50"/>
        <v>0</v>
      </c>
      <c r="F1620">
        <f t="shared" si="51"/>
        <v>0</v>
      </c>
    </row>
    <row r="1621" spans="1:6" x14ac:dyDescent="0.35">
      <c r="A1621" s="9">
        <v>1740380</v>
      </c>
      <c r="B1621" s="10">
        <v>42940</v>
      </c>
      <c r="C1621" s="11">
        <v>0.62605324074074076</v>
      </c>
      <c r="D1621" s="12">
        <v>0.63655092592592588</v>
      </c>
      <c r="E1621" s="20">
        <f t="shared" si="50"/>
        <v>0</v>
      </c>
      <c r="F1621">
        <f t="shared" si="51"/>
        <v>0</v>
      </c>
    </row>
    <row r="1622" spans="1:6" x14ac:dyDescent="0.35">
      <c r="A1622" s="5">
        <v>6005355</v>
      </c>
      <c r="B1622" s="6">
        <v>42941</v>
      </c>
      <c r="C1622" s="7">
        <v>0.33688657407407407</v>
      </c>
      <c r="D1622" s="8">
        <v>0.34452546296296294</v>
      </c>
      <c r="E1622" s="20">
        <f t="shared" si="50"/>
        <v>0</v>
      </c>
      <c r="F1622">
        <f t="shared" si="51"/>
        <v>0</v>
      </c>
    </row>
    <row r="1623" spans="1:6" x14ac:dyDescent="0.35">
      <c r="A1623" s="9">
        <v>2400590</v>
      </c>
      <c r="B1623" s="10">
        <v>42941</v>
      </c>
      <c r="C1623" s="11">
        <v>0.34145833333333331</v>
      </c>
      <c r="D1623" s="12">
        <v>0.34645833333333331</v>
      </c>
      <c r="E1623" s="20">
        <f t="shared" si="50"/>
        <v>0</v>
      </c>
      <c r="F1623">
        <f t="shared" si="51"/>
        <v>0</v>
      </c>
    </row>
    <row r="1624" spans="1:6" x14ac:dyDescent="0.35">
      <c r="A1624" s="5">
        <v>7918038</v>
      </c>
      <c r="B1624" s="6">
        <v>42941</v>
      </c>
      <c r="C1624" s="7">
        <v>0.34278935185185183</v>
      </c>
      <c r="D1624" s="8">
        <v>0.34370370370370368</v>
      </c>
      <c r="E1624" s="20">
        <f t="shared" si="50"/>
        <v>0</v>
      </c>
      <c r="F1624">
        <f t="shared" si="51"/>
        <v>0</v>
      </c>
    </row>
    <row r="1625" spans="1:6" x14ac:dyDescent="0.35">
      <c r="A1625" s="9">
        <v>7969038</v>
      </c>
      <c r="B1625" s="10">
        <v>42941</v>
      </c>
      <c r="C1625" s="11">
        <v>0.34605324074074073</v>
      </c>
      <c r="D1625" s="12">
        <v>0.35744212962962962</v>
      </c>
      <c r="E1625" s="20">
        <f t="shared" si="50"/>
        <v>0</v>
      </c>
      <c r="F1625">
        <f t="shared" si="51"/>
        <v>0</v>
      </c>
    </row>
    <row r="1626" spans="1:6" x14ac:dyDescent="0.35">
      <c r="A1626" s="5">
        <v>5833452</v>
      </c>
      <c r="B1626" s="6">
        <v>42941</v>
      </c>
      <c r="C1626" s="7">
        <v>0.34989583333333335</v>
      </c>
      <c r="D1626" s="8">
        <v>0.35214120370370372</v>
      </c>
      <c r="E1626" s="20">
        <f t="shared" si="50"/>
        <v>0</v>
      </c>
      <c r="F1626">
        <f t="shared" si="51"/>
        <v>0</v>
      </c>
    </row>
    <row r="1627" spans="1:6" x14ac:dyDescent="0.35">
      <c r="A1627" s="9">
        <v>11425383</v>
      </c>
      <c r="B1627" s="10">
        <v>42941</v>
      </c>
      <c r="C1627" s="11">
        <v>0.35267361111111112</v>
      </c>
      <c r="D1627" s="12">
        <v>0.36171296296296296</v>
      </c>
      <c r="E1627" s="20">
        <f t="shared" si="50"/>
        <v>0</v>
      </c>
      <c r="F1627">
        <f t="shared" si="51"/>
        <v>0</v>
      </c>
    </row>
    <row r="1628" spans="1:6" x14ac:dyDescent="0.35">
      <c r="A1628" s="5">
        <v>2900584</v>
      </c>
      <c r="B1628" s="6">
        <v>42941</v>
      </c>
      <c r="C1628" s="7">
        <v>0.35335648148148147</v>
      </c>
      <c r="D1628" s="8">
        <v>0.36329861111111111</v>
      </c>
      <c r="E1628" s="20">
        <f t="shared" si="50"/>
        <v>0</v>
      </c>
      <c r="F1628">
        <f t="shared" si="51"/>
        <v>0</v>
      </c>
    </row>
    <row r="1629" spans="1:6" x14ac:dyDescent="0.35">
      <c r="A1629" s="9">
        <v>77705897</v>
      </c>
      <c r="B1629" s="10">
        <v>42941</v>
      </c>
      <c r="C1629" s="11">
        <v>0.35603009259259261</v>
      </c>
      <c r="D1629" s="12">
        <v>0.35928240740740741</v>
      </c>
      <c r="E1629" s="20">
        <f t="shared" si="50"/>
        <v>0</v>
      </c>
      <c r="F1629">
        <f t="shared" si="51"/>
        <v>0</v>
      </c>
    </row>
    <row r="1630" spans="1:6" x14ac:dyDescent="0.35">
      <c r="A1630" s="5">
        <v>48497496</v>
      </c>
      <c r="B1630" s="6">
        <v>42941</v>
      </c>
      <c r="C1630" s="7">
        <v>0.35881944444444447</v>
      </c>
      <c r="D1630" s="8">
        <v>0.36379629629629628</v>
      </c>
      <c r="E1630" s="20">
        <f t="shared" si="50"/>
        <v>0</v>
      </c>
      <c r="F1630">
        <f t="shared" si="51"/>
        <v>0</v>
      </c>
    </row>
    <row r="1631" spans="1:6" x14ac:dyDescent="0.35">
      <c r="A1631" s="9">
        <v>98695684</v>
      </c>
      <c r="B1631" s="10">
        <v>42941</v>
      </c>
      <c r="C1631" s="11">
        <v>0.3634722222222222</v>
      </c>
      <c r="D1631" s="12">
        <v>0.37498842592592591</v>
      </c>
      <c r="E1631" s="20">
        <f t="shared" si="50"/>
        <v>0</v>
      </c>
      <c r="F1631">
        <f t="shared" si="51"/>
        <v>0</v>
      </c>
    </row>
    <row r="1632" spans="1:6" x14ac:dyDescent="0.35">
      <c r="A1632" s="5">
        <v>7712618</v>
      </c>
      <c r="B1632" s="6">
        <v>42941</v>
      </c>
      <c r="C1632" s="7">
        <v>0.36773148148148149</v>
      </c>
      <c r="D1632" s="8">
        <v>0.37118055555555557</v>
      </c>
      <c r="E1632" s="20">
        <f t="shared" si="50"/>
        <v>0</v>
      </c>
      <c r="F1632">
        <f t="shared" si="51"/>
        <v>0</v>
      </c>
    </row>
    <row r="1633" spans="1:6" x14ac:dyDescent="0.35">
      <c r="A1633" s="9">
        <v>8872311</v>
      </c>
      <c r="B1633" s="10">
        <v>42941</v>
      </c>
      <c r="C1633" s="11">
        <v>0.36854166666666666</v>
      </c>
      <c r="D1633" s="12">
        <v>0.37072916666666667</v>
      </c>
      <c r="E1633" s="20">
        <f t="shared" si="50"/>
        <v>0</v>
      </c>
      <c r="F1633">
        <f t="shared" si="51"/>
        <v>0</v>
      </c>
    </row>
    <row r="1634" spans="1:6" x14ac:dyDescent="0.35">
      <c r="A1634" s="5">
        <v>6056372</v>
      </c>
      <c r="B1634" s="6">
        <v>42941</v>
      </c>
      <c r="C1634" s="7">
        <v>0.36930555555555555</v>
      </c>
      <c r="D1634" s="8">
        <v>0.37615740740740738</v>
      </c>
      <c r="E1634" s="20">
        <f t="shared" si="50"/>
        <v>0</v>
      </c>
      <c r="F1634">
        <f t="shared" si="51"/>
        <v>0</v>
      </c>
    </row>
    <row r="1635" spans="1:6" x14ac:dyDescent="0.35">
      <c r="A1635" s="9">
        <v>8936656</v>
      </c>
      <c r="B1635" s="10">
        <v>42941</v>
      </c>
      <c r="C1635" s="11">
        <v>0.37222222222222223</v>
      </c>
      <c r="D1635" s="12">
        <v>0.37883101851851853</v>
      </c>
      <c r="E1635" s="20">
        <f t="shared" si="50"/>
        <v>0</v>
      </c>
      <c r="F1635">
        <f t="shared" si="51"/>
        <v>0</v>
      </c>
    </row>
    <row r="1636" spans="1:6" x14ac:dyDescent="0.35">
      <c r="A1636" s="5">
        <v>22966872</v>
      </c>
      <c r="B1636" s="6">
        <v>42941</v>
      </c>
      <c r="C1636" s="7">
        <v>0.37277777777777776</v>
      </c>
      <c r="D1636" s="8">
        <v>0.37791666666666668</v>
      </c>
      <c r="E1636" s="20">
        <f t="shared" si="50"/>
        <v>0</v>
      </c>
      <c r="F1636">
        <f t="shared" si="51"/>
        <v>0</v>
      </c>
    </row>
    <row r="1637" spans="1:6" x14ac:dyDescent="0.35">
      <c r="A1637" s="9">
        <v>3908162</v>
      </c>
      <c r="B1637" s="10">
        <v>42941</v>
      </c>
      <c r="C1637" s="11">
        <v>0.37805555555555553</v>
      </c>
      <c r="D1637" s="12">
        <v>0.38770833333333332</v>
      </c>
      <c r="E1637" s="20">
        <f t="shared" si="50"/>
        <v>0</v>
      </c>
      <c r="F1637">
        <f t="shared" si="51"/>
        <v>0</v>
      </c>
    </row>
    <row r="1638" spans="1:6" x14ac:dyDescent="0.35">
      <c r="A1638" s="5">
        <v>20485333</v>
      </c>
      <c r="B1638" s="6">
        <v>42941</v>
      </c>
      <c r="C1638" s="7">
        <v>0.38230324074074074</v>
      </c>
      <c r="D1638" s="8">
        <v>0.39293981481481483</v>
      </c>
      <c r="E1638" s="20">
        <f t="shared" si="50"/>
        <v>0</v>
      </c>
      <c r="F1638">
        <f t="shared" si="51"/>
        <v>0</v>
      </c>
    </row>
    <row r="1639" spans="1:6" x14ac:dyDescent="0.35">
      <c r="A1639" s="9">
        <v>78709747</v>
      </c>
      <c r="B1639" s="10">
        <v>42941</v>
      </c>
      <c r="C1639" s="11">
        <v>0.38638888888888889</v>
      </c>
      <c r="D1639" s="12">
        <v>0.38983796296296297</v>
      </c>
      <c r="E1639" s="20">
        <f t="shared" si="50"/>
        <v>0</v>
      </c>
      <c r="F1639">
        <f t="shared" si="51"/>
        <v>0</v>
      </c>
    </row>
    <row r="1640" spans="1:6" x14ac:dyDescent="0.35">
      <c r="A1640" s="5">
        <v>1859884</v>
      </c>
      <c r="B1640" s="6">
        <v>42941</v>
      </c>
      <c r="C1640" s="7">
        <v>0.38668981481481479</v>
      </c>
      <c r="D1640" s="8">
        <v>0.3913773148148148</v>
      </c>
      <c r="E1640" s="20">
        <f t="shared" si="50"/>
        <v>0</v>
      </c>
      <c r="F1640">
        <f t="shared" si="51"/>
        <v>0</v>
      </c>
    </row>
    <row r="1641" spans="1:6" x14ac:dyDescent="0.35">
      <c r="A1641" s="9">
        <v>2866546</v>
      </c>
      <c r="B1641" s="10">
        <v>42941</v>
      </c>
      <c r="C1641" s="11">
        <v>0.39038194444444446</v>
      </c>
      <c r="D1641" s="12">
        <v>0.39797453703703706</v>
      </c>
      <c r="E1641" s="20">
        <f t="shared" si="50"/>
        <v>0</v>
      </c>
      <c r="F1641">
        <f t="shared" si="51"/>
        <v>0</v>
      </c>
    </row>
    <row r="1642" spans="1:6" x14ac:dyDescent="0.35">
      <c r="A1642" s="5">
        <v>23715237</v>
      </c>
      <c r="B1642" s="6">
        <v>42941</v>
      </c>
      <c r="C1642" s="7">
        <v>0.39152777777777775</v>
      </c>
      <c r="D1642" s="8">
        <v>0.39559027777777778</v>
      </c>
      <c r="E1642" s="20">
        <f t="shared" si="50"/>
        <v>0</v>
      </c>
      <c r="F1642">
        <f t="shared" si="51"/>
        <v>0</v>
      </c>
    </row>
    <row r="1643" spans="1:6" x14ac:dyDescent="0.35">
      <c r="A1643" s="9">
        <v>6013508</v>
      </c>
      <c r="B1643" s="10">
        <v>42941</v>
      </c>
      <c r="C1643" s="11">
        <v>0.39195601851851852</v>
      </c>
      <c r="D1643" s="12">
        <v>0.39401620370370372</v>
      </c>
      <c r="E1643" s="20">
        <f t="shared" si="50"/>
        <v>0</v>
      </c>
      <c r="F1643">
        <f t="shared" si="51"/>
        <v>0</v>
      </c>
    </row>
    <row r="1644" spans="1:6" x14ac:dyDescent="0.35">
      <c r="A1644" s="5">
        <v>6175467</v>
      </c>
      <c r="B1644" s="6">
        <v>42941</v>
      </c>
      <c r="C1644" s="7">
        <v>0.39753472222222225</v>
      </c>
      <c r="D1644" s="8">
        <v>0.40424768518518517</v>
      </c>
      <c r="E1644" s="20">
        <f t="shared" si="50"/>
        <v>0</v>
      </c>
      <c r="F1644">
        <f t="shared" si="51"/>
        <v>0</v>
      </c>
    </row>
    <row r="1645" spans="1:6" x14ac:dyDescent="0.35">
      <c r="A1645" s="9">
        <v>22416837</v>
      </c>
      <c r="B1645" s="10">
        <v>42941</v>
      </c>
      <c r="C1645" s="11">
        <v>0.39881944444444445</v>
      </c>
      <c r="D1645" s="12">
        <v>0.40244212962962961</v>
      </c>
      <c r="E1645" s="20">
        <f t="shared" si="50"/>
        <v>0</v>
      </c>
      <c r="F1645">
        <f t="shared" si="51"/>
        <v>0</v>
      </c>
    </row>
    <row r="1646" spans="1:6" x14ac:dyDescent="0.35">
      <c r="A1646" s="5">
        <v>9065927</v>
      </c>
      <c r="B1646" s="6">
        <v>42941</v>
      </c>
      <c r="C1646" s="7">
        <v>0.3991898148148148</v>
      </c>
      <c r="D1646" s="8">
        <v>0.40934027777777776</v>
      </c>
      <c r="E1646" s="20">
        <f t="shared" si="50"/>
        <v>0</v>
      </c>
      <c r="F1646">
        <f t="shared" si="51"/>
        <v>0</v>
      </c>
    </row>
    <row r="1647" spans="1:6" x14ac:dyDescent="0.35">
      <c r="A1647" s="9">
        <v>8849918</v>
      </c>
      <c r="B1647" s="10">
        <v>42941</v>
      </c>
      <c r="C1647" s="11">
        <v>0.40263888888888888</v>
      </c>
      <c r="D1647" s="12">
        <v>0.40636574074074072</v>
      </c>
      <c r="E1647" s="20">
        <f t="shared" si="50"/>
        <v>0</v>
      </c>
      <c r="F1647">
        <f t="shared" si="51"/>
        <v>0</v>
      </c>
    </row>
    <row r="1648" spans="1:6" x14ac:dyDescent="0.35">
      <c r="A1648" s="5">
        <v>8250018</v>
      </c>
      <c r="B1648" s="6">
        <v>42941</v>
      </c>
      <c r="C1648" s="7">
        <v>0.40552083333333333</v>
      </c>
      <c r="D1648" s="8">
        <v>0.41104166666666669</v>
      </c>
      <c r="E1648" s="20">
        <f t="shared" si="50"/>
        <v>0</v>
      </c>
      <c r="F1648">
        <f t="shared" si="51"/>
        <v>0</v>
      </c>
    </row>
    <row r="1649" spans="1:6" x14ac:dyDescent="0.35">
      <c r="A1649" s="9">
        <v>20349502</v>
      </c>
      <c r="B1649" s="10">
        <v>42941</v>
      </c>
      <c r="C1649" s="11">
        <v>0.40979166666666667</v>
      </c>
      <c r="D1649" s="12">
        <v>0.41252314814814817</v>
      </c>
      <c r="E1649" s="20">
        <f t="shared" si="50"/>
        <v>0</v>
      </c>
      <c r="F1649">
        <f t="shared" si="51"/>
        <v>0</v>
      </c>
    </row>
    <row r="1650" spans="1:6" x14ac:dyDescent="0.35">
      <c r="A1650" s="5">
        <v>9894723</v>
      </c>
      <c r="B1650" s="6">
        <v>42941</v>
      </c>
      <c r="C1650" s="7">
        <v>0.40988425925925925</v>
      </c>
      <c r="D1650" s="8">
        <v>0.41157407407407409</v>
      </c>
      <c r="E1650" s="20">
        <f t="shared" si="50"/>
        <v>0</v>
      </c>
      <c r="F1650">
        <f t="shared" si="51"/>
        <v>0</v>
      </c>
    </row>
    <row r="1651" spans="1:6" x14ac:dyDescent="0.35">
      <c r="A1651" s="9">
        <v>9458504</v>
      </c>
      <c r="B1651" s="10">
        <v>42941</v>
      </c>
      <c r="C1651" s="11">
        <v>0.41054398148148147</v>
      </c>
      <c r="D1651" s="12">
        <v>0.41620370370370369</v>
      </c>
      <c r="E1651" s="20">
        <f t="shared" si="50"/>
        <v>0</v>
      </c>
      <c r="F1651">
        <f t="shared" si="51"/>
        <v>0</v>
      </c>
    </row>
    <row r="1652" spans="1:6" x14ac:dyDescent="0.35">
      <c r="A1652" s="5">
        <v>6741642</v>
      </c>
      <c r="B1652" s="6">
        <v>42941</v>
      </c>
      <c r="C1652" s="7">
        <v>0.41449074074074072</v>
      </c>
      <c r="D1652" s="8">
        <v>0.42371527777777779</v>
      </c>
      <c r="E1652" s="20">
        <f t="shared" si="50"/>
        <v>0</v>
      </c>
      <c r="F1652">
        <f t="shared" si="51"/>
        <v>0</v>
      </c>
    </row>
    <row r="1653" spans="1:6" x14ac:dyDescent="0.35">
      <c r="A1653" s="9">
        <v>4824710</v>
      </c>
      <c r="B1653" s="10">
        <v>42941</v>
      </c>
      <c r="C1653" s="11">
        <v>0.42008101851851853</v>
      </c>
      <c r="D1653" s="12">
        <v>0.4206597222222222</v>
      </c>
      <c r="E1653" s="20">
        <f t="shared" si="50"/>
        <v>0</v>
      </c>
      <c r="F1653">
        <f t="shared" si="51"/>
        <v>0</v>
      </c>
    </row>
    <row r="1654" spans="1:6" x14ac:dyDescent="0.35">
      <c r="A1654" s="5">
        <v>6465122</v>
      </c>
      <c r="B1654" s="6">
        <v>42941</v>
      </c>
      <c r="C1654" s="7">
        <v>0.42188657407407409</v>
      </c>
      <c r="D1654" s="8">
        <v>0.43138888888888888</v>
      </c>
      <c r="E1654" s="20">
        <f t="shared" si="50"/>
        <v>0</v>
      </c>
      <c r="F1654">
        <f t="shared" si="51"/>
        <v>0</v>
      </c>
    </row>
    <row r="1655" spans="1:6" x14ac:dyDescent="0.35">
      <c r="A1655" s="9">
        <v>6940373</v>
      </c>
      <c r="B1655" s="10">
        <v>42941</v>
      </c>
      <c r="C1655" s="11">
        <v>0.42711805555555554</v>
      </c>
      <c r="D1655" s="12">
        <v>0.43450231481481483</v>
      </c>
      <c r="E1655" s="20">
        <f t="shared" si="50"/>
        <v>0</v>
      </c>
      <c r="F1655">
        <f t="shared" si="51"/>
        <v>0</v>
      </c>
    </row>
    <row r="1656" spans="1:6" x14ac:dyDescent="0.35">
      <c r="A1656" s="5">
        <v>81613163</v>
      </c>
      <c r="B1656" s="6">
        <v>42941</v>
      </c>
      <c r="C1656" s="7">
        <v>0.43004629629629632</v>
      </c>
      <c r="D1656" s="8">
        <v>0.43855324074074076</v>
      </c>
      <c r="E1656" s="20">
        <f t="shared" si="50"/>
        <v>0</v>
      </c>
      <c r="F1656">
        <f t="shared" si="51"/>
        <v>0</v>
      </c>
    </row>
    <row r="1657" spans="1:6" x14ac:dyDescent="0.35">
      <c r="A1657" s="9">
        <v>9894998</v>
      </c>
      <c r="B1657" s="10">
        <v>42941</v>
      </c>
      <c r="C1657" s="11">
        <v>0.4344675925925926</v>
      </c>
      <c r="D1657" s="12">
        <v>0.44442129629629629</v>
      </c>
      <c r="E1657" s="20">
        <f t="shared" si="50"/>
        <v>0</v>
      </c>
      <c r="F1657">
        <f t="shared" si="51"/>
        <v>0</v>
      </c>
    </row>
    <row r="1658" spans="1:6" x14ac:dyDescent="0.35">
      <c r="A1658" s="5">
        <v>7663988</v>
      </c>
      <c r="B1658" s="6">
        <v>42941</v>
      </c>
      <c r="C1658" s="7">
        <v>0.43884259259259262</v>
      </c>
      <c r="D1658" s="8">
        <v>0.44464120370370369</v>
      </c>
      <c r="E1658" s="20">
        <f t="shared" si="50"/>
        <v>0</v>
      </c>
      <c r="F1658">
        <f t="shared" si="51"/>
        <v>0</v>
      </c>
    </row>
    <row r="1659" spans="1:6" x14ac:dyDescent="0.35">
      <c r="A1659" s="9">
        <v>29555837</v>
      </c>
      <c r="B1659" s="10">
        <v>42941</v>
      </c>
      <c r="C1659" s="11">
        <v>0.44231481481481483</v>
      </c>
      <c r="D1659" s="12">
        <v>0.45185185185185184</v>
      </c>
      <c r="E1659" s="20">
        <f t="shared" si="50"/>
        <v>0</v>
      </c>
      <c r="F1659">
        <f t="shared" si="51"/>
        <v>0</v>
      </c>
    </row>
    <row r="1660" spans="1:6" x14ac:dyDescent="0.35">
      <c r="A1660" s="5">
        <v>6890486</v>
      </c>
      <c r="B1660" s="6">
        <v>42941</v>
      </c>
      <c r="C1660" s="7">
        <v>0.44594907407407408</v>
      </c>
      <c r="D1660" s="8">
        <v>0.45099537037037035</v>
      </c>
      <c r="E1660" s="20">
        <f t="shared" si="50"/>
        <v>0</v>
      </c>
      <c r="F1660">
        <f t="shared" si="51"/>
        <v>0</v>
      </c>
    </row>
    <row r="1661" spans="1:6" x14ac:dyDescent="0.35">
      <c r="A1661" s="9">
        <v>1992079</v>
      </c>
      <c r="B1661" s="10">
        <v>42941</v>
      </c>
      <c r="C1661" s="11">
        <v>0.45004629629629628</v>
      </c>
      <c r="D1661" s="12">
        <v>0.45568287037037036</v>
      </c>
      <c r="E1661" s="20">
        <f t="shared" si="50"/>
        <v>0</v>
      </c>
      <c r="F1661">
        <f t="shared" si="51"/>
        <v>0</v>
      </c>
    </row>
    <row r="1662" spans="1:6" x14ac:dyDescent="0.35">
      <c r="A1662" s="5">
        <v>7599611</v>
      </c>
      <c r="B1662" s="6">
        <v>42941</v>
      </c>
      <c r="C1662" s="7">
        <v>0.45217592592592593</v>
      </c>
      <c r="D1662" s="8">
        <v>0.4568402777777778</v>
      </c>
      <c r="E1662" s="20">
        <f t="shared" si="50"/>
        <v>0</v>
      </c>
      <c r="F1662">
        <f t="shared" si="51"/>
        <v>0</v>
      </c>
    </row>
    <row r="1663" spans="1:6" x14ac:dyDescent="0.35">
      <c r="A1663" s="9">
        <v>1418351</v>
      </c>
      <c r="B1663" s="10">
        <v>42941</v>
      </c>
      <c r="C1663" s="11">
        <v>0.45377314814814818</v>
      </c>
      <c r="D1663" s="12">
        <v>0.45409722222222221</v>
      </c>
      <c r="E1663" s="20">
        <f t="shared" si="50"/>
        <v>0</v>
      </c>
      <c r="F1663">
        <f t="shared" si="51"/>
        <v>0</v>
      </c>
    </row>
    <row r="1664" spans="1:6" x14ac:dyDescent="0.35">
      <c r="A1664" s="5">
        <v>5883714</v>
      </c>
      <c r="B1664" s="6">
        <v>42941</v>
      </c>
      <c r="C1664" s="7">
        <v>0.45886574074074077</v>
      </c>
      <c r="D1664" s="8">
        <v>0.46630787037037036</v>
      </c>
      <c r="E1664" s="20">
        <f t="shared" si="50"/>
        <v>0</v>
      </c>
      <c r="F1664">
        <f t="shared" si="51"/>
        <v>0</v>
      </c>
    </row>
    <row r="1665" spans="1:6" x14ac:dyDescent="0.35">
      <c r="A1665" s="9">
        <v>1457083</v>
      </c>
      <c r="B1665" s="10">
        <v>42941</v>
      </c>
      <c r="C1665" s="11">
        <v>0.46381944444444445</v>
      </c>
      <c r="D1665" s="12">
        <v>0.47520833333333334</v>
      </c>
      <c r="E1665" s="20">
        <f t="shared" si="50"/>
        <v>0</v>
      </c>
      <c r="F1665">
        <f t="shared" si="51"/>
        <v>0</v>
      </c>
    </row>
    <row r="1666" spans="1:6" x14ac:dyDescent="0.35">
      <c r="A1666" s="5">
        <v>9948096</v>
      </c>
      <c r="B1666" s="6">
        <v>42941</v>
      </c>
      <c r="C1666" s="7">
        <v>0.46564814814814814</v>
      </c>
      <c r="D1666" s="8">
        <v>0.47028935185185183</v>
      </c>
      <c r="E1666" s="20">
        <f t="shared" si="50"/>
        <v>0</v>
      </c>
      <c r="F1666">
        <f t="shared" si="51"/>
        <v>0</v>
      </c>
    </row>
    <row r="1667" spans="1:6" x14ac:dyDescent="0.35">
      <c r="A1667" s="9">
        <v>2567031</v>
      </c>
      <c r="B1667" s="10">
        <v>42941</v>
      </c>
      <c r="C1667" s="11">
        <v>0.47077546296296297</v>
      </c>
      <c r="D1667" s="12">
        <v>0.47538194444444443</v>
      </c>
      <c r="E1667" s="20">
        <f t="shared" ref="E1667:E1730" si="52">IF(F1667=1,D1667-C1667,0)</f>
        <v>0</v>
      </c>
      <c r="F1667">
        <f t="shared" ref="F1667:F1730" si="53">IF(AND(LEN(A1667)=7,LEFT(A1667,2) = "12"),1,0)</f>
        <v>0</v>
      </c>
    </row>
    <row r="1668" spans="1:6" x14ac:dyDescent="0.35">
      <c r="A1668" s="5">
        <v>5952625</v>
      </c>
      <c r="B1668" s="6">
        <v>42941</v>
      </c>
      <c r="C1668" s="7">
        <v>0.4729976851851852</v>
      </c>
      <c r="D1668" s="8">
        <v>0.47553240740740743</v>
      </c>
      <c r="E1668" s="20">
        <f t="shared" si="52"/>
        <v>0</v>
      </c>
      <c r="F1668">
        <f t="shared" si="53"/>
        <v>0</v>
      </c>
    </row>
    <row r="1669" spans="1:6" x14ac:dyDescent="0.35">
      <c r="A1669" s="9">
        <v>8284495</v>
      </c>
      <c r="B1669" s="10">
        <v>42941</v>
      </c>
      <c r="C1669" s="11">
        <v>0.47385416666666669</v>
      </c>
      <c r="D1669" s="12">
        <v>0.47505787037037039</v>
      </c>
      <c r="E1669" s="20">
        <f t="shared" si="52"/>
        <v>0</v>
      </c>
      <c r="F1669">
        <f t="shared" si="53"/>
        <v>0</v>
      </c>
    </row>
    <row r="1670" spans="1:6" x14ac:dyDescent="0.35">
      <c r="A1670" s="5">
        <v>5354141</v>
      </c>
      <c r="B1670" s="6">
        <v>42941</v>
      </c>
      <c r="C1670" s="7">
        <v>0.47591435185185182</v>
      </c>
      <c r="D1670" s="8">
        <v>0.47734953703703703</v>
      </c>
      <c r="E1670" s="20">
        <f t="shared" si="52"/>
        <v>0</v>
      </c>
      <c r="F1670">
        <f t="shared" si="53"/>
        <v>0</v>
      </c>
    </row>
    <row r="1671" spans="1:6" x14ac:dyDescent="0.35">
      <c r="A1671" s="9">
        <v>5713477</v>
      </c>
      <c r="B1671" s="10">
        <v>42941</v>
      </c>
      <c r="C1671" s="11">
        <v>0.4770138888888889</v>
      </c>
      <c r="D1671" s="12">
        <v>0.48685185185185187</v>
      </c>
      <c r="E1671" s="20">
        <f t="shared" si="52"/>
        <v>0</v>
      </c>
      <c r="F1671">
        <f t="shared" si="53"/>
        <v>0</v>
      </c>
    </row>
    <row r="1672" spans="1:6" x14ac:dyDescent="0.35">
      <c r="A1672" s="5">
        <v>6865322</v>
      </c>
      <c r="B1672" s="6">
        <v>42941</v>
      </c>
      <c r="C1672" s="7">
        <v>0.47781249999999997</v>
      </c>
      <c r="D1672" s="8">
        <v>0.48425925925925928</v>
      </c>
      <c r="E1672" s="20">
        <f t="shared" si="52"/>
        <v>0</v>
      </c>
      <c r="F1672">
        <f t="shared" si="53"/>
        <v>0</v>
      </c>
    </row>
    <row r="1673" spans="1:6" x14ac:dyDescent="0.35">
      <c r="A1673" s="9">
        <v>9007177570</v>
      </c>
      <c r="B1673" s="10">
        <v>42941</v>
      </c>
      <c r="C1673" s="11">
        <v>0.47957175925925927</v>
      </c>
      <c r="D1673" s="12">
        <v>0.48254629629629631</v>
      </c>
      <c r="E1673" s="20">
        <f t="shared" si="52"/>
        <v>0</v>
      </c>
      <c r="F1673">
        <f t="shared" si="53"/>
        <v>0</v>
      </c>
    </row>
    <row r="1674" spans="1:6" x14ac:dyDescent="0.35">
      <c r="A1674" s="5">
        <v>49920930</v>
      </c>
      <c r="B1674" s="6">
        <v>42941</v>
      </c>
      <c r="C1674" s="7">
        <v>0.48457175925925927</v>
      </c>
      <c r="D1674" s="8">
        <v>0.48851851851851852</v>
      </c>
      <c r="E1674" s="20">
        <f t="shared" si="52"/>
        <v>0</v>
      </c>
      <c r="F1674">
        <f t="shared" si="53"/>
        <v>0</v>
      </c>
    </row>
    <row r="1675" spans="1:6" x14ac:dyDescent="0.35">
      <c r="A1675" s="9">
        <v>3624713</v>
      </c>
      <c r="B1675" s="10">
        <v>42941</v>
      </c>
      <c r="C1675" s="11">
        <v>0.48563657407407407</v>
      </c>
      <c r="D1675" s="12">
        <v>0.49687500000000001</v>
      </c>
      <c r="E1675" s="20">
        <f t="shared" si="52"/>
        <v>0</v>
      </c>
      <c r="F1675">
        <f t="shared" si="53"/>
        <v>0</v>
      </c>
    </row>
    <row r="1676" spans="1:6" x14ac:dyDescent="0.35">
      <c r="A1676" s="5">
        <v>39848401</v>
      </c>
      <c r="B1676" s="6">
        <v>42941</v>
      </c>
      <c r="C1676" s="7">
        <v>0.48615740740740743</v>
      </c>
      <c r="D1676" s="8">
        <v>0.49478009259259259</v>
      </c>
      <c r="E1676" s="20">
        <f t="shared" si="52"/>
        <v>0</v>
      </c>
      <c r="F1676">
        <f t="shared" si="53"/>
        <v>0</v>
      </c>
    </row>
    <row r="1677" spans="1:6" x14ac:dyDescent="0.35">
      <c r="A1677" s="9">
        <v>4131448</v>
      </c>
      <c r="B1677" s="10">
        <v>42941</v>
      </c>
      <c r="C1677" s="11">
        <v>0.48975694444444445</v>
      </c>
      <c r="D1677" s="12">
        <v>0.49530092592592595</v>
      </c>
      <c r="E1677" s="20">
        <f t="shared" si="52"/>
        <v>0</v>
      </c>
      <c r="F1677">
        <f t="shared" si="53"/>
        <v>0</v>
      </c>
    </row>
    <row r="1678" spans="1:6" x14ac:dyDescent="0.35">
      <c r="A1678" s="5">
        <v>2239958</v>
      </c>
      <c r="B1678" s="6">
        <v>42941</v>
      </c>
      <c r="C1678" s="7">
        <v>0.49523148148148149</v>
      </c>
      <c r="D1678" s="8">
        <v>0.49962962962962965</v>
      </c>
      <c r="E1678" s="20">
        <f t="shared" si="52"/>
        <v>0</v>
      </c>
      <c r="F1678">
        <f t="shared" si="53"/>
        <v>0</v>
      </c>
    </row>
    <row r="1679" spans="1:6" x14ac:dyDescent="0.35">
      <c r="A1679" s="9">
        <v>3680149</v>
      </c>
      <c r="B1679" s="10">
        <v>42941</v>
      </c>
      <c r="C1679" s="11">
        <v>0.49556712962962962</v>
      </c>
      <c r="D1679" s="12">
        <v>0.49927083333333333</v>
      </c>
      <c r="E1679" s="20">
        <f t="shared" si="52"/>
        <v>0</v>
      </c>
      <c r="F1679">
        <f t="shared" si="53"/>
        <v>0</v>
      </c>
    </row>
    <row r="1680" spans="1:6" x14ac:dyDescent="0.35">
      <c r="A1680" s="5">
        <v>3654212</v>
      </c>
      <c r="B1680" s="6">
        <v>42941</v>
      </c>
      <c r="C1680" s="7">
        <v>0.49739583333333331</v>
      </c>
      <c r="D1680" s="8">
        <v>0.49787037037037035</v>
      </c>
      <c r="E1680" s="20">
        <f t="shared" si="52"/>
        <v>0</v>
      </c>
      <c r="F1680">
        <f t="shared" si="53"/>
        <v>0</v>
      </c>
    </row>
    <row r="1681" spans="1:6" x14ac:dyDescent="0.35">
      <c r="A1681" s="9">
        <v>3192053</v>
      </c>
      <c r="B1681" s="10">
        <v>42941</v>
      </c>
      <c r="C1681" s="11">
        <v>0.49796296296296294</v>
      </c>
      <c r="D1681" s="12">
        <v>0.5053009259259259</v>
      </c>
      <c r="E1681" s="20">
        <f t="shared" si="52"/>
        <v>0</v>
      </c>
      <c r="F1681">
        <f t="shared" si="53"/>
        <v>0</v>
      </c>
    </row>
    <row r="1682" spans="1:6" x14ac:dyDescent="0.35">
      <c r="A1682" s="5">
        <v>2355456</v>
      </c>
      <c r="B1682" s="6">
        <v>42941</v>
      </c>
      <c r="C1682" s="7">
        <v>0.50027777777777782</v>
      </c>
      <c r="D1682" s="8">
        <v>0.50983796296296291</v>
      </c>
      <c r="E1682" s="20">
        <f t="shared" si="52"/>
        <v>0</v>
      </c>
      <c r="F1682">
        <f t="shared" si="53"/>
        <v>0</v>
      </c>
    </row>
    <row r="1683" spans="1:6" x14ac:dyDescent="0.35">
      <c r="A1683" s="9">
        <v>64932677</v>
      </c>
      <c r="B1683" s="10">
        <v>42941</v>
      </c>
      <c r="C1683" s="11">
        <v>0.50436342592592598</v>
      </c>
      <c r="D1683" s="12">
        <v>0.51339120370370372</v>
      </c>
      <c r="E1683" s="20">
        <f t="shared" si="52"/>
        <v>0</v>
      </c>
      <c r="F1683">
        <f t="shared" si="53"/>
        <v>0</v>
      </c>
    </row>
    <row r="1684" spans="1:6" x14ac:dyDescent="0.35">
      <c r="A1684" s="5">
        <v>9419117</v>
      </c>
      <c r="B1684" s="6">
        <v>42941</v>
      </c>
      <c r="C1684" s="7">
        <v>0.50545138888888885</v>
      </c>
      <c r="D1684" s="8">
        <v>0.50761574074074078</v>
      </c>
      <c r="E1684" s="20">
        <f t="shared" si="52"/>
        <v>0</v>
      </c>
      <c r="F1684">
        <f t="shared" si="53"/>
        <v>0</v>
      </c>
    </row>
    <row r="1685" spans="1:6" x14ac:dyDescent="0.35">
      <c r="A1685" s="9">
        <v>2509631</v>
      </c>
      <c r="B1685" s="10">
        <v>42941</v>
      </c>
      <c r="C1685" s="11">
        <v>0.51025462962962964</v>
      </c>
      <c r="D1685" s="12">
        <v>0.52134259259259264</v>
      </c>
      <c r="E1685" s="20">
        <f t="shared" si="52"/>
        <v>0</v>
      </c>
      <c r="F1685">
        <f t="shared" si="53"/>
        <v>0</v>
      </c>
    </row>
    <row r="1686" spans="1:6" x14ac:dyDescent="0.35">
      <c r="A1686" s="5">
        <v>4505950</v>
      </c>
      <c r="B1686" s="6">
        <v>42941</v>
      </c>
      <c r="C1686" s="7">
        <v>0.51373842592592589</v>
      </c>
      <c r="D1686" s="8">
        <v>0.52304398148148146</v>
      </c>
      <c r="E1686" s="20">
        <f t="shared" si="52"/>
        <v>0</v>
      </c>
      <c r="F1686">
        <f t="shared" si="53"/>
        <v>0</v>
      </c>
    </row>
    <row r="1687" spans="1:6" x14ac:dyDescent="0.35">
      <c r="A1687" s="9">
        <v>39663331</v>
      </c>
      <c r="B1687" s="10">
        <v>42941</v>
      </c>
      <c r="C1687" s="11">
        <v>0.51447916666666671</v>
      </c>
      <c r="D1687" s="12">
        <v>0.51800925925925922</v>
      </c>
      <c r="E1687" s="20">
        <f t="shared" si="52"/>
        <v>0</v>
      </c>
      <c r="F1687">
        <f t="shared" si="53"/>
        <v>0</v>
      </c>
    </row>
    <row r="1688" spans="1:6" x14ac:dyDescent="0.35">
      <c r="A1688" s="5">
        <v>73350537</v>
      </c>
      <c r="B1688" s="6">
        <v>42941</v>
      </c>
      <c r="C1688" s="7">
        <v>0.51847222222222222</v>
      </c>
      <c r="D1688" s="8">
        <v>0.5267708333333333</v>
      </c>
      <c r="E1688" s="20">
        <f t="shared" si="52"/>
        <v>0</v>
      </c>
      <c r="F1688">
        <f t="shared" si="53"/>
        <v>0</v>
      </c>
    </row>
    <row r="1689" spans="1:6" x14ac:dyDescent="0.35">
      <c r="A1689" s="9">
        <v>36929553</v>
      </c>
      <c r="B1689" s="10">
        <v>42941</v>
      </c>
      <c r="C1689" s="11">
        <v>0.52155092592592589</v>
      </c>
      <c r="D1689" s="12">
        <v>0.52667824074074077</v>
      </c>
      <c r="E1689" s="20">
        <f t="shared" si="52"/>
        <v>0</v>
      </c>
      <c r="F1689">
        <f t="shared" si="53"/>
        <v>0</v>
      </c>
    </row>
    <row r="1690" spans="1:6" x14ac:dyDescent="0.35">
      <c r="A1690" s="5">
        <v>74135093</v>
      </c>
      <c r="B1690" s="6">
        <v>42941</v>
      </c>
      <c r="C1690" s="7">
        <v>0.52232638888888894</v>
      </c>
      <c r="D1690" s="8">
        <v>0.52666666666666662</v>
      </c>
      <c r="E1690" s="20">
        <f t="shared" si="52"/>
        <v>0</v>
      </c>
      <c r="F1690">
        <f t="shared" si="53"/>
        <v>0</v>
      </c>
    </row>
    <row r="1691" spans="1:6" x14ac:dyDescent="0.35">
      <c r="A1691" s="9">
        <v>3505978</v>
      </c>
      <c r="B1691" s="10">
        <v>42941</v>
      </c>
      <c r="C1691" s="11">
        <v>0.52393518518518523</v>
      </c>
      <c r="D1691" s="12">
        <v>0.53479166666666667</v>
      </c>
      <c r="E1691" s="20">
        <f t="shared" si="52"/>
        <v>0</v>
      </c>
      <c r="F1691">
        <f t="shared" si="53"/>
        <v>0</v>
      </c>
    </row>
    <row r="1692" spans="1:6" x14ac:dyDescent="0.35">
      <c r="A1692" s="5">
        <v>4483996</v>
      </c>
      <c r="B1692" s="6">
        <v>42941</v>
      </c>
      <c r="C1692" s="7">
        <v>0.52584490740740741</v>
      </c>
      <c r="D1692" s="8">
        <v>0.53660879629629632</v>
      </c>
      <c r="E1692" s="20">
        <f t="shared" si="52"/>
        <v>0</v>
      </c>
      <c r="F1692">
        <f t="shared" si="53"/>
        <v>0</v>
      </c>
    </row>
    <row r="1693" spans="1:6" x14ac:dyDescent="0.35">
      <c r="A1693" s="9">
        <v>6264844</v>
      </c>
      <c r="B1693" s="10">
        <v>42941</v>
      </c>
      <c r="C1693" s="11">
        <v>0.52655092592592589</v>
      </c>
      <c r="D1693" s="12">
        <v>0.52703703703703708</v>
      </c>
      <c r="E1693" s="20">
        <f t="shared" si="52"/>
        <v>0</v>
      </c>
      <c r="F1693">
        <f t="shared" si="53"/>
        <v>0</v>
      </c>
    </row>
    <row r="1694" spans="1:6" x14ac:dyDescent="0.35">
      <c r="A1694" s="5">
        <v>92127966</v>
      </c>
      <c r="B1694" s="6">
        <v>42941</v>
      </c>
      <c r="C1694" s="7">
        <v>0.5317708333333333</v>
      </c>
      <c r="D1694" s="8">
        <v>0.53724537037037035</v>
      </c>
      <c r="E1694" s="20">
        <f t="shared" si="52"/>
        <v>0</v>
      </c>
      <c r="F1694">
        <f t="shared" si="53"/>
        <v>0</v>
      </c>
    </row>
    <row r="1695" spans="1:6" x14ac:dyDescent="0.35">
      <c r="A1695" s="9">
        <v>7353916</v>
      </c>
      <c r="B1695" s="10">
        <v>42941</v>
      </c>
      <c r="C1695" s="11">
        <v>0.53456018518518522</v>
      </c>
      <c r="D1695" s="12">
        <v>0.53718750000000004</v>
      </c>
      <c r="E1695" s="20">
        <f t="shared" si="52"/>
        <v>0</v>
      </c>
      <c r="F1695">
        <f t="shared" si="53"/>
        <v>0</v>
      </c>
    </row>
    <row r="1696" spans="1:6" x14ac:dyDescent="0.35">
      <c r="A1696" s="5">
        <v>5440420</v>
      </c>
      <c r="B1696" s="6">
        <v>42941</v>
      </c>
      <c r="C1696" s="7">
        <v>0.53535879629629635</v>
      </c>
      <c r="D1696" s="8">
        <v>0.54219907407407408</v>
      </c>
      <c r="E1696" s="20">
        <f t="shared" si="52"/>
        <v>0</v>
      </c>
      <c r="F1696">
        <f t="shared" si="53"/>
        <v>0</v>
      </c>
    </row>
    <row r="1697" spans="1:6" x14ac:dyDescent="0.35">
      <c r="A1697" s="9">
        <v>8840288</v>
      </c>
      <c r="B1697" s="10">
        <v>42941</v>
      </c>
      <c r="C1697" s="11">
        <v>0.53964120370370372</v>
      </c>
      <c r="D1697" s="12">
        <v>0.54101851851851857</v>
      </c>
      <c r="E1697" s="20">
        <f t="shared" si="52"/>
        <v>0</v>
      </c>
      <c r="F1697">
        <f t="shared" si="53"/>
        <v>0</v>
      </c>
    </row>
    <row r="1698" spans="1:6" x14ac:dyDescent="0.35">
      <c r="A1698" s="5">
        <v>9007177570</v>
      </c>
      <c r="B1698" s="6">
        <v>42941</v>
      </c>
      <c r="C1698" s="7">
        <v>0.54324074074074069</v>
      </c>
      <c r="D1698" s="8">
        <v>0.54956018518518523</v>
      </c>
      <c r="E1698" s="20">
        <f t="shared" si="52"/>
        <v>0</v>
      </c>
      <c r="F1698">
        <f t="shared" si="53"/>
        <v>0</v>
      </c>
    </row>
    <row r="1699" spans="1:6" x14ac:dyDescent="0.35">
      <c r="A1699" s="9">
        <v>24850212</v>
      </c>
      <c r="B1699" s="10">
        <v>42941</v>
      </c>
      <c r="C1699" s="11">
        <v>0.54350694444444447</v>
      </c>
      <c r="D1699" s="12">
        <v>0.54767361111111112</v>
      </c>
      <c r="E1699" s="20">
        <f t="shared" si="52"/>
        <v>0</v>
      </c>
      <c r="F1699">
        <f t="shared" si="53"/>
        <v>0</v>
      </c>
    </row>
    <row r="1700" spans="1:6" x14ac:dyDescent="0.35">
      <c r="A1700" s="5">
        <v>7857206</v>
      </c>
      <c r="B1700" s="6">
        <v>42941</v>
      </c>
      <c r="C1700" s="7">
        <v>0.54858796296296297</v>
      </c>
      <c r="D1700" s="8">
        <v>0.55077546296296298</v>
      </c>
      <c r="E1700" s="20">
        <f t="shared" si="52"/>
        <v>0</v>
      </c>
      <c r="F1700">
        <f t="shared" si="53"/>
        <v>0</v>
      </c>
    </row>
    <row r="1701" spans="1:6" x14ac:dyDescent="0.35">
      <c r="A1701" s="9">
        <v>9007177570</v>
      </c>
      <c r="B1701" s="10">
        <v>42941</v>
      </c>
      <c r="C1701" s="11">
        <v>0.5519560185185185</v>
      </c>
      <c r="D1701" s="12">
        <v>0.55625000000000002</v>
      </c>
      <c r="E1701" s="20">
        <f t="shared" si="52"/>
        <v>0</v>
      </c>
      <c r="F1701">
        <f t="shared" si="53"/>
        <v>0</v>
      </c>
    </row>
    <row r="1702" spans="1:6" x14ac:dyDescent="0.35">
      <c r="A1702" s="5">
        <v>96375379</v>
      </c>
      <c r="B1702" s="6">
        <v>42941</v>
      </c>
      <c r="C1702" s="7">
        <v>0.55320601851851847</v>
      </c>
      <c r="D1702" s="8">
        <v>0.55569444444444449</v>
      </c>
      <c r="E1702" s="20">
        <f t="shared" si="52"/>
        <v>0</v>
      </c>
      <c r="F1702">
        <f t="shared" si="53"/>
        <v>0</v>
      </c>
    </row>
    <row r="1703" spans="1:6" x14ac:dyDescent="0.35">
      <c r="A1703" s="9">
        <v>6146223</v>
      </c>
      <c r="B1703" s="10">
        <v>42941</v>
      </c>
      <c r="C1703" s="11">
        <v>0.55517361111111108</v>
      </c>
      <c r="D1703" s="12">
        <v>0.56013888888888885</v>
      </c>
      <c r="E1703" s="20">
        <f t="shared" si="52"/>
        <v>0</v>
      </c>
      <c r="F1703">
        <f t="shared" si="53"/>
        <v>0</v>
      </c>
    </row>
    <row r="1704" spans="1:6" x14ac:dyDescent="0.35">
      <c r="A1704" s="5">
        <v>7119239917</v>
      </c>
      <c r="B1704" s="6">
        <v>42941</v>
      </c>
      <c r="C1704" s="7">
        <v>0.56033564814814818</v>
      </c>
      <c r="D1704" s="8">
        <v>0.56570601851851854</v>
      </c>
      <c r="E1704" s="20">
        <f t="shared" si="52"/>
        <v>0</v>
      </c>
      <c r="F1704">
        <f t="shared" si="53"/>
        <v>0</v>
      </c>
    </row>
    <row r="1705" spans="1:6" x14ac:dyDescent="0.35">
      <c r="A1705" s="9">
        <v>8622421</v>
      </c>
      <c r="B1705" s="10">
        <v>42941</v>
      </c>
      <c r="C1705" s="11">
        <v>0.56459490740740736</v>
      </c>
      <c r="D1705" s="12">
        <v>0.56638888888888894</v>
      </c>
      <c r="E1705" s="20">
        <f t="shared" si="52"/>
        <v>0</v>
      </c>
      <c r="F1705">
        <f t="shared" si="53"/>
        <v>0</v>
      </c>
    </row>
    <row r="1706" spans="1:6" x14ac:dyDescent="0.35">
      <c r="A1706" s="5">
        <v>2304726</v>
      </c>
      <c r="B1706" s="6">
        <v>42941</v>
      </c>
      <c r="C1706" s="7">
        <v>0.56620370370370365</v>
      </c>
      <c r="D1706" s="8">
        <v>0.57226851851851857</v>
      </c>
      <c r="E1706" s="20">
        <f t="shared" si="52"/>
        <v>0</v>
      </c>
      <c r="F1706">
        <f t="shared" si="53"/>
        <v>0</v>
      </c>
    </row>
    <row r="1707" spans="1:6" x14ac:dyDescent="0.35">
      <c r="A1707" s="9">
        <v>9183185</v>
      </c>
      <c r="B1707" s="10">
        <v>42941</v>
      </c>
      <c r="C1707" s="11">
        <v>0.56643518518518521</v>
      </c>
      <c r="D1707" s="12">
        <v>0.5687268518518519</v>
      </c>
      <c r="E1707" s="20">
        <f t="shared" si="52"/>
        <v>0</v>
      </c>
      <c r="F1707">
        <f t="shared" si="53"/>
        <v>0</v>
      </c>
    </row>
    <row r="1708" spans="1:6" x14ac:dyDescent="0.35">
      <c r="A1708" s="5">
        <v>2185216</v>
      </c>
      <c r="B1708" s="6">
        <v>42941</v>
      </c>
      <c r="C1708" s="7">
        <v>0.56959490740740737</v>
      </c>
      <c r="D1708" s="8">
        <v>0.57927083333333329</v>
      </c>
      <c r="E1708" s="20">
        <f t="shared" si="52"/>
        <v>0</v>
      </c>
      <c r="F1708">
        <f t="shared" si="53"/>
        <v>0</v>
      </c>
    </row>
    <row r="1709" spans="1:6" x14ac:dyDescent="0.35">
      <c r="A1709" s="9">
        <v>9664191</v>
      </c>
      <c r="B1709" s="10">
        <v>42941</v>
      </c>
      <c r="C1709" s="11">
        <v>0.56974537037037032</v>
      </c>
      <c r="D1709" s="12">
        <v>0.57015046296296301</v>
      </c>
      <c r="E1709" s="20">
        <f t="shared" si="52"/>
        <v>0</v>
      </c>
      <c r="F1709">
        <f t="shared" si="53"/>
        <v>0</v>
      </c>
    </row>
    <row r="1710" spans="1:6" x14ac:dyDescent="0.35">
      <c r="A1710" s="5">
        <v>8743781</v>
      </c>
      <c r="B1710" s="6">
        <v>42941</v>
      </c>
      <c r="C1710" s="7">
        <v>0.57284722222222217</v>
      </c>
      <c r="D1710" s="8">
        <v>0.58149305555555553</v>
      </c>
      <c r="E1710" s="20">
        <f t="shared" si="52"/>
        <v>0</v>
      </c>
      <c r="F1710">
        <f t="shared" si="53"/>
        <v>0</v>
      </c>
    </row>
    <row r="1711" spans="1:6" x14ac:dyDescent="0.35">
      <c r="A1711" s="9">
        <v>97997759</v>
      </c>
      <c r="B1711" s="10">
        <v>42941</v>
      </c>
      <c r="C1711" s="11">
        <v>0.57335648148148144</v>
      </c>
      <c r="D1711" s="12">
        <v>0.5735069444444445</v>
      </c>
      <c r="E1711" s="20">
        <f t="shared" si="52"/>
        <v>0</v>
      </c>
      <c r="F1711">
        <f t="shared" si="53"/>
        <v>0</v>
      </c>
    </row>
    <row r="1712" spans="1:6" x14ac:dyDescent="0.35">
      <c r="A1712" s="5">
        <v>4100331</v>
      </c>
      <c r="B1712" s="6">
        <v>42941</v>
      </c>
      <c r="C1712" s="7">
        <v>0.57863425925925926</v>
      </c>
      <c r="D1712" s="8">
        <v>0.58030092592592597</v>
      </c>
      <c r="E1712" s="20">
        <f t="shared" si="52"/>
        <v>0</v>
      </c>
      <c r="F1712">
        <f t="shared" si="53"/>
        <v>0</v>
      </c>
    </row>
    <row r="1713" spans="1:6" x14ac:dyDescent="0.35">
      <c r="A1713" s="9">
        <v>7215284</v>
      </c>
      <c r="B1713" s="10">
        <v>42941</v>
      </c>
      <c r="C1713" s="11">
        <v>0.57974537037037033</v>
      </c>
      <c r="D1713" s="12">
        <v>0.59083333333333332</v>
      </c>
      <c r="E1713" s="20">
        <f t="shared" si="52"/>
        <v>0</v>
      </c>
      <c r="F1713">
        <f t="shared" si="53"/>
        <v>0</v>
      </c>
    </row>
    <row r="1714" spans="1:6" x14ac:dyDescent="0.35">
      <c r="A1714" s="5">
        <v>9474267</v>
      </c>
      <c r="B1714" s="6">
        <v>42941</v>
      </c>
      <c r="C1714" s="7">
        <v>0.58423611111111107</v>
      </c>
      <c r="D1714" s="8">
        <v>0.59392361111111114</v>
      </c>
      <c r="E1714" s="20">
        <f t="shared" si="52"/>
        <v>0</v>
      </c>
      <c r="F1714">
        <f t="shared" si="53"/>
        <v>0</v>
      </c>
    </row>
    <row r="1715" spans="1:6" x14ac:dyDescent="0.35">
      <c r="A1715" s="9">
        <v>3200206</v>
      </c>
      <c r="B1715" s="10">
        <v>42941</v>
      </c>
      <c r="C1715" s="11">
        <v>0.58784722222222219</v>
      </c>
      <c r="D1715" s="12">
        <v>0.59894675925925922</v>
      </c>
      <c r="E1715" s="20">
        <f t="shared" si="52"/>
        <v>0</v>
      </c>
      <c r="F1715">
        <f t="shared" si="53"/>
        <v>0</v>
      </c>
    </row>
    <row r="1716" spans="1:6" x14ac:dyDescent="0.35">
      <c r="A1716" s="5">
        <v>72014227</v>
      </c>
      <c r="B1716" s="6">
        <v>42941</v>
      </c>
      <c r="C1716" s="7">
        <v>0.58899305555555559</v>
      </c>
      <c r="D1716" s="8">
        <v>0.59116898148148145</v>
      </c>
      <c r="E1716" s="20">
        <f t="shared" si="52"/>
        <v>0</v>
      </c>
      <c r="F1716">
        <f t="shared" si="53"/>
        <v>0</v>
      </c>
    </row>
    <row r="1717" spans="1:6" x14ac:dyDescent="0.35">
      <c r="A1717" s="9">
        <v>3976931</v>
      </c>
      <c r="B1717" s="10">
        <v>42941</v>
      </c>
      <c r="C1717" s="11">
        <v>0.59350694444444441</v>
      </c>
      <c r="D1717" s="12">
        <v>0.59811342592592598</v>
      </c>
      <c r="E1717" s="20">
        <f t="shared" si="52"/>
        <v>0</v>
      </c>
      <c r="F1717">
        <f t="shared" si="53"/>
        <v>0</v>
      </c>
    </row>
    <row r="1718" spans="1:6" x14ac:dyDescent="0.35">
      <c r="A1718" s="5">
        <v>6717763</v>
      </c>
      <c r="B1718" s="6">
        <v>42941</v>
      </c>
      <c r="C1718" s="7">
        <v>0.596099537037037</v>
      </c>
      <c r="D1718" s="8">
        <v>0.60069444444444442</v>
      </c>
      <c r="E1718" s="20">
        <f t="shared" si="52"/>
        <v>0</v>
      </c>
      <c r="F1718">
        <f t="shared" si="53"/>
        <v>0</v>
      </c>
    </row>
    <row r="1719" spans="1:6" x14ac:dyDescent="0.35">
      <c r="A1719" s="9">
        <v>2117176</v>
      </c>
      <c r="B1719" s="10">
        <v>42941</v>
      </c>
      <c r="C1719" s="11">
        <v>0.5995138888888889</v>
      </c>
      <c r="D1719" s="12">
        <v>0.60322916666666671</v>
      </c>
      <c r="E1719" s="20">
        <f t="shared" si="52"/>
        <v>0</v>
      </c>
      <c r="F1719">
        <f t="shared" si="53"/>
        <v>0</v>
      </c>
    </row>
    <row r="1720" spans="1:6" x14ac:dyDescent="0.35">
      <c r="A1720" s="5">
        <v>67688044</v>
      </c>
      <c r="B1720" s="6">
        <v>42941</v>
      </c>
      <c r="C1720" s="7">
        <v>0.60341435185185188</v>
      </c>
      <c r="D1720" s="8">
        <v>0.60423611111111108</v>
      </c>
      <c r="E1720" s="20">
        <f t="shared" si="52"/>
        <v>0</v>
      </c>
      <c r="F1720">
        <f t="shared" si="53"/>
        <v>0</v>
      </c>
    </row>
    <row r="1721" spans="1:6" x14ac:dyDescent="0.35">
      <c r="A1721" s="9">
        <v>3824371</v>
      </c>
      <c r="B1721" s="10">
        <v>42941</v>
      </c>
      <c r="C1721" s="11">
        <v>0.60442129629629626</v>
      </c>
      <c r="D1721" s="12">
        <v>0.61266203703703703</v>
      </c>
      <c r="E1721" s="20">
        <f t="shared" si="52"/>
        <v>0</v>
      </c>
      <c r="F1721">
        <f t="shared" si="53"/>
        <v>0</v>
      </c>
    </row>
    <row r="1722" spans="1:6" x14ac:dyDescent="0.35">
      <c r="A1722" s="5">
        <v>3025855</v>
      </c>
      <c r="B1722" s="6">
        <v>42941</v>
      </c>
      <c r="C1722" s="7">
        <v>0.60601851851851851</v>
      </c>
      <c r="D1722" s="8">
        <v>0.60782407407407413</v>
      </c>
      <c r="E1722" s="20">
        <f t="shared" si="52"/>
        <v>0</v>
      </c>
      <c r="F1722">
        <f t="shared" si="53"/>
        <v>0</v>
      </c>
    </row>
    <row r="1723" spans="1:6" x14ac:dyDescent="0.35">
      <c r="A1723" s="9">
        <v>8773356</v>
      </c>
      <c r="B1723" s="10">
        <v>42941</v>
      </c>
      <c r="C1723" s="11">
        <v>0.60879629629629628</v>
      </c>
      <c r="D1723" s="12">
        <v>0.61106481481481478</v>
      </c>
      <c r="E1723" s="20">
        <f t="shared" si="52"/>
        <v>0</v>
      </c>
      <c r="F1723">
        <f t="shared" si="53"/>
        <v>0</v>
      </c>
    </row>
    <row r="1724" spans="1:6" x14ac:dyDescent="0.35">
      <c r="A1724" s="5">
        <v>1211446</v>
      </c>
      <c r="B1724" s="6">
        <v>42941</v>
      </c>
      <c r="C1724" s="7">
        <v>0.61202546296296301</v>
      </c>
      <c r="D1724" s="8">
        <v>0.62135416666666665</v>
      </c>
      <c r="E1724" s="20">
        <f t="shared" si="52"/>
        <v>9.3287037037036447E-3</v>
      </c>
      <c r="F1724">
        <f t="shared" si="53"/>
        <v>1</v>
      </c>
    </row>
    <row r="1725" spans="1:6" x14ac:dyDescent="0.35">
      <c r="A1725" s="9">
        <v>3607585</v>
      </c>
      <c r="B1725" s="10">
        <v>42941</v>
      </c>
      <c r="C1725" s="11">
        <v>0.61460648148148145</v>
      </c>
      <c r="D1725" s="12">
        <v>0.62116898148148147</v>
      </c>
      <c r="E1725" s="20">
        <f t="shared" si="52"/>
        <v>0</v>
      </c>
      <c r="F1725">
        <f t="shared" si="53"/>
        <v>0</v>
      </c>
    </row>
    <row r="1726" spans="1:6" x14ac:dyDescent="0.35">
      <c r="A1726" s="5">
        <v>5492379</v>
      </c>
      <c r="B1726" s="6">
        <v>42941</v>
      </c>
      <c r="C1726" s="7">
        <v>0.61895833333333339</v>
      </c>
      <c r="D1726" s="8">
        <v>0.61971064814814814</v>
      </c>
      <c r="E1726" s="20">
        <f t="shared" si="52"/>
        <v>0</v>
      </c>
      <c r="F1726">
        <f t="shared" si="53"/>
        <v>0</v>
      </c>
    </row>
    <row r="1727" spans="1:6" x14ac:dyDescent="0.35">
      <c r="A1727" s="9">
        <v>84589848</v>
      </c>
      <c r="B1727" s="10">
        <v>42941</v>
      </c>
      <c r="C1727" s="11">
        <v>0.61971064814814814</v>
      </c>
      <c r="D1727" s="12">
        <v>0.62334490740740744</v>
      </c>
      <c r="E1727" s="20">
        <f t="shared" si="52"/>
        <v>0</v>
      </c>
      <c r="F1727">
        <f t="shared" si="53"/>
        <v>0</v>
      </c>
    </row>
    <row r="1728" spans="1:6" x14ac:dyDescent="0.35">
      <c r="A1728" s="5">
        <v>7622848</v>
      </c>
      <c r="B1728" s="6">
        <v>42941</v>
      </c>
      <c r="C1728" s="7">
        <v>0.62008101851851849</v>
      </c>
      <c r="D1728" s="8">
        <v>0.62776620370370373</v>
      </c>
      <c r="E1728" s="20">
        <f t="shared" si="52"/>
        <v>0</v>
      </c>
      <c r="F1728">
        <f t="shared" si="53"/>
        <v>0</v>
      </c>
    </row>
    <row r="1729" spans="1:6" x14ac:dyDescent="0.35">
      <c r="A1729" s="9">
        <v>7883595</v>
      </c>
      <c r="B1729" s="10">
        <v>42941</v>
      </c>
      <c r="C1729" s="11">
        <v>0.62149305555555556</v>
      </c>
      <c r="D1729" s="12">
        <v>0.624537037037037</v>
      </c>
      <c r="E1729" s="20">
        <f t="shared" si="52"/>
        <v>0</v>
      </c>
      <c r="F1729">
        <f t="shared" si="53"/>
        <v>0</v>
      </c>
    </row>
    <row r="1730" spans="1:6" x14ac:dyDescent="0.35">
      <c r="A1730" s="5">
        <v>4804872</v>
      </c>
      <c r="B1730" s="6">
        <v>42941</v>
      </c>
      <c r="C1730" s="7">
        <v>0.62472222222222218</v>
      </c>
      <c r="D1730" s="8">
        <v>0.6360069444444445</v>
      </c>
      <c r="E1730" s="20">
        <f t="shared" si="52"/>
        <v>0</v>
      </c>
      <c r="F1730">
        <f t="shared" si="53"/>
        <v>0</v>
      </c>
    </row>
    <row r="1731" spans="1:6" x14ac:dyDescent="0.35">
      <c r="A1731" s="9">
        <v>61812355</v>
      </c>
      <c r="B1731" s="10">
        <v>42941</v>
      </c>
      <c r="C1731" s="11">
        <v>0.6292592592592593</v>
      </c>
      <c r="D1731" s="12">
        <v>0.63806712962962964</v>
      </c>
      <c r="E1731" s="20">
        <f t="shared" ref="E1731:E1794" si="54">IF(F1731=1,D1731-C1731,0)</f>
        <v>0</v>
      </c>
      <c r="F1731">
        <f t="shared" ref="F1731:F1794" si="55">IF(AND(LEN(A1731)=7,LEFT(A1731,2) = "12"),1,0)</f>
        <v>0</v>
      </c>
    </row>
    <row r="1732" spans="1:6" x14ac:dyDescent="0.35">
      <c r="A1732" s="5">
        <v>6493766</v>
      </c>
      <c r="B1732" s="6">
        <v>42942</v>
      </c>
      <c r="C1732" s="7">
        <v>0.33584490740740741</v>
      </c>
      <c r="D1732" s="8">
        <v>0.33677083333333335</v>
      </c>
      <c r="E1732" s="20">
        <f t="shared" si="54"/>
        <v>0</v>
      </c>
      <c r="F1732">
        <f t="shared" si="55"/>
        <v>0</v>
      </c>
    </row>
    <row r="1733" spans="1:6" x14ac:dyDescent="0.35">
      <c r="A1733" s="9">
        <v>4965118</v>
      </c>
      <c r="B1733" s="10">
        <v>42942</v>
      </c>
      <c r="C1733" s="11">
        <v>0.33710648148148148</v>
      </c>
      <c r="D1733" s="12">
        <v>0.34759259259259262</v>
      </c>
      <c r="E1733" s="20">
        <f t="shared" si="54"/>
        <v>0</v>
      </c>
      <c r="F1733">
        <f t="shared" si="55"/>
        <v>0</v>
      </c>
    </row>
    <row r="1734" spans="1:6" x14ac:dyDescent="0.35">
      <c r="A1734" s="5">
        <v>7973476</v>
      </c>
      <c r="B1734" s="6">
        <v>42942</v>
      </c>
      <c r="C1734" s="7">
        <v>0.34250000000000003</v>
      </c>
      <c r="D1734" s="8">
        <v>0.35003472222222221</v>
      </c>
      <c r="E1734" s="20">
        <f t="shared" si="54"/>
        <v>0</v>
      </c>
      <c r="F1734">
        <f t="shared" si="55"/>
        <v>0</v>
      </c>
    </row>
    <row r="1735" spans="1:6" x14ac:dyDescent="0.35">
      <c r="A1735" s="9">
        <v>6642574</v>
      </c>
      <c r="B1735" s="10">
        <v>42942</v>
      </c>
      <c r="C1735" s="11">
        <v>0.34575231481481483</v>
      </c>
      <c r="D1735" s="12">
        <v>0.35645833333333332</v>
      </c>
      <c r="E1735" s="20">
        <f t="shared" si="54"/>
        <v>0</v>
      </c>
      <c r="F1735">
        <f t="shared" si="55"/>
        <v>0</v>
      </c>
    </row>
    <row r="1736" spans="1:6" x14ac:dyDescent="0.35">
      <c r="A1736" s="5">
        <v>2325155</v>
      </c>
      <c r="B1736" s="6">
        <v>42942</v>
      </c>
      <c r="C1736" s="7">
        <v>0.34759259259259262</v>
      </c>
      <c r="D1736" s="8">
        <v>0.35511574074074076</v>
      </c>
      <c r="E1736" s="20">
        <f t="shared" si="54"/>
        <v>0</v>
      </c>
      <c r="F1736">
        <f t="shared" si="55"/>
        <v>0</v>
      </c>
    </row>
    <row r="1737" spans="1:6" x14ac:dyDescent="0.35">
      <c r="A1737" s="9">
        <v>1340323</v>
      </c>
      <c r="B1737" s="10">
        <v>42942</v>
      </c>
      <c r="C1737" s="11">
        <v>0.34994212962962962</v>
      </c>
      <c r="D1737" s="12">
        <v>0.35781249999999998</v>
      </c>
      <c r="E1737" s="20">
        <f t="shared" si="54"/>
        <v>0</v>
      </c>
      <c r="F1737">
        <f t="shared" si="55"/>
        <v>0</v>
      </c>
    </row>
    <row r="1738" spans="1:6" x14ac:dyDescent="0.35">
      <c r="A1738" s="5">
        <v>8957203</v>
      </c>
      <c r="B1738" s="6">
        <v>42942</v>
      </c>
      <c r="C1738" s="7">
        <v>0.35454861111111113</v>
      </c>
      <c r="D1738" s="8">
        <v>0.3629398148148148</v>
      </c>
      <c r="E1738" s="20">
        <f t="shared" si="54"/>
        <v>0</v>
      </c>
      <c r="F1738">
        <f t="shared" si="55"/>
        <v>0</v>
      </c>
    </row>
    <row r="1739" spans="1:6" x14ac:dyDescent="0.35">
      <c r="A1739" s="9">
        <v>8276893</v>
      </c>
      <c r="B1739" s="10">
        <v>42942</v>
      </c>
      <c r="C1739" s="11">
        <v>0.3590740740740741</v>
      </c>
      <c r="D1739" s="12">
        <v>0.36600694444444443</v>
      </c>
      <c r="E1739" s="20">
        <f t="shared" si="54"/>
        <v>0</v>
      </c>
      <c r="F1739">
        <f t="shared" si="55"/>
        <v>0</v>
      </c>
    </row>
    <row r="1740" spans="1:6" x14ac:dyDescent="0.35">
      <c r="A1740" s="5">
        <v>7894591002</v>
      </c>
      <c r="B1740" s="6">
        <v>42942</v>
      </c>
      <c r="C1740" s="7">
        <v>0.36476851851851849</v>
      </c>
      <c r="D1740" s="8">
        <v>0.37505787037037036</v>
      </c>
      <c r="E1740" s="20">
        <f t="shared" si="54"/>
        <v>0</v>
      </c>
      <c r="F1740">
        <f t="shared" si="55"/>
        <v>0</v>
      </c>
    </row>
    <row r="1741" spans="1:6" x14ac:dyDescent="0.35">
      <c r="A1741" s="9">
        <v>26891502</v>
      </c>
      <c r="B1741" s="10">
        <v>42942</v>
      </c>
      <c r="C1741" s="11">
        <v>0.3697685185185185</v>
      </c>
      <c r="D1741" s="12">
        <v>0.37656250000000002</v>
      </c>
      <c r="E1741" s="20">
        <f t="shared" si="54"/>
        <v>0</v>
      </c>
      <c r="F1741">
        <f t="shared" si="55"/>
        <v>0</v>
      </c>
    </row>
    <row r="1742" spans="1:6" x14ac:dyDescent="0.35">
      <c r="A1742" s="5">
        <v>71021004</v>
      </c>
      <c r="B1742" s="6">
        <v>42942</v>
      </c>
      <c r="C1742" s="7">
        <v>0.37305555555555553</v>
      </c>
      <c r="D1742" s="8">
        <v>0.38090277777777776</v>
      </c>
      <c r="E1742" s="20">
        <f t="shared" si="54"/>
        <v>0</v>
      </c>
      <c r="F1742">
        <f t="shared" si="55"/>
        <v>0</v>
      </c>
    </row>
    <row r="1743" spans="1:6" x14ac:dyDescent="0.35">
      <c r="A1743" s="9">
        <v>17314583</v>
      </c>
      <c r="B1743" s="10">
        <v>42942</v>
      </c>
      <c r="C1743" s="11">
        <v>0.37843749999999998</v>
      </c>
      <c r="D1743" s="12">
        <v>0.38879629629629631</v>
      </c>
      <c r="E1743" s="20">
        <f t="shared" si="54"/>
        <v>0</v>
      </c>
      <c r="F1743">
        <f t="shared" si="55"/>
        <v>0</v>
      </c>
    </row>
    <row r="1744" spans="1:6" x14ac:dyDescent="0.35">
      <c r="A1744" s="5">
        <v>3972159</v>
      </c>
      <c r="B1744" s="6">
        <v>42942</v>
      </c>
      <c r="C1744" s="7">
        <v>0.37895833333333334</v>
      </c>
      <c r="D1744" s="8">
        <v>0.38263888888888886</v>
      </c>
      <c r="E1744" s="20">
        <f t="shared" si="54"/>
        <v>0</v>
      </c>
      <c r="F1744">
        <f t="shared" si="55"/>
        <v>0</v>
      </c>
    </row>
    <row r="1745" spans="1:6" x14ac:dyDescent="0.35">
      <c r="A1745" s="9">
        <v>94989369</v>
      </c>
      <c r="B1745" s="10">
        <v>42942</v>
      </c>
      <c r="C1745" s="11">
        <v>0.37965277777777778</v>
      </c>
      <c r="D1745" s="12">
        <v>0.39068287037037036</v>
      </c>
      <c r="E1745" s="20">
        <f t="shared" si="54"/>
        <v>0</v>
      </c>
      <c r="F1745">
        <f t="shared" si="55"/>
        <v>0</v>
      </c>
    </row>
    <row r="1746" spans="1:6" x14ac:dyDescent="0.35">
      <c r="A1746" s="5">
        <v>4857453</v>
      </c>
      <c r="B1746" s="6">
        <v>42942</v>
      </c>
      <c r="C1746" s="7">
        <v>0.38013888888888892</v>
      </c>
      <c r="D1746" s="8">
        <v>0.385625</v>
      </c>
      <c r="E1746" s="20">
        <f t="shared" si="54"/>
        <v>0</v>
      </c>
      <c r="F1746">
        <f t="shared" si="55"/>
        <v>0</v>
      </c>
    </row>
    <row r="1747" spans="1:6" x14ac:dyDescent="0.35">
      <c r="A1747" s="9">
        <v>7980513</v>
      </c>
      <c r="B1747" s="10">
        <v>42942</v>
      </c>
      <c r="C1747" s="11">
        <v>0.38197916666666665</v>
      </c>
      <c r="D1747" s="12">
        <v>0.38288194444444446</v>
      </c>
      <c r="E1747" s="20">
        <f t="shared" si="54"/>
        <v>0</v>
      </c>
      <c r="F1747">
        <f t="shared" si="55"/>
        <v>0</v>
      </c>
    </row>
    <row r="1748" spans="1:6" x14ac:dyDescent="0.35">
      <c r="A1748" s="5">
        <v>6896175</v>
      </c>
      <c r="B1748" s="6">
        <v>42942</v>
      </c>
      <c r="C1748" s="7">
        <v>0.38309027777777777</v>
      </c>
      <c r="D1748" s="8">
        <v>0.38425925925925924</v>
      </c>
      <c r="E1748" s="20">
        <f t="shared" si="54"/>
        <v>0</v>
      </c>
      <c r="F1748">
        <f t="shared" si="55"/>
        <v>0</v>
      </c>
    </row>
    <row r="1749" spans="1:6" x14ac:dyDescent="0.35">
      <c r="A1749" s="9">
        <v>1689993</v>
      </c>
      <c r="B1749" s="10">
        <v>42942</v>
      </c>
      <c r="C1749" s="11">
        <v>0.38337962962962963</v>
      </c>
      <c r="D1749" s="12">
        <v>0.38748842592592592</v>
      </c>
      <c r="E1749" s="20">
        <f t="shared" si="54"/>
        <v>0</v>
      </c>
      <c r="F1749">
        <f t="shared" si="55"/>
        <v>0</v>
      </c>
    </row>
    <row r="1750" spans="1:6" x14ac:dyDescent="0.35">
      <c r="A1750" s="5">
        <v>1183006</v>
      </c>
      <c r="B1750" s="6">
        <v>42942</v>
      </c>
      <c r="C1750" s="7">
        <v>0.38601851851851854</v>
      </c>
      <c r="D1750" s="8">
        <v>0.39283564814814814</v>
      </c>
      <c r="E1750" s="20">
        <f t="shared" si="54"/>
        <v>0</v>
      </c>
      <c r="F1750">
        <f t="shared" si="55"/>
        <v>0</v>
      </c>
    </row>
    <row r="1751" spans="1:6" x14ac:dyDescent="0.35">
      <c r="A1751" s="9">
        <v>9446278</v>
      </c>
      <c r="B1751" s="10">
        <v>42942</v>
      </c>
      <c r="C1751" s="11">
        <v>0.38871527777777776</v>
      </c>
      <c r="D1751" s="12">
        <v>0.38982638888888888</v>
      </c>
      <c r="E1751" s="20">
        <f t="shared" si="54"/>
        <v>0</v>
      </c>
      <c r="F1751">
        <f t="shared" si="55"/>
        <v>0</v>
      </c>
    </row>
    <row r="1752" spans="1:6" x14ac:dyDescent="0.35">
      <c r="A1752" s="5">
        <v>2445944</v>
      </c>
      <c r="B1752" s="6">
        <v>42942</v>
      </c>
      <c r="C1752" s="7">
        <v>0.3895601851851852</v>
      </c>
      <c r="D1752" s="8">
        <v>0.39548611111111109</v>
      </c>
      <c r="E1752" s="20">
        <f t="shared" si="54"/>
        <v>0</v>
      </c>
      <c r="F1752">
        <f t="shared" si="55"/>
        <v>0</v>
      </c>
    </row>
    <row r="1753" spans="1:6" x14ac:dyDescent="0.35">
      <c r="A1753" s="9">
        <v>4404713</v>
      </c>
      <c r="B1753" s="10">
        <v>42942</v>
      </c>
      <c r="C1753" s="11">
        <v>0.39533564814814814</v>
      </c>
      <c r="D1753" s="12">
        <v>0.39599537037037036</v>
      </c>
      <c r="E1753" s="20">
        <f t="shared" si="54"/>
        <v>0</v>
      </c>
      <c r="F1753">
        <f t="shared" si="55"/>
        <v>0</v>
      </c>
    </row>
    <row r="1754" spans="1:6" x14ac:dyDescent="0.35">
      <c r="A1754" s="5">
        <v>6495153</v>
      </c>
      <c r="B1754" s="6">
        <v>42942</v>
      </c>
      <c r="C1754" s="7">
        <v>0.4001736111111111</v>
      </c>
      <c r="D1754" s="8">
        <v>0.40406249999999999</v>
      </c>
      <c r="E1754" s="20">
        <f t="shared" si="54"/>
        <v>0</v>
      </c>
      <c r="F1754">
        <f t="shared" si="55"/>
        <v>0</v>
      </c>
    </row>
    <row r="1755" spans="1:6" x14ac:dyDescent="0.35">
      <c r="A1755" s="9">
        <v>2684831</v>
      </c>
      <c r="B1755" s="10">
        <v>42942</v>
      </c>
      <c r="C1755" s="11">
        <v>0.40130787037037036</v>
      </c>
      <c r="D1755" s="12">
        <v>0.40658564814814813</v>
      </c>
      <c r="E1755" s="20">
        <f t="shared" si="54"/>
        <v>0</v>
      </c>
      <c r="F1755">
        <f t="shared" si="55"/>
        <v>0</v>
      </c>
    </row>
    <row r="1756" spans="1:6" x14ac:dyDescent="0.35">
      <c r="A1756" s="5">
        <v>8748493</v>
      </c>
      <c r="B1756" s="6">
        <v>42942</v>
      </c>
      <c r="C1756" s="7">
        <v>0.40415509259259258</v>
      </c>
      <c r="D1756" s="8">
        <v>0.40443287037037035</v>
      </c>
      <c r="E1756" s="20">
        <f t="shared" si="54"/>
        <v>0</v>
      </c>
      <c r="F1756">
        <f t="shared" si="55"/>
        <v>0</v>
      </c>
    </row>
    <row r="1757" spans="1:6" x14ac:dyDescent="0.35">
      <c r="A1757" s="9">
        <v>7230252</v>
      </c>
      <c r="B1757" s="10">
        <v>42942</v>
      </c>
      <c r="C1757" s="11">
        <v>0.40771990740740743</v>
      </c>
      <c r="D1757" s="12">
        <v>0.41290509259259262</v>
      </c>
      <c r="E1757" s="20">
        <f t="shared" si="54"/>
        <v>0</v>
      </c>
      <c r="F1757">
        <f t="shared" si="55"/>
        <v>0</v>
      </c>
    </row>
    <row r="1758" spans="1:6" x14ac:dyDescent="0.35">
      <c r="A1758" s="5">
        <v>5082463</v>
      </c>
      <c r="B1758" s="6">
        <v>42942</v>
      </c>
      <c r="C1758" s="7">
        <v>0.41269675925925925</v>
      </c>
      <c r="D1758" s="8">
        <v>0.42046296296296298</v>
      </c>
      <c r="E1758" s="20">
        <f t="shared" si="54"/>
        <v>0</v>
      </c>
      <c r="F1758">
        <f t="shared" si="55"/>
        <v>0</v>
      </c>
    </row>
    <row r="1759" spans="1:6" x14ac:dyDescent="0.35">
      <c r="A1759" s="9">
        <v>1830054</v>
      </c>
      <c r="B1759" s="10">
        <v>42942</v>
      </c>
      <c r="C1759" s="11">
        <v>0.41390046296296296</v>
      </c>
      <c r="D1759" s="12">
        <v>0.42016203703703703</v>
      </c>
      <c r="E1759" s="20">
        <f t="shared" si="54"/>
        <v>0</v>
      </c>
      <c r="F1759">
        <f t="shared" si="55"/>
        <v>0</v>
      </c>
    </row>
    <row r="1760" spans="1:6" x14ac:dyDescent="0.35">
      <c r="A1760" s="5">
        <v>5223970</v>
      </c>
      <c r="B1760" s="6">
        <v>42942</v>
      </c>
      <c r="C1760" s="7">
        <v>0.41413194444444446</v>
      </c>
      <c r="D1760" s="8">
        <v>0.41684027777777777</v>
      </c>
      <c r="E1760" s="20">
        <f t="shared" si="54"/>
        <v>0</v>
      </c>
      <c r="F1760">
        <f t="shared" si="55"/>
        <v>0</v>
      </c>
    </row>
    <row r="1761" spans="1:6" x14ac:dyDescent="0.35">
      <c r="A1761" s="9">
        <v>8369071681</v>
      </c>
      <c r="B1761" s="10">
        <v>42942</v>
      </c>
      <c r="C1761" s="11">
        <v>0.41935185185185186</v>
      </c>
      <c r="D1761" s="12">
        <v>0.42133101851851851</v>
      </c>
      <c r="E1761" s="20">
        <f t="shared" si="54"/>
        <v>0</v>
      </c>
      <c r="F1761">
        <f t="shared" si="55"/>
        <v>0</v>
      </c>
    </row>
    <row r="1762" spans="1:6" x14ac:dyDescent="0.35">
      <c r="A1762" s="5">
        <v>5582631</v>
      </c>
      <c r="B1762" s="6">
        <v>42942</v>
      </c>
      <c r="C1762" s="7">
        <v>0.42229166666666668</v>
      </c>
      <c r="D1762" s="8">
        <v>0.42271990740740739</v>
      </c>
      <c r="E1762" s="20">
        <f t="shared" si="54"/>
        <v>0</v>
      </c>
      <c r="F1762">
        <f t="shared" si="55"/>
        <v>0</v>
      </c>
    </row>
    <row r="1763" spans="1:6" x14ac:dyDescent="0.35">
      <c r="A1763" s="9">
        <v>68043713</v>
      </c>
      <c r="B1763" s="10">
        <v>42942</v>
      </c>
      <c r="C1763" s="11">
        <v>0.42366898148148147</v>
      </c>
      <c r="D1763" s="12">
        <v>0.42792824074074076</v>
      </c>
      <c r="E1763" s="20">
        <f t="shared" si="54"/>
        <v>0</v>
      </c>
      <c r="F1763">
        <f t="shared" si="55"/>
        <v>0</v>
      </c>
    </row>
    <row r="1764" spans="1:6" x14ac:dyDescent="0.35">
      <c r="A1764" s="5">
        <v>89263578</v>
      </c>
      <c r="B1764" s="6">
        <v>42942</v>
      </c>
      <c r="C1764" s="7">
        <v>0.42912037037037037</v>
      </c>
      <c r="D1764" s="8">
        <v>0.43753472222222223</v>
      </c>
      <c r="E1764" s="20">
        <f t="shared" si="54"/>
        <v>0</v>
      </c>
      <c r="F1764">
        <f t="shared" si="55"/>
        <v>0</v>
      </c>
    </row>
    <row r="1765" spans="1:6" x14ac:dyDescent="0.35">
      <c r="A1765" s="9">
        <v>7511410</v>
      </c>
      <c r="B1765" s="10">
        <v>42942</v>
      </c>
      <c r="C1765" s="11">
        <v>0.43304398148148149</v>
      </c>
      <c r="D1765" s="12">
        <v>0.43761574074074072</v>
      </c>
      <c r="E1765" s="20">
        <f t="shared" si="54"/>
        <v>0</v>
      </c>
      <c r="F1765">
        <f t="shared" si="55"/>
        <v>0</v>
      </c>
    </row>
    <row r="1766" spans="1:6" x14ac:dyDescent="0.35">
      <c r="A1766" s="5">
        <v>2128803</v>
      </c>
      <c r="B1766" s="6">
        <v>42942</v>
      </c>
      <c r="C1766" s="7">
        <v>0.43815972222222221</v>
      </c>
      <c r="D1766" s="8">
        <v>0.44572916666666668</v>
      </c>
      <c r="E1766" s="20">
        <f t="shared" si="54"/>
        <v>0</v>
      </c>
      <c r="F1766">
        <f t="shared" si="55"/>
        <v>0</v>
      </c>
    </row>
    <row r="1767" spans="1:6" x14ac:dyDescent="0.35">
      <c r="A1767" s="9">
        <v>3135285</v>
      </c>
      <c r="B1767" s="10">
        <v>42942</v>
      </c>
      <c r="C1767" s="11">
        <v>0.43896990740740743</v>
      </c>
      <c r="D1767" s="12">
        <v>0.44863425925925926</v>
      </c>
      <c r="E1767" s="20">
        <f t="shared" si="54"/>
        <v>0</v>
      </c>
      <c r="F1767">
        <f t="shared" si="55"/>
        <v>0</v>
      </c>
    </row>
    <row r="1768" spans="1:6" x14ac:dyDescent="0.35">
      <c r="A1768" s="5">
        <v>5231877</v>
      </c>
      <c r="B1768" s="6">
        <v>42942</v>
      </c>
      <c r="C1768" s="7">
        <v>0.44265046296296295</v>
      </c>
      <c r="D1768" s="8">
        <v>0.45337962962962963</v>
      </c>
      <c r="E1768" s="20">
        <f t="shared" si="54"/>
        <v>0</v>
      </c>
      <c r="F1768">
        <f t="shared" si="55"/>
        <v>0</v>
      </c>
    </row>
    <row r="1769" spans="1:6" x14ac:dyDescent="0.35">
      <c r="A1769" s="9">
        <v>98391891</v>
      </c>
      <c r="B1769" s="10">
        <v>42942</v>
      </c>
      <c r="C1769" s="11">
        <v>0.44289351851851849</v>
      </c>
      <c r="D1769" s="12">
        <v>0.44364583333333335</v>
      </c>
      <c r="E1769" s="20">
        <f t="shared" si="54"/>
        <v>0</v>
      </c>
      <c r="F1769">
        <f t="shared" si="55"/>
        <v>0</v>
      </c>
    </row>
    <row r="1770" spans="1:6" x14ac:dyDescent="0.35">
      <c r="A1770" s="5">
        <v>9865524</v>
      </c>
      <c r="B1770" s="6">
        <v>42942</v>
      </c>
      <c r="C1770" s="7">
        <v>0.44298611111111114</v>
      </c>
      <c r="D1770" s="8">
        <v>0.45023148148148145</v>
      </c>
      <c r="E1770" s="20">
        <f t="shared" si="54"/>
        <v>0</v>
      </c>
      <c r="F1770">
        <f t="shared" si="55"/>
        <v>0</v>
      </c>
    </row>
    <row r="1771" spans="1:6" x14ac:dyDescent="0.35">
      <c r="A1771" s="9">
        <v>7988607</v>
      </c>
      <c r="B1771" s="10">
        <v>42942</v>
      </c>
      <c r="C1771" s="11">
        <v>0.44300925925925927</v>
      </c>
      <c r="D1771" s="12">
        <v>0.4513773148148148</v>
      </c>
      <c r="E1771" s="20">
        <f t="shared" si="54"/>
        <v>0</v>
      </c>
      <c r="F1771">
        <f t="shared" si="55"/>
        <v>0</v>
      </c>
    </row>
    <row r="1772" spans="1:6" x14ac:dyDescent="0.35">
      <c r="A1772" s="5">
        <v>4599598</v>
      </c>
      <c r="B1772" s="6">
        <v>42942</v>
      </c>
      <c r="C1772" s="7">
        <v>0.44710648148148147</v>
      </c>
      <c r="D1772" s="8">
        <v>0.45658564814814817</v>
      </c>
      <c r="E1772" s="20">
        <f t="shared" si="54"/>
        <v>0</v>
      </c>
      <c r="F1772">
        <f t="shared" si="55"/>
        <v>0</v>
      </c>
    </row>
    <row r="1773" spans="1:6" x14ac:dyDescent="0.35">
      <c r="A1773" s="9">
        <v>59984179</v>
      </c>
      <c r="B1773" s="10">
        <v>42942</v>
      </c>
      <c r="C1773" s="11">
        <v>0.44815972222222222</v>
      </c>
      <c r="D1773" s="12">
        <v>0.45435185185185184</v>
      </c>
      <c r="E1773" s="20">
        <f t="shared" si="54"/>
        <v>0</v>
      </c>
      <c r="F1773">
        <f t="shared" si="55"/>
        <v>0</v>
      </c>
    </row>
    <row r="1774" spans="1:6" x14ac:dyDescent="0.35">
      <c r="A1774" s="5">
        <v>9763924</v>
      </c>
      <c r="B1774" s="6">
        <v>42942</v>
      </c>
      <c r="C1774" s="7">
        <v>0.44972222222222225</v>
      </c>
      <c r="D1774" s="8">
        <v>0.45559027777777777</v>
      </c>
      <c r="E1774" s="20">
        <f t="shared" si="54"/>
        <v>0</v>
      </c>
      <c r="F1774">
        <f t="shared" si="55"/>
        <v>0</v>
      </c>
    </row>
    <row r="1775" spans="1:6" x14ac:dyDescent="0.35">
      <c r="A1775" s="9">
        <v>1531672</v>
      </c>
      <c r="B1775" s="10">
        <v>42942</v>
      </c>
      <c r="C1775" s="11">
        <v>0.45021990740740742</v>
      </c>
      <c r="D1775" s="12">
        <v>0.46079861111111109</v>
      </c>
      <c r="E1775" s="20">
        <f t="shared" si="54"/>
        <v>0</v>
      </c>
      <c r="F1775">
        <f t="shared" si="55"/>
        <v>0</v>
      </c>
    </row>
    <row r="1776" spans="1:6" x14ac:dyDescent="0.35">
      <c r="A1776" s="5">
        <v>59723258</v>
      </c>
      <c r="B1776" s="6">
        <v>42942</v>
      </c>
      <c r="C1776" s="7">
        <v>0.4503125</v>
      </c>
      <c r="D1776" s="8">
        <v>0.4601736111111111</v>
      </c>
      <c r="E1776" s="20">
        <f t="shared" si="54"/>
        <v>0</v>
      </c>
      <c r="F1776">
        <f t="shared" si="55"/>
        <v>0</v>
      </c>
    </row>
    <row r="1777" spans="1:6" x14ac:dyDescent="0.35">
      <c r="A1777" s="9">
        <v>6878722</v>
      </c>
      <c r="B1777" s="10">
        <v>42942</v>
      </c>
      <c r="C1777" s="11">
        <v>0.45333333333333331</v>
      </c>
      <c r="D1777" s="12">
        <v>0.45443287037037039</v>
      </c>
      <c r="E1777" s="20">
        <f t="shared" si="54"/>
        <v>0</v>
      </c>
      <c r="F1777">
        <f t="shared" si="55"/>
        <v>0</v>
      </c>
    </row>
    <row r="1778" spans="1:6" x14ac:dyDescent="0.35">
      <c r="A1778" s="5">
        <v>49278984</v>
      </c>
      <c r="B1778" s="6">
        <v>42942</v>
      </c>
      <c r="C1778" s="7">
        <v>0.45531250000000001</v>
      </c>
      <c r="D1778" s="8">
        <v>0.45717592592592593</v>
      </c>
      <c r="E1778" s="20">
        <f t="shared" si="54"/>
        <v>0</v>
      </c>
      <c r="F1778">
        <f t="shared" si="55"/>
        <v>0</v>
      </c>
    </row>
    <row r="1779" spans="1:6" x14ac:dyDescent="0.35">
      <c r="A1779" s="9">
        <v>5672312</v>
      </c>
      <c r="B1779" s="10">
        <v>42942</v>
      </c>
      <c r="C1779" s="11">
        <v>0.45554398148148151</v>
      </c>
      <c r="D1779" s="12">
        <v>0.45913194444444444</v>
      </c>
      <c r="E1779" s="20">
        <f t="shared" si="54"/>
        <v>0</v>
      </c>
      <c r="F1779">
        <f t="shared" si="55"/>
        <v>0</v>
      </c>
    </row>
    <row r="1780" spans="1:6" x14ac:dyDescent="0.35">
      <c r="A1780" s="5">
        <v>9716545</v>
      </c>
      <c r="B1780" s="6">
        <v>42942</v>
      </c>
      <c r="C1780" s="7">
        <v>0.45726851851851852</v>
      </c>
      <c r="D1780" s="8">
        <v>0.46751157407407407</v>
      </c>
      <c r="E1780" s="20">
        <f t="shared" si="54"/>
        <v>0</v>
      </c>
      <c r="F1780">
        <f t="shared" si="55"/>
        <v>0</v>
      </c>
    </row>
    <row r="1781" spans="1:6" x14ac:dyDescent="0.35">
      <c r="A1781" s="9">
        <v>97953696</v>
      </c>
      <c r="B1781" s="10">
        <v>42942</v>
      </c>
      <c r="C1781" s="11">
        <v>0.46297453703703706</v>
      </c>
      <c r="D1781" s="12">
        <v>0.47129629629629627</v>
      </c>
      <c r="E1781" s="20">
        <f t="shared" si="54"/>
        <v>0</v>
      </c>
      <c r="F1781">
        <f t="shared" si="55"/>
        <v>0</v>
      </c>
    </row>
    <row r="1782" spans="1:6" x14ac:dyDescent="0.35">
      <c r="A1782" s="5">
        <v>18636086</v>
      </c>
      <c r="B1782" s="6">
        <v>42942</v>
      </c>
      <c r="C1782" s="7">
        <v>0.46431712962962962</v>
      </c>
      <c r="D1782" s="8">
        <v>0.47060185185185183</v>
      </c>
      <c r="E1782" s="20">
        <f t="shared" si="54"/>
        <v>0</v>
      </c>
      <c r="F1782">
        <f t="shared" si="55"/>
        <v>0</v>
      </c>
    </row>
    <row r="1783" spans="1:6" x14ac:dyDescent="0.35">
      <c r="A1783" s="9">
        <v>2071691</v>
      </c>
      <c r="B1783" s="10">
        <v>42942</v>
      </c>
      <c r="C1783" s="11">
        <v>0.46703703703703703</v>
      </c>
      <c r="D1783" s="12">
        <v>0.47262731481481479</v>
      </c>
      <c r="E1783" s="20">
        <f t="shared" si="54"/>
        <v>0</v>
      </c>
      <c r="F1783">
        <f t="shared" si="55"/>
        <v>0</v>
      </c>
    </row>
    <row r="1784" spans="1:6" x14ac:dyDescent="0.35">
      <c r="A1784" s="5">
        <v>8023179</v>
      </c>
      <c r="B1784" s="6">
        <v>42942</v>
      </c>
      <c r="C1784" s="7">
        <v>0.46703703703703703</v>
      </c>
      <c r="D1784" s="8">
        <v>0.47568287037037038</v>
      </c>
      <c r="E1784" s="20">
        <f t="shared" si="54"/>
        <v>0</v>
      </c>
      <c r="F1784">
        <f t="shared" si="55"/>
        <v>0</v>
      </c>
    </row>
    <row r="1785" spans="1:6" x14ac:dyDescent="0.35">
      <c r="A1785" s="9">
        <v>3533421</v>
      </c>
      <c r="B1785" s="10">
        <v>42942</v>
      </c>
      <c r="C1785" s="11">
        <v>0.47266203703703702</v>
      </c>
      <c r="D1785" s="12">
        <v>0.48297453703703702</v>
      </c>
      <c r="E1785" s="20">
        <f t="shared" si="54"/>
        <v>0</v>
      </c>
      <c r="F1785">
        <f t="shared" si="55"/>
        <v>0</v>
      </c>
    </row>
    <row r="1786" spans="1:6" x14ac:dyDescent="0.35">
      <c r="A1786" s="5">
        <v>1160932</v>
      </c>
      <c r="B1786" s="6">
        <v>42942</v>
      </c>
      <c r="C1786" s="7">
        <v>0.47515046296296298</v>
      </c>
      <c r="D1786" s="8">
        <v>0.47552083333333334</v>
      </c>
      <c r="E1786" s="20">
        <f t="shared" si="54"/>
        <v>0</v>
      </c>
      <c r="F1786">
        <f t="shared" si="55"/>
        <v>0</v>
      </c>
    </row>
    <row r="1787" spans="1:6" x14ac:dyDescent="0.35">
      <c r="A1787" s="9">
        <v>6320579</v>
      </c>
      <c r="B1787" s="10">
        <v>42942</v>
      </c>
      <c r="C1787" s="11">
        <v>0.48082175925925924</v>
      </c>
      <c r="D1787" s="12">
        <v>0.48585648148148147</v>
      </c>
      <c r="E1787" s="20">
        <f t="shared" si="54"/>
        <v>0</v>
      </c>
      <c r="F1787">
        <f t="shared" si="55"/>
        <v>0</v>
      </c>
    </row>
    <row r="1788" spans="1:6" x14ac:dyDescent="0.35">
      <c r="A1788" s="5">
        <v>6021417</v>
      </c>
      <c r="B1788" s="6">
        <v>42942</v>
      </c>
      <c r="C1788" s="7">
        <v>0.48534722222222221</v>
      </c>
      <c r="D1788" s="8">
        <v>0.48814814814814816</v>
      </c>
      <c r="E1788" s="20">
        <f t="shared" si="54"/>
        <v>0</v>
      </c>
      <c r="F1788">
        <f t="shared" si="55"/>
        <v>0</v>
      </c>
    </row>
    <row r="1789" spans="1:6" x14ac:dyDescent="0.35">
      <c r="A1789" s="9">
        <v>3638658</v>
      </c>
      <c r="B1789" s="10">
        <v>42942</v>
      </c>
      <c r="C1789" s="11">
        <v>0.48700231481481482</v>
      </c>
      <c r="D1789" s="12">
        <v>0.49305555555555558</v>
      </c>
      <c r="E1789" s="20">
        <f t="shared" si="54"/>
        <v>0</v>
      </c>
      <c r="F1789">
        <f t="shared" si="55"/>
        <v>0</v>
      </c>
    </row>
    <row r="1790" spans="1:6" x14ac:dyDescent="0.35">
      <c r="A1790" s="5">
        <v>7595348</v>
      </c>
      <c r="B1790" s="6">
        <v>42942</v>
      </c>
      <c r="C1790" s="7">
        <v>0.48849537037037039</v>
      </c>
      <c r="D1790" s="8">
        <v>0.49665509259259261</v>
      </c>
      <c r="E1790" s="20">
        <f t="shared" si="54"/>
        <v>0</v>
      </c>
      <c r="F1790">
        <f t="shared" si="55"/>
        <v>0</v>
      </c>
    </row>
    <row r="1791" spans="1:6" x14ac:dyDescent="0.35">
      <c r="A1791" s="9">
        <v>6637746981</v>
      </c>
      <c r="B1791" s="10">
        <v>42942</v>
      </c>
      <c r="C1791" s="11">
        <v>0.49020833333333336</v>
      </c>
      <c r="D1791" s="12">
        <v>0.49932870370370369</v>
      </c>
      <c r="E1791" s="20">
        <f t="shared" si="54"/>
        <v>0</v>
      </c>
      <c r="F1791">
        <f t="shared" si="55"/>
        <v>0</v>
      </c>
    </row>
    <row r="1792" spans="1:6" x14ac:dyDescent="0.35">
      <c r="A1792" s="5">
        <v>8501947</v>
      </c>
      <c r="B1792" s="6">
        <v>42942</v>
      </c>
      <c r="C1792" s="7">
        <v>0.49135416666666665</v>
      </c>
      <c r="D1792" s="8">
        <v>0.49472222222222223</v>
      </c>
      <c r="E1792" s="20">
        <f t="shared" si="54"/>
        <v>0</v>
      </c>
      <c r="F1792">
        <f t="shared" si="55"/>
        <v>0</v>
      </c>
    </row>
    <row r="1793" spans="1:6" x14ac:dyDescent="0.35">
      <c r="A1793" s="9">
        <v>85666950</v>
      </c>
      <c r="B1793" s="10">
        <v>42942</v>
      </c>
      <c r="C1793" s="11">
        <v>0.49417824074074074</v>
      </c>
      <c r="D1793" s="12">
        <v>0.50312500000000004</v>
      </c>
      <c r="E1793" s="20">
        <f t="shared" si="54"/>
        <v>0</v>
      </c>
      <c r="F1793">
        <f t="shared" si="55"/>
        <v>0</v>
      </c>
    </row>
    <row r="1794" spans="1:6" x14ac:dyDescent="0.35">
      <c r="A1794" s="5">
        <v>72289518</v>
      </c>
      <c r="B1794" s="6">
        <v>42942</v>
      </c>
      <c r="C1794" s="7">
        <v>0.49541666666666667</v>
      </c>
      <c r="D1794" s="8">
        <v>0.49947916666666664</v>
      </c>
      <c r="E1794" s="20">
        <f t="shared" si="54"/>
        <v>0</v>
      </c>
      <c r="F1794">
        <f t="shared" si="55"/>
        <v>0</v>
      </c>
    </row>
    <row r="1795" spans="1:6" x14ac:dyDescent="0.35">
      <c r="A1795" s="9">
        <v>4419123</v>
      </c>
      <c r="B1795" s="10">
        <v>42942</v>
      </c>
      <c r="C1795" s="11">
        <v>0.49952546296296296</v>
      </c>
      <c r="D1795" s="12">
        <v>0.50207175925925929</v>
      </c>
      <c r="E1795" s="20">
        <f t="shared" ref="E1795:E1858" si="56">IF(F1795=1,D1795-C1795,0)</f>
        <v>0</v>
      </c>
      <c r="F1795">
        <f t="shared" ref="F1795:F1858" si="57">IF(AND(LEN(A1795)=7,LEFT(A1795,2) = "12"),1,0)</f>
        <v>0</v>
      </c>
    </row>
    <row r="1796" spans="1:6" x14ac:dyDescent="0.35">
      <c r="A1796" s="5">
        <v>75645195</v>
      </c>
      <c r="B1796" s="6">
        <v>42942</v>
      </c>
      <c r="C1796" s="7">
        <v>0.5046180555555555</v>
      </c>
      <c r="D1796" s="8">
        <v>0.50491898148148151</v>
      </c>
      <c r="E1796" s="20">
        <f t="shared" si="56"/>
        <v>0</v>
      </c>
      <c r="F1796">
        <f t="shared" si="57"/>
        <v>0</v>
      </c>
    </row>
    <row r="1797" spans="1:6" x14ac:dyDescent="0.35">
      <c r="A1797" s="9">
        <v>4305960</v>
      </c>
      <c r="B1797" s="10">
        <v>42942</v>
      </c>
      <c r="C1797" s="11">
        <v>0.50671296296296298</v>
      </c>
      <c r="D1797" s="12">
        <v>0.51233796296296297</v>
      </c>
      <c r="E1797" s="20">
        <f t="shared" si="56"/>
        <v>0</v>
      </c>
      <c r="F1797">
        <f t="shared" si="57"/>
        <v>0</v>
      </c>
    </row>
    <row r="1798" spans="1:6" x14ac:dyDescent="0.35">
      <c r="A1798" s="5">
        <v>21681406</v>
      </c>
      <c r="B1798" s="6">
        <v>42942</v>
      </c>
      <c r="C1798" s="7">
        <v>0.50876157407407407</v>
      </c>
      <c r="D1798" s="8">
        <v>0.51472222222222219</v>
      </c>
      <c r="E1798" s="20">
        <f t="shared" si="56"/>
        <v>0</v>
      </c>
      <c r="F1798">
        <f t="shared" si="57"/>
        <v>0</v>
      </c>
    </row>
    <row r="1799" spans="1:6" x14ac:dyDescent="0.35">
      <c r="A1799" s="9">
        <v>6401011</v>
      </c>
      <c r="B1799" s="10">
        <v>42942</v>
      </c>
      <c r="C1799" s="11">
        <v>0.51140046296296293</v>
      </c>
      <c r="D1799" s="12">
        <v>0.5186574074074074</v>
      </c>
      <c r="E1799" s="20">
        <f t="shared" si="56"/>
        <v>0</v>
      </c>
      <c r="F1799">
        <f t="shared" si="57"/>
        <v>0</v>
      </c>
    </row>
    <row r="1800" spans="1:6" x14ac:dyDescent="0.35">
      <c r="A1800" s="5">
        <v>1879412</v>
      </c>
      <c r="B1800" s="6">
        <v>42942</v>
      </c>
      <c r="C1800" s="7">
        <v>0.51546296296296301</v>
      </c>
      <c r="D1800" s="8">
        <v>0.52481481481481485</v>
      </c>
      <c r="E1800" s="20">
        <f t="shared" si="56"/>
        <v>0</v>
      </c>
      <c r="F1800">
        <f t="shared" si="57"/>
        <v>0</v>
      </c>
    </row>
    <row r="1801" spans="1:6" x14ac:dyDescent="0.35">
      <c r="A1801" s="9">
        <v>6218089</v>
      </c>
      <c r="B1801" s="10">
        <v>42942</v>
      </c>
      <c r="C1801" s="11">
        <v>0.51712962962962961</v>
      </c>
      <c r="D1801" s="12">
        <v>0.52177083333333329</v>
      </c>
      <c r="E1801" s="20">
        <f t="shared" si="56"/>
        <v>0</v>
      </c>
      <c r="F1801">
        <f t="shared" si="57"/>
        <v>0</v>
      </c>
    </row>
    <row r="1802" spans="1:6" x14ac:dyDescent="0.35">
      <c r="A1802" s="5">
        <v>3408462348</v>
      </c>
      <c r="B1802" s="6">
        <v>42942</v>
      </c>
      <c r="C1802" s="7">
        <v>0.52173611111111107</v>
      </c>
      <c r="D1802" s="8">
        <v>0.52998842592592588</v>
      </c>
      <c r="E1802" s="20">
        <f t="shared" si="56"/>
        <v>0</v>
      </c>
      <c r="F1802">
        <f t="shared" si="57"/>
        <v>0</v>
      </c>
    </row>
    <row r="1803" spans="1:6" x14ac:dyDescent="0.35">
      <c r="A1803" s="9">
        <v>9535780</v>
      </c>
      <c r="B1803" s="10">
        <v>42942</v>
      </c>
      <c r="C1803" s="11">
        <v>0.52265046296296291</v>
      </c>
      <c r="D1803" s="12">
        <v>0.53091435185185187</v>
      </c>
      <c r="E1803" s="20">
        <f t="shared" si="56"/>
        <v>0</v>
      </c>
      <c r="F1803">
        <f t="shared" si="57"/>
        <v>0</v>
      </c>
    </row>
    <row r="1804" spans="1:6" x14ac:dyDescent="0.35">
      <c r="A1804" s="5">
        <v>4945889</v>
      </c>
      <c r="B1804" s="6">
        <v>42942</v>
      </c>
      <c r="C1804" s="7">
        <v>0.52790509259259255</v>
      </c>
      <c r="D1804" s="8">
        <v>0.53581018518518519</v>
      </c>
      <c r="E1804" s="20">
        <f t="shared" si="56"/>
        <v>0</v>
      </c>
      <c r="F1804">
        <f t="shared" si="57"/>
        <v>0</v>
      </c>
    </row>
    <row r="1805" spans="1:6" x14ac:dyDescent="0.35">
      <c r="A1805" s="9">
        <v>8985437</v>
      </c>
      <c r="B1805" s="10">
        <v>42942</v>
      </c>
      <c r="C1805" s="11">
        <v>0.52937500000000004</v>
      </c>
      <c r="D1805" s="12">
        <v>0.53609953703703705</v>
      </c>
      <c r="E1805" s="20">
        <f t="shared" si="56"/>
        <v>0</v>
      </c>
      <c r="F1805">
        <f t="shared" si="57"/>
        <v>0</v>
      </c>
    </row>
    <row r="1806" spans="1:6" x14ac:dyDescent="0.35">
      <c r="A1806" s="5">
        <v>57891628</v>
      </c>
      <c r="B1806" s="6">
        <v>42942</v>
      </c>
      <c r="C1806" s="7">
        <v>0.53282407407407406</v>
      </c>
      <c r="D1806" s="8">
        <v>0.53501157407407407</v>
      </c>
      <c r="E1806" s="20">
        <f t="shared" si="56"/>
        <v>0</v>
      </c>
      <c r="F1806">
        <f t="shared" si="57"/>
        <v>0</v>
      </c>
    </row>
    <row r="1807" spans="1:6" x14ac:dyDescent="0.35">
      <c r="A1807" s="9">
        <v>9772824</v>
      </c>
      <c r="B1807" s="10">
        <v>42942</v>
      </c>
      <c r="C1807" s="11">
        <v>0.53344907407407405</v>
      </c>
      <c r="D1807" s="12">
        <v>0.54386574074074079</v>
      </c>
      <c r="E1807" s="20">
        <f t="shared" si="56"/>
        <v>0</v>
      </c>
      <c r="F1807">
        <f t="shared" si="57"/>
        <v>0</v>
      </c>
    </row>
    <row r="1808" spans="1:6" x14ac:dyDescent="0.35">
      <c r="A1808" s="5">
        <v>4154521</v>
      </c>
      <c r="B1808" s="6">
        <v>42942</v>
      </c>
      <c r="C1808" s="7">
        <v>0.53439814814814812</v>
      </c>
      <c r="D1808" s="8">
        <v>0.53813657407407411</v>
      </c>
      <c r="E1808" s="20">
        <f t="shared" si="56"/>
        <v>0</v>
      </c>
      <c r="F1808">
        <f t="shared" si="57"/>
        <v>0</v>
      </c>
    </row>
    <row r="1809" spans="1:6" x14ac:dyDescent="0.35">
      <c r="A1809" s="9">
        <v>96977805</v>
      </c>
      <c r="B1809" s="10">
        <v>42942</v>
      </c>
      <c r="C1809" s="11">
        <v>0.53601851851851856</v>
      </c>
      <c r="D1809" s="12">
        <v>0.54394675925925928</v>
      </c>
      <c r="E1809" s="20">
        <f t="shared" si="56"/>
        <v>0</v>
      </c>
      <c r="F1809">
        <f t="shared" si="57"/>
        <v>0</v>
      </c>
    </row>
    <row r="1810" spans="1:6" x14ac:dyDescent="0.35">
      <c r="A1810" s="5">
        <v>24665933</v>
      </c>
      <c r="B1810" s="6">
        <v>42942</v>
      </c>
      <c r="C1810" s="7">
        <v>0.53666666666666663</v>
      </c>
      <c r="D1810" s="8">
        <v>0.5370949074074074</v>
      </c>
      <c r="E1810" s="20">
        <f t="shared" si="56"/>
        <v>0</v>
      </c>
      <c r="F1810">
        <f t="shared" si="57"/>
        <v>0</v>
      </c>
    </row>
    <row r="1811" spans="1:6" x14ac:dyDescent="0.35">
      <c r="A1811" s="9">
        <v>5465004</v>
      </c>
      <c r="B1811" s="10">
        <v>42942</v>
      </c>
      <c r="C1811" s="11">
        <v>0.54017361111111106</v>
      </c>
      <c r="D1811" s="12">
        <v>0.54915509259259254</v>
      </c>
      <c r="E1811" s="20">
        <f t="shared" si="56"/>
        <v>0</v>
      </c>
      <c r="F1811">
        <f t="shared" si="57"/>
        <v>0</v>
      </c>
    </row>
    <row r="1812" spans="1:6" x14ac:dyDescent="0.35">
      <c r="A1812" s="5">
        <v>9560827</v>
      </c>
      <c r="B1812" s="6">
        <v>42942</v>
      </c>
      <c r="C1812" s="7">
        <v>0.54069444444444448</v>
      </c>
      <c r="D1812" s="8">
        <v>0.55103009259259261</v>
      </c>
      <c r="E1812" s="20">
        <f t="shared" si="56"/>
        <v>0</v>
      </c>
      <c r="F1812">
        <f t="shared" si="57"/>
        <v>0</v>
      </c>
    </row>
    <row r="1813" spans="1:6" x14ac:dyDescent="0.35">
      <c r="A1813" s="9">
        <v>3443287</v>
      </c>
      <c r="B1813" s="10">
        <v>42942</v>
      </c>
      <c r="C1813" s="11">
        <v>0.54593749999999996</v>
      </c>
      <c r="D1813" s="12">
        <v>0.55622685185185183</v>
      </c>
      <c r="E1813" s="20">
        <f t="shared" si="56"/>
        <v>0</v>
      </c>
      <c r="F1813">
        <f t="shared" si="57"/>
        <v>0</v>
      </c>
    </row>
    <row r="1814" spans="1:6" x14ac:dyDescent="0.35">
      <c r="A1814" s="5">
        <v>7551668</v>
      </c>
      <c r="B1814" s="6">
        <v>42942</v>
      </c>
      <c r="C1814" s="7">
        <v>0.55053240740740739</v>
      </c>
      <c r="D1814" s="8">
        <v>0.55672453703703706</v>
      </c>
      <c r="E1814" s="20">
        <f t="shared" si="56"/>
        <v>0</v>
      </c>
      <c r="F1814">
        <f t="shared" si="57"/>
        <v>0</v>
      </c>
    </row>
    <row r="1815" spans="1:6" x14ac:dyDescent="0.35">
      <c r="A1815" s="9">
        <v>3189059</v>
      </c>
      <c r="B1815" s="10">
        <v>42942</v>
      </c>
      <c r="C1815" s="11">
        <v>0.55462962962962958</v>
      </c>
      <c r="D1815" s="12">
        <v>0.56101851851851847</v>
      </c>
      <c r="E1815" s="20">
        <f t="shared" si="56"/>
        <v>0</v>
      </c>
      <c r="F1815">
        <f t="shared" si="57"/>
        <v>0</v>
      </c>
    </row>
    <row r="1816" spans="1:6" x14ac:dyDescent="0.35">
      <c r="A1816" s="5">
        <v>9061957</v>
      </c>
      <c r="B1816" s="6">
        <v>42942</v>
      </c>
      <c r="C1816" s="7">
        <v>0.55604166666666666</v>
      </c>
      <c r="D1816" s="8">
        <v>0.56381944444444443</v>
      </c>
      <c r="E1816" s="20">
        <f t="shared" si="56"/>
        <v>0</v>
      </c>
      <c r="F1816">
        <f t="shared" si="57"/>
        <v>0</v>
      </c>
    </row>
    <row r="1817" spans="1:6" x14ac:dyDescent="0.35">
      <c r="A1817" s="9">
        <v>2109147679</v>
      </c>
      <c r="B1817" s="10">
        <v>42942</v>
      </c>
      <c r="C1817" s="11">
        <v>0.56098379629629624</v>
      </c>
      <c r="D1817" s="12">
        <v>0.56753472222222223</v>
      </c>
      <c r="E1817" s="20">
        <f t="shared" si="56"/>
        <v>0</v>
      </c>
      <c r="F1817">
        <f t="shared" si="57"/>
        <v>0</v>
      </c>
    </row>
    <row r="1818" spans="1:6" x14ac:dyDescent="0.35">
      <c r="A1818" s="5">
        <v>59508384</v>
      </c>
      <c r="B1818" s="6">
        <v>42942</v>
      </c>
      <c r="C1818" s="7">
        <v>0.56232638888888886</v>
      </c>
      <c r="D1818" s="8">
        <v>0.56594907407407402</v>
      </c>
      <c r="E1818" s="20">
        <f t="shared" si="56"/>
        <v>0</v>
      </c>
      <c r="F1818">
        <f t="shared" si="57"/>
        <v>0</v>
      </c>
    </row>
    <row r="1819" spans="1:6" x14ac:dyDescent="0.35">
      <c r="A1819" s="9">
        <v>48529464</v>
      </c>
      <c r="B1819" s="10">
        <v>42942</v>
      </c>
      <c r="C1819" s="11">
        <v>0.56283564814814813</v>
      </c>
      <c r="D1819" s="12">
        <v>0.56427083333333339</v>
      </c>
      <c r="E1819" s="20">
        <f t="shared" si="56"/>
        <v>0</v>
      </c>
      <c r="F1819">
        <f t="shared" si="57"/>
        <v>0</v>
      </c>
    </row>
    <row r="1820" spans="1:6" x14ac:dyDescent="0.35">
      <c r="A1820" s="5">
        <v>4082744</v>
      </c>
      <c r="B1820" s="6">
        <v>42942</v>
      </c>
      <c r="C1820" s="7">
        <v>0.56481481481481477</v>
      </c>
      <c r="D1820" s="8">
        <v>0.57565972222222217</v>
      </c>
      <c r="E1820" s="20">
        <f t="shared" si="56"/>
        <v>0</v>
      </c>
      <c r="F1820">
        <f t="shared" si="57"/>
        <v>0</v>
      </c>
    </row>
    <row r="1821" spans="1:6" x14ac:dyDescent="0.35">
      <c r="A1821" s="9">
        <v>2395447</v>
      </c>
      <c r="B1821" s="10">
        <v>42942</v>
      </c>
      <c r="C1821" s="11">
        <v>0.56805555555555554</v>
      </c>
      <c r="D1821" s="12">
        <v>0.56937499999999996</v>
      </c>
      <c r="E1821" s="20">
        <f t="shared" si="56"/>
        <v>0</v>
      </c>
      <c r="F1821">
        <f t="shared" si="57"/>
        <v>0</v>
      </c>
    </row>
    <row r="1822" spans="1:6" x14ac:dyDescent="0.35">
      <c r="A1822" s="5">
        <v>96620804</v>
      </c>
      <c r="B1822" s="6">
        <v>42942</v>
      </c>
      <c r="C1822" s="7">
        <v>0.56945601851851857</v>
      </c>
      <c r="D1822" s="8">
        <v>0.5776041666666667</v>
      </c>
      <c r="E1822" s="20">
        <f t="shared" si="56"/>
        <v>0</v>
      </c>
      <c r="F1822">
        <f t="shared" si="57"/>
        <v>0</v>
      </c>
    </row>
    <row r="1823" spans="1:6" x14ac:dyDescent="0.35">
      <c r="A1823" s="9">
        <v>9489003225</v>
      </c>
      <c r="B1823" s="10">
        <v>42942</v>
      </c>
      <c r="C1823" s="11">
        <v>0.57263888888888892</v>
      </c>
      <c r="D1823" s="12">
        <v>0.57309027777777777</v>
      </c>
      <c r="E1823" s="20">
        <f t="shared" si="56"/>
        <v>0</v>
      </c>
      <c r="F1823">
        <f t="shared" si="57"/>
        <v>0</v>
      </c>
    </row>
    <row r="1824" spans="1:6" x14ac:dyDescent="0.35">
      <c r="A1824" s="5">
        <v>6897893</v>
      </c>
      <c r="B1824" s="6">
        <v>42942</v>
      </c>
      <c r="C1824" s="7">
        <v>0.57662037037037039</v>
      </c>
      <c r="D1824" s="8">
        <v>0.58204861111111106</v>
      </c>
      <c r="E1824" s="20">
        <f t="shared" si="56"/>
        <v>0</v>
      </c>
      <c r="F1824">
        <f t="shared" si="57"/>
        <v>0</v>
      </c>
    </row>
    <row r="1825" spans="1:6" x14ac:dyDescent="0.35">
      <c r="A1825" s="9">
        <v>9759222</v>
      </c>
      <c r="B1825" s="10">
        <v>42942</v>
      </c>
      <c r="C1825" s="11">
        <v>0.58021990740740736</v>
      </c>
      <c r="D1825" s="12">
        <v>0.58726851851851847</v>
      </c>
      <c r="E1825" s="20">
        <f t="shared" si="56"/>
        <v>0</v>
      </c>
      <c r="F1825">
        <f t="shared" si="57"/>
        <v>0</v>
      </c>
    </row>
    <row r="1826" spans="1:6" x14ac:dyDescent="0.35">
      <c r="A1826" s="5">
        <v>39793981</v>
      </c>
      <c r="B1826" s="6">
        <v>42942</v>
      </c>
      <c r="C1826" s="7">
        <v>0.58101851851851849</v>
      </c>
      <c r="D1826" s="8">
        <v>0.58164351851851848</v>
      </c>
      <c r="E1826" s="20">
        <f t="shared" si="56"/>
        <v>0</v>
      </c>
      <c r="F1826">
        <f t="shared" si="57"/>
        <v>0</v>
      </c>
    </row>
    <row r="1827" spans="1:6" x14ac:dyDescent="0.35">
      <c r="A1827" s="9">
        <v>3759991</v>
      </c>
      <c r="B1827" s="10">
        <v>42942</v>
      </c>
      <c r="C1827" s="11">
        <v>0.58408564814814812</v>
      </c>
      <c r="D1827" s="12">
        <v>0.58677083333333335</v>
      </c>
      <c r="E1827" s="20">
        <f t="shared" si="56"/>
        <v>0</v>
      </c>
      <c r="F1827">
        <f t="shared" si="57"/>
        <v>0</v>
      </c>
    </row>
    <row r="1828" spans="1:6" x14ac:dyDescent="0.35">
      <c r="A1828" s="5">
        <v>37838778</v>
      </c>
      <c r="B1828" s="6">
        <v>42942</v>
      </c>
      <c r="C1828" s="7">
        <v>0.58770833333333339</v>
      </c>
      <c r="D1828" s="8">
        <v>0.59591435185185182</v>
      </c>
      <c r="E1828" s="20">
        <f t="shared" si="56"/>
        <v>0</v>
      </c>
      <c r="F1828">
        <f t="shared" si="57"/>
        <v>0</v>
      </c>
    </row>
    <row r="1829" spans="1:6" x14ac:dyDescent="0.35">
      <c r="A1829" s="9">
        <v>3785540</v>
      </c>
      <c r="B1829" s="10">
        <v>42942</v>
      </c>
      <c r="C1829" s="11">
        <v>0.59261574074074075</v>
      </c>
      <c r="D1829" s="12">
        <v>0.60343749999999996</v>
      </c>
      <c r="E1829" s="20">
        <f t="shared" si="56"/>
        <v>0</v>
      </c>
      <c r="F1829">
        <f t="shared" si="57"/>
        <v>0</v>
      </c>
    </row>
    <row r="1830" spans="1:6" x14ac:dyDescent="0.35">
      <c r="A1830" s="5">
        <v>9689833</v>
      </c>
      <c r="B1830" s="6">
        <v>42942</v>
      </c>
      <c r="C1830" s="7">
        <v>0.5932291666666667</v>
      </c>
      <c r="D1830" s="8">
        <v>0.59943287037037041</v>
      </c>
      <c r="E1830" s="20">
        <f t="shared" si="56"/>
        <v>0</v>
      </c>
      <c r="F1830">
        <f t="shared" si="57"/>
        <v>0</v>
      </c>
    </row>
    <row r="1831" spans="1:6" x14ac:dyDescent="0.35">
      <c r="A1831" s="9">
        <v>8136309</v>
      </c>
      <c r="B1831" s="10">
        <v>42942</v>
      </c>
      <c r="C1831" s="11">
        <v>0.59876157407407404</v>
      </c>
      <c r="D1831" s="12">
        <v>0.60951388888888891</v>
      </c>
      <c r="E1831" s="20">
        <f t="shared" si="56"/>
        <v>0</v>
      </c>
      <c r="F1831">
        <f t="shared" si="57"/>
        <v>0</v>
      </c>
    </row>
    <row r="1832" spans="1:6" x14ac:dyDescent="0.35">
      <c r="A1832" s="5">
        <v>1177203</v>
      </c>
      <c r="B1832" s="6">
        <v>42942</v>
      </c>
      <c r="C1832" s="7">
        <v>0.60384259259259254</v>
      </c>
      <c r="D1832" s="8">
        <v>0.60452546296296295</v>
      </c>
      <c r="E1832" s="20">
        <f t="shared" si="56"/>
        <v>0</v>
      </c>
      <c r="F1832">
        <f t="shared" si="57"/>
        <v>0</v>
      </c>
    </row>
    <row r="1833" spans="1:6" x14ac:dyDescent="0.35">
      <c r="A1833" s="9">
        <v>6060835</v>
      </c>
      <c r="B1833" s="10">
        <v>42942</v>
      </c>
      <c r="C1833" s="11">
        <v>0.60623842592592592</v>
      </c>
      <c r="D1833" s="12">
        <v>0.61055555555555552</v>
      </c>
      <c r="E1833" s="20">
        <f t="shared" si="56"/>
        <v>0</v>
      </c>
      <c r="F1833">
        <f t="shared" si="57"/>
        <v>0</v>
      </c>
    </row>
    <row r="1834" spans="1:6" x14ac:dyDescent="0.35">
      <c r="A1834" s="5">
        <v>8534481</v>
      </c>
      <c r="B1834" s="6">
        <v>42942</v>
      </c>
      <c r="C1834" s="7">
        <v>0.60950231481481476</v>
      </c>
      <c r="D1834" s="8">
        <v>0.61940972222222224</v>
      </c>
      <c r="E1834" s="20">
        <f t="shared" si="56"/>
        <v>0</v>
      </c>
      <c r="F1834">
        <f t="shared" si="57"/>
        <v>0</v>
      </c>
    </row>
    <row r="1835" spans="1:6" x14ac:dyDescent="0.35">
      <c r="A1835" s="9">
        <v>4959594</v>
      </c>
      <c r="B1835" s="10">
        <v>42942</v>
      </c>
      <c r="C1835" s="11">
        <v>0.61371527777777779</v>
      </c>
      <c r="D1835" s="12">
        <v>0.6235532407407407</v>
      </c>
      <c r="E1835" s="20">
        <f t="shared" si="56"/>
        <v>0</v>
      </c>
      <c r="F1835">
        <f t="shared" si="57"/>
        <v>0</v>
      </c>
    </row>
    <row r="1836" spans="1:6" x14ac:dyDescent="0.35">
      <c r="A1836" s="5">
        <v>1047809</v>
      </c>
      <c r="B1836" s="6">
        <v>42942</v>
      </c>
      <c r="C1836" s="7">
        <v>0.61724537037037042</v>
      </c>
      <c r="D1836" s="8">
        <v>0.62866898148148154</v>
      </c>
      <c r="E1836" s="20">
        <f t="shared" si="56"/>
        <v>0</v>
      </c>
      <c r="F1836">
        <f t="shared" si="57"/>
        <v>0</v>
      </c>
    </row>
    <row r="1837" spans="1:6" x14ac:dyDescent="0.35">
      <c r="A1837" s="9">
        <v>3437033</v>
      </c>
      <c r="B1837" s="10">
        <v>42942</v>
      </c>
      <c r="C1837" s="11">
        <v>0.62089120370370365</v>
      </c>
      <c r="D1837" s="12">
        <v>0.62159722222222225</v>
      </c>
      <c r="E1837" s="20">
        <f t="shared" si="56"/>
        <v>0</v>
      </c>
      <c r="F1837">
        <f t="shared" si="57"/>
        <v>0</v>
      </c>
    </row>
    <row r="1838" spans="1:6" x14ac:dyDescent="0.35">
      <c r="A1838" s="5">
        <v>6801890</v>
      </c>
      <c r="B1838" s="6">
        <v>42942</v>
      </c>
      <c r="C1838" s="7">
        <v>0.62467592592592591</v>
      </c>
      <c r="D1838" s="8">
        <v>0.62690972222222219</v>
      </c>
      <c r="E1838" s="20">
        <f t="shared" si="56"/>
        <v>0</v>
      </c>
      <c r="F1838">
        <f t="shared" si="57"/>
        <v>0</v>
      </c>
    </row>
    <row r="1839" spans="1:6" x14ac:dyDescent="0.35">
      <c r="A1839" s="9">
        <v>2604004</v>
      </c>
      <c r="B1839" s="10">
        <v>42942</v>
      </c>
      <c r="C1839" s="11">
        <v>0.6277314814814815</v>
      </c>
      <c r="D1839" s="12">
        <v>0.63423611111111111</v>
      </c>
      <c r="E1839" s="20">
        <f t="shared" si="56"/>
        <v>0</v>
      </c>
      <c r="F1839">
        <f t="shared" si="57"/>
        <v>0</v>
      </c>
    </row>
    <row r="1840" spans="1:6" x14ac:dyDescent="0.35">
      <c r="A1840" s="5">
        <v>4379524</v>
      </c>
      <c r="B1840" s="6">
        <v>42943</v>
      </c>
      <c r="C1840" s="7">
        <v>0.33751157407407406</v>
      </c>
      <c r="D1840" s="8">
        <v>0.33754629629629629</v>
      </c>
      <c r="E1840" s="20">
        <f t="shared" si="56"/>
        <v>0</v>
      </c>
      <c r="F1840">
        <f t="shared" si="57"/>
        <v>0</v>
      </c>
    </row>
    <row r="1841" spans="1:6" x14ac:dyDescent="0.35">
      <c r="A1841" s="9">
        <v>12377650</v>
      </c>
      <c r="B1841" s="10">
        <v>42943</v>
      </c>
      <c r="C1841" s="11">
        <v>0.33943287037037034</v>
      </c>
      <c r="D1841" s="12">
        <v>0.34292824074074074</v>
      </c>
      <c r="E1841" s="20">
        <f t="shared" si="56"/>
        <v>0</v>
      </c>
      <c r="F1841">
        <f t="shared" si="57"/>
        <v>0</v>
      </c>
    </row>
    <row r="1842" spans="1:6" x14ac:dyDescent="0.35">
      <c r="A1842" s="5">
        <v>77869622</v>
      </c>
      <c r="B1842" s="6">
        <v>42943</v>
      </c>
      <c r="C1842" s="7">
        <v>0.34219907407407407</v>
      </c>
      <c r="D1842" s="8">
        <v>0.35170138888888891</v>
      </c>
      <c r="E1842" s="20">
        <f t="shared" si="56"/>
        <v>0</v>
      </c>
      <c r="F1842">
        <f t="shared" si="57"/>
        <v>0</v>
      </c>
    </row>
    <row r="1843" spans="1:6" x14ac:dyDescent="0.35">
      <c r="A1843" s="9">
        <v>3414247278</v>
      </c>
      <c r="B1843" s="10">
        <v>42943</v>
      </c>
      <c r="C1843" s="11">
        <v>0.34658564814814813</v>
      </c>
      <c r="D1843" s="12">
        <v>0.34666666666666668</v>
      </c>
      <c r="E1843" s="20">
        <f t="shared" si="56"/>
        <v>0</v>
      </c>
      <c r="F1843">
        <f t="shared" si="57"/>
        <v>0</v>
      </c>
    </row>
    <row r="1844" spans="1:6" x14ac:dyDescent="0.35">
      <c r="A1844" s="5">
        <v>5839324907</v>
      </c>
      <c r="B1844" s="6">
        <v>42943</v>
      </c>
      <c r="C1844" s="7">
        <v>0.3490509259259259</v>
      </c>
      <c r="D1844" s="8">
        <v>0.35481481481481481</v>
      </c>
      <c r="E1844" s="20">
        <f t="shared" si="56"/>
        <v>0</v>
      </c>
      <c r="F1844">
        <f t="shared" si="57"/>
        <v>0</v>
      </c>
    </row>
    <row r="1845" spans="1:6" x14ac:dyDescent="0.35">
      <c r="A1845" s="9">
        <v>4852863</v>
      </c>
      <c r="B1845" s="10">
        <v>42943</v>
      </c>
      <c r="C1845" s="11">
        <v>0.34975694444444444</v>
      </c>
      <c r="D1845" s="12">
        <v>0.35971064814814813</v>
      </c>
      <c r="E1845" s="20">
        <f t="shared" si="56"/>
        <v>0</v>
      </c>
      <c r="F1845">
        <f t="shared" si="57"/>
        <v>0</v>
      </c>
    </row>
    <row r="1846" spans="1:6" x14ac:dyDescent="0.35">
      <c r="A1846" s="5">
        <v>3245936</v>
      </c>
      <c r="B1846" s="6">
        <v>42943</v>
      </c>
      <c r="C1846" s="7">
        <v>0.35116898148148146</v>
      </c>
      <c r="D1846" s="8">
        <v>0.35408564814814814</v>
      </c>
      <c r="E1846" s="20">
        <f t="shared" si="56"/>
        <v>0</v>
      </c>
      <c r="F1846">
        <f t="shared" si="57"/>
        <v>0</v>
      </c>
    </row>
    <row r="1847" spans="1:6" x14ac:dyDescent="0.35">
      <c r="A1847" s="9">
        <v>6674505</v>
      </c>
      <c r="B1847" s="10">
        <v>42943</v>
      </c>
      <c r="C1847" s="11">
        <v>0.35136574074074073</v>
      </c>
      <c r="D1847" s="12">
        <v>0.35390046296296296</v>
      </c>
      <c r="E1847" s="20">
        <f t="shared" si="56"/>
        <v>0</v>
      </c>
      <c r="F1847">
        <f t="shared" si="57"/>
        <v>0</v>
      </c>
    </row>
    <row r="1848" spans="1:6" x14ac:dyDescent="0.35">
      <c r="A1848" s="5">
        <v>9591892</v>
      </c>
      <c r="B1848" s="6">
        <v>42943</v>
      </c>
      <c r="C1848" s="7">
        <v>0.35487268518518517</v>
      </c>
      <c r="D1848" s="8">
        <v>0.36251157407407408</v>
      </c>
      <c r="E1848" s="20">
        <f t="shared" si="56"/>
        <v>0</v>
      </c>
      <c r="F1848">
        <f t="shared" si="57"/>
        <v>0</v>
      </c>
    </row>
    <row r="1849" spans="1:6" x14ac:dyDescent="0.35">
      <c r="A1849" s="9">
        <v>96404523</v>
      </c>
      <c r="B1849" s="10">
        <v>42943</v>
      </c>
      <c r="C1849" s="11">
        <v>0.35592592592592592</v>
      </c>
      <c r="D1849" s="12">
        <v>0.36366898148148147</v>
      </c>
      <c r="E1849" s="20">
        <f t="shared" si="56"/>
        <v>0</v>
      </c>
      <c r="F1849">
        <f t="shared" si="57"/>
        <v>0</v>
      </c>
    </row>
    <row r="1850" spans="1:6" x14ac:dyDescent="0.35">
      <c r="A1850" s="5">
        <v>1405478</v>
      </c>
      <c r="B1850" s="6">
        <v>42943</v>
      </c>
      <c r="C1850" s="7">
        <v>0.35940972222222223</v>
      </c>
      <c r="D1850" s="8">
        <v>0.36412037037037037</v>
      </c>
      <c r="E1850" s="20">
        <f t="shared" si="56"/>
        <v>0</v>
      </c>
      <c r="F1850">
        <f t="shared" si="57"/>
        <v>0</v>
      </c>
    </row>
    <row r="1851" spans="1:6" x14ac:dyDescent="0.35">
      <c r="A1851" s="9">
        <v>5900506</v>
      </c>
      <c r="B1851" s="10">
        <v>42943</v>
      </c>
      <c r="C1851" s="11">
        <v>0.36026620370370371</v>
      </c>
      <c r="D1851" s="12">
        <v>0.36319444444444443</v>
      </c>
      <c r="E1851" s="20">
        <f t="shared" si="56"/>
        <v>0</v>
      </c>
      <c r="F1851">
        <f t="shared" si="57"/>
        <v>0</v>
      </c>
    </row>
    <row r="1852" spans="1:6" x14ac:dyDescent="0.35">
      <c r="A1852" s="5">
        <v>6060835</v>
      </c>
      <c r="B1852" s="6">
        <v>42943</v>
      </c>
      <c r="C1852" s="7">
        <v>0.36148148148148146</v>
      </c>
      <c r="D1852" s="8">
        <v>0.3721990740740741</v>
      </c>
      <c r="E1852" s="20">
        <f t="shared" si="56"/>
        <v>0</v>
      </c>
      <c r="F1852">
        <f t="shared" si="57"/>
        <v>0</v>
      </c>
    </row>
    <row r="1853" spans="1:6" x14ac:dyDescent="0.35">
      <c r="A1853" s="9">
        <v>8880275</v>
      </c>
      <c r="B1853" s="10">
        <v>42943</v>
      </c>
      <c r="C1853" s="11">
        <v>0.36598379629629629</v>
      </c>
      <c r="D1853" s="12">
        <v>0.37474537037037037</v>
      </c>
      <c r="E1853" s="20">
        <f t="shared" si="56"/>
        <v>0</v>
      </c>
      <c r="F1853">
        <f t="shared" si="57"/>
        <v>0</v>
      </c>
    </row>
    <row r="1854" spans="1:6" x14ac:dyDescent="0.35">
      <c r="A1854" s="5">
        <v>57101974</v>
      </c>
      <c r="B1854" s="6">
        <v>42943</v>
      </c>
      <c r="C1854" s="7">
        <v>0.37133101851851852</v>
      </c>
      <c r="D1854" s="8">
        <v>0.37923611111111111</v>
      </c>
      <c r="E1854" s="20">
        <f t="shared" si="56"/>
        <v>0</v>
      </c>
      <c r="F1854">
        <f t="shared" si="57"/>
        <v>0</v>
      </c>
    </row>
    <row r="1855" spans="1:6" x14ac:dyDescent="0.35">
      <c r="A1855" s="9">
        <v>2096100</v>
      </c>
      <c r="B1855" s="10">
        <v>42943</v>
      </c>
      <c r="C1855" s="11">
        <v>0.3717361111111111</v>
      </c>
      <c r="D1855" s="12">
        <v>0.37253472222222223</v>
      </c>
      <c r="E1855" s="20">
        <f t="shared" si="56"/>
        <v>0</v>
      </c>
      <c r="F1855">
        <f t="shared" si="57"/>
        <v>0</v>
      </c>
    </row>
    <row r="1856" spans="1:6" x14ac:dyDescent="0.35">
      <c r="A1856" s="5">
        <v>2366545</v>
      </c>
      <c r="B1856" s="6">
        <v>42943</v>
      </c>
      <c r="C1856" s="7">
        <v>0.3737152777777778</v>
      </c>
      <c r="D1856" s="8">
        <v>0.37967592592592592</v>
      </c>
      <c r="E1856" s="20">
        <f t="shared" si="56"/>
        <v>0</v>
      </c>
      <c r="F1856">
        <f t="shared" si="57"/>
        <v>0</v>
      </c>
    </row>
    <row r="1857" spans="1:6" x14ac:dyDescent="0.35">
      <c r="A1857" s="9">
        <v>2260131</v>
      </c>
      <c r="B1857" s="10">
        <v>42943</v>
      </c>
      <c r="C1857" s="11">
        <v>0.37664351851851852</v>
      </c>
      <c r="D1857" s="12">
        <v>0.38442129629629629</v>
      </c>
      <c r="E1857" s="20">
        <f t="shared" si="56"/>
        <v>0</v>
      </c>
      <c r="F1857">
        <f t="shared" si="57"/>
        <v>0</v>
      </c>
    </row>
    <row r="1858" spans="1:6" x14ac:dyDescent="0.35">
      <c r="A1858" s="5">
        <v>75818182</v>
      </c>
      <c r="B1858" s="6">
        <v>42943</v>
      </c>
      <c r="C1858" s="7">
        <v>0.37973379629629628</v>
      </c>
      <c r="D1858" s="8">
        <v>0.38395833333333335</v>
      </c>
      <c r="E1858" s="20">
        <f t="shared" si="56"/>
        <v>0</v>
      </c>
      <c r="F1858">
        <f t="shared" si="57"/>
        <v>0</v>
      </c>
    </row>
    <row r="1859" spans="1:6" x14ac:dyDescent="0.35">
      <c r="A1859" s="9">
        <v>1247125</v>
      </c>
      <c r="B1859" s="10">
        <v>42943</v>
      </c>
      <c r="C1859" s="11">
        <v>0.38461805555555556</v>
      </c>
      <c r="D1859" s="12">
        <v>0.39339120370370373</v>
      </c>
      <c r="E1859" s="20">
        <f t="shared" ref="E1859:E1922" si="58">IF(F1859=1,D1859-C1859,0)</f>
        <v>8.7731481481481688E-3</v>
      </c>
      <c r="F1859">
        <f t="shared" ref="F1859:F1922" si="59">IF(AND(LEN(A1859)=7,LEFT(A1859,2) = "12"),1,0)</f>
        <v>1</v>
      </c>
    </row>
    <row r="1860" spans="1:6" x14ac:dyDescent="0.35">
      <c r="A1860" s="5">
        <v>3733011</v>
      </c>
      <c r="B1860" s="6">
        <v>42943</v>
      </c>
      <c r="C1860" s="7">
        <v>0.38571759259259258</v>
      </c>
      <c r="D1860" s="8">
        <v>0.39556712962962964</v>
      </c>
      <c r="E1860" s="20">
        <f t="shared" si="58"/>
        <v>0</v>
      </c>
      <c r="F1860">
        <f t="shared" si="59"/>
        <v>0</v>
      </c>
    </row>
    <row r="1861" spans="1:6" x14ac:dyDescent="0.35">
      <c r="A1861" s="9">
        <v>6615729</v>
      </c>
      <c r="B1861" s="10">
        <v>42943</v>
      </c>
      <c r="C1861" s="11">
        <v>0.38997685185185182</v>
      </c>
      <c r="D1861" s="12">
        <v>0.39743055555555556</v>
      </c>
      <c r="E1861" s="20">
        <f t="shared" si="58"/>
        <v>0</v>
      </c>
      <c r="F1861">
        <f t="shared" si="59"/>
        <v>0</v>
      </c>
    </row>
    <row r="1862" spans="1:6" x14ac:dyDescent="0.35">
      <c r="A1862" s="5">
        <v>6844342</v>
      </c>
      <c r="B1862" s="6">
        <v>42943</v>
      </c>
      <c r="C1862" s="7">
        <v>0.39451388888888889</v>
      </c>
      <c r="D1862" s="8">
        <v>0.39609953703703704</v>
      </c>
      <c r="E1862" s="20">
        <f t="shared" si="58"/>
        <v>0</v>
      </c>
      <c r="F1862">
        <f t="shared" si="59"/>
        <v>0</v>
      </c>
    </row>
    <row r="1863" spans="1:6" x14ac:dyDescent="0.35">
      <c r="A1863" s="9">
        <v>8369815</v>
      </c>
      <c r="B1863" s="10">
        <v>42943</v>
      </c>
      <c r="C1863" s="11">
        <v>0.3967013888888889</v>
      </c>
      <c r="D1863" s="12">
        <v>0.40182870370370372</v>
      </c>
      <c r="E1863" s="20">
        <f t="shared" si="58"/>
        <v>0</v>
      </c>
      <c r="F1863">
        <f t="shared" si="59"/>
        <v>0</v>
      </c>
    </row>
    <row r="1864" spans="1:6" x14ac:dyDescent="0.35">
      <c r="A1864" s="5">
        <v>9304830</v>
      </c>
      <c r="B1864" s="6">
        <v>42943</v>
      </c>
      <c r="C1864" s="7">
        <v>0.39812500000000001</v>
      </c>
      <c r="D1864" s="8">
        <v>0.39895833333333336</v>
      </c>
      <c r="E1864" s="20">
        <f t="shared" si="58"/>
        <v>0</v>
      </c>
      <c r="F1864">
        <f t="shared" si="59"/>
        <v>0</v>
      </c>
    </row>
    <row r="1865" spans="1:6" x14ac:dyDescent="0.35">
      <c r="A1865" s="9">
        <v>1117708</v>
      </c>
      <c r="B1865" s="10">
        <v>42943</v>
      </c>
      <c r="C1865" s="11">
        <v>0.40266203703703701</v>
      </c>
      <c r="D1865" s="12">
        <v>0.4073148148148148</v>
      </c>
      <c r="E1865" s="20">
        <f t="shared" si="58"/>
        <v>0</v>
      </c>
      <c r="F1865">
        <f t="shared" si="59"/>
        <v>0</v>
      </c>
    </row>
    <row r="1866" spans="1:6" x14ac:dyDescent="0.35">
      <c r="A1866" s="5">
        <v>6055986</v>
      </c>
      <c r="B1866" s="6">
        <v>42943</v>
      </c>
      <c r="C1866" s="7">
        <v>0.40710648148148149</v>
      </c>
      <c r="D1866" s="8">
        <v>0.40740740740740738</v>
      </c>
      <c r="E1866" s="20">
        <f t="shared" si="58"/>
        <v>0</v>
      </c>
      <c r="F1866">
        <f t="shared" si="59"/>
        <v>0</v>
      </c>
    </row>
    <row r="1867" spans="1:6" x14ac:dyDescent="0.35">
      <c r="A1867" s="9">
        <v>4569864426</v>
      </c>
      <c r="B1867" s="10">
        <v>42943</v>
      </c>
      <c r="C1867" s="11">
        <v>0.40751157407407407</v>
      </c>
      <c r="D1867" s="12">
        <v>0.41725694444444444</v>
      </c>
      <c r="E1867" s="20">
        <f t="shared" si="58"/>
        <v>0</v>
      </c>
      <c r="F1867">
        <f t="shared" si="59"/>
        <v>0</v>
      </c>
    </row>
    <row r="1868" spans="1:6" x14ac:dyDescent="0.35">
      <c r="A1868" s="5">
        <v>2781512</v>
      </c>
      <c r="B1868" s="6">
        <v>42943</v>
      </c>
      <c r="C1868" s="7">
        <v>0.41244212962962962</v>
      </c>
      <c r="D1868" s="8">
        <v>0.41619212962962965</v>
      </c>
      <c r="E1868" s="20">
        <f t="shared" si="58"/>
        <v>0</v>
      </c>
      <c r="F1868">
        <f t="shared" si="59"/>
        <v>0</v>
      </c>
    </row>
    <row r="1869" spans="1:6" x14ac:dyDescent="0.35">
      <c r="A1869" s="9">
        <v>3093964</v>
      </c>
      <c r="B1869" s="10">
        <v>42943</v>
      </c>
      <c r="C1869" s="11">
        <v>0.41363425925925928</v>
      </c>
      <c r="D1869" s="12">
        <v>0.41902777777777778</v>
      </c>
      <c r="E1869" s="20">
        <f t="shared" si="58"/>
        <v>0</v>
      </c>
      <c r="F1869">
        <f t="shared" si="59"/>
        <v>0</v>
      </c>
    </row>
    <row r="1870" spans="1:6" x14ac:dyDescent="0.35">
      <c r="A1870" s="5">
        <v>9413315</v>
      </c>
      <c r="B1870" s="6">
        <v>42943</v>
      </c>
      <c r="C1870" s="7">
        <v>0.41783564814814816</v>
      </c>
      <c r="D1870" s="8">
        <v>0.42383101851851851</v>
      </c>
      <c r="E1870" s="20">
        <f t="shared" si="58"/>
        <v>0</v>
      </c>
      <c r="F1870">
        <f t="shared" si="59"/>
        <v>0</v>
      </c>
    </row>
    <row r="1871" spans="1:6" x14ac:dyDescent="0.35">
      <c r="A1871" s="9">
        <v>1890121</v>
      </c>
      <c r="B1871" s="10">
        <v>42943</v>
      </c>
      <c r="C1871" s="11">
        <v>0.42357638888888888</v>
      </c>
      <c r="D1871" s="12">
        <v>0.43</v>
      </c>
      <c r="E1871" s="20">
        <f t="shared" si="58"/>
        <v>0</v>
      </c>
      <c r="F1871">
        <f t="shared" si="59"/>
        <v>0</v>
      </c>
    </row>
    <row r="1872" spans="1:6" x14ac:dyDescent="0.35">
      <c r="A1872" s="5">
        <v>9906846123</v>
      </c>
      <c r="B1872" s="6">
        <v>42943</v>
      </c>
      <c r="C1872" s="7">
        <v>0.424375</v>
      </c>
      <c r="D1872" s="8">
        <v>0.42505787037037035</v>
      </c>
      <c r="E1872" s="20">
        <f t="shared" si="58"/>
        <v>0</v>
      </c>
      <c r="F1872">
        <f t="shared" si="59"/>
        <v>0</v>
      </c>
    </row>
    <row r="1873" spans="1:6" x14ac:dyDescent="0.35">
      <c r="A1873" s="9">
        <v>12063341</v>
      </c>
      <c r="B1873" s="10">
        <v>42943</v>
      </c>
      <c r="C1873" s="11">
        <v>0.42849537037037039</v>
      </c>
      <c r="D1873" s="12">
        <v>0.4372800925925926</v>
      </c>
      <c r="E1873" s="20">
        <f t="shared" si="58"/>
        <v>0</v>
      </c>
      <c r="F1873">
        <f t="shared" si="59"/>
        <v>0</v>
      </c>
    </row>
    <row r="1874" spans="1:6" x14ac:dyDescent="0.35">
      <c r="A1874" s="5">
        <v>27798660</v>
      </c>
      <c r="B1874" s="6">
        <v>42943</v>
      </c>
      <c r="C1874" s="7">
        <v>0.42925925925925928</v>
      </c>
      <c r="D1874" s="8">
        <v>0.43239583333333331</v>
      </c>
      <c r="E1874" s="20">
        <f t="shared" si="58"/>
        <v>0</v>
      </c>
      <c r="F1874">
        <f t="shared" si="59"/>
        <v>0</v>
      </c>
    </row>
    <row r="1875" spans="1:6" x14ac:dyDescent="0.35">
      <c r="A1875" s="9">
        <v>37077953</v>
      </c>
      <c r="B1875" s="10">
        <v>42943</v>
      </c>
      <c r="C1875" s="11">
        <v>0.43262731481481481</v>
      </c>
      <c r="D1875" s="12">
        <v>0.43929398148148147</v>
      </c>
      <c r="E1875" s="20">
        <f t="shared" si="58"/>
        <v>0</v>
      </c>
      <c r="F1875">
        <f t="shared" si="59"/>
        <v>0</v>
      </c>
    </row>
    <row r="1876" spans="1:6" x14ac:dyDescent="0.35">
      <c r="A1876" s="5">
        <v>70606958</v>
      </c>
      <c r="B1876" s="6">
        <v>42943</v>
      </c>
      <c r="C1876" s="7">
        <v>0.43387731481481484</v>
      </c>
      <c r="D1876" s="8">
        <v>0.44252314814814814</v>
      </c>
      <c r="E1876" s="20">
        <f t="shared" si="58"/>
        <v>0</v>
      </c>
      <c r="F1876">
        <f t="shared" si="59"/>
        <v>0</v>
      </c>
    </row>
    <row r="1877" spans="1:6" x14ac:dyDescent="0.35">
      <c r="A1877" s="9">
        <v>21303266</v>
      </c>
      <c r="B1877" s="10">
        <v>42943</v>
      </c>
      <c r="C1877" s="11">
        <v>0.4384953703703704</v>
      </c>
      <c r="D1877" s="12">
        <v>0.44209490740740742</v>
      </c>
      <c r="E1877" s="20">
        <f t="shared" si="58"/>
        <v>0</v>
      </c>
      <c r="F1877">
        <f t="shared" si="59"/>
        <v>0</v>
      </c>
    </row>
    <row r="1878" spans="1:6" x14ac:dyDescent="0.35">
      <c r="A1878" s="5">
        <v>66871690</v>
      </c>
      <c r="B1878" s="6">
        <v>42943</v>
      </c>
      <c r="C1878" s="7">
        <v>0.44003472222222223</v>
      </c>
      <c r="D1878" s="8">
        <v>0.44219907407407405</v>
      </c>
      <c r="E1878" s="20">
        <f t="shared" si="58"/>
        <v>0</v>
      </c>
      <c r="F1878">
        <f t="shared" si="59"/>
        <v>0</v>
      </c>
    </row>
    <row r="1879" spans="1:6" x14ac:dyDescent="0.35">
      <c r="A1879" s="9">
        <v>88366261</v>
      </c>
      <c r="B1879" s="10">
        <v>42943</v>
      </c>
      <c r="C1879" s="11">
        <v>0.44006944444444446</v>
      </c>
      <c r="D1879" s="12">
        <v>0.44208333333333333</v>
      </c>
      <c r="E1879" s="20">
        <f t="shared" si="58"/>
        <v>0</v>
      </c>
      <c r="F1879">
        <f t="shared" si="59"/>
        <v>0</v>
      </c>
    </row>
    <row r="1880" spans="1:6" x14ac:dyDescent="0.35">
      <c r="A1880" s="5">
        <v>9506446</v>
      </c>
      <c r="B1880" s="6">
        <v>42943</v>
      </c>
      <c r="C1880" s="7">
        <v>0.44490740740740742</v>
      </c>
      <c r="D1880" s="8">
        <v>0.45071759259259259</v>
      </c>
      <c r="E1880" s="20">
        <f t="shared" si="58"/>
        <v>0</v>
      </c>
      <c r="F1880">
        <f t="shared" si="59"/>
        <v>0</v>
      </c>
    </row>
    <row r="1881" spans="1:6" x14ac:dyDescent="0.35">
      <c r="A1881" s="9">
        <v>9225807</v>
      </c>
      <c r="B1881" s="10">
        <v>42943</v>
      </c>
      <c r="C1881" s="11">
        <v>0.44996527777777778</v>
      </c>
      <c r="D1881" s="12">
        <v>0.45952546296296298</v>
      </c>
      <c r="E1881" s="20">
        <f t="shared" si="58"/>
        <v>0</v>
      </c>
      <c r="F1881">
        <f t="shared" si="59"/>
        <v>0</v>
      </c>
    </row>
    <row r="1882" spans="1:6" x14ac:dyDescent="0.35">
      <c r="A1882" s="5">
        <v>6956143</v>
      </c>
      <c r="B1882" s="6">
        <v>42943</v>
      </c>
      <c r="C1882" s="7">
        <v>0.45157407407407407</v>
      </c>
      <c r="D1882" s="8">
        <v>0.455625</v>
      </c>
      <c r="E1882" s="20">
        <f t="shared" si="58"/>
        <v>0</v>
      </c>
      <c r="F1882">
        <f t="shared" si="59"/>
        <v>0</v>
      </c>
    </row>
    <row r="1883" spans="1:6" x14ac:dyDescent="0.35">
      <c r="A1883" s="9">
        <v>1472253</v>
      </c>
      <c r="B1883" s="10">
        <v>42943</v>
      </c>
      <c r="C1883" s="11">
        <v>0.45729166666666665</v>
      </c>
      <c r="D1883" s="12">
        <v>0.46041666666666664</v>
      </c>
      <c r="E1883" s="20">
        <f t="shared" si="58"/>
        <v>0</v>
      </c>
      <c r="F1883">
        <f t="shared" si="59"/>
        <v>0</v>
      </c>
    </row>
    <row r="1884" spans="1:6" x14ac:dyDescent="0.35">
      <c r="A1884" s="5">
        <v>4025325</v>
      </c>
      <c r="B1884" s="6">
        <v>42943</v>
      </c>
      <c r="C1884" s="7">
        <v>0.46151620370370372</v>
      </c>
      <c r="D1884" s="8">
        <v>0.46604166666666669</v>
      </c>
      <c r="E1884" s="20">
        <f t="shared" si="58"/>
        <v>0</v>
      </c>
      <c r="F1884">
        <f t="shared" si="59"/>
        <v>0</v>
      </c>
    </row>
    <row r="1885" spans="1:6" x14ac:dyDescent="0.35">
      <c r="A1885" s="9">
        <v>6220398</v>
      </c>
      <c r="B1885" s="10">
        <v>42943</v>
      </c>
      <c r="C1885" s="11">
        <v>0.46175925925925926</v>
      </c>
      <c r="D1885" s="12">
        <v>0.46263888888888888</v>
      </c>
      <c r="E1885" s="20">
        <f t="shared" si="58"/>
        <v>0</v>
      </c>
      <c r="F1885">
        <f t="shared" si="59"/>
        <v>0</v>
      </c>
    </row>
    <row r="1886" spans="1:6" x14ac:dyDescent="0.35">
      <c r="A1886" s="5">
        <v>6326108</v>
      </c>
      <c r="B1886" s="6">
        <v>42943</v>
      </c>
      <c r="C1886" s="7">
        <v>0.46474537037037039</v>
      </c>
      <c r="D1886" s="8">
        <v>0.47486111111111112</v>
      </c>
      <c r="E1886" s="20">
        <f t="shared" si="58"/>
        <v>0</v>
      </c>
      <c r="F1886">
        <f t="shared" si="59"/>
        <v>0</v>
      </c>
    </row>
    <row r="1887" spans="1:6" x14ac:dyDescent="0.35">
      <c r="A1887" s="9">
        <v>88929709</v>
      </c>
      <c r="B1887" s="10">
        <v>42943</v>
      </c>
      <c r="C1887" s="11">
        <v>0.46687499999999998</v>
      </c>
      <c r="D1887" s="12">
        <v>0.47510416666666666</v>
      </c>
      <c r="E1887" s="20">
        <f t="shared" si="58"/>
        <v>0</v>
      </c>
      <c r="F1887">
        <f t="shared" si="59"/>
        <v>0</v>
      </c>
    </row>
    <row r="1888" spans="1:6" x14ac:dyDescent="0.35">
      <c r="A1888" s="5">
        <v>3004967</v>
      </c>
      <c r="B1888" s="6">
        <v>42943</v>
      </c>
      <c r="C1888" s="7">
        <v>0.4707175925925926</v>
      </c>
      <c r="D1888" s="8">
        <v>0.47547453703703701</v>
      </c>
      <c r="E1888" s="20">
        <f t="shared" si="58"/>
        <v>0</v>
      </c>
      <c r="F1888">
        <f t="shared" si="59"/>
        <v>0</v>
      </c>
    </row>
    <row r="1889" spans="1:6" x14ac:dyDescent="0.35">
      <c r="A1889" s="9">
        <v>1721264</v>
      </c>
      <c r="B1889" s="10">
        <v>42943</v>
      </c>
      <c r="C1889" s="11">
        <v>0.47394675925925928</v>
      </c>
      <c r="D1889" s="12">
        <v>0.47922453703703705</v>
      </c>
      <c r="E1889" s="20">
        <f t="shared" si="58"/>
        <v>0</v>
      </c>
      <c r="F1889">
        <f t="shared" si="59"/>
        <v>0</v>
      </c>
    </row>
    <row r="1890" spans="1:6" x14ac:dyDescent="0.35">
      <c r="A1890" s="5">
        <v>5231877</v>
      </c>
      <c r="B1890" s="6">
        <v>42943</v>
      </c>
      <c r="C1890" s="7">
        <v>0.47550925925925924</v>
      </c>
      <c r="D1890" s="8">
        <v>0.47930555555555554</v>
      </c>
      <c r="E1890" s="20">
        <f t="shared" si="58"/>
        <v>0</v>
      </c>
      <c r="F1890">
        <f t="shared" si="59"/>
        <v>0</v>
      </c>
    </row>
    <row r="1891" spans="1:6" x14ac:dyDescent="0.35">
      <c r="A1891" s="9">
        <v>92414932</v>
      </c>
      <c r="B1891" s="10">
        <v>42943</v>
      </c>
      <c r="C1891" s="11">
        <v>0.48085648148148147</v>
      </c>
      <c r="D1891" s="12">
        <v>0.48893518518518519</v>
      </c>
      <c r="E1891" s="20">
        <f t="shared" si="58"/>
        <v>0</v>
      </c>
      <c r="F1891">
        <f t="shared" si="59"/>
        <v>0</v>
      </c>
    </row>
    <row r="1892" spans="1:6" x14ac:dyDescent="0.35">
      <c r="A1892" s="5">
        <v>3202610</v>
      </c>
      <c r="B1892" s="6">
        <v>42943</v>
      </c>
      <c r="C1892" s="7">
        <v>0.48528935185185185</v>
      </c>
      <c r="D1892" s="8">
        <v>0.48694444444444446</v>
      </c>
      <c r="E1892" s="20">
        <f t="shared" si="58"/>
        <v>0</v>
      </c>
      <c r="F1892">
        <f t="shared" si="59"/>
        <v>0</v>
      </c>
    </row>
    <row r="1893" spans="1:6" x14ac:dyDescent="0.35">
      <c r="A1893" s="9">
        <v>2825289</v>
      </c>
      <c r="B1893" s="10">
        <v>42943</v>
      </c>
      <c r="C1893" s="11">
        <v>0.4855902777777778</v>
      </c>
      <c r="D1893" s="12">
        <v>0.49710648148148145</v>
      </c>
      <c r="E1893" s="20">
        <f t="shared" si="58"/>
        <v>0</v>
      </c>
      <c r="F1893">
        <f t="shared" si="59"/>
        <v>0</v>
      </c>
    </row>
    <row r="1894" spans="1:6" x14ac:dyDescent="0.35">
      <c r="A1894" s="5">
        <v>7915936</v>
      </c>
      <c r="B1894" s="6">
        <v>42943</v>
      </c>
      <c r="C1894" s="7">
        <v>0.49075231481481479</v>
      </c>
      <c r="D1894" s="8">
        <v>0.49836805555555558</v>
      </c>
      <c r="E1894" s="20">
        <f t="shared" si="58"/>
        <v>0</v>
      </c>
      <c r="F1894">
        <f t="shared" si="59"/>
        <v>0</v>
      </c>
    </row>
    <row r="1895" spans="1:6" x14ac:dyDescent="0.35">
      <c r="A1895" s="9">
        <v>3680072</v>
      </c>
      <c r="B1895" s="10">
        <v>42943</v>
      </c>
      <c r="C1895" s="11">
        <v>0.49561342592592594</v>
      </c>
      <c r="D1895" s="12">
        <v>0.49716435185185187</v>
      </c>
      <c r="E1895" s="20">
        <f t="shared" si="58"/>
        <v>0</v>
      </c>
      <c r="F1895">
        <f t="shared" si="59"/>
        <v>0</v>
      </c>
    </row>
    <row r="1896" spans="1:6" x14ac:dyDescent="0.35">
      <c r="A1896" s="5">
        <v>6980867</v>
      </c>
      <c r="B1896" s="6">
        <v>42943</v>
      </c>
      <c r="C1896" s="7">
        <v>0.49716435185185187</v>
      </c>
      <c r="D1896" s="8">
        <v>0.50270833333333331</v>
      </c>
      <c r="E1896" s="20">
        <f t="shared" si="58"/>
        <v>0</v>
      </c>
      <c r="F1896">
        <f t="shared" si="59"/>
        <v>0</v>
      </c>
    </row>
    <row r="1897" spans="1:6" x14ac:dyDescent="0.35">
      <c r="A1897" s="9">
        <v>3656681</v>
      </c>
      <c r="B1897" s="10">
        <v>42943</v>
      </c>
      <c r="C1897" s="11">
        <v>0.50123842592592593</v>
      </c>
      <c r="D1897" s="12">
        <v>0.5084143518518518</v>
      </c>
      <c r="E1897" s="20">
        <f t="shared" si="58"/>
        <v>0</v>
      </c>
      <c r="F1897">
        <f t="shared" si="59"/>
        <v>0</v>
      </c>
    </row>
    <row r="1898" spans="1:6" x14ac:dyDescent="0.35">
      <c r="A1898" s="5">
        <v>4445684</v>
      </c>
      <c r="B1898" s="6">
        <v>42943</v>
      </c>
      <c r="C1898" s="7">
        <v>0.50361111111111112</v>
      </c>
      <c r="D1898" s="8">
        <v>0.51285879629629627</v>
      </c>
      <c r="E1898" s="20">
        <f t="shared" si="58"/>
        <v>0</v>
      </c>
      <c r="F1898">
        <f t="shared" si="59"/>
        <v>0</v>
      </c>
    </row>
    <row r="1899" spans="1:6" x14ac:dyDescent="0.35">
      <c r="A1899" s="9">
        <v>9864502</v>
      </c>
      <c r="B1899" s="10">
        <v>42943</v>
      </c>
      <c r="C1899" s="11">
        <v>0.50722222222222224</v>
      </c>
      <c r="D1899" s="12">
        <v>0.50762731481481482</v>
      </c>
      <c r="E1899" s="20">
        <f t="shared" si="58"/>
        <v>0</v>
      </c>
      <c r="F1899">
        <f t="shared" si="59"/>
        <v>0</v>
      </c>
    </row>
    <row r="1900" spans="1:6" x14ac:dyDescent="0.35">
      <c r="A1900" s="5">
        <v>5881130</v>
      </c>
      <c r="B1900" s="6">
        <v>42943</v>
      </c>
      <c r="C1900" s="7">
        <v>0.51086805555555559</v>
      </c>
      <c r="D1900" s="8">
        <v>0.516087962962963</v>
      </c>
      <c r="E1900" s="20">
        <f t="shared" si="58"/>
        <v>0</v>
      </c>
      <c r="F1900">
        <f t="shared" si="59"/>
        <v>0</v>
      </c>
    </row>
    <row r="1901" spans="1:6" x14ac:dyDescent="0.35">
      <c r="A1901" s="9">
        <v>2056567</v>
      </c>
      <c r="B1901" s="10">
        <v>42943</v>
      </c>
      <c r="C1901" s="11">
        <v>0.51563657407407404</v>
      </c>
      <c r="D1901" s="12">
        <v>0.52396990740740745</v>
      </c>
      <c r="E1901" s="20">
        <f t="shared" si="58"/>
        <v>0</v>
      </c>
      <c r="F1901">
        <f t="shared" si="59"/>
        <v>0</v>
      </c>
    </row>
    <row r="1902" spans="1:6" x14ac:dyDescent="0.35">
      <c r="A1902" s="5">
        <v>62150310</v>
      </c>
      <c r="B1902" s="6">
        <v>42943</v>
      </c>
      <c r="C1902" s="7">
        <v>0.52003472222222225</v>
      </c>
      <c r="D1902" s="8">
        <v>0.52927083333333336</v>
      </c>
      <c r="E1902" s="20">
        <f t="shared" si="58"/>
        <v>0</v>
      </c>
      <c r="F1902">
        <f t="shared" si="59"/>
        <v>0</v>
      </c>
    </row>
    <row r="1903" spans="1:6" x14ac:dyDescent="0.35">
      <c r="A1903" s="9">
        <v>9340299</v>
      </c>
      <c r="B1903" s="10">
        <v>42943</v>
      </c>
      <c r="C1903" s="11">
        <v>0.52034722222222218</v>
      </c>
      <c r="D1903" s="12">
        <v>0.52137731481481486</v>
      </c>
      <c r="E1903" s="20">
        <f t="shared" si="58"/>
        <v>0</v>
      </c>
      <c r="F1903">
        <f t="shared" si="59"/>
        <v>0</v>
      </c>
    </row>
    <row r="1904" spans="1:6" x14ac:dyDescent="0.35">
      <c r="A1904" s="5">
        <v>3912924</v>
      </c>
      <c r="B1904" s="6">
        <v>42943</v>
      </c>
      <c r="C1904" s="7">
        <v>0.52368055555555559</v>
      </c>
      <c r="D1904" s="8">
        <v>0.52627314814814818</v>
      </c>
      <c r="E1904" s="20">
        <f t="shared" si="58"/>
        <v>0</v>
      </c>
      <c r="F1904">
        <f t="shared" si="59"/>
        <v>0</v>
      </c>
    </row>
    <row r="1905" spans="1:6" x14ac:dyDescent="0.35">
      <c r="A1905" s="9">
        <v>8159466</v>
      </c>
      <c r="B1905" s="10">
        <v>42943</v>
      </c>
      <c r="C1905" s="11">
        <v>0.52460648148148148</v>
      </c>
      <c r="D1905" s="12">
        <v>0.52971064814814817</v>
      </c>
      <c r="E1905" s="20">
        <f t="shared" si="58"/>
        <v>0</v>
      </c>
      <c r="F1905">
        <f t="shared" si="59"/>
        <v>0</v>
      </c>
    </row>
    <row r="1906" spans="1:6" x14ac:dyDescent="0.35">
      <c r="A1906" s="5">
        <v>7467198</v>
      </c>
      <c r="B1906" s="6">
        <v>42943</v>
      </c>
      <c r="C1906" s="7">
        <v>0.52993055555555557</v>
      </c>
      <c r="D1906" s="8">
        <v>0.53739583333333329</v>
      </c>
      <c r="E1906" s="20">
        <f t="shared" si="58"/>
        <v>0</v>
      </c>
      <c r="F1906">
        <f t="shared" si="59"/>
        <v>0</v>
      </c>
    </row>
    <row r="1907" spans="1:6" x14ac:dyDescent="0.35">
      <c r="A1907" s="9">
        <v>4703748</v>
      </c>
      <c r="B1907" s="10">
        <v>42943</v>
      </c>
      <c r="C1907" s="11">
        <v>0.53315972222222219</v>
      </c>
      <c r="D1907" s="12">
        <v>0.53454861111111107</v>
      </c>
      <c r="E1907" s="20">
        <f t="shared" si="58"/>
        <v>0</v>
      </c>
      <c r="F1907">
        <f t="shared" si="59"/>
        <v>0</v>
      </c>
    </row>
    <row r="1908" spans="1:6" x14ac:dyDescent="0.35">
      <c r="A1908" s="5">
        <v>1165705</v>
      </c>
      <c r="B1908" s="6">
        <v>42943</v>
      </c>
      <c r="C1908" s="7">
        <v>0.53666666666666663</v>
      </c>
      <c r="D1908" s="8">
        <v>0.54100694444444442</v>
      </c>
      <c r="E1908" s="20">
        <f t="shared" si="58"/>
        <v>0</v>
      </c>
      <c r="F1908">
        <f t="shared" si="59"/>
        <v>0</v>
      </c>
    </row>
    <row r="1909" spans="1:6" x14ac:dyDescent="0.35">
      <c r="A1909" s="9">
        <v>90762334</v>
      </c>
      <c r="B1909" s="10">
        <v>42943</v>
      </c>
      <c r="C1909" s="11">
        <v>0.54144675925925922</v>
      </c>
      <c r="D1909" s="12">
        <v>0.54313657407407412</v>
      </c>
      <c r="E1909" s="20">
        <f t="shared" si="58"/>
        <v>0</v>
      </c>
      <c r="F1909">
        <f t="shared" si="59"/>
        <v>0</v>
      </c>
    </row>
    <row r="1910" spans="1:6" x14ac:dyDescent="0.35">
      <c r="A1910" s="5">
        <v>16527855</v>
      </c>
      <c r="B1910" s="6">
        <v>42943</v>
      </c>
      <c r="C1910" s="7">
        <v>0.54194444444444445</v>
      </c>
      <c r="D1910" s="8">
        <v>0.5513541666666667</v>
      </c>
      <c r="E1910" s="20">
        <f t="shared" si="58"/>
        <v>0</v>
      </c>
      <c r="F1910">
        <f t="shared" si="59"/>
        <v>0</v>
      </c>
    </row>
    <row r="1911" spans="1:6" x14ac:dyDescent="0.35">
      <c r="A1911" s="9">
        <v>1055495</v>
      </c>
      <c r="B1911" s="10">
        <v>42943</v>
      </c>
      <c r="C1911" s="11">
        <v>0.54600694444444442</v>
      </c>
      <c r="D1911" s="12">
        <v>0.54866898148148147</v>
      </c>
      <c r="E1911" s="20">
        <f t="shared" si="58"/>
        <v>0</v>
      </c>
      <c r="F1911">
        <f t="shared" si="59"/>
        <v>0</v>
      </c>
    </row>
    <row r="1912" spans="1:6" x14ac:dyDescent="0.35">
      <c r="A1912" s="5">
        <v>9120318</v>
      </c>
      <c r="B1912" s="6">
        <v>42943</v>
      </c>
      <c r="C1912" s="7">
        <v>0.54690972222222223</v>
      </c>
      <c r="D1912" s="8">
        <v>0.54707175925925922</v>
      </c>
      <c r="E1912" s="20">
        <f t="shared" si="58"/>
        <v>0</v>
      </c>
      <c r="F1912">
        <f t="shared" si="59"/>
        <v>0</v>
      </c>
    </row>
    <row r="1913" spans="1:6" x14ac:dyDescent="0.35">
      <c r="A1913" s="9">
        <v>4030817</v>
      </c>
      <c r="B1913" s="10">
        <v>42943</v>
      </c>
      <c r="C1913" s="11">
        <v>0.55092592592592593</v>
      </c>
      <c r="D1913" s="12">
        <v>0.56030092592592595</v>
      </c>
      <c r="E1913" s="20">
        <f t="shared" si="58"/>
        <v>0</v>
      </c>
      <c r="F1913">
        <f t="shared" si="59"/>
        <v>0</v>
      </c>
    </row>
    <row r="1914" spans="1:6" x14ac:dyDescent="0.35">
      <c r="A1914" s="5">
        <v>1025756</v>
      </c>
      <c r="B1914" s="6">
        <v>42943</v>
      </c>
      <c r="C1914" s="7">
        <v>0.55116898148148152</v>
      </c>
      <c r="D1914" s="8">
        <v>0.56047453703703709</v>
      </c>
      <c r="E1914" s="20">
        <f t="shared" si="58"/>
        <v>0</v>
      </c>
      <c r="F1914">
        <f t="shared" si="59"/>
        <v>0</v>
      </c>
    </row>
    <row r="1915" spans="1:6" x14ac:dyDescent="0.35">
      <c r="A1915" s="9">
        <v>29880225</v>
      </c>
      <c r="B1915" s="10">
        <v>42943</v>
      </c>
      <c r="C1915" s="11">
        <v>0.55174768518518513</v>
      </c>
      <c r="D1915" s="12">
        <v>0.55920138888888893</v>
      </c>
      <c r="E1915" s="20">
        <f t="shared" si="58"/>
        <v>0</v>
      </c>
      <c r="F1915">
        <f t="shared" si="59"/>
        <v>0</v>
      </c>
    </row>
    <row r="1916" spans="1:6" x14ac:dyDescent="0.35">
      <c r="A1916" s="5">
        <v>4791902</v>
      </c>
      <c r="B1916" s="6">
        <v>42943</v>
      </c>
      <c r="C1916" s="7">
        <v>0.55718749999999995</v>
      </c>
      <c r="D1916" s="8">
        <v>0.55753472222222222</v>
      </c>
      <c r="E1916" s="20">
        <f t="shared" si="58"/>
        <v>0</v>
      </c>
      <c r="F1916">
        <f t="shared" si="59"/>
        <v>0</v>
      </c>
    </row>
    <row r="1917" spans="1:6" x14ac:dyDescent="0.35">
      <c r="A1917" s="9">
        <v>5228419</v>
      </c>
      <c r="B1917" s="10">
        <v>42943</v>
      </c>
      <c r="C1917" s="11">
        <v>0.55995370370370368</v>
      </c>
      <c r="D1917" s="12">
        <v>0.56405092592592587</v>
      </c>
      <c r="E1917" s="20">
        <f t="shared" si="58"/>
        <v>0</v>
      </c>
      <c r="F1917">
        <f t="shared" si="59"/>
        <v>0</v>
      </c>
    </row>
    <row r="1918" spans="1:6" x14ac:dyDescent="0.35">
      <c r="A1918" s="5">
        <v>8991671</v>
      </c>
      <c r="B1918" s="6">
        <v>42943</v>
      </c>
      <c r="C1918" s="7">
        <v>0.56268518518518518</v>
      </c>
      <c r="D1918" s="8">
        <v>0.56517361111111108</v>
      </c>
      <c r="E1918" s="20">
        <f t="shared" si="58"/>
        <v>0</v>
      </c>
      <c r="F1918">
        <f t="shared" si="59"/>
        <v>0</v>
      </c>
    </row>
    <row r="1919" spans="1:6" x14ac:dyDescent="0.35">
      <c r="A1919" s="9">
        <v>8045338707</v>
      </c>
      <c r="B1919" s="10">
        <v>42943</v>
      </c>
      <c r="C1919" s="11">
        <v>0.56680555555555556</v>
      </c>
      <c r="D1919" s="12">
        <v>0.56877314814814817</v>
      </c>
      <c r="E1919" s="20">
        <f t="shared" si="58"/>
        <v>0</v>
      </c>
      <c r="F1919">
        <f t="shared" si="59"/>
        <v>0</v>
      </c>
    </row>
    <row r="1920" spans="1:6" x14ac:dyDescent="0.35">
      <c r="A1920" s="5">
        <v>9192546</v>
      </c>
      <c r="B1920" s="6">
        <v>42943</v>
      </c>
      <c r="C1920" s="7">
        <v>0.57233796296296291</v>
      </c>
      <c r="D1920" s="8">
        <v>0.57620370370370366</v>
      </c>
      <c r="E1920" s="20">
        <f t="shared" si="58"/>
        <v>0</v>
      </c>
      <c r="F1920">
        <f t="shared" si="59"/>
        <v>0</v>
      </c>
    </row>
    <row r="1921" spans="1:6" x14ac:dyDescent="0.35">
      <c r="A1921" s="9">
        <v>9664752</v>
      </c>
      <c r="B1921" s="10">
        <v>42943</v>
      </c>
      <c r="C1921" s="11">
        <v>0.57563657407407409</v>
      </c>
      <c r="D1921" s="12">
        <v>0.57976851851851852</v>
      </c>
      <c r="E1921" s="20">
        <f t="shared" si="58"/>
        <v>0</v>
      </c>
      <c r="F1921">
        <f t="shared" si="59"/>
        <v>0</v>
      </c>
    </row>
    <row r="1922" spans="1:6" x14ac:dyDescent="0.35">
      <c r="A1922" s="5">
        <v>62653835</v>
      </c>
      <c r="B1922" s="6">
        <v>42943</v>
      </c>
      <c r="C1922" s="7">
        <v>0.58034722222222224</v>
      </c>
      <c r="D1922" s="8">
        <v>0.58803240740740736</v>
      </c>
      <c r="E1922" s="20">
        <f t="shared" si="58"/>
        <v>0</v>
      </c>
      <c r="F1922">
        <f t="shared" si="59"/>
        <v>0</v>
      </c>
    </row>
    <row r="1923" spans="1:6" x14ac:dyDescent="0.35">
      <c r="A1923" s="9">
        <v>6087301</v>
      </c>
      <c r="B1923" s="10">
        <v>42943</v>
      </c>
      <c r="C1923" s="11">
        <v>0.58589120370370373</v>
      </c>
      <c r="D1923" s="12">
        <v>0.59706018518518522</v>
      </c>
      <c r="E1923" s="20">
        <f t="shared" ref="E1923:E1986" si="60">IF(F1923=1,D1923-C1923,0)</f>
        <v>0</v>
      </c>
      <c r="F1923">
        <f t="shared" ref="F1923:F1986" si="61">IF(AND(LEN(A1923)=7,LEFT(A1923,2) = "12"),1,0)</f>
        <v>0</v>
      </c>
    </row>
    <row r="1924" spans="1:6" x14ac:dyDescent="0.35">
      <c r="A1924" s="5">
        <v>3864488</v>
      </c>
      <c r="B1924" s="6">
        <v>42943</v>
      </c>
      <c r="C1924" s="7">
        <v>0.58601851851851849</v>
      </c>
      <c r="D1924" s="8">
        <v>0.58971064814814811</v>
      </c>
      <c r="E1924" s="20">
        <f t="shared" si="60"/>
        <v>0</v>
      </c>
      <c r="F1924">
        <f t="shared" si="61"/>
        <v>0</v>
      </c>
    </row>
    <row r="1925" spans="1:6" x14ac:dyDescent="0.35">
      <c r="A1925" s="9">
        <v>5604405</v>
      </c>
      <c r="B1925" s="10">
        <v>42943</v>
      </c>
      <c r="C1925" s="11">
        <v>0.58655092592592595</v>
      </c>
      <c r="D1925" s="12">
        <v>0.59761574074074075</v>
      </c>
      <c r="E1925" s="20">
        <f t="shared" si="60"/>
        <v>0</v>
      </c>
      <c r="F1925">
        <f t="shared" si="61"/>
        <v>0</v>
      </c>
    </row>
    <row r="1926" spans="1:6" x14ac:dyDescent="0.35">
      <c r="A1926" s="5">
        <v>4774889</v>
      </c>
      <c r="B1926" s="6">
        <v>42943</v>
      </c>
      <c r="C1926" s="7">
        <v>0.58733796296296292</v>
      </c>
      <c r="D1926" s="8">
        <v>0.59475694444444449</v>
      </c>
      <c r="E1926" s="20">
        <f t="shared" si="60"/>
        <v>0</v>
      </c>
      <c r="F1926">
        <f t="shared" si="61"/>
        <v>0</v>
      </c>
    </row>
    <row r="1927" spans="1:6" x14ac:dyDescent="0.35">
      <c r="A1927" s="9">
        <v>4017213</v>
      </c>
      <c r="B1927" s="10">
        <v>42943</v>
      </c>
      <c r="C1927" s="11">
        <v>0.59228009259259262</v>
      </c>
      <c r="D1927" s="12">
        <v>0.60034722222222225</v>
      </c>
      <c r="E1927" s="20">
        <f t="shared" si="60"/>
        <v>0</v>
      </c>
      <c r="F1927">
        <f t="shared" si="61"/>
        <v>0</v>
      </c>
    </row>
    <row r="1928" spans="1:6" x14ac:dyDescent="0.35">
      <c r="A1928" s="5">
        <v>4720934</v>
      </c>
      <c r="B1928" s="6">
        <v>42943</v>
      </c>
      <c r="C1928" s="7">
        <v>0.59624999999999995</v>
      </c>
      <c r="D1928" s="8">
        <v>0.59810185185185183</v>
      </c>
      <c r="E1928" s="20">
        <f t="shared" si="60"/>
        <v>0</v>
      </c>
      <c r="F1928">
        <f t="shared" si="61"/>
        <v>0</v>
      </c>
    </row>
    <row r="1929" spans="1:6" x14ac:dyDescent="0.35">
      <c r="A1929" s="9">
        <v>13494237</v>
      </c>
      <c r="B1929" s="10">
        <v>42943</v>
      </c>
      <c r="C1929" s="11">
        <v>0.60160879629629627</v>
      </c>
      <c r="D1929" s="12">
        <v>0.61234953703703698</v>
      </c>
      <c r="E1929" s="20">
        <f t="shared" si="60"/>
        <v>0</v>
      </c>
      <c r="F1929">
        <f t="shared" si="61"/>
        <v>0</v>
      </c>
    </row>
    <row r="1930" spans="1:6" x14ac:dyDescent="0.35">
      <c r="A1930" s="5">
        <v>71807686</v>
      </c>
      <c r="B1930" s="6">
        <v>42943</v>
      </c>
      <c r="C1930" s="7">
        <v>0.60339120370370369</v>
      </c>
      <c r="D1930" s="8">
        <v>0.61410879629629633</v>
      </c>
      <c r="E1930" s="20">
        <f t="shared" si="60"/>
        <v>0</v>
      </c>
      <c r="F1930">
        <f t="shared" si="61"/>
        <v>0</v>
      </c>
    </row>
    <row r="1931" spans="1:6" x14ac:dyDescent="0.35">
      <c r="A1931" s="9">
        <v>7865609</v>
      </c>
      <c r="B1931" s="10">
        <v>42943</v>
      </c>
      <c r="C1931" s="11">
        <v>0.60826388888888894</v>
      </c>
      <c r="D1931" s="12">
        <v>0.61071759259259262</v>
      </c>
      <c r="E1931" s="20">
        <f t="shared" si="60"/>
        <v>0</v>
      </c>
      <c r="F1931">
        <f t="shared" si="61"/>
        <v>0</v>
      </c>
    </row>
    <row r="1932" spans="1:6" x14ac:dyDescent="0.35">
      <c r="A1932" s="5">
        <v>5318850</v>
      </c>
      <c r="B1932" s="6">
        <v>42943</v>
      </c>
      <c r="C1932" s="7">
        <v>0.61053240740740744</v>
      </c>
      <c r="D1932" s="8">
        <v>0.61406249999999996</v>
      </c>
      <c r="E1932" s="20">
        <f t="shared" si="60"/>
        <v>0</v>
      </c>
      <c r="F1932">
        <f t="shared" si="61"/>
        <v>0</v>
      </c>
    </row>
    <row r="1933" spans="1:6" x14ac:dyDescent="0.35">
      <c r="A1933" s="9">
        <v>63613334</v>
      </c>
      <c r="B1933" s="10">
        <v>42943</v>
      </c>
      <c r="C1933" s="11">
        <v>0.61393518518518519</v>
      </c>
      <c r="D1933" s="12">
        <v>0.61831018518518521</v>
      </c>
      <c r="E1933" s="20">
        <f t="shared" si="60"/>
        <v>0</v>
      </c>
      <c r="F1933">
        <f t="shared" si="61"/>
        <v>0</v>
      </c>
    </row>
    <row r="1934" spans="1:6" x14ac:dyDescent="0.35">
      <c r="A1934" s="5">
        <v>2256093</v>
      </c>
      <c r="B1934" s="6">
        <v>42943</v>
      </c>
      <c r="C1934" s="7">
        <v>0.61958333333333337</v>
      </c>
      <c r="D1934" s="8">
        <v>0.62275462962962957</v>
      </c>
      <c r="E1934" s="20">
        <f t="shared" si="60"/>
        <v>0</v>
      </c>
      <c r="F1934">
        <f t="shared" si="61"/>
        <v>0</v>
      </c>
    </row>
    <row r="1935" spans="1:6" x14ac:dyDescent="0.35">
      <c r="A1935" s="9">
        <v>7421094</v>
      </c>
      <c r="B1935" s="10">
        <v>42943</v>
      </c>
      <c r="C1935" s="11">
        <v>0.62206018518518513</v>
      </c>
      <c r="D1935" s="12">
        <v>0.62554398148148149</v>
      </c>
      <c r="E1935" s="20">
        <f t="shared" si="60"/>
        <v>0</v>
      </c>
      <c r="F1935">
        <f t="shared" si="61"/>
        <v>0</v>
      </c>
    </row>
    <row r="1936" spans="1:6" x14ac:dyDescent="0.35">
      <c r="A1936" s="5">
        <v>5376362</v>
      </c>
      <c r="B1936" s="6">
        <v>42943</v>
      </c>
      <c r="C1936" s="7">
        <v>0.6255208333333333</v>
      </c>
      <c r="D1936" s="8">
        <v>0.63026620370370368</v>
      </c>
      <c r="E1936" s="20">
        <f t="shared" si="60"/>
        <v>0</v>
      </c>
      <c r="F1936">
        <f t="shared" si="61"/>
        <v>0</v>
      </c>
    </row>
    <row r="1937" spans="1:6" x14ac:dyDescent="0.35">
      <c r="A1937" s="9">
        <v>8967842</v>
      </c>
      <c r="B1937" s="10">
        <v>42944</v>
      </c>
      <c r="C1937" s="11">
        <v>0.3369328703703704</v>
      </c>
      <c r="D1937" s="12">
        <v>0.34400462962962963</v>
      </c>
      <c r="E1937" s="20">
        <f t="shared" si="60"/>
        <v>0</v>
      </c>
      <c r="F1937">
        <f t="shared" si="61"/>
        <v>0</v>
      </c>
    </row>
    <row r="1938" spans="1:6" x14ac:dyDescent="0.35">
      <c r="A1938" s="5">
        <v>76644634</v>
      </c>
      <c r="B1938" s="6">
        <v>42944</v>
      </c>
      <c r="C1938" s="7">
        <v>0.33696759259259257</v>
      </c>
      <c r="D1938" s="8">
        <v>0.33809027777777778</v>
      </c>
      <c r="E1938" s="20">
        <f t="shared" si="60"/>
        <v>0</v>
      </c>
      <c r="F1938">
        <f t="shared" si="61"/>
        <v>0</v>
      </c>
    </row>
    <row r="1939" spans="1:6" x14ac:dyDescent="0.35">
      <c r="A1939" s="9">
        <v>7622819</v>
      </c>
      <c r="B1939" s="10">
        <v>42944</v>
      </c>
      <c r="C1939" s="11">
        <v>0.33831018518518519</v>
      </c>
      <c r="D1939" s="12">
        <v>0.34758101851851853</v>
      </c>
      <c r="E1939" s="20">
        <f t="shared" si="60"/>
        <v>0</v>
      </c>
      <c r="F1939">
        <f t="shared" si="61"/>
        <v>0</v>
      </c>
    </row>
    <row r="1940" spans="1:6" x14ac:dyDescent="0.35">
      <c r="A1940" s="5">
        <v>3524259</v>
      </c>
      <c r="B1940" s="6">
        <v>42944</v>
      </c>
      <c r="C1940" s="7">
        <v>0.33927083333333335</v>
      </c>
      <c r="D1940" s="8">
        <v>0.34861111111111109</v>
      </c>
      <c r="E1940" s="20">
        <f t="shared" si="60"/>
        <v>0</v>
      </c>
      <c r="F1940">
        <f t="shared" si="61"/>
        <v>0</v>
      </c>
    </row>
    <row r="1941" spans="1:6" x14ac:dyDescent="0.35">
      <c r="A1941" s="9">
        <v>5550678</v>
      </c>
      <c r="B1941" s="10">
        <v>42944</v>
      </c>
      <c r="C1941" s="11">
        <v>0.34497685185185184</v>
      </c>
      <c r="D1941" s="12">
        <v>0.35487268518518517</v>
      </c>
      <c r="E1941" s="20">
        <f t="shared" si="60"/>
        <v>0</v>
      </c>
      <c r="F1941">
        <f t="shared" si="61"/>
        <v>0</v>
      </c>
    </row>
    <row r="1942" spans="1:6" x14ac:dyDescent="0.35">
      <c r="A1942" s="5">
        <v>41852472</v>
      </c>
      <c r="B1942" s="6">
        <v>42944</v>
      </c>
      <c r="C1942" s="7">
        <v>0.34826388888888887</v>
      </c>
      <c r="D1942" s="8">
        <v>0.34871527777777778</v>
      </c>
      <c r="E1942" s="20">
        <f t="shared" si="60"/>
        <v>0</v>
      </c>
      <c r="F1942">
        <f t="shared" si="61"/>
        <v>0</v>
      </c>
    </row>
    <row r="1943" spans="1:6" x14ac:dyDescent="0.35">
      <c r="A1943" s="9">
        <v>8799570155</v>
      </c>
      <c r="B1943" s="10">
        <v>42944</v>
      </c>
      <c r="C1943" s="11">
        <v>0.34932870370370372</v>
      </c>
      <c r="D1943" s="12">
        <v>0.35365740740740742</v>
      </c>
      <c r="E1943" s="20">
        <f t="shared" si="60"/>
        <v>0</v>
      </c>
      <c r="F1943">
        <f t="shared" si="61"/>
        <v>0</v>
      </c>
    </row>
    <row r="1944" spans="1:6" x14ac:dyDescent="0.35">
      <c r="A1944" s="5">
        <v>9329226</v>
      </c>
      <c r="B1944" s="6">
        <v>42944</v>
      </c>
      <c r="C1944" s="7">
        <v>0.34983796296296299</v>
      </c>
      <c r="D1944" s="8">
        <v>0.35505787037037034</v>
      </c>
      <c r="E1944" s="20">
        <f t="shared" si="60"/>
        <v>0</v>
      </c>
      <c r="F1944">
        <f t="shared" si="61"/>
        <v>0</v>
      </c>
    </row>
    <row r="1945" spans="1:6" x14ac:dyDescent="0.35">
      <c r="A1945" s="9">
        <v>9219408</v>
      </c>
      <c r="B1945" s="10">
        <v>42944</v>
      </c>
      <c r="C1945" s="11">
        <v>0.35519675925925925</v>
      </c>
      <c r="D1945" s="12">
        <v>0.36072916666666666</v>
      </c>
      <c r="E1945" s="20">
        <f t="shared" si="60"/>
        <v>0</v>
      </c>
      <c r="F1945">
        <f t="shared" si="61"/>
        <v>0</v>
      </c>
    </row>
    <row r="1946" spans="1:6" x14ac:dyDescent="0.35">
      <c r="A1946" s="5">
        <v>2163209</v>
      </c>
      <c r="B1946" s="6">
        <v>42944</v>
      </c>
      <c r="C1946" s="7">
        <v>0.35749999999999998</v>
      </c>
      <c r="D1946" s="8">
        <v>0.36791666666666667</v>
      </c>
      <c r="E1946" s="20">
        <f t="shared" si="60"/>
        <v>0</v>
      </c>
      <c r="F1946">
        <f t="shared" si="61"/>
        <v>0</v>
      </c>
    </row>
    <row r="1947" spans="1:6" x14ac:dyDescent="0.35">
      <c r="A1947" s="9">
        <v>98021540</v>
      </c>
      <c r="B1947" s="10">
        <v>42944</v>
      </c>
      <c r="C1947" s="11">
        <v>0.35806712962962961</v>
      </c>
      <c r="D1947" s="12">
        <v>0.36835648148148148</v>
      </c>
      <c r="E1947" s="20">
        <f t="shared" si="60"/>
        <v>0</v>
      </c>
      <c r="F1947">
        <f t="shared" si="61"/>
        <v>0</v>
      </c>
    </row>
    <row r="1948" spans="1:6" x14ac:dyDescent="0.35">
      <c r="A1948" s="5">
        <v>58420185</v>
      </c>
      <c r="B1948" s="6">
        <v>42944</v>
      </c>
      <c r="C1948" s="7">
        <v>0.35957175925925927</v>
      </c>
      <c r="D1948" s="8">
        <v>0.3616435185185185</v>
      </c>
      <c r="E1948" s="20">
        <f t="shared" si="60"/>
        <v>0</v>
      </c>
      <c r="F1948">
        <f t="shared" si="61"/>
        <v>0</v>
      </c>
    </row>
    <row r="1949" spans="1:6" x14ac:dyDescent="0.35">
      <c r="A1949" s="9">
        <v>2188847</v>
      </c>
      <c r="B1949" s="10">
        <v>42944</v>
      </c>
      <c r="C1949" s="11">
        <v>0.36321759259259262</v>
      </c>
      <c r="D1949" s="12">
        <v>0.36689814814814814</v>
      </c>
      <c r="E1949" s="20">
        <f t="shared" si="60"/>
        <v>0</v>
      </c>
      <c r="F1949">
        <f t="shared" si="61"/>
        <v>0</v>
      </c>
    </row>
    <row r="1950" spans="1:6" x14ac:dyDescent="0.35">
      <c r="A1950" s="5">
        <v>2419817</v>
      </c>
      <c r="B1950" s="6">
        <v>42944</v>
      </c>
      <c r="C1950" s="7">
        <v>0.36768518518518517</v>
      </c>
      <c r="D1950" s="8">
        <v>0.3742476851851852</v>
      </c>
      <c r="E1950" s="20">
        <f t="shared" si="60"/>
        <v>0</v>
      </c>
      <c r="F1950">
        <f t="shared" si="61"/>
        <v>0</v>
      </c>
    </row>
    <row r="1951" spans="1:6" x14ac:dyDescent="0.35">
      <c r="A1951" s="9">
        <v>8938444</v>
      </c>
      <c r="B1951" s="10">
        <v>42944</v>
      </c>
      <c r="C1951" s="11">
        <v>0.37162037037037038</v>
      </c>
      <c r="D1951" s="12">
        <v>0.37275462962962963</v>
      </c>
      <c r="E1951" s="20">
        <f t="shared" si="60"/>
        <v>0</v>
      </c>
      <c r="F1951">
        <f t="shared" si="61"/>
        <v>0</v>
      </c>
    </row>
    <row r="1952" spans="1:6" x14ac:dyDescent="0.35">
      <c r="A1952" s="5">
        <v>8512255</v>
      </c>
      <c r="B1952" s="6">
        <v>42944</v>
      </c>
      <c r="C1952" s="7">
        <v>0.37327546296296299</v>
      </c>
      <c r="D1952" s="8">
        <v>0.37962962962962965</v>
      </c>
      <c r="E1952" s="20">
        <f t="shared" si="60"/>
        <v>0</v>
      </c>
      <c r="F1952">
        <f t="shared" si="61"/>
        <v>0</v>
      </c>
    </row>
    <row r="1953" spans="1:6" x14ac:dyDescent="0.35">
      <c r="A1953" s="9">
        <v>7488966</v>
      </c>
      <c r="B1953" s="10">
        <v>42944</v>
      </c>
      <c r="C1953" s="11">
        <v>0.37513888888888891</v>
      </c>
      <c r="D1953" s="12">
        <v>0.3775</v>
      </c>
      <c r="E1953" s="20">
        <f t="shared" si="60"/>
        <v>0</v>
      </c>
      <c r="F1953">
        <f t="shared" si="61"/>
        <v>0</v>
      </c>
    </row>
    <row r="1954" spans="1:6" x14ac:dyDescent="0.35">
      <c r="A1954" s="5">
        <v>6068132</v>
      </c>
      <c r="B1954" s="6">
        <v>42944</v>
      </c>
      <c r="C1954" s="7">
        <v>0.37793981481481481</v>
      </c>
      <c r="D1954" s="8">
        <v>0.3873611111111111</v>
      </c>
      <c r="E1954" s="20">
        <f t="shared" si="60"/>
        <v>0</v>
      </c>
      <c r="F1954">
        <f t="shared" si="61"/>
        <v>0</v>
      </c>
    </row>
    <row r="1955" spans="1:6" x14ac:dyDescent="0.35">
      <c r="A1955" s="9">
        <v>6131743</v>
      </c>
      <c r="B1955" s="10">
        <v>42944</v>
      </c>
      <c r="C1955" s="11">
        <v>0.38305555555555554</v>
      </c>
      <c r="D1955" s="12">
        <v>0.38718750000000002</v>
      </c>
      <c r="E1955" s="20">
        <f t="shared" si="60"/>
        <v>0</v>
      </c>
      <c r="F1955">
        <f t="shared" si="61"/>
        <v>0</v>
      </c>
    </row>
    <row r="1956" spans="1:6" x14ac:dyDescent="0.35">
      <c r="A1956" s="5">
        <v>71564278</v>
      </c>
      <c r="B1956" s="6">
        <v>42944</v>
      </c>
      <c r="C1956" s="7">
        <v>0.38849537037037035</v>
      </c>
      <c r="D1956" s="8">
        <v>0.39708333333333334</v>
      </c>
      <c r="E1956" s="20">
        <f t="shared" si="60"/>
        <v>0</v>
      </c>
      <c r="F1956">
        <f t="shared" si="61"/>
        <v>0</v>
      </c>
    </row>
    <row r="1957" spans="1:6" x14ac:dyDescent="0.35">
      <c r="A1957" s="9">
        <v>4529192</v>
      </c>
      <c r="B1957" s="10">
        <v>42944</v>
      </c>
      <c r="C1957" s="11">
        <v>0.39005787037037037</v>
      </c>
      <c r="D1957" s="12">
        <v>0.39561342592592591</v>
      </c>
      <c r="E1957" s="20">
        <f t="shared" si="60"/>
        <v>0</v>
      </c>
      <c r="F1957">
        <f t="shared" si="61"/>
        <v>0</v>
      </c>
    </row>
    <row r="1958" spans="1:6" x14ac:dyDescent="0.35">
      <c r="A1958" s="5">
        <v>2193730</v>
      </c>
      <c r="B1958" s="6">
        <v>42944</v>
      </c>
      <c r="C1958" s="7">
        <v>0.39269675925925923</v>
      </c>
      <c r="D1958" s="8">
        <v>0.40126157407407409</v>
      </c>
      <c r="E1958" s="20">
        <f t="shared" si="60"/>
        <v>0</v>
      </c>
      <c r="F1958">
        <f t="shared" si="61"/>
        <v>0</v>
      </c>
    </row>
    <row r="1959" spans="1:6" x14ac:dyDescent="0.35">
      <c r="A1959" s="9">
        <v>3120387</v>
      </c>
      <c r="B1959" s="10">
        <v>42944</v>
      </c>
      <c r="C1959" s="11">
        <v>0.39303240740740741</v>
      </c>
      <c r="D1959" s="12">
        <v>0.39657407407407408</v>
      </c>
      <c r="E1959" s="20">
        <f t="shared" si="60"/>
        <v>0</v>
      </c>
      <c r="F1959">
        <f t="shared" si="61"/>
        <v>0</v>
      </c>
    </row>
    <row r="1960" spans="1:6" x14ac:dyDescent="0.35">
      <c r="A1960" s="5">
        <v>5726531</v>
      </c>
      <c r="B1960" s="6">
        <v>42944</v>
      </c>
      <c r="C1960" s="7">
        <v>0.39825231481481482</v>
      </c>
      <c r="D1960" s="8">
        <v>0.39855324074074072</v>
      </c>
      <c r="E1960" s="20">
        <f t="shared" si="60"/>
        <v>0</v>
      </c>
      <c r="F1960">
        <f t="shared" si="61"/>
        <v>0</v>
      </c>
    </row>
    <row r="1961" spans="1:6" x14ac:dyDescent="0.35">
      <c r="A1961" s="9">
        <v>5076649</v>
      </c>
      <c r="B1961" s="10">
        <v>42944</v>
      </c>
      <c r="C1961" s="11">
        <v>0.39922453703703703</v>
      </c>
      <c r="D1961" s="12">
        <v>0.40482638888888889</v>
      </c>
      <c r="E1961" s="20">
        <f t="shared" si="60"/>
        <v>0</v>
      </c>
      <c r="F1961">
        <f t="shared" si="61"/>
        <v>0</v>
      </c>
    </row>
    <row r="1962" spans="1:6" x14ac:dyDescent="0.35">
      <c r="A1962" s="5">
        <v>98939809</v>
      </c>
      <c r="B1962" s="6">
        <v>42944</v>
      </c>
      <c r="C1962" s="7">
        <v>0.40277777777777779</v>
      </c>
      <c r="D1962" s="8">
        <v>0.40599537037037037</v>
      </c>
      <c r="E1962" s="20">
        <f t="shared" si="60"/>
        <v>0</v>
      </c>
      <c r="F1962">
        <f t="shared" si="61"/>
        <v>0</v>
      </c>
    </row>
    <row r="1963" spans="1:6" x14ac:dyDescent="0.35">
      <c r="A1963" s="9">
        <v>2005653</v>
      </c>
      <c r="B1963" s="10">
        <v>42944</v>
      </c>
      <c r="C1963" s="11">
        <v>0.40842592592592591</v>
      </c>
      <c r="D1963" s="12">
        <v>0.41866898148148146</v>
      </c>
      <c r="E1963" s="20">
        <f t="shared" si="60"/>
        <v>0</v>
      </c>
      <c r="F1963">
        <f t="shared" si="61"/>
        <v>0</v>
      </c>
    </row>
    <row r="1964" spans="1:6" x14ac:dyDescent="0.35">
      <c r="A1964" s="5">
        <v>4659808</v>
      </c>
      <c r="B1964" s="6">
        <v>42944</v>
      </c>
      <c r="C1964" s="7">
        <v>0.40956018518518517</v>
      </c>
      <c r="D1964" s="8">
        <v>0.41278935185185184</v>
      </c>
      <c r="E1964" s="20">
        <f t="shared" si="60"/>
        <v>0</v>
      </c>
      <c r="F1964">
        <f t="shared" si="61"/>
        <v>0</v>
      </c>
    </row>
    <row r="1965" spans="1:6" x14ac:dyDescent="0.35">
      <c r="A1965" s="9">
        <v>60113139</v>
      </c>
      <c r="B1965" s="10">
        <v>42944</v>
      </c>
      <c r="C1965" s="11">
        <v>0.41228009259259257</v>
      </c>
      <c r="D1965" s="12">
        <v>0.41718749999999999</v>
      </c>
      <c r="E1965" s="20">
        <f t="shared" si="60"/>
        <v>0</v>
      </c>
      <c r="F1965">
        <f t="shared" si="61"/>
        <v>0</v>
      </c>
    </row>
    <row r="1966" spans="1:6" x14ac:dyDescent="0.35">
      <c r="A1966" s="5">
        <v>55896338</v>
      </c>
      <c r="B1966" s="6">
        <v>42944</v>
      </c>
      <c r="C1966" s="7">
        <v>0.41521990740740738</v>
      </c>
      <c r="D1966" s="8">
        <v>0.41893518518518519</v>
      </c>
      <c r="E1966" s="20">
        <f t="shared" si="60"/>
        <v>0</v>
      </c>
      <c r="F1966">
        <f t="shared" si="61"/>
        <v>0</v>
      </c>
    </row>
    <row r="1967" spans="1:6" x14ac:dyDescent="0.35">
      <c r="A1967" s="9">
        <v>9747403</v>
      </c>
      <c r="B1967" s="10">
        <v>42944</v>
      </c>
      <c r="C1967" s="11">
        <v>0.42093750000000002</v>
      </c>
      <c r="D1967" s="12">
        <v>0.42825231481481479</v>
      </c>
      <c r="E1967" s="20">
        <f t="shared" si="60"/>
        <v>0</v>
      </c>
      <c r="F1967">
        <f t="shared" si="61"/>
        <v>0</v>
      </c>
    </row>
    <row r="1968" spans="1:6" x14ac:dyDescent="0.35">
      <c r="A1968" s="5">
        <v>5687447</v>
      </c>
      <c r="B1968" s="6">
        <v>42944</v>
      </c>
      <c r="C1968" s="7">
        <v>0.42295138888888889</v>
      </c>
      <c r="D1968" s="8">
        <v>0.42423611111111109</v>
      </c>
      <c r="E1968" s="20">
        <f t="shared" si="60"/>
        <v>0</v>
      </c>
      <c r="F1968">
        <f t="shared" si="61"/>
        <v>0</v>
      </c>
    </row>
    <row r="1969" spans="1:6" x14ac:dyDescent="0.35">
      <c r="A1969" s="9">
        <v>78940032</v>
      </c>
      <c r="B1969" s="10">
        <v>42944</v>
      </c>
      <c r="C1969" s="11">
        <v>0.42478009259259258</v>
      </c>
      <c r="D1969" s="12">
        <v>0.43118055555555557</v>
      </c>
      <c r="E1969" s="20">
        <f t="shared" si="60"/>
        <v>0</v>
      </c>
      <c r="F1969">
        <f t="shared" si="61"/>
        <v>0</v>
      </c>
    </row>
    <row r="1970" spans="1:6" x14ac:dyDescent="0.35">
      <c r="A1970" s="5">
        <v>1094486764</v>
      </c>
      <c r="B1970" s="6">
        <v>42944</v>
      </c>
      <c r="C1970" s="7">
        <v>0.42781249999999998</v>
      </c>
      <c r="D1970" s="8">
        <v>0.43763888888888891</v>
      </c>
      <c r="E1970" s="20">
        <f t="shared" si="60"/>
        <v>0</v>
      </c>
      <c r="F1970">
        <f t="shared" si="61"/>
        <v>0</v>
      </c>
    </row>
    <row r="1971" spans="1:6" x14ac:dyDescent="0.35">
      <c r="A1971" s="9">
        <v>2611045</v>
      </c>
      <c r="B1971" s="10">
        <v>42944</v>
      </c>
      <c r="C1971" s="11">
        <v>0.43131944444444442</v>
      </c>
      <c r="D1971" s="12">
        <v>0.4387152777777778</v>
      </c>
      <c r="E1971" s="20">
        <f t="shared" si="60"/>
        <v>0</v>
      </c>
      <c r="F1971">
        <f t="shared" si="61"/>
        <v>0</v>
      </c>
    </row>
    <row r="1972" spans="1:6" x14ac:dyDescent="0.35">
      <c r="A1972" s="5">
        <v>6047761</v>
      </c>
      <c r="B1972" s="6">
        <v>42944</v>
      </c>
      <c r="C1972" s="7">
        <v>0.43351851851851853</v>
      </c>
      <c r="D1972" s="8">
        <v>0.4412152777777778</v>
      </c>
      <c r="E1972" s="20">
        <f t="shared" si="60"/>
        <v>0</v>
      </c>
      <c r="F1972">
        <f t="shared" si="61"/>
        <v>0</v>
      </c>
    </row>
    <row r="1973" spans="1:6" x14ac:dyDescent="0.35">
      <c r="A1973" s="9">
        <v>4154521</v>
      </c>
      <c r="B1973" s="10">
        <v>42944</v>
      </c>
      <c r="C1973" s="11">
        <v>0.43552083333333336</v>
      </c>
      <c r="D1973" s="12">
        <v>0.44587962962962963</v>
      </c>
      <c r="E1973" s="20">
        <f t="shared" si="60"/>
        <v>0</v>
      </c>
      <c r="F1973">
        <f t="shared" si="61"/>
        <v>0</v>
      </c>
    </row>
    <row r="1974" spans="1:6" x14ac:dyDescent="0.35">
      <c r="A1974" s="5">
        <v>8895257</v>
      </c>
      <c r="B1974" s="6">
        <v>42944</v>
      </c>
      <c r="C1974" s="7">
        <v>0.43975694444444446</v>
      </c>
      <c r="D1974" s="8">
        <v>0.4472800925925926</v>
      </c>
      <c r="E1974" s="20">
        <f t="shared" si="60"/>
        <v>0</v>
      </c>
      <c r="F1974">
        <f t="shared" si="61"/>
        <v>0</v>
      </c>
    </row>
    <row r="1975" spans="1:6" x14ac:dyDescent="0.35">
      <c r="A1975" s="9">
        <v>2199311</v>
      </c>
      <c r="B1975" s="10">
        <v>42944</v>
      </c>
      <c r="C1975" s="11">
        <v>0.44490740740740742</v>
      </c>
      <c r="D1975" s="12">
        <v>0.44578703703703704</v>
      </c>
      <c r="E1975" s="20">
        <f t="shared" si="60"/>
        <v>0</v>
      </c>
      <c r="F1975">
        <f t="shared" si="61"/>
        <v>0</v>
      </c>
    </row>
    <row r="1976" spans="1:6" x14ac:dyDescent="0.35">
      <c r="A1976" s="5">
        <v>17864361</v>
      </c>
      <c r="B1976" s="6">
        <v>42944</v>
      </c>
      <c r="C1976" s="7">
        <v>0.44605324074074076</v>
      </c>
      <c r="D1976" s="8">
        <v>0.45253472222222224</v>
      </c>
      <c r="E1976" s="20">
        <f t="shared" si="60"/>
        <v>0</v>
      </c>
      <c r="F1976">
        <f t="shared" si="61"/>
        <v>0</v>
      </c>
    </row>
    <row r="1977" spans="1:6" x14ac:dyDescent="0.35">
      <c r="A1977" s="9">
        <v>6943996503</v>
      </c>
      <c r="B1977" s="10">
        <v>42944</v>
      </c>
      <c r="C1977" s="11">
        <v>0.4506134259259259</v>
      </c>
      <c r="D1977" s="12">
        <v>0.45674768518518516</v>
      </c>
      <c r="E1977" s="20">
        <f t="shared" si="60"/>
        <v>0</v>
      </c>
      <c r="F1977">
        <f t="shared" si="61"/>
        <v>0</v>
      </c>
    </row>
    <row r="1978" spans="1:6" x14ac:dyDescent="0.35">
      <c r="A1978" s="5">
        <v>9547712</v>
      </c>
      <c r="B1978" s="6">
        <v>42944</v>
      </c>
      <c r="C1978" s="7">
        <v>0.45546296296296296</v>
      </c>
      <c r="D1978" s="8">
        <v>0.46259259259259261</v>
      </c>
      <c r="E1978" s="20">
        <f t="shared" si="60"/>
        <v>0</v>
      </c>
      <c r="F1978">
        <f t="shared" si="61"/>
        <v>0</v>
      </c>
    </row>
    <row r="1979" spans="1:6" x14ac:dyDescent="0.35">
      <c r="A1979" s="9">
        <v>3925701</v>
      </c>
      <c r="B1979" s="10">
        <v>42944</v>
      </c>
      <c r="C1979" s="11">
        <v>0.45756944444444442</v>
      </c>
      <c r="D1979" s="12">
        <v>0.46141203703703704</v>
      </c>
      <c r="E1979" s="20">
        <f t="shared" si="60"/>
        <v>0</v>
      </c>
      <c r="F1979">
        <f t="shared" si="61"/>
        <v>0</v>
      </c>
    </row>
    <row r="1980" spans="1:6" x14ac:dyDescent="0.35">
      <c r="A1980" s="5">
        <v>97317489</v>
      </c>
      <c r="B1980" s="6">
        <v>42944</v>
      </c>
      <c r="C1980" s="7">
        <v>0.46269675925925924</v>
      </c>
      <c r="D1980" s="8">
        <v>0.46620370370370373</v>
      </c>
      <c r="E1980" s="20">
        <f t="shared" si="60"/>
        <v>0</v>
      </c>
      <c r="F1980">
        <f t="shared" si="61"/>
        <v>0</v>
      </c>
    </row>
    <row r="1981" spans="1:6" x14ac:dyDescent="0.35">
      <c r="A1981" s="9">
        <v>78009874</v>
      </c>
      <c r="B1981" s="10">
        <v>42944</v>
      </c>
      <c r="C1981" s="11">
        <v>0.46400462962962963</v>
      </c>
      <c r="D1981" s="12">
        <v>0.46545138888888887</v>
      </c>
      <c r="E1981" s="20">
        <f t="shared" si="60"/>
        <v>0</v>
      </c>
      <c r="F1981">
        <f t="shared" si="61"/>
        <v>0</v>
      </c>
    </row>
    <row r="1982" spans="1:6" x14ac:dyDescent="0.35">
      <c r="A1982" s="5">
        <v>8590206</v>
      </c>
      <c r="B1982" s="6">
        <v>42944</v>
      </c>
      <c r="C1982" s="7">
        <v>0.46763888888888888</v>
      </c>
      <c r="D1982" s="8">
        <v>0.47359953703703705</v>
      </c>
      <c r="E1982" s="20">
        <f t="shared" si="60"/>
        <v>0</v>
      </c>
      <c r="F1982">
        <f t="shared" si="61"/>
        <v>0</v>
      </c>
    </row>
    <row r="1983" spans="1:6" x14ac:dyDescent="0.35">
      <c r="A1983" s="9">
        <v>7273239</v>
      </c>
      <c r="B1983" s="10">
        <v>42944</v>
      </c>
      <c r="C1983" s="11">
        <v>0.47111111111111109</v>
      </c>
      <c r="D1983" s="12">
        <v>0.48017361111111112</v>
      </c>
      <c r="E1983" s="20">
        <f t="shared" si="60"/>
        <v>0</v>
      </c>
      <c r="F1983">
        <f t="shared" si="61"/>
        <v>0</v>
      </c>
    </row>
    <row r="1984" spans="1:6" x14ac:dyDescent="0.35">
      <c r="A1984" s="5">
        <v>9975967</v>
      </c>
      <c r="B1984" s="6">
        <v>42944</v>
      </c>
      <c r="C1984" s="7">
        <v>0.47454861111111113</v>
      </c>
      <c r="D1984" s="8">
        <v>0.47562500000000002</v>
      </c>
      <c r="E1984" s="20">
        <f t="shared" si="60"/>
        <v>0</v>
      </c>
      <c r="F1984">
        <f t="shared" si="61"/>
        <v>0</v>
      </c>
    </row>
    <row r="1985" spans="1:6" x14ac:dyDescent="0.35">
      <c r="A1985" s="9">
        <v>2134315</v>
      </c>
      <c r="B1985" s="10">
        <v>42944</v>
      </c>
      <c r="C1985" s="11">
        <v>0.47733796296296294</v>
      </c>
      <c r="D1985" s="12">
        <v>0.48003472222222221</v>
      </c>
      <c r="E1985" s="20">
        <f t="shared" si="60"/>
        <v>0</v>
      </c>
      <c r="F1985">
        <f t="shared" si="61"/>
        <v>0</v>
      </c>
    </row>
    <row r="1986" spans="1:6" x14ac:dyDescent="0.35">
      <c r="A1986" s="5">
        <v>6919928</v>
      </c>
      <c r="B1986" s="6">
        <v>42944</v>
      </c>
      <c r="C1986" s="7">
        <v>0.4783101851851852</v>
      </c>
      <c r="D1986" s="8">
        <v>0.48770833333333335</v>
      </c>
      <c r="E1986" s="20">
        <f t="shared" si="60"/>
        <v>0</v>
      </c>
      <c r="F1986">
        <f t="shared" si="61"/>
        <v>0</v>
      </c>
    </row>
    <row r="1987" spans="1:6" x14ac:dyDescent="0.35">
      <c r="A1987" s="9">
        <v>45081794</v>
      </c>
      <c r="B1987" s="10">
        <v>42944</v>
      </c>
      <c r="C1987" s="11">
        <v>0.47928240740740741</v>
      </c>
      <c r="D1987" s="12">
        <v>0.481875</v>
      </c>
      <c r="E1987" s="20">
        <f t="shared" ref="E1987:E2050" si="62">IF(F1987=1,D1987-C1987,0)</f>
        <v>0</v>
      </c>
      <c r="F1987">
        <f t="shared" ref="F1987:F2050" si="63">IF(AND(LEN(A1987)=7,LEFT(A1987,2) = "12"),1,0)</f>
        <v>0</v>
      </c>
    </row>
    <row r="1988" spans="1:6" x14ac:dyDescent="0.35">
      <c r="A1988" s="5">
        <v>1661633</v>
      </c>
      <c r="B1988" s="6">
        <v>42944</v>
      </c>
      <c r="C1988" s="7">
        <v>0.48042824074074075</v>
      </c>
      <c r="D1988" s="8">
        <v>0.48422453703703705</v>
      </c>
      <c r="E1988" s="20">
        <f t="shared" si="62"/>
        <v>0</v>
      </c>
      <c r="F1988">
        <f t="shared" si="63"/>
        <v>0</v>
      </c>
    </row>
    <row r="1989" spans="1:6" x14ac:dyDescent="0.35">
      <c r="A1989" s="9">
        <v>1639829</v>
      </c>
      <c r="B1989" s="10">
        <v>42944</v>
      </c>
      <c r="C1989" s="11">
        <v>0.4815740740740741</v>
      </c>
      <c r="D1989" s="12">
        <v>0.48802083333333335</v>
      </c>
      <c r="E1989" s="20">
        <f t="shared" si="62"/>
        <v>0</v>
      </c>
      <c r="F1989">
        <f t="shared" si="63"/>
        <v>0</v>
      </c>
    </row>
    <row r="1990" spans="1:6" x14ac:dyDescent="0.35">
      <c r="A1990" s="5">
        <v>8585321</v>
      </c>
      <c r="B1990" s="6">
        <v>42944</v>
      </c>
      <c r="C1990" s="7">
        <v>0.4836111111111111</v>
      </c>
      <c r="D1990" s="8">
        <v>0.48996527777777776</v>
      </c>
      <c r="E1990" s="20">
        <f t="shared" si="62"/>
        <v>0</v>
      </c>
      <c r="F1990">
        <f t="shared" si="63"/>
        <v>0</v>
      </c>
    </row>
    <row r="1991" spans="1:6" x14ac:dyDescent="0.35">
      <c r="A1991" s="9">
        <v>1661643168</v>
      </c>
      <c r="B1991" s="10">
        <v>42944</v>
      </c>
      <c r="C1991" s="11">
        <v>0.48609953703703701</v>
      </c>
      <c r="D1991" s="12">
        <v>0.48850694444444442</v>
      </c>
      <c r="E1991" s="20">
        <f t="shared" si="62"/>
        <v>0</v>
      </c>
      <c r="F1991">
        <f t="shared" si="63"/>
        <v>0</v>
      </c>
    </row>
    <row r="1992" spans="1:6" x14ac:dyDescent="0.35">
      <c r="A1992" s="5">
        <v>5136126</v>
      </c>
      <c r="B1992" s="6">
        <v>42944</v>
      </c>
      <c r="C1992" s="7">
        <v>0.49048611111111112</v>
      </c>
      <c r="D1992" s="8">
        <v>0.49685185185185188</v>
      </c>
      <c r="E1992" s="20">
        <f t="shared" si="62"/>
        <v>0</v>
      </c>
      <c r="F1992">
        <f t="shared" si="63"/>
        <v>0</v>
      </c>
    </row>
    <row r="1993" spans="1:6" x14ac:dyDescent="0.35">
      <c r="A1993" s="9">
        <v>9747700</v>
      </c>
      <c r="B1993" s="10">
        <v>42944</v>
      </c>
      <c r="C1993" s="11">
        <v>0.49305555555555558</v>
      </c>
      <c r="D1993" s="12">
        <v>0.50435185185185183</v>
      </c>
      <c r="E1993" s="20">
        <f t="shared" si="62"/>
        <v>0</v>
      </c>
      <c r="F1993">
        <f t="shared" si="63"/>
        <v>0</v>
      </c>
    </row>
    <row r="1994" spans="1:6" x14ac:dyDescent="0.35">
      <c r="A1994" s="5">
        <v>8387594</v>
      </c>
      <c r="B1994" s="6">
        <v>42944</v>
      </c>
      <c r="C1994" s="7">
        <v>0.49401620370370369</v>
      </c>
      <c r="D1994" s="8">
        <v>0.49682870370370369</v>
      </c>
      <c r="E1994" s="20">
        <f t="shared" si="62"/>
        <v>0</v>
      </c>
      <c r="F1994">
        <f t="shared" si="63"/>
        <v>0</v>
      </c>
    </row>
    <row r="1995" spans="1:6" x14ac:dyDescent="0.35">
      <c r="A1995" s="9">
        <v>65166542</v>
      </c>
      <c r="B1995" s="10">
        <v>42944</v>
      </c>
      <c r="C1995" s="11">
        <v>0.49554398148148149</v>
      </c>
      <c r="D1995" s="12">
        <v>0.49667824074074074</v>
      </c>
      <c r="E1995" s="20">
        <f t="shared" si="62"/>
        <v>0</v>
      </c>
      <c r="F1995">
        <f t="shared" si="63"/>
        <v>0</v>
      </c>
    </row>
    <row r="1996" spans="1:6" x14ac:dyDescent="0.35">
      <c r="A1996" s="5">
        <v>77607017</v>
      </c>
      <c r="B1996" s="6">
        <v>42944</v>
      </c>
      <c r="C1996" s="7">
        <v>0.49858796296296298</v>
      </c>
      <c r="D1996" s="8">
        <v>0.50891203703703702</v>
      </c>
      <c r="E1996" s="20">
        <f t="shared" si="62"/>
        <v>0</v>
      </c>
      <c r="F1996">
        <f t="shared" si="63"/>
        <v>0</v>
      </c>
    </row>
    <row r="1997" spans="1:6" x14ac:dyDescent="0.35">
      <c r="A1997" s="9">
        <v>9028434625</v>
      </c>
      <c r="B1997" s="10">
        <v>42944</v>
      </c>
      <c r="C1997" s="11">
        <v>0.50208333333333333</v>
      </c>
      <c r="D1997" s="12">
        <v>0.5110069444444445</v>
      </c>
      <c r="E1997" s="20">
        <f t="shared" si="62"/>
        <v>0</v>
      </c>
      <c r="F1997">
        <f t="shared" si="63"/>
        <v>0</v>
      </c>
    </row>
    <row r="1998" spans="1:6" x14ac:dyDescent="0.35">
      <c r="A1998" s="5">
        <v>7503173</v>
      </c>
      <c r="B1998" s="6">
        <v>42944</v>
      </c>
      <c r="C1998" s="7">
        <v>0.50390046296296298</v>
      </c>
      <c r="D1998" s="8">
        <v>0.50619212962962967</v>
      </c>
      <c r="E1998" s="20">
        <f t="shared" si="62"/>
        <v>0</v>
      </c>
      <c r="F1998">
        <f t="shared" si="63"/>
        <v>0</v>
      </c>
    </row>
    <row r="1999" spans="1:6" x14ac:dyDescent="0.35">
      <c r="A1999" s="9">
        <v>9039872</v>
      </c>
      <c r="B1999" s="10">
        <v>42944</v>
      </c>
      <c r="C1999" s="11">
        <v>0.50825231481481481</v>
      </c>
      <c r="D1999" s="12">
        <v>0.5168518518518519</v>
      </c>
      <c r="E1999" s="20">
        <f t="shared" si="62"/>
        <v>0</v>
      </c>
      <c r="F1999">
        <f t="shared" si="63"/>
        <v>0</v>
      </c>
    </row>
    <row r="2000" spans="1:6" x14ac:dyDescent="0.35">
      <c r="A2000" s="5">
        <v>45940361</v>
      </c>
      <c r="B2000" s="6">
        <v>42944</v>
      </c>
      <c r="C2000" s="7">
        <v>0.50982638888888887</v>
      </c>
      <c r="D2000" s="8">
        <v>0.51537037037037037</v>
      </c>
      <c r="E2000" s="20">
        <f t="shared" si="62"/>
        <v>0</v>
      </c>
      <c r="F2000">
        <f t="shared" si="63"/>
        <v>0</v>
      </c>
    </row>
    <row r="2001" spans="1:6" x14ac:dyDescent="0.35">
      <c r="A2001" s="9">
        <v>6242177</v>
      </c>
      <c r="B2001" s="10">
        <v>42944</v>
      </c>
      <c r="C2001" s="11">
        <v>0.5138773148148148</v>
      </c>
      <c r="D2001" s="12">
        <v>0.52096064814814813</v>
      </c>
      <c r="E2001" s="20">
        <f t="shared" si="62"/>
        <v>0</v>
      </c>
      <c r="F2001">
        <f t="shared" si="63"/>
        <v>0</v>
      </c>
    </row>
    <row r="2002" spans="1:6" x14ac:dyDescent="0.35">
      <c r="A2002" s="5">
        <v>60454232</v>
      </c>
      <c r="B2002" s="6">
        <v>42944</v>
      </c>
      <c r="C2002" s="7">
        <v>0.5149421296296296</v>
      </c>
      <c r="D2002" s="8">
        <v>0.5248032407407407</v>
      </c>
      <c r="E2002" s="20">
        <f t="shared" si="62"/>
        <v>0</v>
      </c>
      <c r="F2002">
        <f t="shared" si="63"/>
        <v>0</v>
      </c>
    </row>
    <row r="2003" spans="1:6" x14ac:dyDescent="0.35">
      <c r="A2003" s="9">
        <v>4060894</v>
      </c>
      <c r="B2003" s="10">
        <v>42944</v>
      </c>
      <c r="C2003" s="11">
        <v>0.51730324074074074</v>
      </c>
      <c r="D2003" s="12">
        <v>0.51848379629629626</v>
      </c>
      <c r="E2003" s="20">
        <f t="shared" si="62"/>
        <v>0</v>
      </c>
      <c r="F2003">
        <f t="shared" si="63"/>
        <v>0</v>
      </c>
    </row>
    <row r="2004" spans="1:6" x14ac:dyDescent="0.35">
      <c r="A2004" s="5">
        <v>8223406</v>
      </c>
      <c r="B2004" s="6">
        <v>42944</v>
      </c>
      <c r="C2004" s="7">
        <v>0.51908564814814817</v>
      </c>
      <c r="D2004" s="8">
        <v>0.51929398148148154</v>
      </c>
      <c r="E2004" s="20">
        <f t="shared" si="62"/>
        <v>0</v>
      </c>
      <c r="F2004">
        <f t="shared" si="63"/>
        <v>0</v>
      </c>
    </row>
    <row r="2005" spans="1:6" x14ac:dyDescent="0.35">
      <c r="A2005" s="9">
        <v>43109897</v>
      </c>
      <c r="B2005" s="10">
        <v>42944</v>
      </c>
      <c r="C2005" s="11">
        <v>0.52467592592592593</v>
      </c>
      <c r="D2005" s="12">
        <v>0.53178240740740745</v>
      </c>
      <c r="E2005" s="20">
        <f t="shared" si="62"/>
        <v>0</v>
      </c>
      <c r="F2005">
        <f t="shared" si="63"/>
        <v>0</v>
      </c>
    </row>
    <row r="2006" spans="1:6" x14ac:dyDescent="0.35">
      <c r="A2006" s="5">
        <v>95805020</v>
      </c>
      <c r="B2006" s="6">
        <v>42944</v>
      </c>
      <c r="C2006" s="7">
        <v>0.52603009259259259</v>
      </c>
      <c r="D2006" s="8">
        <v>0.53304398148148147</v>
      </c>
      <c r="E2006" s="20">
        <f t="shared" si="62"/>
        <v>0</v>
      </c>
      <c r="F2006">
        <f t="shared" si="63"/>
        <v>0</v>
      </c>
    </row>
    <row r="2007" spans="1:6" x14ac:dyDescent="0.35">
      <c r="A2007" s="9">
        <v>2849439</v>
      </c>
      <c r="B2007" s="10">
        <v>42944</v>
      </c>
      <c r="C2007" s="11">
        <v>0.52813657407407411</v>
      </c>
      <c r="D2007" s="12">
        <v>0.53039351851851857</v>
      </c>
      <c r="E2007" s="20">
        <f t="shared" si="62"/>
        <v>0</v>
      </c>
      <c r="F2007">
        <f t="shared" si="63"/>
        <v>0</v>
      </c>
    </row>
    <row r="2008" spans="1:6" x14ac:dyDescent="0.35">
      <c r="A2008" s="5">
        <v>9589060</v>
      </c>
      <c r="B2008" s="6">
        <v>42944</v>
      </c>
      <c r="C2008" s="7">
        <v>0.53310185185185188</v>
      </c>
      <c r="D2008" s="8">
        <v>0.53871527777777772</v>
      </c>
      <c r="E2008" s="20">
        <f t="shared" si="62"/>
        <v>0</v>
      </c>
      <c r="F2008">
        <f t="shared" si="63"/>
        <v>0</v>
      </c>
    </row>
    <row r="2009" spans="1:6" x14ac:dyDescent="0.35">
      <c r="A2009" s="9">
        <v>2603125</v>
      </c>
      <c r="B2009" s="10">
        <v>42944</v>
      </c>
      <c r="C2009" s="11">
        <v>0.53541666666666665</v>
      </c>
      <c r="D2009" s="12">
        <v>0.53666666666666663</v>
      </c>
      <c r="E2009" s="20">
        <f t="shared" si="62"/>
        <v>0</v>
      </c>
      <c r="F2009">
        <f t="shared" si="63"/>
        <v>0</v>
      </c>
    </row>
    <row r="2010" spans="1:6" x14ac:dyDescent="0.35">
      <c r="A2010" s="5">
        <v>8770898</v>
      </c>
      <c r="B2010" s="6">
        <v>42944</v>
      </c>
      <c r="C2010" s="7">
        <v>0.53773148148148153</v>
      </c>
      <c r="D2010" s="8">
        <v>0.54628472222222224</v>
      </c>
      <c r="E2010" s="20">
        <f t="shared" si="62"/>
        <v>0</v>
      </c>
      <c r="F2010">
        <f t="shared" si="63"/>
        <v>0</v>
      </c>
    </row>
    <row r="2011" spans="1:6" x14ac:dyDescent="0.35">
      <c r="A2011" s="9">
        <v>3224960</v>
      </c>
      <c r="B2011" s="10">
        <v>42944</v>
      </c>
      <c r="C2011" s="11">
        <v>0.54221064814814812</v>
      </c>
      <c r="D2011" s="12">
        <v>0.54947916666666663</v>
      </c>
      <c r="E2011" s="20">
        <f t="shared" si="62"/>
        <v>0</v>
      </c>
      <c r="F2011">
        <f t="shared" si="63"/>
        <v>0</v>
      </c>
    </row>
    <row r="2012" spans="1:6" x14ac:dyDescent="0.35">
      <c r="A2012" s="5">
        <v>4150421</v>
      </c>
      <c r="B2012" s="6">
        <v>42944</v>
      </c>
      <c r="C2012" s="7">
        <v>0.54599537037037038</v>
      </c>
      <c r="D2012" s="8">
        <v>0.54759259259259263</v>
      </c>
      <c r="E2012" s="20">
        <f t="shared" si="62"/>
        <v>0</v>
      </c>
      <c r="F2012">
        <f t="shared" si="63"/>
        <v>0</v>
      </c>
    </row>
    <row r="2013" spans="1:6" x14ac:dyDescent="0.35">
      <c r="A2013" s="9">
        <v>44302763</v>
      </c>
      <c r="B2013" s="10">
        <v>42944</v>
      </c>
      <c r="C2013" s="11">
        <v>0.54905092592592597</v>
      </c>
      <c r="D2013" s="12">
        <v>0.55343750000000003</v>
      </c>
      <c r="E2013" s="20">
        <f t="shared" si="62"/>
        <v>0</v>
      </c>
      <c r="F2013">
        <f t="shared" si="63"/>
        <v>0</v>
      </c>
    </row>
    <row r="2014" spans="1:6" x14ac:dyDescent="0.35">
      <c r="A2014" s="5">
        <v>1922212</v>
      </c>
      <c r="B2014" s="6">
        <v>42944</v>
      </c>
      <c r="C2014" s="7">
        <v>0.55334490740740738</v>
      </c>
      <c r="D2014" s="8">
        <v>0.56339120370370366</v>
      </c>
      <c r="E2014" s="20">
        <f t="shared" si="62"/>
        <v>0</v>
      </c>
      <c r="F2014">
        <f t="shared" si="63"/>
        <v>0</v>
      </c>
    </row>
    <row r="2015" spans="1:6" x14ac:dyDescent="0.35">
      <c r="A2015" s="9">
        <v>9603024</v>
      </c>
      <c r="B2015" s="10">
        <v>42944</v>
      </c>
      <c r="C2015" s="11">
        <v>0.55806712962962968</v>
      </c>
      <c r="D2015" s="12">
        <v>0.55923611111111116</v>
      </c>
      <c r="E2015" s="20">
        <f t="shared" si="62"/>
        <v>0</v>
      </c>
      <c r="F2015">
        <f t="shared" si="63"/>
        <v>0</v>
      </c>
    </row>
    <row r="2016" spans="1:6" x14ac:dyDescent="0.35">
      <c r="A2016" s="5">
        <v>1640513</v>
      </c>
      <c r="B2016" s="6">
        <v>42944</v>
      </c>
      <c r="C2016" s="7">
        <v>0.56162037037037038</v>
      </c>
      <c r="D2016" s="8">
        <v>0.56876157407407413</v>
      </c>
      <c r="E2016" s="20">
        <f t="shared" si="62"/>
        <v>0</v>
      </c>
      <c r="F2016">
        <f t="shared" si="63"/>
        <v>0</v>
      </c>
    </row>
    <row r="2017" spans="1:6" x14ac:dyDescent="0.35">
      <c r="A2017" s="9">
        <v>16592072</v>
      </c>
      <c r="B2017" s="10">
        <v>42944</v>
      </c>
      <c r="C2017" s="11">
        <v>0.56673611111111111</v>
      </c>
      <c r="D2017" s="12">
        <v>0.57725694444444442</v>
      </c>
      <c r="E2017" s="20">
        <f t="shared" si="62"/>
        <v>0</v>
      </c>
      <c r="F2017">
        <f t="shared" si="63"/>
        <v>0</v>
      </c>
    </row>
    <row r="2018" spans="1:6" x14ac:dyDescent="0.35">
      <c r="A2018" s="5">
        <v>4895290</v>
      </c>
      <c r="B2018" s="6">
        <v>42944</v>
      </c>
      <c r="C2018" s="7">
        <v>0.56821759259259264</v>
      </c>
      <c r="D2018" s="8">
        <v>0.5773611111111111</v>
      </c>
      <c r="E2018" s="20">
        <f t="shared" si="62"/>
        <v>0</v>
      </c>
      <c r="F2018">
        <f t="shared" si="63"/>
        <v>0</v>
      </c>
    </row>
    <row r="2019" spans="1:6" x14ac:dyDescent="0.35">
      <c r="A2019" s="9">
        <v>5277660</v>
      </c>
      <c r="B2019" s="10">
        <v>42944</v>
      </c>
      <c r="C2019" s="11">
        <v>0.57050925925925922</v>
      </c>
      <c r="D2019" s="12">
        <v>0.58049768518518519</v>
      </c>
      <c r="E2019" s="20">
        <f t="shared" si="62"/>
        <v>0</v>
      </c>
      <c r="F2019">
        <f t="shared" si="63"/>
        <v>0</v>
      </c>
    </row>
    <row r="2020" spans="1:6" x14ac:dyDescent="0.35">
      <c r="A2020" s="5">
        <v>8715278</v>
      </c>
      <c r="B2020" s="6">
        <v>42944</v>
      </c>
      <c r="C2020" s="7">
        <v>0.57146990740740744</v>
      </c>
      <c r="D2020" s="8">
        <v>0.57642361111111107</v>
      </c>
      <c r="E2020" s="20">
        <f t="shared" si="62"/>
        <v>0</v>
      </c>
      <c r="F2020">
        <f t="shared" si="63"/>
        <v>0</v>
      </c>
    </row>
    <row r="2021" spans="1:6" x14ac:dyDescent="0.35">
      <c r="A2021" s="9">
        <v>1462418</v>
      </c>
      <c r="B2021" s="10">
        <v>42944</v>
      </c>
      <c r="C2021" s="11">
        <v>0.57186342592592587</v>
      </c>
      <c r="D2021" s="12">
        <v>0.57379629629629625</v>
      </c>
      <c r="E2021" s="20">
        <f t="shared" si="62"/>
        <v>0</v>
      </c>
      <c r="F2021">
        <f t="shared" si="63"/>
        <v>0</v>
      </c>
    </row>
    <row r="2022" spans="1:6" x14ac:dyDescent="0.35">
      <c r="A2022" s="5">
        <v>8077806</v>
      </c>
      <c r="B2022" s="6">
        <v>42944</v>
      </c>
      <c r="C2022" s="7">
        <v>0.57629629629629631</v>
      </c>
      <c r="D2022" s="8">
        <v>0.58628472222222228</v>
      </c>
      <c r="E2022" s="20">
        <f t="shared" si="62"/>
        <v>0</v>
      </c>
      <c r="F2022">
        <f t="shared" si="63"/>
        <v>0</v>
      </c>
    </row>
    <row r="2023" spans="1:6" x14ac:dyDescent="0.35">
      <c r="A2023" s="9">
        <v>5759409</v>
      </c>
      <c r="B2023" s="10">
        <v>42944</v>
      </c>
      <c r="C2023" s="11">
        <v>0.57835648148148144</v>
      </c>
      <c r="D2023" s="12">
        <v>0.58644675925925926</v>
      </c>
      <c r="E2023" s="20">
        <f t="shared" si="62"/>
        <v>0</v>
      </c>
      <c r="F2023">
        <f t="shared" si="63"/>
        <v>0</v>
      </c>
    </row>
    <row r="2024" spans="1:6" x14ac:dyDescent="0.35">
      <c r="A2024" s="5">
        <v>6257971</v>
      </c>
      <c r="B2024" s="6">
        <v>42944</v>
      </c>
      <c r="C2024" s="7">
        <v>0.58331018518518518</v>
      </c>
      <c r="D2024" s="8">
        <v>0.58539351851851851</v>
      </c>
      <c r="E2024" s="20">
        <f t="shared" si="62"/>
        <v>0</v>
      </c>
      <c r="F2024">
        <f t="shared" si="63"/>
        <v>0</v>
      </c>
    </row>
    <row r="2025" spans="1:6" x14ac:dyDescent="0.35">
      <c r="A2025" s="9">
        <v>91129571</v>
      </c>
      <c r="B2025" s="10">
        <v>42944</v>
      </c>
      <c r="C2025" s="11">
        <v>0.58353009259259259</v>
      </c>
      <c r="D2025" s="12">
        <v>0.58950231481481485</v>
      </c>
      <c r="E2025" s="20">
        <f t="shared" si="62"/>
        <v>0</v>
      </c>
      <c r="F2025">
        <f t="shared" si="63"/>
        <v>0</v>
      </c>
    </row>
    <row r="2026" spans="1:6" x14ac:dyDescent="0.35">
      <c r="A2026" s="5">
        <v>6884037</v>
      </c>
      <c r="B2026" s="6">
        <v>42944</v>
      </c>
      <c r="C2026" s="7">
        <v>0.58892361111111113</v>
      </c>
      <c r="D2026" s="8">
        <v>0.59381944444444446</v>
      </c>
      <c r="E2026" s="20">
        <f t="shared" si="62"/>
        <v>0</v>
      </c>
      <c r="F2026">
        <f t="shared" si="63"/>
        <v>0</v>
      </c>
    </row>
    <row r="2027" spans="1:6" x14ac:dyDescent="0.35">
      <c r="A2027" s="9">
        <v>6657074</v>
      </c>
      <c r="B2027" s="10">
        <v>42944</v>
      </c>
      <c r="C2027" s="11">
        <v>0.59035879629629628</v>
      </c>
      <c r="D2027" s="12">
        <v>0.5992939814814815</v>
      </c>
      <c r="E2027" s="20">
        <f t="shared" si="62"/>
        <v>0</v>
      </c>
      <c r="F2027">
        <f t="shared" si="63"/>
        <v>0</v>
      </c>
    </row>
    <row r="2028" spans="1:6" x14ac:dyDescent="0.35">
      <c r="A2028" s="5">
        <v>2211277198</v>
      </c>
      <c r="B2028" s="6">
        <v>42944</v>
      </c>
      <c r="C2028" s="7">
        <v>0.59439814814814818</v>
      </c>
      <c r="D2028" s="8">
        <v>0.60048611111111116</v>
      </c>
      <c r="E2028" s="20">
        <f t="shared" si="62"/>
        <v>0</v>
      </c>
      <c r="F2028">
        <f t="shared" si="63"/>
        <v>0</v>
      </c>
    </row>
    <row r="2029" spans="1:6" x14ac:dyDescent="0.35">
      <c r="A2029" s="9">
        <v>26766818</v>
      </c>
      <c r="B2029" s="10">
        <v>42944</v>
      </c>
      <c r="C2029" s="11">
        <v>0.59788194444444442</v>
      </c>
      <c r="D2029" s="12">
        <v>0.60576388888888888</v>
      </c>
      <c r="E2029" s="20">
        <f t="shared" si="62"/>
        <v>0</v>
      </c>
      <c r="F2029">
        <f t="shared" si="63"/>
        <v>0</v>
      </c>
    </row>
    <row r="2030" spans="1:6" x14ac:dyDescent="0.35">
      <c r="A2030" s="5">
        <v>4473835</v>
      </c>
      <c r="B2030" s="6">
        <v>42944</v>
      </c>
      <c r="C2030" s="7">
        <v>0.60322916666666671</v>
      </c>
      <c r="D2030" s="8">
        <v>0.60628472222222218</v>
      </c>
      <c r="E2030" s="20">
        <f t="shared" si="62"/>
        <v>0</v>
      </c>
      <c r="F2030">
        <f t="shared" si="63"/>
        <v>0</v>
      </c>
    </row>
    <row r="2031" spans="1:6" x14ac:dyDescent="0.35">
      <c r="A2031" s="9">
        <v>9941776</v>
      </c>
      <c r="B2031" s="10">
        <v>42944</v>
      </c>
      <c r="C2031" s="11">
        <v>0.60745370370370366</v>
      </c>
      <c r="D2031" s="12">
        <v>0.61017361111111112</v>
      </c>
      <c r="E2031" s="20">
        <f t="shared" si="62"/>
        <v>0</v>
      </c>
      <c r="F2031">
        <f t="shared" si="63"/>
        <v>0</v>
      </c>
    </row>
    <row r="2032" spans="1:6" x14ac:dyDescent="0.35">
      <c r="A2032" s="5">
        <v>9045402</v>
      </c>
      <c r="B2032" s="6">
        <v>42944</v>
      </c>
      <c r="C2032" s="7">
        <v>0.61322916666666671</v>
      </c>
      <c r="D2032" s="8">
        <v>0.62153935185185183</v>
      </c>
      <c r="E2032" s="20">
        <f t="shared" si="62"/>
        <v>0</v>
      </c>
      <c r="F2032">
        <f t="shared" si="63"/>
        <v>0</v>
      </c>
    </row>
    <row r="2033" spans="1:6" x14ac:dyDescent="0.35">
      <c r="A2033" s="9">
        <v>7662302259</v>
      </c>
      <c r="B2033" s="10">
        <v>42944</v>
      </c>
      <c r="C2033" s="11">
        <v>0.61570601851851847</v>
      </c>
      <c r="D2033" s="12">
        <v>0.62429398148148152</v>
      </c>
      <c r="E2033" s="20">
        <f t="shared" si="62"/>
        <v>0</v>
      </c>
      <c r="F2033">
        <f t="shared" si="63"/>
        <v>0</v>
      </c>
    </row>
    <row r="2034" spans="1:6" x14ac:dyDescent="0.35">
      <c r="A2034" s="5">
        <v>2756059784</v>
      </c>
      <c r="B2034" s="6">
        <v>42944</v>
      </c>
      <c r="C2034" s="7">
        <v>0.61962962962962964</v>
      </c>
      <c r="D2034" s="8">
        <v>0.62399305555555551</v>
      </c>
      <c r="E2034" s="20">
        <f t="shared" si="62"/>
        <v>0</v>
      </c>
      <c r="F2034">
        <f t="shared" si="63"/>
        <v>0</v>
      </c>
    </row>
    <row r="2035" spans="1:6" x14ac:dyDescent="0.35">
      <c r="A2035" s="9">
        <v>8667012</v>
      </c>
      <c r="B2035" s="10">
        <v>42944</v>
      </c>
      <c r="C2035" s="11">
        <v>0.62204861111111109</v>
      </c>
      <c r="D2035" s="12">
        <v>0.62440972222222224</v>
      </c>
      <c r="E2035" s="20">
        <f t="shared" si="62"/>
        <v>0</v>
      </c>
      <c r="F2035">
        <f t="shared" si="63"/>
        <v>0</v>
      </c>
    </row>
    <row r="2036" spans="1:6" x14ac:dyDescent="0.35">
      <c r="A2036" s="5">
        <v>34964547</v>
      </c>
      <c r="B2036" s="6">
        <v>42944</v>
      </c>
      <c r="C2036" s="7">
        <v>0.62502314814814819</v>
      </c>
      <c r="D2036" s="8">
        <v>0.63574074074074072</v>
      </c>
      <c r="E2036" s="20">
        <f t="shared" si="62"/>
        <v>0</v>
      </c>
      <c r="F2036">
        <f t="shared" si="63"/>
        <v>0</v>
      </c>
    </row>
    <row r="2037" spans="1:6" x14ac:dyDescent="0.35">
      <c r="A2037" s="9">
        <v>9357185</v>
      </c>
      <c r="B2037" s="10">
        <v>42947</v>
      </c>
      <c r="C2037" s="11">
        <v>0.3342013888888889</v>
      </c>
      <c r="D2037" s="12">
        <v>0.34159722222222222</v>
      </c>
      <c r="E2037" s="20">
        <f t="shared" si="62"/>
        <v>0</v>
      </c>
      <c r="F2037">
        <f t="shared" si="63"/>
        <v>0</v>
      </c>
    </row>
    <row r="2038" spans="1:6" x14ac:dyDescent="0.35">
      <c r="A2038" s="5">
        <v>12471534</v>
      </c>
      <c r="B2038" s="6">
        <v>42947</v>
      </c>
      <c r="C2038" s="7">
        <v>0.33929398148148149</v>
      </c>
      <c r="D2038" s="8">
        <v>0.34349537037037037</v>
      </c>
      <c r="E2038" s="20">
        <f t="shared" si="62"/>
        <v>0</v>
      </c>
      <c r="F2038">
        <f t="shared" si="63"/>
        <v>0</v>
      </c>
    </row>
    <row r="2039" spans="1:6" x14ac:dyDescent="0.35">
      <c r="A2039" s="9">
        <v>1003402</v>
      </c>
      <c r="B2039" s="10">
        <v>42947</v>
      </c>
      <c r="C2039" s="11">
        <v>0.34378472222222223</v>
      </c>
      <c r="D2039" s="12">
        <v>0.34677083333333331</v>
      </c>
      <c r="E2039" s="20">
        <f t="shared" si="62"/>
        <v>0</v>
      </c>
      <c r="F2039">
        <f t="shared" si="63"/>
        <v>0</v>
      </c>
    </row>
    <row r="2040" spans="1:6" x14ac:dyDescent="0.35">
      <c r="A2040" s="5">
        <v>4509550</v>
      </c>
      <c r="B2040" s="6">
        <v>42947</v>
      </c>
      <c r="C2040" s="7">
        <v>0.34609953703703705</v>
      </c>
      <c r="D2040" s="8">
        <v>0.35118055555555555</v>
      </c>
      <c r="E2040" s="20">
        <f t="shared" si="62"/>
        <v>0</v>
      </c>
      <c r="F2040">
        <f t="shared" si="63"/>
        <v>0</v>
      </c>
    </row>
    <row r="2041" spans="1:6" x14ac:dyDescent="0.35">
      <c r="A2041" s="9">
        <v>5356824</v>
      </c>
      <c r="B2041" s="10">
        <v>42947</v>
      </c>
      <c r="C2041" s="11">
        <v>0.35167824074074072</v>
      </c>
      <c r="D2041" s="12">
        <v>0.35538194444444443</v>
      </c>
      <c r="E2041" s="20">
        <f t="shared" si="62"/>
        <v>0</v>
      </c>
      <c r="F2041">
        <f t="shared" si="63"/>
        <v>0</v>
      </c>
    </row>
    <row r="2042" spans="1:6" x14ac:dyDescent="0.35">
      <c r="A2042" s="5">
        <v>4293872</v>
      </c>
      <c r="B2042" s="6">
        <v>42947</v>
      </c>
      <c r="C2042" s="7">
        <v>0.35333333333333333</v>
      </c>
      <c r="D2042" s="8">
        <v>0.35844907407407406</v>
      </c>
      <c r="E2042" s="20">
        <f t="shared" si="62"/>
        <v>0</v>
      </c>
      <c r="F2042">
        <f t="shared" si="63"/>
        <v>0</v>
      </c>
    </row>
    <row r="2043" spans="1:6" x14ac:dyDescent="0.35">
      <c r="A2043" s="9">
        <v>5086182</v>
      </c>
      <c r="B2043" s="10">
        <v>42947</v>
      </c>
      <c r="C2043" s="11">
        <v>0.35793981481481479</v>
      </c>
      <c r="D2043" s="12">
        <v>0.36571759259259257</v>
      </c>
      <c r="E2043" s="20">
        <f t="shared" si="62"/>
        <v>0</v>
      </c>
      <c r="F2043">
        <f t="shared" si="63"/>
        <v>0</v>
      </c>
    </row>
    <row r="2044" spans="1:6" x14ac:dyDescent="0.35">
      <c r="A2044" s="5">
        <v>6175467</v>
      </c>
      <c r="B2044" s="6">
        <v>42947</v>
      </c>
      <c r="C2044" s="7">
        <v>0.35976851851851854</v>
      </c>
      <c r="D2044" s="8">
        <v>0.36883101851851852</v>
      </c>
      <c r="E2044" s="20">
        <f t="shared" si="62"/>
        <v>0</v>
      </c>
      <c r="F2044">
        <f t="shared" si="63"/>
        <v>0</v>
      </c>
    </row>
    <row r="2045" spans="1:6" x14ac:dyDescent="0.35">
      <c r="A2045" s="9">
        <v>2107985</v>
      </c>
      <c r="B2045" s="10">
        <v>42947</v>
      </c>
      <c r="C2045" s="11">
        <v>0.36394675925925923</v>
      </c>
      <c r="D2045" s="12">
        <v>0.37373842592592593</v>
      </c>
      <c r="E2045" s="20">
        <f t="shared" si="62"/>
        <v>0</v>
      </c>
      <c r="F2045">
        <f t="shared" si="63"/>
        <v>0</v>
      </c>
    </row>
    <row r="2046" spans="1:6" x14ac:dyDescent="0.35">
      <c r="A2046" s="5">
        <v>9388066</v>
      </c>
      <c r="B2046" s="6">
        <v>42947</v>
      </c>
      <c r="C2046" s="7">
        <v>0.36552083333333335</v>
      </c>
      <c r="D2046" s="8">
        <v>0.3696990740740741</v>
      </c>
      <c r="E2046" s="20">
        <f t="shared" si="62"/>
        <v>0</v>
      </c>
      <c r="F2046">
        <f t="shared" si="63"/>
        <v>0</v>
      </c>
    </row>
    <row r="2047" spans="1:6" x14ac:dyDescent="0.35">
      <c r="A2047" s="9">
        <v>4614100</v>
      </c>
      <c r="B2047" s="10">
        <v>42947</v>
      </c>
      <c r="C2047" s="11">
        <v>0.36776620370370372</v>
      </c>
      <c r="D2047" s="12">
        <v>0.37584490740740739</v>
      </c>
      <c r="E2047" s="20">
        <f t="shared" si="62"/>
        <v>0</v>
      </c>
      <c r="F2047">
        <f t="shared" si="63"/>
        <v>0</v>
      </c>
    </row>
    <row r="2048" spans="1:6" x14ac:dyDescent="0.35">
      <c r="A2048" s="5">
        <v>8279741</v>
      </c>
      <c r="B2048" s="6">
        <v>42947</v>
      </c>
      <c r="C2048" s="7">
        <v>0.37170138888888887</v>
      </c>
      <c r="D2048" s="8">
        <v>0.38305555555555554</v>
      </c>
      <c r="E2048" s="20">
        <f t="shared" si="62"/>
        <v>0</v>
      </c>
      <c r="F2048">
        <f t="shared" si="63"/>
        <v>0</v>
      </c>
    </row>
    <row r="2049" spans="1:6" x14ac:dyDescent="0.35">
      <c r="A2049" s="9">
        <v>9564752674</v>
      </c>
      <c r="B2049" s="10">
        <v>42947</v>
      </c>
      <c r="C2049" s="11">
        <v>0.37239583333333331</v>
      </c>
      <c r="D2049" s="12">
        <v>0.37680555555555556</v>
      </c>
      <c r="E2049" s="20">
        <f t="shared" si="62"/>
        <v>0</v>
      </c>
      <c r="F2049">
        <f t="shared" si="63"/>
        <v>0</v>
      </c>
    </row>
    <row r="2050" spans="1:6" x14ac:dyDescent="0.35">
      <c r="A2050" s="5">
        <v>1451455</v>
      </c>
      <c r="B2050" s="6">
        <v>42947</v>
      </c>
      <c r="C2050" s="7">
        <v>0.37714120370370369</v>
      </c>
      <c r="D2050" s="8">
        <v>0.38119212962962962</v>
      </c>
      <c r="E2050" s="20">
        <f t="shared" si="62"/>
        <v>0</v>
      </c>
      <c r="F2050">
        <f t="shared" si="63"/>
        <v>0</v>
      </c>
    </row>
    <row r="2051" spans="1:6" x14ac:dyDescent="0.35">
      <c r="A2051" s="9">
        <v>8156713</v>
      </c>
      <c r="B2051" s="10">
        <v>42947</v>
      </c>
      <c r="C2051" s="11">
        <v>0.38130787037037039</v>
      </c>
      <c r="D2051" s="12">
        <v>0.38280092592592591</v>
      </c>
      <c r="E2051" s="20">
        <f t="shared" ref="E2051:E2114" si="64">IF(F2051=1,D2051-C2051,0)</f>
        <v>0</v>
      </c>
      <c r="F2051">
        <f t="shared" ref="F2051:F2114" si="65">IF(AND(LEN(A2051)=7,LEFT(A2051,2) = "12"),1,0)</f>
        <v>0</v>
      </c>
    </row>
    <row r="2052" spans="1:6" x14ac:dyDescent="0.35">
      <c r="A2052" s="5">
        <v>24024164</v>
      </c>
      <c r="B2052" s="6">
        <v>42947</v>
      </c>
      <c r="C2052" s="7">
        <v>0.38135416666666666</v>
      </c>
      <c r="D2052" s="8">
        <v>0.38210648148148146</v>
      </c>
      <c r="E2052" s="20">
        <f t="shared" si="64"/>
        <v>0</v>
      </c>
      <c r="F2052">
        <f t="shared" si="65"/>
        <v>0</v>
      </c>
    </row>
    <row r="2053" spans="1:6" x14ac:dyDescent="0.35">
      <c r="A2053" s="9">
        <v>75122204</v>
      </c>
      <c r="B2053" s="10">
        <v>42947</v>
      </c>
      <c r="C2053" s="11">
        <v>0.38641203703703703</v>
      </c>
      <c r="D2053" s="12">
        <v>0.39549768518518519</v>
      </c>
      <c r="E2053" s="20">
        <f t="shared" si="64"/>
        <v>0</v>
      </c>
      <c r="F2053">
        <f t="shared" si="65"/>
        <v>0</v>
      </c>
    </row>
    <row r="2054" spans="1:6" x14ac:dyDescent="0.35">
      <c r="A2054" s="5">
        <v>33166727</v>
      </c>
      <c r="B2054" s="6">
        <v>42947</v>
      </c>
      <c r="C2054" s="7">
        <v>0.38927083333333334</v>
      </c>
      <c r="D2054" s="8">
        <v>0.39721064814814816</v>
      </c>
      <c r="E2054" s="20">
        <f t="shared" si="64"/>
        <v>0</v>
      </c>
      <c r="F2054">
        <f t="shared" si="65"/>
        <v>0</v>
      </c>
    </row>
    <row r="2055" spans="1:6" x14ac:dyDescent="0.35">
      <c r="A2055" s="9">
        <v>4293872</v>
      </c>
      <c r="B2055" s="10">
        <v>42947</v>
      </c>
      <c r="C2055" s="11">
        <v>0.39023148148148146</v>
      </c>
      <c r="D2055" s="12">
        <v>0.39748842592592593</v>
      </c>
      <c r="E2055" s="20">
        <f t="shared" si="64"/>
        <v>0</v>
      </c>
      <c r="F2055">
        <f t="shared" si="65"/>
        <v>0</v>
      </c>
    </row>
    <row r="2056" spans="1:6" x14ac:dyDescent="0.35">
      <c r="A2056" s="5">
        <v>3017523</v>
      </c>
      <c r="B2056" s="6">
        <v>42947</v>
      </c>
      <c r="C2056" s="7">
        <v>0.3934259259259259</v>
      </c>
      <c r="D2056" s="8">
        <v>0.40181712962962962</v>
      </c>
      <c r="E2056" s="20">
        <f t="shared" si="64"/>
        <v>0</v>
      </c>
      <c r="F2056">
        <f t="shared" si="65"/>
        <v>0</v>
      </c>
    </row>
    <row r="2057" spans="1:6" x14ac:dyDescent="0.35">
      <c r="A2057" s="9">
        <v>5087484</v>
      </c>
      <c r="B2057" s="10">
        <v>42947</v>
      </c>
      <c r="C2057" s="11">
        <v>0.39766203703703706</v>
      </c>
      <c r="D2057" s="12">
        <v>0.39957175925925925</v>
      </c>
      <c r="E2057" s="20">
        <f t="shared" si="64"/>
        <v>0</v>
      </c>
      <c r="F2057">
        <f t="shared" si="65"/>
        <v>0</v>
      </c>
    </row>
    <row r="2058" spans="1:6" x14ac:dyDescent="0.35">
      <c r="A2058" s="5">
        <v>47615054</v>
      </c>
      <c r="B2058" s="6">
        <v>42947</v>
      </c>
      <c r="C2058" s="7">
        <v>0.39878472222222222</v>
      </c>
      <c r="D2058" s="8">
        <v>0.40041666666666664</v>
      </c>
      <c r="E2058" s="20">
        <f t="shared" si="64"/>
        <v>0</v>
      </c>
      <c r="F2058">
        <f t="shared" si="65"/>
        <v>0</v>
      </c>
    </row>
    <row r="2059" spans="1:6" x14ac:dyDescent="0.35">
      <c r="A2059" s="9">
        <v>7775602353</v>
      </c>
      <c r="B2059" s="10">
        <v>42947</v>
      </c>
      <c r="C2059" s="11">
        <v>0.40313657407407405</v>
      </c>
      <c r="D2059" s="12">
        <v>0.40773148148148147</v>
      </c>
      <c r="E2059" s="20">
        <f t="shared" si="64"/>
        <v>0</v>
      </c>
      <c r="F2059">
        <f t="shared" si="65"/>
        <v>0</v>
      </c>
    </row>
    <row r="2060" spans="1:6" x14ac:dyDescent="0.35">
      <c r="A2060" s="5">
        <v>9533304954</v>
      </c>
      <c r="B2060" s="6">
        <v>42947</v>
      </c>
      <c r="C2060" s="7">
        <v>0.40328703703703705</v>
      </c>
      <c r="D2060" s="8">
        <v>0.41405092592592591</v>
      </c>
      <c r="E2060" s="20">
        <f t="shared" si="64"/>
        <v>0</v>
      </c>
      <c r="F2060">
        <f t="shared" si="65"/>
        <v>0</v>
      </c>
    </row>
    <row r="2061" spans="1:6" x14ac:dyDescent="0.35">
      <c r="A2061" s="9">
        <v>5147651</v>
      </c>
      <c r="B2061" s="10">
        <v>42947</v>
      </c>
      <c r="C2061" s="11">
        <v>0.40497685185185184</v>
      </c>
      <c r="D2061" s="12">
        <v>0.41167824074074072</v>
      </c>
      <c r="E2061" s="20">
        <f t="shared" si="64"/>
        <v>0</v>
      </c>
      <c r="F2061">
        <f t="shared" si="65"/>
        <v>0</v>
      </c>
    </row>
    <row r="2062" spans="1:6" x14ac:dyDescent="0.35">
      <c r="A2062" s="5">
        <v>7564861</v>
      </c>
      <c r="B2062" s="6">
        <v>42947</v>
      </c>
      <c r="C2062" s="7">
        <v>0.40725694444444444</v>
      </c>
      <c r="D2062" s="8">
        <v>0.41819444444444442</v>
      </c>
      <c r="E2062" s="20">
        <f t="shared" si="64"/>
        <v>0</v>
      </c>
      <c r="F2062">
        <f t="shared" si="65"/>
        <v>0</v>
      </c>
    </row>
    <row r="2063" spans="1:6" x14ac:dyDescent="0.35">
      <c r="A2063" s="9">
        <v>8163790</v>
      </c>
      <c r="B2063" s="10">
        <v>42947</v>
      </c>
      <c r="C2063" s="11">
        <v>0.40787037037037038</v>
      </c>
      <c r="D2063" s="12">
        <v>0.40846064814814814</v>
      </c>
      <c r="E2063" s="20">
        <f t="shared" si="64"/>
        <v>0</v>
      </c>
      <c r="F2063">
        <f t="shared" si="65"/>
        <v>0</v>
      </c>
    </row>
    <row r="2064" spans="1:6" x14ac:dyDescent="0.35">
      <c r="A2064" s="5">
        <v>37930610</v>
      </c>
      <c r="B2064" s="6">
        <v>42947</v>
      </c>
      <c r="C2064" s="7">
        <v>0.41334490740740742</v>
      </c>
      <c r="D2064" s="8">
        <v>0.4239236111111111</v>
      </c>
      <c r="E2064" s="20">
        <f t="shared" si="64"/>
        <v>0</v>
      </c>
      <c r="F2064">
        <f t="shared" si="65"/>
        <v>0</v>
      </c>
    </row>
    <row r="2065" spans="1:6" x14ac:dyDescent="0.35">
      <c r="A2065" s="9">
        <v>7518300</v>
      </c>
      <c r="B2065" s="10">
        <v>42947</v>
      </c>
      <c r="C2065" s="11">
        <v>0.41337962962962965</v>
      </c>
      <c r="D2065" s="12">
        <v>0.41743055555555558</v>
      </c>
      <c r="E2065" s="20">
        <f t="shared" si="64"/>
        <v>0</v>
      </c>
      <c r="F2065">
        <f t="shared" si="65"/>
        <v>0</v>
      </c>
    </row>
    <row r="2066" spans="1:6" x14ac:dyDescent="0.35">
      <c r="A2066" s="5">
        <v>9233918039</v>
      </c>
      <c r="B2066" s="6">
        <v>42947</v>
      </c>
      <c r="C2066" s="7">
        <v>0.41523148148148148</v>
      </c>
      <c r="D2066" s="8">
        <v>0.42322916666666666</v>
      </c>
      <c r="E2066" s="20">
        <f t="shared" si="64"/>
        <v>0</v>
      </c>
      <c r="F2066">
        <f t="shared" si="65"/>
        <v>0</v>
      </c>
    </row>
    <row r="2067" spans="1:6" x14ac:dyDescent="0.35">
      <c r="A2067" s="9">
        <v>5744555</v>
      </c>
      <c r="B2067" s="10">
        <v>42947</v>
      </c>
      <c r="C2067" s="11">
        <v>0.41841435185185183</v>
      </c>
      <c r="D2067" s="12">
        <v>0.42677083333333332</v>
      </c>
      <c r="E2067" s="20">
        <f t="shared" si="64"/>
        <v>0</v>
      </c>
      <c r="F2067">
        <f t="shared" si="65"/>
        <v>0</v>
      </c>
    </row>
    <row r="2068" spans="1:6" x14ac:dyDescent="0.35">
      <c r="A2068" s="5">
        <v>17005785</v>
      </c>
      <c r="B2068" s="6">
        <v>42947</v>
      </c>
      <c r="C2068" s="7">
        <v>0.41873842592592592</v>
      </c>
      <c r="D2068" s="8">
        <v>0.42502314814814812</v>
      </c>
      <c r="E2068" s="20">
        <f t="shared" si="64"/>
        <v>0</v>
      </c>
      <c r="F2068">
        <f t="shared" si="65"/>
        <v>0</v>
      </c>
    </row>
    <row r="2069" spans="1:6" x14ac:dyDescent="0.35">
      <c r="A2069" s="9">
        <v>35281950</v>
      </c>
      <c r="B2069" s="10">
        <v>42947</v>
      </c>
      <c r="C2069" s="11">
        <v>0.41952546296296295</v>
      </c>
      <c r="D2069" s="12">
        <v>0.42105324074074074</v>
      </c>
      <c r="E2069" s="20">
        <f t="shared" si="64"/>
        <v>0</v>
      </c>
      <c r="F2069">
        <f t="shared" si="65"/>
        <v>0</v>
      </c>
    </row>
    <row r="2070" spans="1:6" x14ac:dyDescent="0.35">
      <c r="A2070" s="5">
        <v>54840810</v>
      </c>
      <c r="B2070" s="6">
        <v>42947</v>
      </c>
      <c r="C2070" s="7">
        <v>0.4211111111111111</v>
      </c>
      <c r="D2070" s="8">
        <v>0.42442129629629627</v>
      </c>
      <c r="E2070" s="20">
        <f t="shared" si="64"/>
        <v>0</v>
      </c>
      <c r="F2070">
        <f t="shared" si="65"/>
        <v>0</v>
      </c>
    </row>
    <row r="2071" spans="1:6" x14ac:dyDescent="0.35">
      <c r="A2071" s="9">
        <v>3236046</v>
      </c>
      <c r="B2071" s="10">
        <v>42947</v>
      </c>
      <c r="C2071" s="11">
        <v>0.42247685185185185</v>
      </c>
      <c r="D2071" s="12">
        <v>0.4268865740740741</v>
      </c>
      <c r="E2071" s="20">
        <f t="shared" si="64"/>
        <v>0</v>
      </c>
      <c r="F2071">
        <f t="shared" si="65"/>
        <v>0</v>
      </c>
    </row>
    <row r="2072" spans="1:6" x14ac:dyDescent="0.35">
      <c r="A2072" s="5">
        <v>20149106</v>
      </c>
      <c r="B2072" s="6">
        <v>42947</v>
      </c>
      <c r="C2072" s="7">
        <v>0.42586805555555557</v>
      </c>
      <c r="D2072" s="8">
        <v>0.42711805555555554</v>
      </c>
      <c r="E2072" s="20">
        <f t="shared" si="64"/>
        <v>0</v>
      </c>
      <c r="F2072">
        <f t="shared" si="65"/>
        <v>0</v>
      </c>
    </row>
    <row r="2073" spans="1:6" x14ac:dyDescent="0.35">
      <c r="A2073" s="9">
        <v>6124638</v>
      </c>
      <c r="B2073" s="10">
        <v>42947</v>
      </c>
      <c r="C2073" s="11">
        <v>0.43162037037037038</v>
      </c>
      <c r="D2073" s="12">
        <v>0.44153935185185184</v>
      </c>
      <c r="E2073" s="20">
        <f t="shared" si="64"/>
        <v>0</v>
      </c>
      <c r="F2073">
        <f t="shared" si="65"/>
        <v>0</v>
      </c>
    </row>
    <row r="2074" spans="1:6" x14ac:dyDescent="0.35">
      <c r="A2074" s="5">
        <v>1090396060</v>
      </c>
      <c r="B2074" s="6">
        <v>42947</v>
      </c>
      <c r="C2074" s="7">
        <v>0.43663194444444442</v>
      </c>
      <c r="D2074" s="8">
        <v>0.43993055555555555</v>
      </c>
      <c r="E2074" s="20">
        <f t="shared" si="64"/>
        <v>0</v>
      </c>
      <c r="F2074">
        <f t="shared" si="65"/>
        <v>0</v>
      </c>
    </row>
    <row r="2075" spans="1:6" x14ac:dyDescent="0.35">
      <c r="A2075" s="9">
        <v>9355422</v>
      </c>
      <c r="B2075" s="10">
        <v>42947</v>
      </c>
      <c r="C2075" s="11">
        <v>0.43686342592592592</v>
      </c>
      <c r="D2075" s="12">
        <v>0.44393518518518521</v>
      </c>
      <c r="E2075" s="20">
        <f t="shared" si="64"/>
        <v>0</v>
      </c>
      <c r="F2075">
        <f t="shared" si="65"/>
        <v>0</v>
      </c>
    </row>
    <row r="2076" spans="1:6" x14ac:dyDescent="0.35">
      <c r="A2076" s="5">
        <v>9950462</v>
      </c>
      <c r="B2076" s="6">
        <v>42947</v>
      </c>
      <c r="C2076" s="7">
        <v>0.44243055555555555</v>
      </c>
      <c r="D2076" s="8">
        <v>0.45349537037037035</v>
      </c>
      <c r="E2076" s="20">
        <f t="shared" si="64"/>
        <v>0</v>
      </c>
      <c r="F2076">
        <f t="shared" si="65"/>
        <v>0</v>
      </c>
    </row>
    <row r="2077" spans="1:6" x14ac:dyDescent="0.35">
      <c r="A2077" s="9">
        <v>2474506</v>
      </c>
      <c r="B2077" s="10">
        <v>42947</v>
      </c>
      <c r="C2077" s="11">
        <v>0.44802083333333331</v>
      </c>
      <c r="D2077" s="12">
        <v>0.45892361111111113</v>
      </c>
      <c r="E2077" s="20">
        <f t="shared" si="64"/>
        <v>0</v>
      </c>
      <c r="F2077">
        <f t="shared" si="65"/>
        <v>0</v>
      </c>
    </row>
    <row r="2078" spans="1:6" x14ac:dyDescent="0.35">
      <c r="A2078" s="5">
        <v>2462682</v>
      </c>
      <c r="B2078" s="6">
        <v>42947</v>
      </c>
      <c r="C2078" s="7">
        <v>0.45243055555555556</v>
      </c>
      <c r="D2078" s="8">
        <v>0.45275462962962965</v>
      </c>
      <c r="E2078" s="20">
        <f t="shared" si="64"/>
        <v>0</v>
      </c>
      <c r="F2078">
        <f t="shared" si="65"/>
        <v>0</v>
      </c>
    </row>
    <row r="2079" spans="1:6" x14ac:dyDescent="0.35">
      <c r="A2079" s="9">
        <v>8159788</v>
      </c>
      <c r="B2079" s="10">
        <v>42947</v>
      </c>
      <c r="C2079" s="11">
        <v>0.45399305555555558</v>
      </c>
      <c r="D2079" s="12">
        <v>0.46392361111111113</v>
      </c>
      <c r="E2079" s="20">
        <f t="shared" si="64"/>
        <v>0</v>
      </c>
      <c r="F2079">
        <f t="shared" si="65"/>
        <v>0</v>
      </c>
    </row>
    <row r="2080" spans="1:6" x14ac:dyDescent="0.35">
      <c r="A2080" s="5">
        <v>8802222</v>
      </c>
      <c r="B2080" s="6">
        <v>42947</v>
      </c>
      <c r="C2080" s="7">
        <v>0.4572222222222222</v>
      </c>
      <c r="D2080" s="8">
        <v>0.45910879629629631</v>
      </c>
      <c r="E2080" s="20">
        <f t="shared" si="64"/>
        <v>0</v>
      </c>
      <c r="F2080">
        <f t="shared" si="65"/>
        <v>0</v>
      </c>
    </row>
    <row r="2081" spans="1:6" x14ac:dyDescent="0.35">
      <c r="A2081" s="9">
        <v>6384230</v>
      </c>
      <c r="B2081" s="10">
        <v>42947</v>
      </c>
      <c r="C2081" s="11">
        <v>0.45846064814814813</v>
      </c>
      <c r="D2081" s="12">
        <v>0.46900462962962963</v>
      </c>
      <c r="E2081" s="20">
        <f t="shared" si="64"/>
        <v>0</v>
      </c>
      <c r="F2081">
        <f t="shared" si="65"/>
        <v>0</v>
      </c>
    </row>
    <row r="2082" spans="1:6" x14ac:dyDescent="0.35">
      <c r="A2082" s="5">
        <v>48676568</v>
      </c>
      <c r="B2082" s="6">
        <v>42947</v>
      </c>
      <c r="C2082" s="7">
        <v>0.45945601851851853</v>
      </c>
      <c r="D2082" s="8">
        <v>0.46525462962962966</v>
      </c>
      <c r="E2082" s="20">
        <f t="shared" si="64"/>
        <v>0</v>
      </c>
      <c r="F2082">
        <f t="shared" si="65"/>
        <v>0</v>
      </c>
    </row>
    <row r="2083" spans="1:6" x14ac:dyDescent="0.35">
      <c r="A2083" s="9">
        <v>3691457</v>
      </c>
      <c r="B2083" s="10">
        <v>42947</v>
      </c>
      <c r="C2083" s="11">
        <v>0.46119212962962963</v>
      </c>
      <c r="D2083" s="12">
        <v>0.4725347222222222</v>
      </c>
      <c r="E2083" s="20">
        <f t="shared" si="64"/>
        <v>0</v>
      </c>
      <c r="F2083">
        <f t="shared" si="65"/>
        <v>0</v>
      </c>
    </row>
    <row r="2084" spans="1:6" x14ac:dyDescent="0.35">
      <c r="A2084" s="5">
        <v>3263854</v>
      </c>
      <c r="B2084" s="6">
        <v>42947</v>
      </c>
      <c r="C2084" s="7">
        <v>0.46311342592592591</v>
      </c>
      <c r="D2084" s="8">
        <v>0.46394675925925927</v>
      </c>
      <c r="E2084" s="20">
        <f t="shared" si="64"/>
        <v>0</v>
      </c>
      <c r="F2084">
        <f t="shared" si="65"/>
        <v>0</v>
      </c>
    </row>
    <row r="2085" spans="1:6" x14ac:dyDescent="0.35">
      <c r="A2085" s="9">
        <v>8489588</v>
      </c>
      <c r="B2085" s="10">
        <v>42947</v>
      </c>
      <c r="C2085" s="11">
        <v>0.46803240740740742</v>
      </c>
      <c r="D2085" s="12">
        <v>0.47423611111111114</v>
      </c>
      <c r="E2085" s="20">
        <f t="shared" si="64"/>
        <v>0</v>
      </c>
      <c r="F2085">
        <f t="shared" si="65"/>
        <v>0</v>
      </c>
    </row>
    <row r="2086" spans="1:6" x14ac:dyDescent="0.35">
      <c r="A2086" s="5">
        <v>57211290</v>
      </c>
      <c r="B2086" s="6">
        <v>42947</v>
      </c>
      <c r="C2086" s="7">
        <v>0.46987268518518521</v>
      </c>
      <c r="D2086" s="8">
        <v>0.47664351851851849</v>
      </c>
      <c r="E2086" s="20">
        <f t="shared" si="64"/>
        <v>0</v>
      </c>
      <c r="F2086">
        <f t="shared" si="65"/>
        <v>0</v>
      </c>
    </row>
    <row r="2087" spans="1:6" x14ac:dyDescent="0.35">
      <c r="A2087" s="9">
        <v>67748426</v>
      </c>
      <c r="B2087" s="10">
        <v>42947</v>
      </c>
      <c r="C2087" s="11">
        <v>0.47158564814814813</v>
      </c>
      <c r="D2087" s="12">
        <v>0.47471064814814817</v>
      </c>
      <c r="E2087" s="20">
        <f t="shared" si="64"/>
        <v>0</v>
      </c>
      <c r="F2087">
        <f t="shared" si="65"/>
        <v>0</v>
      </c>
    </row>
    <row r="2088" spans="1:6" x14ac:dyDescent="0.35">
      <c r="A2088" s="5">
        <v>7225111</v>
      </c>
      <c r="B2088" s="6">
        <v>42947</v>
      </c>
      <c r="C2088" s="7">
        <v>0.47314814814814815</v>
      </c>
      <c r="D2088" s="8">
        <v>0.47643518518518518</v>
      </c>
      <c r="E2088" s="20">
        <f t="shared" si="64"/>
        <v>0</v>
      </c>
      <c r="F2088">
        <f t="shared" si="65"/>
        <v>0</v>
      </c>
    </row>
    <row r="2089" spans="1:6" x14ac:dyDescent="0.35">
      <c r="A2089" s="9">
        <v>5418543</v>
      </c>
      <c r="B2089" s="10">
        <v>42947</v>
      </c>
      <c r="C2089" s="11">
        <v>0.47315972222222225</v>
      </c>
      <c r="D2089" s="12">
        <v>0.47687499999999999</v>
      </c>
      <c r="E2089" s="20">
        <f t="shared" si="64"/>
        <v>0</v>
      </c>
      <c r="F2089">
        <f t="shared" si="65"/>
        <v>0</v>
      </c>
    </row>
    <row r="2090" spans="1:6" x14ac:dyDescent="0.35">
      <c r="A2090" s="5">
        <v>6439414</v>
      </c>
      <c r="B2090" s="6">
        <v>42947</v>
      </c>
      <c r="C2090" s="7">
        <v>0.47349537037037037</v>
      </c>
      <c r="D2090" s="8">
        <v>0.47881944444444446</v>
      </c>
      <c r="E2090" s="20">
        <f t="shared" si="64"/>
        <v>0</v>
      </c>
      <c r="F2090">
        <f t="shared" si="65"/>
        <v>0</v>
      </c>
    </row>
    <row r="2091" spans="1:6" x14ac:dyDescent="0.35">
      <c r="A2091" s="9">
        <v>3478173</v>
      </c>
      <c r="B2091" s="10">
        <v>42947</v>
      </c>
      <c r="C2091" s="11">
        <v>0.47357638888888887</v>
      </c>
      <c r="D2091" s="12">
        <v>0.47564814814814815</v>
      </c>
      <c r="E2091" s="20">
        <f t="shared" si="64"/>
        <v>0</v>
      </c>
      <c r="F2091">
        <f t="shared" si="65"/>
        <v>0</v>
      </c>
    </row>
    <row r="2092" spans="1:6" x14ac:dyDescent="0.35">
      <c r="A2092" s="5">
        <v>3691457</v>
      </c>
      <c r="B2092" s="6">
        <v>42947</v>
      </c>
      <c r="C2092" s="7">
        <v>0.47366898148148145</v>
      </c>
      <c r="D2092" s="8">
        <v>0.48020833333333335</v>
      </c>
      <c r="E2092" s="20">
        <f t="shared" si="64"/>
        <v>0</v>
      </c>
      <c r="F2092">
        <f t="shared" si="65"/>
        <v>0</v>
      </c>
    </row>
    <row r="2093" spans="1:6" x14ac:dyDescent="0.35">
      <c r="A2093" s="9">
        <v>6717763</v>
      </c>
      <c r="B2093" s="10">
        <v>42947</v>
      </c>
      <c r="C2093" s="11">
        <v>0.47851851851851851</v>
      </c>
      <c r="D2093" s="12">
        <v>0.48517361111111112</v>
      </c>
      <c r="E2093" s="20">
        <f t="shared" si="64"/>
        <v>0</v>
      </c>
      <c r="F2093">
        <f t="shared" si="65"/>
        <v>0</v>
      </c>
    </row>
    <row r="2094" spans="1:6" x14ac:dyDescent="0.35">
      <c r="A2094" s="5">
        <v>61228399</v>
      </c>
      <c r="B2094" s="6">
        <v>42947</v>
      </c>
      <c r="C2094" s="7">
        <v>0.48053240740740738</v>
      </c>
      <c r="D2094" s="8">
        <v>0.48828703703703702</v>
      </c>
      <c r="E2094" s="20">
        <f t="shared" si="64"/>
        <v>0</v>
      </c>
      <c r="F2094">
        <f t="shared" si="65"/>
        <v>0</v>
      </c>
    </row>
    <row r="2095" spans="1:6" x14ac:dyDescent="0.35">
      <c r="A2095" s="9">
        <v>9282166</v>
      </c>
      <c r="B2095" s="10">
        <v>42947</v>
      </c>
      <c r="C2095" s="11">
        <v>0.48141203703703705</v>
      </c>
      <c r="D2095" s="12">
        <v>0.49063657407407407</v>
      </c>
      <c r="E2095" s="20">
        <f t="shared" si="64"/>
        <v>0</v>
      </c>
      <c r="F2095">
        <f t="shared" si="65"/>
        <v>0</v>
      </c>
    </row>
    <row r="2096" spans="1:6" x14ac:dyDescent="0.35">
      <c r="A2096" s="5">
        <v>6426246</v>
      </c>
      <c r="B2096" s="6">
        <v>42947</v>
      </c>
      <c r="C2096" s="7">
        <v>0.48174768518518518</v>
      </c>
      <c r="D2096" s="8">
        <v>0.48682870370370368</v>
      </c>
      <c r="E2096" s="20">
        <f t="shared" si="64"/>
        <v>0</v>
      </c>
      <c r="F2096">
        <f t="shared" si="65"/>
        <v>0</v>
      </c>
    </row>
    <row r="2097" spans="1:6" x14ac:dyDescent="0.35">
      <c r="A2097" s="9">
        <v>8585321</v>
      </c>
      <c r="B2097" s="10">
        <v>42947</v>
      </c>
      <c r="C2097" s="11">
        <v>0.48424768518518518</v>
      </c>
      <c r="D2097" s="12">
        <v>0.48873842592592592</v>
      </c>
      <c r="E2097" s="20">
        <f t="shared" si="64"/>
        <v>0</v>
      </c>
      <c r="F2097">
        <f t="shared" si="65"/>
        <v>0</v>
      </c>
    </row>
    <row r="2098" spans="1:6" x14ac:dyDescent="0.35">
      <c r="A2098" s="5">
        <v>9791237</v>
      </c>
      <c r="B2098" s="6">
        <v>42947</v>
      </c>
      <c r="C2098" s="7">
        <v>0.48635416666666664</v>
      </c>
      <c r="D2098" s="8">
        <v>0.49025462962962962</v>
      </c>
      <c r="E2098" s="20">
        <f t="shared" si="64"/>
        <v>0</v>
      </c>
      <c r="F2098">
        <f t="shared" si="65"/>
        <v>0</v>
      </c>
    </row>
    <row r="2099" spans="1:6" x14ac:dyDescent="0.35">
      <c r="A2099" s="9">
        <v>1830251</v>
      </c>
      <c r="B2099" s="10">
        <v>42947</v>
      </c>
      <c r="C2099" s="11">
        <v>0.48893518518518519</v>
      </c>
      <c r="D2099" s="12">
        <v>0.49787037037037035</v>
      </c>
      <c r="E2099" s="20">
        <f t="shared" si="64"/>
        <v>0</v>
      </c>
      <c r="F2099">
        <f t="shared" si="65"/>
        <v>0</v>
      </c>
    </row>
    <row r="2100" spans="1:6" x14ac:dyDescent="0.35">
      <c r="A2100" s="5">
        <v>42603700</v>
      </c>
      <c r="B2100" s="6">
        <v>42947</v>
      </c>
      <c r="C2100" s="7">
        <v>0.49409722222222224</v>
      </c>
      <c r="D2100" s="8">
        <v>0.50521990740740741</v>
      </c>
      <c r="E2100" s="20">
        <f t="shared" si="64"/>
        <v>0</v>
      </c>
      <c r="F2100">
        <f t="shared" si="65"/>
        <v>0</v>
      </c>
    </row>
    <row r="2101" spans="1:6" x14ac:dyDescent="0.35">
      <c r="A2101" s="9">
        <v>3983714</v>
      </c>
      <c r="B2101" s="10">
        <v>42947</v>
      </c>
      <c r="C2101" s="11">
        <v>0.49849537037037039</v>
      </c>
      <c r="D2101" s="12">
        <v>0.5092592592592593</v>
      </c>
      <c r="E2101" s="20">
        <f t="shared" si="64"/>
        <v>0</v>
      </c>
      <c r="F2101">
        <f t="shared" si="65"/>
        <v>0</v>
      </c>
    </row>
    <row r="2102" spans="1:6" x14ac:dyDescent="0.35">
      <c r="A2102" s="5">
        <v>4520226</v>
      </c>
      <c r="B2102" s="6">
        <v>42947</v>
      </c>
      <c r="C2102" s="7">
        <v>0.49903935185185183</v>
      </c>
      <c r="D2102" s="8">
        <v>0.51059027777777777</v>
      </c>
      <c r="E2102" s="20">
        <f t="shared" si="64"/>
        <v>0</v>
      </c>
      <c r="F2102">
        <f t="shared" si="65"/>
        <v>0</v>
      </c>
    </row>
    <row r="2103" spans="1:6" x14ac:dyDescent="0.35">
      <c r="A2103" s="9">
        <v>6999348</v>
      </c>
      <c r="B2103" s="10">
        <v>42947</v>
      </c>
      <c r="C2103" s="11">
        <v>0.50065972222222221</v>
      </c>
      <c r="D2103" s="12">
        <v>0.50898148148148148</v>
      </c>
      <c r="E2103" s="20">
        <f t="shared" si="64"/>
        <v>0</v>
      </c>
      <c r="F2103">
        <f t="shared" si="65"/>
        <v>0</v>
      </c>
    </row>
    <row r="2104" spans="1:6" x14ac:dyDescent="0.35">
      <c r="A2104" s="5">
        <v>3767866</v>
      </c>
      <c r="B2104" s="6">
        <v>42947</v>
      </c>
      <c r="C2104" s="7">
        <v>0.5040972222222222</v>
      </c>
      <c r="D2104" s="8">
        <v>0.50971064814814815</v>
      </c>
      <c r="E2104" s="20">
        <f t="shared" si="64"/>
        <v>0</v>
      </c>
      <c r="F2104">
        <f t="shared" si="65"/>
        <v>0</v>
      </c>
    </row>
    <row r="2105" spans="1:6" x14ac:dyDescent="0.35">
      <c r="A2105" s="9">
        <v>49342013</v>
      </c>
      <c r="B2105" s="10">
        <v>42947</v>
      </c>
      <c r="C2105" s="11">
        <v>0.50410879629629635</v>
      </c>
      <c r="D2105" s="12">
        <v>0.50539351851851855</v>
      </c>
      <c r="E2105" s="20">
        <f t="shared" si="64"/>
        <v>0</v>
      </c>
      <c r="F2105">
        <f t="shared" si="65"/>
        <v>0</v>
      </c>
    </row>
    <row r="2106" spans="1:6" x14ac:dyDescent="0.35">
      <c r="A2106" s="5">
        <v>6051341</v>
      </c>
      <c r="B2106" s="6">
        <v>42947</v>
      </c>
      <c r="C2106" s="7">
        <v>0.50980324074074079</v>
      </c>
      <c r="D2106" s="8">
        <v>0.51123842592592594</v>
      </c>
      <c r="E2106" s="20">
        <f t="shared" si="64"/>
        <v>0</v>
      </c>
      <c r="F2106">
        <f t="shared" si="65"/>
        <v>0</v>
      </c>
    </row>
    <row r="2107" spans="1:6" x14ac:dyDescent="0.35">
      <c r="A2107" s="9">
        <v>4326245</v>
      </c>
      <c r="B2107" s="10">
        <v>42947</v>
      </c>
      <c r="C2107" s="11">
        <v>0.51331018518518523</v>
      </c>
      <c r="D2107" s="12">
        <v>0.51490740740740737</v>
      </c>
      <c r="E2107" s="20">
        <f t="shared" si="64"/>
        <v>0</v>
      </c>
      <c r="F2107">
        <f t="shared" si="65"/>
        <v>0</v>
      </c>
    </row>
    <row r="2108" spans="1:6" x14ac:dyDescent="0.35">
      <c r="A2108" s="5">
        <v>5356378</v>
      </c>
      <c r="B2108" s="6">
        <v>42947</v>
      </c>
      <c r="C2108" s="7">
        <v>0.51811342592592591</v>
      </c>
      <c r="D2108" s="8">
        <v>0.51965277777777774</v>
      </c>
      <c r="E2108" s="20">
        <f t="shared" si="64"/>
        <v>0</v>
      </c>
      <c r="F2108">
        <f t="shared" si="65"/>
        <v>0</v>
      </c>
    </row>
    <row r="2109" spans="1:6" x14ac:dyDescent="0.35">
      <c r="A2109" s="9">
        <v>1302842</v>
      </c>
      <c r="B2109" s="10">
        <v>42947</v>
      </c>
      <c r="C2109" s="11">
        <v>0.52203703703703708</v>
      </c>
      <c r="D2109" s="12">
        <v>0.53162037037037035</v>
      </c>
      <c r="E2109" s="20">
        <f t="shared" si="64"/>
        <v>0</v>
      </c>
      <c r="F2109">
        <f t="shared" si="65"/>
        <v>0</v>
      </c>
    </row>
    <row r="2110" spans="1:6" x14ac:dyDescent="0.35">
      <c r="A2110" s="5">
        <v>2025194</v>
      </c>
      <c r="B2110" s="6">
        <v>42947</v>
      </c>
      <c r="C2110" s="7">
        <v>0.52238425925925924</v>
      </c>
      <c r="D2110" s="8">
        <v>0.52749999999999997</v>
      </c>
      <c r="E2110" s="20">
        <f t="shared" si="64"/>
        <v>0</v>
      </c>
      <c r="F2110">
        <f t="shared" si="65"/>
        <v>0</v>
      </c>
    </row>
    <row r="2111" spans="1:6" x14ac:dyDescent="0.35">
      <c r="A2111" s="9">
        <v>6703754</v>
      </c>
      <c r="B2111" s="10">
        <v>42947</v>
      </c>
      <c r="C2111" s="11">
        <v>0.5237384259259259</v>
      </c>
      <c r="D2111" s="12">
        <v>0.52431712962962962</v>
      </c>
      <c r="E2111" s="20">
        <f t="shared" si="64"/>
        <v>0</v>
      </c>
      <c r="F2111">
        <f t="shared" si="65"/>
        <v>0</v>
      </c>
    </row>
    <row r="2112" spans="1:6" x14ac:dyDescent="0.35">
      <c r="A2112" s="5">
        <v>86965710</v>
      </c>
      <c r="B2112" s="6">
        <v>42947</v>
      </c>
      <c r="C2112" s="7">
        <v>0.52516203703703701</v>
      </c>
      <c r="D2112" s="8">
        <v>0.52825231481481483</v>
      </c>
      <c r="E2112" s="20">
        <f t="shared" si="64"/>
        <v>0</v>
      </c>
      <c r="F2112">
        <f t="shared" si="65"/>
        <v>0</v>
      </c>
    </row>
    <row r="2113" spans="1:6" x14ac:dyDescent="0.35">
      <c r="A2113" s="9">
        <v>9797571</v>
      </c>
      <c r="B2113" s="10">
        <v>42947</v>
      </c>
      <c r="C2113" s="11">
        <v>0.53011574074074075</v>
      </c>
      <c r="D2113" s="12">
        <v>0.5342824074074074</v>
      </c>
      <c r="E2113" s="20">
        <f t="shared" si="64"/>
        <v>0</v>
      </c>
      <c r="F2113">
        <f t="shared" si="65"/>
        <v>0</v>
      </c>
    </row>
    <row r="2114" spans="1:6" x14ac:dyDescent="0.35">
      <c r="A2114" s="5">
        <v>34628061</v>
      </c>
      <c r="B2114" s="6">
        <v>42947</v>
      </c>
      <c r="C2114" s="7">
        <v>0.53206018518518516</v>
      </c>
      <c r="D2114" s="8">
        <v>0.53396990740740746</v>
      </c>
      <c r="E2114" s="20">
        <f t="shared" si="64"/>
        <v>0</v>
      </c>
      <c r="F2114">
        <f t="shared" si="65"/>
        <v>0</v>
      </c>
    </row>
    <row r="2115" spans="1:6" x14ac:dyDescent="0.35">
      <c r="A2115" s="9">
        <v>6716140</v>
      </c>
      <c r="B2115" s="10">
        <v>42947</v>
      </c>
      <c r="C2115" s="11">
        <v>0.53451388888888884</v>
      </c>
      <c r="D2115" s="12">
        <v>0.54087962962962965</v>
      </c>
      <c r="E2115" s="20">
        <f t="shared" ref="E2115:E2149" si="66">IF(F2115=1,D2115-C2115,0)</f>
        <v>0</v>
      </c>
      <c r="F2115">
        <f t="shared" ref="F2115:F2149" si="67">IF(AND(LEN(A2115)=7,LEFT(A2115,2) = "12"),1,0)</f>
        <v>0</v>
      </c>
    </row>
    <row r="2116" spans="1:6" x14ac:dyDescent="0.35">
      <c r="A2116" s="5">
        <v>9709339</v>
      </c>
      <c r="B2116" s="6">
        <v>42947</v>
      </c>
      <c r="C2116" s="7">
        <v>0.53622685185185182</v>
      </c>
      <c r="D2116" s="8">
        <v>0.54399305555555555</v>
      </c>
      <c r="E2116" s="20">
        <f t="shared" si="66"/>
        <v>0</v>
      </c>
      <c r="F2116">
        <f t="shared" si="67"/>
        <v>0</v>
      </c>
    </row>
    <row r="2117" spans="1:6" x14ac:dyDescent="0.35">
      <c r="A2117" s="9">
        <v>1331802</v>
      </c>
      <c r="B2117" s="10">
        <v>42947</v>
      </c>
      <c r="C2117" s="11">
        <v>0.5376967592592593</v>
      </c>
      <c r="D2117" s="12">
        <v>0.54113425925925929</v>
      </c>
      <c r="E2117" s="20">
        <f t="shared" si="66"/>
        <v>0</v>
      </c>
      <c r="F2117">
        <f t="shared" si="67"/>
        <v>0</v>
      </c>
    </row>
    <row r="2118" spans="1:6" x14ac:dyDescent="0.35">
      <c r="A2118" s="5">
        <v>9413315</v>
      </c>
      <c r="B2118" s="6">
        <v>42947</v>
      </c>
      <c r="C2118" s="7">
        <v>0.53961805555555553</v>
      </c>
      <c r="D2118" s="8">
        <v>0.54870370370370369</v>
      </c>
      <c r="E2118" s="20">
        <f t="shared" si="66"/>
        <v>0</v>
      </c>
      <c r="F2118">
        <f t="shared" si="67"/>
        <v>0</v>
      </c>
    </row>
    <row r="2119" spans="1:6" x14ac:dyDescent="0.35">
      <c r="A2119" s="9">
        <v>9555643</v>
      </c>
      <c r="B2119" s="10">
        <v>42947</v>
      </c>
      <c r="C2119" s="11">
        <v>0.5415740740740741</v>
      </c>
      <c r="D2119" s="12">
        <v>0.54230324074074077</v>
      </c>
      <c r="E2119" s="20">
        <f t="shared" si="66"/>
        <v>0</v>
      </c>
      <c r="F2119">
        <f t="shared" si="67"/>
        <v>0</v>
      </c>
    </row>
    <row r="2120" spans="1:6" x14ac:dyDescent="0.35">
      <c r="A2120" s="5">
        <v>4824250</v>
      </c>
      <c r="B2120" s="6">
        <v>42947</v>
      </c>
      <c r="C2120" s="7">
        <v>0.54670138888888886</v>
      </c>
      <c r="D2120" s="8">
        <v>0.55440972222222218</v>
      </c>
      <c r="E2120" s="20">
        <f t="shared" si="66"/>
        <v>0</v>
      </c>
      <c r="F2120">
        <f t="shared" si="67"/>
        <v>0</v>
      </c>
    </row>
    <row r="2121" spans="1:6" x14ac:dyDescent="0.35">
      <c r="A2121" s="9">
        <v>3931914</v>
      </c>
      <c r="B2121" s="10">
        <v>42947</v>
      </c>
      <c r="C2121" s="11">
        <v>0.55063657407407407</v>
      </c>
      <c r="D2121" s="12">
        <v>0.55451388888888886</v>
      </c>
      <c r="E2121" s="20">
        <f t="shared" si="66"/>
        <v>0</v>
      </c>
      <c r="F2121">
        <f t="shared" si="67"/>
        <v>0</v>
      </c>
    </row>
    <row r="2122" spans="1:6" x14ac:dyDescent="0.35">
      <c r="A2122" s="5">
        <v>79698655</v>
      </c>
      <c r="B2122" s="6">
        <v>42947</v>
      </c>
      <c r="C2122" s="7">
        <v>0.55182870370370374</v>
      </c>
      <c r="D2122" s="8">
        <v>0.55775462962962963</v>
      </c>
      <c r="E2122" s="20">
        <f t="shared" si="66"/>
        <v>0</v>
      </c>
      <c r="F2122">
        <f t="shared" si="67"/>
        <v>0</v>
      </c>
    </row>
    <row r="2123" spans="1:6" x14ac:dyDescent="0.35">
      <c r="A2123" s="9">
        <v>5387521845</v>
      </c>
      <c r="B2123" s="10">
        <v>42947</v>
      </c>
      <c r="C2123" s="11">
        <v>0.55717592592592591</v>
      </c>
      <c r="D2123" s="12">
        <v>0.56000000000000005</v>
      </c>
      <c r="E2123" s="20">
        <f t="shared" si="66"/>
        <v>0</v>
      </c>
      <c r="F2123">
        <f t="shared" si="67"/>
        <v>0</v>
      </c>
    </row>
    <row r="2124" spans="1:6" x14ac:dyDescent="0.35">
      <c r="A2124" s="5">
        <v>84589848</v>
      </c>
      <c r="B2124" s="6">
        <v>42947</v>
      </c>
      <c r="C2124" s="7">
        <v>0.56119212962962961</v>
      </c>
      <c r="D2124" s="8">
        <v>0.56221064814814814</v>
      </c>
      <c r="E2124" s="20">
        <f t="shared" si="66"/>
        <v>0</v>
      </c>
      <c r="F2124">
        <f t="shared" si="67"/>
        <v>0</v>
      </c>
    </row>
    <row r="2125" spans="1:6" x14ac:dyDescent="0.35">
      <c r="A2125" s="9">
        <v>1927908</v>
      </c>
      <c r="B2125" s="10">
        <v>42947</v>
      </c>
      <c r="C2125" s="11">
        <v>0.56452546296296291</v>
      </c>
      <c r="D2125" s="12">
        <v>0.5725231481481482</v>
      </c>
      <c r="E2125" s="20">
        <f t="shared" si="66"/>
        <v>0</v>
      </c>
      <c r="F2125">
        <f t="shared" si="67"/>
        <v>0</v>
      </c>
    </row>
    <row r="2126" spans="1:6" x14ac:dyDescent="0.35">
      <c r="A2126" s="5">
        <v>7975900</v>
      </c>
      <c r="B2126" s="6">
        <v>42947</v>
      </c>
      <c r="C2126" s="7">
        <v>0.56582175925925926</v>
      </c>
      <c r="D2126" s="8">
        <v>0.57314814814814818</v>
      </c>
      <c r="E2126" s="20">
        <f t="shared" si="66"/>
        <v>0</v>
      </c>
      <c r="F2126">
        <f t="shared" si="67"/>
        <v>0</v>
      </c>
    </row>
    <row r="2127" spans="1:6" x14ac:dyDescent="0.35">
      <c r="A2127" s="9">
        <v>1731500345</v>
      </c>
      <c r="B2127" s="10">
        <v>42947</v>
      </c>
      <c r="C2127" s="11">
        <v>0.56916666666666671</v>
      </c>
      <c r="D2127" s="12">
        <v>0.57851851851851854</v>
      </c>
      <c r="E2127" s="20">
        <f t="shared" si="66"/>
        <v>0</v>
      </c>
      <c r="F2127">
        <f t="shared" si="67"/>
        <v>0</v>
      </c>
    </row>
    <row r="2128" spans="1:6" x14ac:dyDescent="0.35">
      <c r="A2128" s="5">
        <v>5926011</v>
      </c>
      <c r="B2128" s="6">
        <v>42947</v>
      </c>
      <c r="C2128" s="7">
        <v>0.57268518518518519</v>
      </c>
      <c r="D2128" s="8">
        <v>0.58170138888888889</v>
      </c>
      <c r="E2128" s="20">
        <f t="shared" si="66"/>
        <v>0</v>
      </c>
      <c r="F2128">
        <f t="shared" si="67"/>
        <v>0</v>
      </c>
    </row>
    <row r="2129" spans="1:6" x14ac:dyDescent="0.35">
      <c r="A2129" s="9">
        <v>6408952</v>
      </c>
      <c r="B2129" s="10">
        <v>42947</v>
      </c>
      <c r="C2129" s="11">
        <v>0.57740740740740737</v>
      </c>
      <c r="D2129" s="12">
        <v>0.58895833333333336</v>
      </c>
      <c r="E2129" s="20">
        <f t="shared" si="66"/>
        <v>0</v>
      </c>
      <c r="F2129">
        <f t="shared" si="67"/>
        <v>0</v>
      </c>
    </row>
    <row r="2130" spans="1:6" x14ac:dyDescent="0.35">
      <c r="A2130" s="5">
        <v>53370610</v>
      </c>
      <c r="B2130" s="6">
        <v>42947</v>
      </c>
      <c r="C2130" s="7">
        <v>0.57822916666666668</v>
      </c>
      <c r="D2130" s="8">
        <v>0.57994212962962965</v>
      </c>
      <c r="E2130" s="20">
        <f t="shared" si="66"/>
        <v>0</v>
      </c>
      <c r="F2130">
        <f t="shared" si="67"/>
        <v>0</v>
      </c>
    </row>
    <row r="2131" spans="1:6" x14ac:dyDescent="0.35">
      <c r="A2131" s="9">
        <v>8060169</v>
      </c>
      <c r="B2131" s="10">
        <v>42947</v>
      </c>
      <c r="C2131" s="11">
        <v>0.57874999999999999</v>
      </c>
      <c r="D2131" s="12">
        <v>0.58307870370370374</v>
      </c>
      <c r="E2131" s="20">
        <f t="shared" si="66"/>
        <v>0</v>
      </c>
      <c r="F2131">
        <f t="shared" si="67"/>
        <v>0</v>
      </c>
    </row>
    <row r="2132" spans="1:6" x14ac:dyDescent="0.35">
      <c r="A2132" s="5">
        <v>9147613</v>
      </c>
      <c r="B2132" s="6">
        <v>42947</v>
      </c>
      <c r="C2132" s="7">
        <v>0.57952546296296292</v>
      </c>
      <c r="D2132" s="8">
        <v>0.58090277777777777</v>
      </c>
      <c r="E2132" s="20">
        <f t="shared" si="66"/>
        <v>0</v>
      </c>
      <c r="F2132">
        <f t="shared" si="67"/>
        <v>0</v>
      </c>
    </row>
    <row r="2133" spans="1:6" x14ac:dyDescent="0.35">
      <c r="A2133" s="9">
        <v>4505950</v>
      </c>
      <c r="B2133" s="10">
        <v>42947</v>
      </c>
      <c r="C2133" s="11">
        <v>0.58163194444444444</v>
      </c>
      <c r="D2133" s="12">
        <v>0.5872222222222222</v>
      </c>
      <c r="E2133" s="20">
        <f t="shared" si="66"/>
        <v>0</v>
      </c>
      <c r="F2133">
        <f t="shared" si="67"/>
        <v>0</v>
      </c>
    </row>
    <row r="2134" spans="1:6" x14ac:dyDescent="0.35">
      <c r="A2134" s="5">
        <v>3537655</v>
      </c>
      <c r="B2134" s="6">
        <v>42947</v>
      </c>
      <c r="C2134" s="7">
        <v>0.58287037037037037</v>
      </c>
      <c r="D2134" s="8">
        <v>0.58347222222222217</v>
      </c>
      <c r="E2134" s="20">
        <f t="shared" si="66"/>
        <v>0</v>
      </c>
      <c r="F2134">
        <f t="shared" si="67"/>
        <v>0</v>
      </c>
    </row>
    <row r="2135" spans="1:6" x14ac:dyDescent="0.35">
      <c r="A2135" s="9">
        <v>1583683</v>
      </c>
      <c r="B2135" s="10">
        <v>42947</v>
      </c>
      <c r="C2135" s="11">
        <v>0.58784722222222219</v>
      </c>
      <c r="D2135" s="12">
        <v>0.58940972222222221</v>
      </c>
      <c r="E2135" s="20">
        <f t="shared" si="66"/>
        <v>0</v>
      </c>
      <c r="F2135">
        <f t="shared" si="67"/>
        <v>0</v>
      </c>
    </row>
    <row r="2136" spans="1:6" x14ac:dyDescent="0.35">
      <c r="A2136" s="5">
        <v>96302157</v>
      </c>
      <c r="B2136" s="6">
        <v>42947</v>
      </c>
      <c r="C2136" s="7">
        <v>0.59052083333333338</v>
      </c>
      <c r="D2136" s="8">
        <v>0.59702546296296299</v>
      </c>
      <c r="E2136" s="20">
        <f t="shared" si="66"/>
        <v>0</v>
      </c>
      <c r="F2136">
        <f t="shared" si="67"/>
        <v>0</v>
      </c>
    </row>
    <row r="2137" spans="1:6" x14ac:dyDescent="0.35">
      <c r="A2137" s="9">
        <v>1809111</v>
      </c>
      <c r="B2137" s="10">
        <v>42947</v>
      </c>
      <c r="C2137" s="11">
        <v>0.59290509259259261</v>
      </c>
      <c r="D2137" s="12">
        <v>0.60322916666666671</v>
      </c>
      <c r="E2137" s="20">
        <f t="shared" si="66"/>
        <v>0</v>
      </c>
      <c r="F2137">
        <f t="shared" si="67"/>
        <v>0</v>
      </c>
    </row>
    <row r="2138" spans="1:6" x14ac:dyDescent="0.35">
      <c r="A2138" s="5">
        <v>8493652</v>
      </c>
      <c r="B2138" s="6">
        <v>42947</v>
      </c>
      <c r="C2138" s="7">
        <v>0.59569444444444442</v>
      </c>
      <c r="D2138" s="8">
        <v>0.60372685185185182</v>
      </c>
      <c r="E2138" s="20">
        <f t="shared" si="66"/>
        <v>0</v>
      </c>
      <c r="F2138">
        <f t="shared" si="67"/>
        <v>0</v>
      </c>
    </row>
    <row r="2139" spans="1:6" x14ac:dyDescent="0.35">
      <c r="A2139" s="9">
        <v>1026326</v>
      </c>
      <c r="B2139" s="10">
        <v>42947</v>
      </c>
      <c r="C2139" s="11">
        <v>0.59736111111111112</v>
      </c>
      <c r="D2139" s="12">
        <v>0.60046296296296298</v>
      </c>
      <c r="E2139" s="20">
        <f t="shared" si="66"/>
        <v>0</v>
      </c>
      <c r="F2139">
        <f t="shared" si="67"/>
        <v>0</v>
      </c>
    </row>
    <row r="2140" spans="1:6" x14ac:dyDescent="0.35">
      <c r="A2140" s="5">
        <v>1475165</v>
      </c>
      <c r="B2140" s="6">
        <v>42947</v>
      </c>
      <c r="C2140" s="7">
        <v>0.60197916666666662</v>
      </c>
      <c r="D2140" s="8">
        <v>0.60856481481481484</v>
      </c>
      <c r="E2140" s="20">
        <f t="shared" si="66"/>
        <v>0</v>
      </c>
      <c r="F2140">
        <f t="shared" si="67"/>
        <v>0</v>
      </c>
    </row>
    <row r="2141" spans="1:6" x14ac:dyDescent="0.35">
      <c r="A2141" s="9">
        <v>6264844</v>
      </c>
      <c r="B2141" s="10">
        <v>42947</v>
      </c>
      <c r="C2141" s="11">
        <v>0.60348379629629634</v>
      </c>
      <c r="D2141" s="12">
        <v>0.61365740740740737</v>
      </c>
      <c r="E2141" s="20">
        <f t="shared" si="66"/>
        <v>0</v>
      </c>
      <c r="F2141">
        <f t="shared" si="67"/>
        <v>0</v>
      </c>
    </row>
    <row r="2142" spans="1:6" x14ac:dyDescent="0.35">
      <c r="A2142" s="5">
        <v>9861652</v>
      </c>
      <c r="B2142" s="6">
        <v>42947</v>
      </c>
      <c r="C2142" s="7">
        <v>0.60519675925925931</v>
      </c>
      <c r="D2142" s="8">
        <v>0.61221064814814818</v>
      </c>
      <c r="E2142" s="20">
        <f t="shared" si="66"/>
        <v>0</v>
      </c>
      <c r="F2142">
        <f t="shared" si="67"/>
        <v>0</v>
      </c>
    </row>
    <row r="2143" spans="1:6" x14ac:dyDescent="0.35">
      <c r="A2143" s="9">
        <v>5446203</v>
      </c>
      <c r="B2143" s="10">
        <v>42947</v>
      </c>
      <c r="C2143" s="11">
        <v>0.60825231481481479</v>
      </c>
      <c r="D2143" s="12">
        <v>0.61048611111111106</v>
      </c>
      <c r="E2143" s="20">
        <f t="shared" si="66"/>
        <v>0</v>
      </c>
      <c r="F2143">
        <f t="shared" si="67"/>
        <v>0</v>
      </c>
    </row>
    <row r="2144" spans="1:6" x14ac:dyDescent="0.35">
      <c r="A2144" s="5">
        <v>7762020</v>
      </c>
      <c r="B2144" s="6">
        <v>42947</v>
      </c>
      <c r="C2144" s="7">
        <v>0.61159722222222224</v>
      </c>
      <c r="D2144" s="8">
        <v>0.61434027777777778</v>
      </c>
      <c r="E2144" s="20">
        <f t="shared" si="66"/>
        <v>0</v>
      </c>
      <c r="F2144">
        <f t="shared" si="67"/>
        <v>0</v>
      </c>
    </row>
    <row r="2145" spans="1:6" x14ac:dyDescent="0.35">
      <c r="A2145" s="9">
        <v>4045129075</v>
      </c>
      <c r="B2145" s="10">
        <v>42947</v>
      </c>
      <c r="C2145" s="11">
        <v>0.61328703703703702</v>
      </c>
      <c r="D2145" s="12">
        <v>0.61828703703703702</v>
      </c>
      <c r="E2145" s="20">
        <f t="shared" si="66"/>
        <v>0</v>
      </c>
      <c r="F2145">
        <f t="shared" si="67"/>
        <v>0</v>
      </c>
    </row>
    <row r="2146" spans="1:6" x14ac:dyDescent="0.35">
      <c r="A2146" s="5">
        <v>96736796</v>
      </c>
      <c r="B2146" s="6">
        <v>42947</v>
      </c>
      <c r="C2146" s="7">
        <v>0.61524305555555558</v>
      </c>
      <c r="D2146" s="8">
        <v>0.62432870370370375</v>
      </c>
      <c r="E2146" s="20">
        <f t="shared" si="66"/>
        <v>0</v>
      </c>
      <c r="F2146">
        <f t="shared" si="67"/>
        <v>0</v>
      </c>
    </row>
    <row r="2147" spans="1:6" x14ac:dyDescent="0.35">
      <c r="A2147" s="9">
        <v>1035023</v>
      </c>
      <c r="B2147" s="10">
        <v>42947</v>
      </c>
      <c r="C2147" s="11">
        <v>0.61821759259259257</v>
      </c>
      <c r="D2147" s="12">
        <v>0.62706018518518514</v>
      </c>
      <c r="E2147" s="20">
        <f t="shared" si="66"/>
        <v>0</v>
      </c>
      <c r="F2147">
        <f t="shared" si="67"/>
        <v>0</v>
      </c>
    </row>
    <row r="2148" spans="1:6" x14ac:dyDescent="0.35">
      <c r="A2148" s="5">
        <v>9941776</v>
      </c>
      <c r="B2148" s="6">
        <v>42947</v>
      </c>
      <c r="C2148" s="7">
        <v>0.62299768518518517</v>
      </c>
      <c r="D2148" s="8">
        <v>0.62311342592592589</v>
      </c>
      <c r="E2148" s="20">
        <f t="shared" si="66"/>
        <v>0</v>
      </c>
      <c r="F2148">
        <f t="shared" si="67"/>
        <v>0</v>
      </c>
    </row>
    <row r="2149" spans="1:6" x14ac:dyDescent="0.35">
      <c r="A2149" s="1">
        <v>6401011</v>
      </c>
      <c r="B2149" s="13">
        <v>42947</v>
      </c>
      <c r="C2149" s="14">
        <v>0.62693287037037038</v>
      </c>
      <c r="D2149" s="15">
        <v>0.62837962962962968</v>
      </c>
      <c r="E2149" s="20">
        <f t="shared" si="66"/>
        <v>0</v>
      </c>
      <c r="F2149">
        <f t="shared" si="6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76FD-DD99-4E40-9453-11378ADC3B4D}">
  <dimension ref="A1:S2149"/>
  <sheetViews>
    <sheetView tabSelected="1" topLeftCell="L1" zoomScale="79" workbookViewId="0">
      <selection activeCell="P9" sqref="P9"/>
    </sheetView>
  </sheetViews>
  <sheetFormatPr defaultRowHeight="14.5" x14ac:dyDescent="0.35"/>
  <cols>
    <col min="1" max="1" width="10.81640625" bestFit="1" customWidth="1"/>
    <col min="2" max="2" width="10.453125" bestFit="1" customWidth="1"/>
    <col min="3" max="3" width="12.81640625" bestFit="1" customWidth="1"/>
    <col min="4" max="4" width="13.26953125" bestFit="1" customWidth="1"/>
    <col min="5" max="5" width="20.6328125" bestFit="1" customWidth="1"/>
    <col min="6" max="6" width="21.26953125" bestFit="1" customWidth="1"/>
    <col min="7" max="7" width="21.26953125" style="23" customWidth="1"/>
    <col min="8" max="8" width="22.90625" bestFit="1" customWidth="1"/>
    <col min="9" max="10" width="21.453125" customWidth="1"/>
    <col min="11" max="11" width="35" bestFit="1" customWidth="1"/>
    <col min="12" max="12" width="20.26953125" bestFit="1" customWidth="1"/>
    <col min="13" max="13" width="26" bestFit="1" customWidth="1"/>
    <col min="14" max="14" width="29" bestFit="1" customWidth="1"/>
    <col min="15" max="15" width="27.90625" bestFit="1" customWidth="1"/>
    <col min="16" max="16" width="28.08984375" bestFit="1" customWidth="1"/>
    <col min="17" max="17" width="27.453125" bestFit="1" customWidth="1"/>
    <col min="18" max="18" width="27.6328125" bestFit="1" customWidth="1"/>
  </cols>
  <sheetData>
    <row r="1" spans="1:19" x14ac:dyDescent="0.35">
      <c r="A1" s="2" t="s">
        <v>0</v>
      </c>
      <c r="B1" s="3" t="s">
        <v>1</v>
      </c>
      <c r="C1" s="3" t="s">
        <v>2</v>
      </c>
      <c r="D1" s="4" t="s">
        <v>3</v>
      </c>
      <c r="E1" s="16" t="s">
        <v>13</v>
      </c>
      <c r="F1" s="16" t="s">
        <v>16</v>
      </c>
      <c r="G1" s="22" t="s">
        <v>17</v>
      </c>
      <c r="H1" s="16" t="s">
        <v>18</v>
      </c>
      <c r="I1" s="21" t="s">
        <v>19</v>
      </c>
      <c r="J1" s="21" t="s">
        <v>31</v>
      </c>
      <c r="K1" s="21" t="s">
        <v>20</v>
      </c>
      <c r="L1" s="21" t="s">
        <v>21</v>
      </c>
      <c r="M1" s="21" t="s">
        <v>22</v>
      </c>
      <c r="N1" s="21" t="s">
        <v>23</v>
      </c>
      <c r="O1" s="21" t="s">
        <v>24</v>
      </c>
      <c r="P1" s="21" t="s">
        <v>25</v>
      </c>
      <c r="Q1" s="21" t="s">
        <v>26</v>
      </c>
      <c r="R1" s="21" t="s">
        <v>27</v>
      </c>
      <c r="S1" s="21" t="s">
        <v>30</v>
      </c>
    </row>
    <row r="2" spans="1:19" x14ac:dyDescent="0.35">
      <c r="A2" s="5">
        <v>3539762</v>
      </c>
      <c r="B2" s="6">
        <v>42919</v>
      </c>
      <c r="C2" s="7">
        <v>0.33673611111111112</v>
      </c>
      <c r="D2" s="8">
        <v>0.34821759259259261</v>
      </c>
      <c r="E2" s="20">
        <f>D2-C2</f>
        <v>1.1481481481481481E-2</v>
      </c>
      <c r="F2" t="str">
        <f>IF(LEN(A2)=7,"stacjonarny",IF(LEN(A2)=8,"komorkowy","zagraniczny"))</f>
        <v>stacjonarny</v>
      </c>
      <c r="G2" s="23">
        <f>IF(F2="stacjonarny",MINUTE(E2)*60+SECOND(E2),0)</f>
        <v>992</v>
      </c>
      <c r="H2">
        <f>IF(F2="komorkowy",MINUTE(E2)*60+SECOND(E2),0)</f>
        <v>0</v>
      </c>
      <c r="I2">
        <f>IF(F2="zagraniczny",MINUTE(E2)*60+SECOND(E2)+HOUR(E2)*3600,0)</f>
        <v>0</v>
      </c>
      <c r="J2">
        <f>ROUNDUP(I2/60,0)</f>
        <v>0</v>
      </c>
      <c r="K2">
        <f>G2+H2</f>
        <v>992</v>
      </c>
      <c r="L2">
        <f>IF(K2&lt;=48000,1,0)</f>
        <v>1</v>
      </c>
      <c r="M2">
        <f>IF(AND(L2=0,F2="stacjonarny"),SECOND(E2)+60*MINUTE(E2),0)</f>
        <v>0</v>
      </c>
      <c r="N2">
        <f>IF(AND(L2=0,F2="komorkowy"),SECOND(E2)+60*MINUTE(E2),0)</f>
        <v>0</v>
      </c>
      <c r="O2">
        <f>SUM(M2:M2149)</f>
        <v>728990</v>
      </c>
      <c r="P2">
        <f>SUM(N2:N2149)</f>
        <v>235564</v>
      </c>
      <c r="Q2">
        <f>ROUNDUP(O2/60,0)</f>
        <v>12150</v>
      </c>
      <c r="R2">
        <f>ROUNDUP(P2/60,0)</f>
        <v>3927</v>
      </c>
      <c r="S2">
        <f>P9+R6+Q6+50</f>
        <v>1867</v>
      </c>
    </row>
    <row r="3" spans="1:19" x14ac:dyDescent="0.35">
      <c r="A3" s="9">
        <v>4546455</v>
      </c>
      <c r="B3" s="10">
        <v>42919</v>
      </c>
      <c r="C3" s="11">
        <v>0.34037037037037038</v>
      </c>
      <c r="D3" s="12">
        <v>0.34983796296296299</v>
      </c>
      <c r="E3" s="20">
        <f t="shared" ref="E3:E66" si="0">D3-C3</f>
        <v>9.4675925925926108E-3</v>
      </c>
      <c r="F3" t="str">
        <f t="shared" ref="F3:F66" si="1">IF(LEN(A3)=7,"stacjonarny",IF(LEN(A3)=8,"komorkowy","zagraniczny"))</f>
        <v>stacjonarny</v>
      </c>
      <c r="G3" s="23">
        <f>IF(F3="stacjonarny",MINUTE(E3)*60+SECOND(E3)+G2,G2)</f>
        <v>1810</v>
      </c>
      <c r="H3">
        <f>IF(F3="komorkowy",MINUTE(E3)*60+SECOND(E3)+H2,H2)</f>
        <v>0</v>
      </c>
      <c r="I3">
        <f t="shared" ref="I3:I66" si="2">IF(F3="zagraniczny",MINUTE(E3)*60+SECOND(E3)+HOUR(E3)*3600,0)</f>
        <v>0</v>
      </c>
      <c r="J3">
        <f t="shared" ref="J3:J66" si="3">ROUNDUP(I3/60,0)</f>
        <v>0</v>
      </c>
      <c r="K3">
        <f t="shared" ref="K3:K66" si="4">G3+H3</f>
        <v>1810</v>
      </c>
      <c r="L3">
        <f t="shared" ref="L3:L66" si="5">IF(K3&lt;=48000,1,0)</f>
        <v>1</v>
      </c>
      <c r="M3">
        <f t="shared" ref="M3:M66" si="6">IF(AND(L3=0,F3="stacjonarny"),SECOND(E3)+60*MINUTE(E3),0)</f>
        <v>0</v>
      </c>
      <c r="N3">
        <f t="shared" ref="N3:N66" si="7">IF(AND(L3=0,F3="komorkowy"),SECOND(E3)+60*MINUTE(E3),0)</f>
        <v>0</v>
      </c>
      <c r="Q3" t="s">
        <v>28</v>
      </c>
      <c r="R3" t="s">
        <v>28</v>
      </c>
    </row>
    <row r="4" spans="1:19" x14ac:dyDescent="0.35">
      <c r="A4" s="5">
        <v>4546455</v>
      </c>
      <c r="B4" s="6">
        <v>42919</v>
      </c>
      <c r="C4" s="7">
        <v>0.34042824074074074</v>
      </c>
      <c r="D4" s="8">
        <v>0.35046296296296298</v>
      </c>
      <c r="E4" s="20">
        <f t="shared" si="0"/>
        <v>1.0034722222222237E-2</v>
      </c>
      <c r="F4" t="str">
        <f t="shared" si="1"/>
        <v>stacjonarny</v>
      </c>
      <c r="G4" s="23">
        <f t="shared" ref="G4:G67" si="8">IF(F4="stacjonarny",MINUTE(E4)*60+SECOND(E4)+G3,G3)</f>
        <v>2677</v>
      </c>
      <c r="H4">
        <f t="shared" ref="H4:H67" si="9">IF(F4="komorkowy",MINUTE(E4)*60+SECOND(E4)+H3,H3)</f>
        <v>0</v>
      </c>
      <c r="I4">
        <f t="shared" si="2"/>
        <v>0</v>
      </c>
      <c r="J4">
        <f t="shared" si="3"/>
        <v>0</v>
      </c>
      <c r="K4">
        <f t="shared" si="4"/>
        <v>2677</v>
      </c>
      <c r="L4">
        <f t="shared" si="5"/>
        <v>1</v>
      </c>
      <c r="M4">
        <f t="shared" si="6"/>
        <v>0</v>
      </c>
      <c r="N4">
        <f t="shared" si="7"/>
        <v>0</v>
      </c>
      <c r="Q4">
        <v>122</v>
      </c>
      <c r="R4">
        <v>40</v>
      </c>
    </row>
    <row r="5" spans="1:19" x14ac:dyDescent="0.35">
      <c r="A5" s="9">
        <v>6900303</v>
      </c>
      <c r="B5" s="10">
        <v>42919</v>
      </c>
      <c r="C5" s="11">
        <v>0.34362268518518518</v>
      </c>
      <c r="D5" s="12">
        <v>0.3482986111111111</v>
      </c>
      <c r="E5" s="20">
        <f t="shared" si="0"/>
        <v>4.6759259259259167E-3</v>
      </c>
      <c r="F5" t="str">
        <f t="shared" si="1"/>
        <v>stacjonarny</v>
      </c>
      <c r="G5" s="23">
        <f t="shared" si="8"/>
        <v>3081</v>
      </c>
      <c r="H5">
        <f t="shared" si="9"/>
        <v>0</v>
      </c>
      <c r="I5">
        <f t="shared" si="2"/>
        <v>0</v>
      </c>
      <c r="J5">
        <f t="shared" si="3"/>
        <v>0</v>
      </c>
      <c r="K5">
        <f t="shared" si="4"/>
        <v>3081</v>
      </c>
      <c r="L5">
        <f t="shared" si="5"/>
        <v>1</v>
      </c>
      <c r="M5">
        <f t="shared" si="6"/>
        <v>0</v>
      </c>
      <c r="N5">
        <f t="shared" si="7"/>
        <v>0</v>
      </c>
      <c r="Q5" t="s">
        <v>29</v>
      </c>
      <c r="R5" t="s">
        <v>29</v>
      </c>
    </row>
    <row r="6" spans="1:19" x14ac:dyDescent="0.35">
      <c r="A6" s="5">
        <v>4250194</v>
      </c>
      <c r="B6" s="6">
        <v>42919</v>
      </c>
      <c r="C6" s="7">
        <v>0.34399305555555554</v>
      </c>
      <c r="D6" s="8">
        <v>0.34872685185185187</v>
      </c>
      <c r="E6" s="20">
        <f t="shared" si="0"/>
        <v>4.7337962962963331E-3</v>
      </c>
      <c r="F6" t="str">
        <f t="shared" si="1"/>
        <v>stacjonarny</v>
      </c>
      <c r="G6" s="23">
        <f t="shared" si="8"/>
        <v>3490</v>
      </c>
      <c r="H6">
        <f t="shared" si="9"/>
        <v>0</v>
      </c>
      <c r="I6">
        <f t="shared" si="2"/>
        <v>0</v>
      </c>
      <c r="J6">
        <f t="shared" si="3"/>
        <v>0</v>
      </c>
      <c r="K6">
        <f t="shared" si="4"/>
        <v>3490</v>
      </c>
      <c r="L6">
        <f t="shared" si="5"/>
        <v>1</v>
      </c>
      <c r="M6">
        <f t="shared" si="6"/>
        <v>0</v>
      </c>
      <c r="N6">
        <f t="shared" si="7"/>
        <v>0</v>
      </c>
      <c r="Q6">
        <f>Q4*5</f>
        <v>610</v>
      </c>
      <c r="R6">
        <f>R4*6</f>
        <v>240</v>
      </c>
    </row>
    <row r="7" spans="1:19" x14ac:dyDescent="0.35">
      <c r="A7" s="9">
        <v>54586484</v>
      </c>
      <c r="B7" s="10">
        <v>42919</v>
      </c>
      <c r="C7" s="11">
        <v>0.3460185185185185</v>
      </c>
      <c r="D7" s="12">
        <v>0.34969907407407408</v>
      </c>
      <c r="E7" s="20">
        <f t="shared" si="0"/>
        <v>3.6805555555555758E-3</v>
      </c>
      <c r="F7" t="str">
        <f t="shared" si="1"/>
        <v>komorkowy</v>
      </c>
      <c r="G7" s="23">
        <f t="shared" si="8"/>
        <v>3490</v>
      </c>
      <c r="H7">
        <f t="shared" si="9"/>
        <v>318</v>
      </c>
      <c r="I7">
        <f t="shared" si="2"/>
        <v>0</v>
      </c>
      <c r="J7">
        <f t="shared" si="3"/>
        <v>0</v>
      </c>
      <c r="K7">
        <f t="shared" si="4"/>
        <v>3808</v>
      </c>
      <c r="L7">
        <f t="shared" si="5"/>
        <v>1</v>
      </c>
      <c r="M7">
        <f t="shared" si="6"/>
        <v>0</v>
      </c>
      <c r="N7">
        <f t="shared" si="7"/>
        <v>0</v>
      </c>
    </row>
    <row r="8" spans="1:19" x14ac:dyDescent="0.35">
      <c r="A8" s="5">
        <v>26204415</v>
      </c>
      <c r="B8" s="6">
        <v>42919</v>
      </c>
      <c r="C8" s="7">
        <v>0.34880787037037037</v>
      </c>
      <c r="D8" s="8">
        <v>0.35023148148148148</v>
      </c>
      <c r="E8" s="20">
        <f t="shared" si="0"/>
        <v>1.4236111111111116E-3</v>
      </c>
      <c r="F8" t="str">
        <f t="shared" si="1"/>
        <v>komorkowy</v>
      </c>
      <c r="G8" s="23">
        <f t="shared" si="8"/>
        <v>3490</v>
      </c>
      <c r="H8">
        <f t="shared" si="9"/>
        <v>441</v>
      </c>
      <c r="I8">
        <f t="shared" si="2"/>
        <v>0</v>
      </c>
      <c r="J8">
        <f t="shared" si="3"/>
        <v>0</v>
      </c>
      <c r="K8">
        <f t="shared" si="4"/>
        <v>3931</v>
      </c>
      <c r="L8">
        <f t="shared" si="5"/>
        <v>1</v>
      </c>
      <c r="M8">
        <f t="shared" si="6"/>
        <v>0</v>
      </c>
      <c r="N8">
        <f t="shared" si="7"/>
        <v>0</v>
      </c>
      <c r="O8" t="s">
        <v>19</v>
      </c>
      <c r="P8" t="s">
        <v>15</v>
      </c>
    </row>
    <row r="9" spans="1:19" x14ac:dyDescent="0.35">
      <c r="A9" s="9">
        <v>8596929</v>
      </c>
      <c r="B9" s="10">
        <v>42919</v>
      </c>
      <c r="C9" s="11">
        <v>0.35322916666666665</v>
      </c>
      <c r="D9" s="12">
        <v>0.35968749999999999</v>
      </c>
      <c r="E9" s="20">
        <f t="shared" si="0"/>
        <v>6.4583333333333437E-3</v>
      </c>
      <c r="F9" t="str">
        <f t="shared" si="1"/>
        <v>stacjonarny</v>
      </c>
      <c r="G9" s="23">
        <f t="shared" si="8"/>
        <v>4048</v>
      </c>
      <c r="H9">
        <f t="shared" si="9"/>
        <v>441</v>
      </c>
      <c r="I9">
        <f t="shared" si="2"/>
        <v>0</v>
      </c>
      <c r="J9">
        <f t="shared" si="3"/>
        <v>0</v>
      </c>
      <c r="K9">
        <f t="shared" si="4"/>
        <v>4489</v>
      </c>
      <c r="L9">
        <f t="shared" si="5"/>
        <v>1</v>
      </c>
      <c r="M9">
        <f t="shared" si="6"/>
        <v>0</v>
      </c>
      <c r="N9">
        <f t="shared" si="7"/>
        <v>0</v>
      </c>
      <c r="O9">
        <f>SUM(I2:I2149)</f>
        <v>54358</v>
      </c>
      <c r="P9">
        <f>SUM(J2:J2149)</f>
        <v>967</v>
      </c>
      <c r="Q9">
        <f>P9*1</f>
        <v>967</v>
      </c>
    </row>
    <row r="10" spans="1:19" x14ac:dyDescent="0.35">
      <c r="A10" s="5">
        <v>4546455</v>
      </c>
      <c r="B10" s="6">
        <v>42919</v>
      </c>
      <c r="C10" s="7">
        <v>0.35723379629629631</v>
      </c>
      <c r="D10" s="8">
        <v>0.36699074074074073</v>
      </c>
      <c r="E10" s="20">
        <f t="shared" si="0"/>
        <v>9.7569444444444153E-3</v>
      </c>
      <c r="F10" t="str">
        <f t="shared" si="1"/>
        <v>stacjonarny</v>
      </c>
      <c r="G10" s="23">
        <f t="shared" si="8"/>
        <v>4891</v>
      </c>
      <c r="H10">
        <f t="shared" si="9"/>
        <v>441</v>
      </c>
      <c r="I10">
        <f t="shared" si="2"/>
        <v>0</v>
      </c>
      <c r="J10">
        <f t="shared" si="3"/>
        <v>0</v>
      </c>
      <c r="K10">
        <f t="shared" si="4"/>
        <v>5332</v>
      </c>
      <c r="L10">
        <f t="shared" si="5"/>
        <v>1</v>
      </c>
      <c r="M10">
        <f t="shared" si="6"/>
        <v>0</v>
      </c>
      <c r="N10">
        <f t="shared" si="7"/>
        <v>0</v>
      </c>
    </row>
    <row r="11" spans="1:19" x14ac:dyDescent="0.35">
      <c r="A11" s="9">
        <v>44937926</v>
      </c>
      <c r="B11" s="10">
        <v>42919</v>
      </c>
      <c r="C11" s="11">
        <v>0.36178240740740741</v>
      </c>
      <c r="D11" s="12">
        <v>0.37260416666666668</v>
      </c>
      <c r="E11" s="20">
        <f t="shared" si="0"/>
        <v>1.0821759259259267E-2</v>
      </c>
      <c r="F11" t="str">
        <f t="shared" si="1"/>
        <v>komorkowy</v>
      </c>
      <c r="G11" s="23">
        <f t="shared" si="8"/>
        <v>4891</v>
      </c>
      <c r="H11">
        <f t="shared" si="9"/>
        <v>1376</v>
      </c>
      <c r="I11">
        <f t="shared" si="2"/>
        <v>0</v>
      </c>
      <c r="J11">
        <f t="shared" si="3"/>
        <v>0</v>
      </c>
      <c r="K11">
        <f t="shared" si="4"/>
        <v>6267</v>
      </c>
      <c r="L11">
        <f t="shared" si="5"/>
        <v>1</v>
      </c>
      <c r="M11">
        <f t="shared" si="6"/>
        <v>0</v>
      </c>
      <c r="N11">
        <f t="shared" si="7"/>
        <v>0</v>
      </c>
    </row>
    <row r="12" spans="1:19" x14ac:dyDescent="0.35">
      <c r="A12" s="5">
        <v>5816822</v>
      </c>
      <c r="B12" s="6">
        <v>42919</v>
      </c>
      <c r="C12" s="7">
        <v>0.36702546296296296</v>
      </c>
      <c r="D12" s="8">
        <v>0.37568287037037035</v>
      </c>
      <c r="E12" s="20">
        <f t="shared" si="0"/>
        <v>8.6574074074073915E-3</v>
      </c>
      <c r="F12" t="str">
        <f t="shared" si="1"/>
        <v>stacjonarny</v>
      </c>
      <c r="G12" s="23">
        <f t="shared" si="8"/>
        <v>5639</v>
      </c>
      <c r="H12">
        <f t="shared" si="9"/>
        <v>1376</v>
      </c>
      <c r="I12">
        <f t="shared" si="2"/>
        <v>0</v>
      </c>
      <c r="J12">
        <f t="shared" si="3"/>
        <v>0</v>
      </c>
      <c r="K12">
        <f t="shared" si="4"/>
        <v>7015</v>
      </c>
      <c r="L12">
        <f t="shared" si="5"/>
        <v>1</v>
      </c>
      <c r="M12">
        <f t="shared" si="6"/>
        <v>0</v>
      </c>
      <c r="N12">
        <f t="shared" si="7"/>
        <v>0</v>
      </c>
    </row>
    <row r="13" spans="1:19" x14ac:dyDescent="0.35">
      <c r="A13" s="9">
        <v>96191858</v>
      </c>
      <c r="B13" s="10">
        <v>42919</v>
      </c>
      <c r="C13" s="11">
        <v>0.36861111111111111</v>
      </c>
      <c r="D13" s="12">
        <v>0.37554398148148149</v>
      </c>
      <c r="E13" s="20">
        <f t="shared" si="0"/>
        <v>6.9328703703703809E-3</v>
      </c>
      <c r="F13" t="str">
        <f t="shared" si="1"/>
        <v>komorkowy</v>
      </c>
      <c r="G13" s="23">
        <f t="shared" si="8"/>
        <v>5639</v>
      </c>
      <c r="H13">
        <f t="shared" si="9"/>
        <v>1975</v>
      </c>
      <c r="I13">
        <f t="shared" si="2"/>
        <v>0</v>
      </c>
      <c r="J13">
        <f t="shared" si="3"/>
        <v>0</v>
      </c>
      <c r="K13">
        <f t="shared" si="4"/>
        <v>7614</v>
      </c>
      <c r="L13">
        <f t="shared" si="5"/>
        <v>1</v>
      </c>
      <c r="M13">
        <f t="shared" si="6"/>
        <v>0</v>
      </c>
      <c r="N13">
        <f t="shared" si="7"/>
        <v>0</v>
      </c>
    </row>
    <row r="14" spans="1:19" x14ac:dyDescent="0.35">
      <c r="A14" s="5">
        <v>47261256</v>
      </c>
      <c r="B14" s="6">
        <v>42919</v>
      </c>
      <c r="C14" s="7">
        <v>0.37017361111111113</v>
      </c>
      <c r="D14" s="8">
        <v>0.37328703703703703</v>
      </c>
      <c r="E14" s="20">
        <f t="shared" si="0"/>
        <v>3.1134259259258945E-3</v>
      </c>
      <c r="F14" t="str">
        <f t="shared" si="1"/>
        <v>komorkowy</v>
      </c>
      <c r="G14" s="23">
        <f t="shared" si="8"/>
        <v>5639</v>
      </c>
      <c r="H14">
        <f t="shared" si="9"/>
        <v>2244</v>
      </c>
      <c r="I14">
        <f t="shared" si="2"/>
        <v>0</v>
      </c>
      <c r="J14">
        <f t="shared" si="3"/>
        <v>0</v>
      </c>
      <c r="K14">
        <f t="shared" si="4"/>
        <v>7883</v>
      </c>
      <c r="L14">
        <f t="shared" si="5"/>
        <v>1</v>
      </c>
      <c r="M14">
        <f t="shared" si="6"/>
        <v>0</v>
      </c>
      <c r="N14">
        <f t="shared" si="7"/>
        <v>0</v>
      </c>
    </row>
    <row r="15" spans="1:19" x14ac:dyDescent="0.35">
      <c r="A15" s="9">
        <v>26204415</v>
      </c>
      <c r="B15" s="10">
        <v>42919</v>
      </c>
      <c r="C15" s="11">
        <v>0.37516203703703704</v>
      </c>
      <c r="D15" s="12">
        <v>0.38424768518518521</v>
      </c>
      <c r="E15" s="20">
        <f t="shared" si="0"/>
        <v>9.0856481481481621E-3</v>
      </c>
      <c r="F15" t="str">
        <f t="shared" si="1"/>
        <v>komorkowy</v>
      </c>
      <c r="G15" s="23">
        <f t="shared" si="8"/>
        <v>5639</v>
      </c>
      <c r="H15">
        <f t="shared" si="9"/>
        <v>3029</v>
      </c>
      <c r="I15">
        <f t="shared" si="2"/>
        <v>0</v>
      </c>
      <c r="J15">
        <f t="shared" si="3"/>
        <v>0</v>
      </c>
      <c r="K15">
        <f t="shared" si="4"/>
        <v>8668</v>
      </c>
      <c r="L15">
        <f t="shared" si="5"/>
        <v>1</v>
      </c>
      <c r="M15">
        <f t="shared" si="6"/>
        <v>0</v>
      </c>
      <c r="N15">
        <f t="shared" si="7"/>
        <v>0</v>
      </c>
    </row>
    <row r="16" spans="1:19" x14ac:dyDescent="0.35">
      <c r="A16" s="5">
        <v>22747425</v>
      </c>
      <c r="B16" s="6">
        <v>42919</v>
      </c>
      <c r="C16" s="7">
        <v>0.37719907407407405</v>
      </c>
      <c r="D16" s="8">
        <v>0.38513888888888886</v>
      </c>
      <c r="E16" s="20">
        <f t="shared" si="0"/>
        <v>7.9398148148148162E-3</v>
      </c>
      <c r="F16" t="str">
        <f t="shared" si="1"/>
        <v>komorkowy</v>
      </c>
      <c r="G16" s="23">
        <f t="shared" si="8"/>
        <v>5639</v>
      </c>
      <c r="H16">
        <f t="shared" si="9"/>
        <v>3715</v>
      </c>
      <c r="I16">
        <f t="shared" si="2"/>
        <v>0</v>
      </c>
      <c r="J16">
        <f t="shared" si="3"/>
        <v>0</v>
      </c>
      <c r="K16">
        <f t="shared" si="4"/>
        <v>9354</v>
      </c>
      <c r="L16">
        <f t="shared" si="5"/>
        <v>1</v>
      </c>
      <c r="M16">
        <f t="shared" si="6"/>
        <v>0</v>
      </c>
      <c r="N16">
        <f t="shared" si="7"/>
        <v>0</v>
      </c>
    </row>
    <row r="17" spans="1:14" x14ac:dyDescent="0.35">
      <c r="A17" s="9">
        <v>96191858</v>
      </c>
      <c r="B17" s="10">
        <v>42919</v>
      </c>
      <c r="C17" s="11">
        <v>0.37987268518518519</v>
      </c>
      <c r="D17" s="12">
        <v>0.38802083333333331</v>
      </c>
      <c r="E17" s="20">
        <f t="shared" si="0"/>
        <v>8.1481481481481266E-3</v>
      </c>
      <c r="F17" t="str">
        <f t="shared" si="1"/>
        <v>komorkowy</v>
      </c>
      <c r="G17" s="23">
        <f t="shared" si="8"/>
        <v>5639</v>
      </c>
      <c r="H17">
        <f t="shared" si="9"/>
        <v>4419</v>
      </c>
      <c r="I17">
        <f t="shared" si="2"/>
        <v>0</v>
      </c>
      <c r="J17">
        <f t="shared" si="3"/>
        <v>0</v>
      </c>
      <c r="K17">
        <f t="shared" si="4"/>
        <v>10058</v>
      </c>
      <c r="L17">
        <f t="shared" si="5"/>
        <v>1</v>
      </c>
      <c r="M17">
        <f t="shared" si="6"/>
        <v>0</v>
      </c>
      <c r="N17">
        <f t="shared" si="7"/>
        <v>0</v>
      </c>
    </row>
    <row r="18" spans="1:14" x14ac:dyDescent="0.35">
      <c r="A18" s="5">
        <v>5816822</v>
      </c>
      <c r="B18" s="6">
        <v>42919</v>
      </c>
      <c r="C18" s="7">
        <v>0.38123842592592594</v>
      </c>
      <c r="D18" s="8">
        <v>0.38390046296296299</v>
      </c>
      <c r="E18" s="20">
        <f t="shared" si="0"/>
        <v>2.6620370370370461E-3</v>
      </c>
      <c r="F18" t="str">
        <f t="shared" si="1"/>
        <v>stacjonarny</v>
      </c>
      <c r="G18" s="23">
        <f t="shared" si="8"/>
        <v>5869</v>
      </c>
      <c r="H18">
        <f t="shared" si="9"/>
        <v>4419</v>
      </c>
      <c r="I18">
        <f t="shared" si="2"/>
        <v>0</v>
      </c>
      <c r="J18">
        <f t="shared" si="3"/>
        <v>0</v>
      </c>
      <c r="K18">
        <f t="shared" si="4"/>
        <v>10288</v>
      </c>
      <c r="L18">
        <f t="shared" si="5"/>
        <v>1</v>
      </c>
      <c r="M18">
        <f t="shared" si="6"/>
        <v>0</v>
      </c>
      <c r="N18">
        <f t="shared" si="7"/>
        <v>0</v>
      </c>
    </row>
    <row r="19" spans="1:14" x14ac:dyDescent="0.35">
      <c r="A19" s="9">
        <v>3352943</v>
      </c>
      <c r="B19" s="10">
        <v>42919</v>
      </c>
      <c r="C19" s="11">
        <v>0.38701388888888888</v>
      </c>
      <c r="D19" s="12">
        <v>0.3943402777777778</v>
      </c>
      <c r="E19" s="20">
        <f t="shared" si="0"/>
        <v>7.3263888888889239E-3</v>
      </c>
      <c r="F19" t="str">
        <f t="shared" si="1"/>
        <v>stacjonarny</v>
      </c>
      <c r="G19" s="23">
        <f t="shared" si="8"/>
        <v>6502</v>
      </c>
      <c r="H19">
        <f t="shared" si="9"/>
        <v>4419</v>
      </c>
      <c r="I19">
        <f t="shared" si="2"/>
        <v>0</v>
      </c>
      <c r="J19">
        <f t="shared" si="3"/>
        <v>0</v>
      </c>
      <c r="K19">
        <f t="shared" si="4"/>
        <v>10921</v>
      </c>
      <c r="L19">
        <f t="shared" si="5"/>
        <v>1</v>
      </c>
      <c r="M19">
        <f t="shared" si="6"/>
        <v>0</v>
      </c>
      <c r="N19">
        <f t="shared" si="7"/>
        <v>0</v>
      </c>
    </row>
    <row r="20" spans="1:14" x14ac:dyDescent="0.35">
      <c r="A20" s="5">
        <v>35634368</v>
      </c>
      <c r="B20" s="6">
        <v>42919</v>
      </c>
      <c r="C20" s="7">
        <v>0.39181712962962961</v>
      </c>
      <c r="D20" s="8">
        <v>0.40334490740740742</v>
      </c>
      <c r="E20" s="20">
        <f t="shared" si="0"/>
        <v>1.1527777777777803E-2</v>
      </c>
      <c r="F20" t="str">
        <f t="shared" si="1"/>
        <v>komorkowy</v>
      </c>
      <c r="G20" s="23">
        <f t="shared" si="8"/>
        <v>6502</v>
      </c>
      <c r="H20">
        <f t="shared" si="9"/>
        <v>5415</v>
      </c>
      <c r="I20">
        <f t="shared" si="2"/>
        <v>0</v>
      </c>
      <c r="J20">
        <f t="shared" si="3"/>
        <v>0</v>
      </c>
      <c r="K20">
        <f t="shared" si="4"/>
        <v>11917</v>
      </c>
      <c r="L20">
        <f t="shared" si="5"/>
        <v>1</v>
      </c>
      <c r="M20">
        <f t="shared" si="6"/>
        <v>0</v>
      </c>
      <c r="N20">
        <f t="shared" si="7"/>
        <v>0</v>
      </c>
    </row>
    <row r="21" spans="1:14" x14ac:dyDescent="0.35">
      <c r="A21" s="9">
        <v>8313390</v>
      </c>
      <c r="B21" s="10">
        <v>42919</v>
      </c>
      <c r="C21" s="11">
        <v>0.39571759259259259</v>
      </c>
      <c r="D21" s="12">
        <v>0.39844907407407409</v>
      </c>
      <c r="E21" s="20">
        <f t="shared" si="0"/>
        <v>2.7314814814815014E-3</v>
      </c>
      <c r="F21" t="str">
        <f t="shared" si="1"/>
        <v>stacjonarny</v>
      </c>
      <c r="G21" s="23">
        <f t="shared" si="8"/>
        <v>6738</v>
      </c>
      <c r="H21">
        <f t="shared" si="9"/>
        <v>5415</v>
      </c>
      <c r="I21">
        <f t="shared" si="2"/>
        <v>0</v>
      </c>
      <c r="J21">
        <f t="shared" si="3"/>
        <v>0</v>
      </c>
      <c r="K21">
        <f t="shared" si="4"/>
        <v>12153</v>
      </c>
      <c r="L21">
        <f t="shared" si="5"/>
        <v>1</v>
      </c>
      <c r="M21">
        <f t="shared" si="6"/>
        <v>0</v>
      </c>
      <c r="N21">
        <f t="shared" si="7"/>
        <v>0</v>
      </c>
    </row>
    <row r="22" spans="1:14" x14ac:dyDescent="0.35">
      <c r="A22" s="5">
        <v>3954712</v>
      </c>
      <c r="B22" s="6">
        <v>42919</v>
      </c>
      <c r="C22" s="7">
        <v>0.39876157407407409</v>
      </c>
      <c r="D22" s="8">
        <v>0.40207175925925925</v>
      </c>
      <c r="E22" s="20">
        <f t="shared" si="0"/>
        <v>3.310185185185166E-3</v>
      </c>
      <c r="F22" t="str">
        <f t="shared" si="1"/>
        <v>stacjonarny</v>
      </c>
      <c r="G22" s="23">
        <f t="shared" si="8"/>
        <v>7024</v>
      </c>
      <c r="H22">
        <f t="shared" si="9"/>
        <v>5415</v>
      </c>
      <c r="I22">
        <f t="shared" si="2"/>
        <v>0</v>
      </c>
      <c r="J22">
        <f t="shared" si="3"/>
        <v>0</v>
      </c>
      <c r="K22">
        <f t="shared" si="4"/>
        <v>12439</v>
      </c>
      <c r="L22">
        <f t="shared" si="5"/>
        <v>1</v>
      </c>
      <c r="M22">
        <f t="shared" si="6"/>
        <v>0</v>
      </c>
      <c r="N22">
        <f t="shared" si="7"/>
        <v>0</v>
      </c>
    </row>
    <row r="23" spans="1:14" x14ac:dyDescent="0.35">
      <c r="A23" s="9">
        <v>2109147679</v>
      </c>
      <c r="B23" s="10">
        <v>42919</v>
      </c>
      <c r="C23" s="11">
        <v>0.40035879629629628</v>
      </c>
      <c r="D23" s="12">
        <v>0.41166666666666668</v>
      </c>
      <c r="E23" s="20">
        <f t="shared" si="0"/>
        <v>1.1307870370370399E-2</v>
      </c>
      <c r="F23" t="str">
        <f t="shared" si="1"/>
        <v>zagraniczny</v>
      </c>
      <c r="G23" s="23">
        <f t="shared" si="8"/>
        <v>7024</v>
      </c>
      <c r="H23">
        <f t="shared" si="9"/>
        <v>5415</v>
      </c>
      <c r="I23">
        <f t="shared" si="2"/>
        <v>977</v>
      </c>
      <c r="J23">
        <f t="shared" si="3"/>
        <v>17</v>
      </c>
      <c r="K23">
        <f t="shared" si="4"/>
        <v>12439</v>
      </c>
      <c r="L23">
        <f t="shared" si="5"/>
        <v>1</v>
      </c>
      <c r="M23">
        <f t="shared" si="6"/>
        <v>0</v>
      </c>
      <c r="N23">
        <f t="shared" si="7"/>
        <v>0</v>
      </c>
    </row>
    <row r="24" spans="1:14" x14ac:dyDescent="0.35">
      <c r="A24" s="5">
        <v>1787732</v>
      </c>
      <c r="B24" s="6">
        <v>42919</v>
      </c>
      <c r="C24" s="7">
        <v>0.4052546296296296</v>
      </c>
      <c r="D24" s="8">
        <v>0.41048611111111111</v>
      </c>
      <c r="E24" s="20">
        <f t="shared" si="0"/>
        <v>5.2314814814815036E-3</v>
      </c>
      <c r="F24" t="str">
        <f t="shared" si="1"/>
        <v>stacjonarny</v>
      </c>
      <c r="G24" s="23">
        <f t="shared" si="8"/>
        <v>7476</v>
      </c>
      <c r="H24">
        <f t="shared" si="9"/>
        <v>5415</v>
      </c>
      <c r="I24">
        <f t="shared" si="2"/>
        <v>0</v>
      </c>
      <c r="J24">
        <f t="shared" si="3"/>
        <v>0</v>
      </c>
      <c r="K24">
        <f t="shared" si="4"/>
        <v>12891</v>
      </c>
      <c r="L24">
        <f t="shared" si="5"/>
        <v>1</v>
      </c>
      <c r="M24">
        <f t="shared" si="6"/>
        <v>0</v>
      </c>
      <c r="N24">
        <f t="shared" si="7"/>
        <v>0</v>
      </c>
    </row>
    <row r="25" spans="1:14" x14ac:dyDescent="0.35">
      <c r="A25" s="9">
        <v>7834807</v>
      </c>
      <c r="B25" s="10">
        <v>42919</v>
      </c>
      <c r="C25" s="11">
        <v>0.40980324074074076</v>
      </c>
      <c r="D25" s="12">
        <v>0.41035879629629629</v>
      </c>
      <c r="E25" s="20">
        <f t="shared" si="0"/>
        <v>5.5555555555553138E-4</v>
      </c>
      <c r="F25" t="str">
        <f t="shared" si="1"/>
        <v>stacjonarny</v>
      </c>
      <c r="G25" s="23">
        <f t="shared" si="8"/>
        <v>7524</v>
      </c>
      <c r="H25">
        <f t="shared" si="9"/>
        <v>5415</v>
      </c>
      <c r="I25">
        <f t="shared" si="2"/>
        <v>0</v>
      </c>
      <c r="J25">
        <f t="shared" si="3"/>
        <v>0</v>
      </c>
      <c r="K25">
        <f t="shared" si="4"/>
        <v>12939</v>
      </c>
      <c r="L25">
        <f t="shared" si="5"/>
        <v>1</v>
      </c>
      <c r="M25">
        <f t="shared" si="6"/>
        <v>0</v>
      </c>
      <c r="N25">
        <f t="shared" si="7"/>
        <v>0</v>
      </c>
    </row>
    <row r="26" spans="1:14" x14ac:dyDescent="0.35">
      <c r="A26" s="5">
        <v>33320202</v>
      </c>
      <c r="B26" s="6">
        <v>42919</v>
      </c>
      <c r="C26" s="7">
        <v>0.41506944444444444</v>
      </c>
      <c r="D26" s="8">
        <v>0.42621527777777779</v>
      </c>
      <c r="E26" s="20">
        <f t="shared" si="0"/>
        <v>1.1145833333333355E-2</v>
      </c>
      <c r="F26" t="str">
        <f t="shared" si="1"/>
        <v>komorkowy</v>
      </c>
      <c r="G26" s="23">
        <f t="shared" si="8"/>
        <v>7524</v>
      </c>
      <c r="H26">
        <f t="shared" si="9"/>
        <v>6378</v>
      </c>
      <c r="I26">
        <f t="shared" si="2"/>
        <v>0</v>
      </c>
      <c r="J26">
        <f t="shared" si="3"/>
        <v>0</v>
      </c>
      <c r="K26">
        <f t="shared" si="4"/>
        <v>13902</v>
      </c>
      <c r="L26">
        <f t="shared" si="5"/>
        <v>1</v>
      </c>
      <c r="M26">
        <f t="shared" si="6"/>
        <v>0</v>
      </c>
      <c r="N26">
        <f t="shared" si="7"/>
        <v>0</v>
      </c>
    </row>
    <row r="27" spans="1:14" x14ac:dyDescent="0.35">
      <c r="A27" s="9">
        <v>1488369</v>
      </c>
      <c r="B27" s="10">
        <v>42919</v>
      </c>
      <c r="C27" s="11">
        <v>0.41612268518518519</v>
      </c>
      <c r="D27" s="12">
        <v>0.41756944444444444</v>
      </c>
      <c r="E27" s="20">
        <f t="shared" si="0"/>
        <v>1.4467592592592449E-3</v>
      </c>
      <c r="F27" t="str">
        <f t="shared" si="1"/>
        <v>stacjonarny</v>
      </c>
      <c r="G27" s="23">
        <f t="shared" si="8"/>
        <v>7649</v>
      </c>
      <c r="H27">
        <f t="shared" si="9"/>
        <v>6378</v>
      </c>
      <c r="I27">
        <f t="shared" si="2"/>
        <v>0</v>
      </c>
      <c r="J27">
        <f t="shared" si="3"/>
        <v>0</v>
      </c>
      <c r="K27">
        <f t="shared" si="4"/>
        <v>14027</v>
      </c>
      <c r="L27">
        <f t="shared" si="5"/>
        <v>1</v>
      </c>
      <c r="M27">
        <f t="shared" si="6"/>
        <v>0</v>
      </c>
      <c r="N27">
        <f t="shared" si="7"/>
        <v>0</v>
      </c>
    </row>
    <row r="28" spans="1:14" x14ac:dyDescent="0.35">
      <c r="A28" s="5">
        <v>2631285</v>
      </c>
      <c r="B28" s="6">
        <v>42919</v>
      </c>
      <c r="C28" s="7">
        <v>0.4176273148148148</v>
      </c>
      <c r="D28" s="8">
        <v>0.42375000000000002</v>
      </c>
      <c r="E28" s="20">
        <f t="shared" si="0"/>
        <v>6.1226851851852171E-3</v>
      </c>
      <c r="F28" t="str">
        <f t="shared" si="1"/>
        <v>stacjonarny</v>
      </c>
      <c r="G28" s="23">
        <f t="shared" si="8"/>
        <v>8178</v>
      </c>
      <c r="H28">
        <f t="shared" si="9"/>
        <v>6378</v>
      </c>
      <c r="I28">
        <f t="shared" si="2"/>
        <v>0</v>
      </c>
      <c r="J28">
        <f t="shared" si="3"/>
        <v>0</v>
      </c>
      <c r="K28">
        <f t="shared" si="4"/>
        <v>14556</v>
      </c>
      <c r="L28">
        <f t="shared" si="5"/>
        <v>1</v>
      </c>
      <c r="M28">
        <f t="shared" si="6"/>
        <v>0</v>
      </c>
      <c r="N28">
        <f t="shared" si="7"/>
        <v>0</v>
      </c>
    </row>
    <row r="29" spans="1:14" x14ac:dyDescent="0.35">
      <c r="A29" s="9">
        <v>7415603</v>
      </c>
      <c r="B29" s="10">
        <v>42919</v>
      </c>
      <c r="C29" s="11">
        <v>0.42078703703703701</v>
      </c>
      <c r="D29" s="12">
        <v>0.43216435185185187</v>
      </c>
      <c r="E29" s="20">
        <f t="shared" si="0"/>
        <v>1.1377314814814854E-2</v>
      </c>
      <c r="F29" t="str">
        <f t="shared" si="1"/>
        <v>stacjonarny</v>
      </c>
      <c r="G29" s="23">
        <f t="shared" si="8"/>
        <v>9161</v>
      </c>
      <c r="H29">
        <f t="shared" si="9"/>
        <v>6378</v>
      </c>
      <c r="I29">
        <f t="shared" si="2"/>
        <v>0</v>
      </c>
      <c r="J29">
        <f t="shared" si="3"/>
        <v>0</v>
      </c>
      <c r="K29">
        <f t="shared" si="4"/>
        <v>15539</v>
      </c>
      <c r="L29">
        <f t="shared" si="5"/>
        <v>1</v>
      </c>
      <c r="M29">
        <f t="shared" si="6"/>
        <v>0</v>
      </c>
      <c r="N29">
        <f t="shared" si="7"/>
        <v>0</v>
      </c>
    </row>
    <row r="30" spans="1:14" x14ac:dyDescent="0.35">
      <c r="A30" s="5">
        <v>96375379</v>
      </c>
      <c r="B30" s="6">
        <v>42919</v>
      </c>
      <c r="C30" s="7">
        <v>0.42447916666666669</v>
      </c>
      <c r="D30" s="8">
        <v>0.42660879629629628</v>
      </c>
      <c r="E30" s="20">
        <f t="shared" si="0"/>
        <v>2.1296296296295925E-3</v>
      </c>
      <c r="F30" t="str">
        <f t="shared" si="1"/>
        <v>komorkowy</v>
      </c>
      <c r="G30" s="23">
        <f t="shared" si="8"/>
        <v>9161</v>
      </c>
      <c r="H30">
        <f t="shared" si="9"/>
        <v>6562</v>
      </c>
      <c r="I30">
        <f t="shared" si="2"/>
        <v>0</v>
      </c>
      <c r="J30">
        <f t="shared" si="3"/>
        <v>0</v>
      </c>
      <c r="K30">
        <f t="shared" si="4"/>
        <v>15723</v>
      </c>
      <c r="L30">
        <f t="shared" si="5"/>
        <v>1</v>
      </c>
      <c r="M30">
        <f t="shared" si="6"/>
        <v>0</v>
      </c>
      <c r="N30">
        <f t="shared" si="7"/>
        <v>0</v>
      </c>
    </row>
    <row r="31" spans="1:14" x14ac:dyDescent="0.35">
      <c r="A31" s="9">
        <v>6976431</v>
      </c>
      <c r="B31" s="10">
        <v>42919</v>
      </c>
      <c r="C31" s="11">
        <v>0.4281712962962963</v>
      </c>
      <c r="D31" s="12">
        <v>0.43692129629629628</v>
      </c>
      <c r="E31" s="20">
        <f t="shared" si="0"/>
        <v>8.74999999999998E-3</v>
      </c>
      <c r="F31" t="str">
        <f t="shared" si="1"/>
        <v>stacjonarny</v>
      </c>
      <c r="G31" s="23">
        <f t="shared" si="8"/>
        <v>9917</v>
      </c>
      <c r="H31">
        <f t="shared" si="9"/>
        <v>6562</v>
      </c>
      <c r="I31">
        <f t="shared" si="2"/>
        <v>0</v>
      </c>
      <c r="J31">
        <f t="shared" si="3"/>
        <v>0</v>
      </c>
      <c r="K31">
        <f t="shared" si="4"/>
        <v>16479</v>
      </c>
      <c r="L31">
        <f t="shared" si="5"/>
        <v>1</v>
      </c>
      <c r="M31">
        <f t="shared" si="6"/>
        <v>0</v>
      </c>
      <c r="N31">
        <f t="shared" si="7"/>
        <v>0</v>
      </c>
    </row>
    <row r="32" spans="1:14" x14ac:dyDescent="0.35">
      <c r="A32" s="5">
        <v>4093292</v>
      </c>
      <c r="B32" s="6">
        <v>42919</v>
      </c>
      <c r="C32" s="7">
        <v>0.43038194444444444</v>
      </c>
      <c r="D32" s="8">
        <v>0.43494212962962964</v>
      </c>
      <c r="E32" s="20">
        <f t="shared" si="0"/>
        <v>4.5601851851851949E-3</v>
      </c>
      <c r="F32" t="str">
        <f t="shared" si="1"/>
        <v>stacjonarny</v>
      </c>
      <c r="G32" s="23">
        <f t="shared" si="8"/>
        <v>10311</v>
      </c>
      <c r="H32">
        <f t="shared" si="9"/>
        <v>6562</v>
      </c>
      <c r="I32">
        <f t="shared" si="2"/>
        <v>0</v>
      </c>
      <c r="J32">
        <f t="shared" si="3"/>
        <v>0</v>
      </c>
      <c r="K32">
        <f t="shared" si="4"/>
        <v>16873</v>
      </c>
      <c r="L32">
        <f t="shared" si="5"/>
        <v>1</v>
      </c>
      <c r="M32">
        <f t="shared" si="6"/>
        <v>0</v>
      </c>
      <c r="N32">
        <f t="shared" si="7"/>
        <v>0</v>
      </c>
    </row>
    <row r="33" spans="1:14" x14ac:dyDescent="0.35">
      <c r="A33" s="9">
        <v>6312575</v>
      </c>
      <c r="B33" s="10">
        <v>42919</v>
      </c>
      <c r="C33" s="11">
        <v>0.4309837962962963</v>
      </c>
      <c r="D33" s="12">
        <v>0.43748842592592591</v>
      </c>
      <c r="E33" s="20">
        <f t="shared" si="0"/>
        <v>6.5046296296296102E-3</v>
      </c>
      <c r="F33" t="str">
        <f t="shared" si="1"/>
        <v>stacjonarny</v>
      </c>
      <c r="G33" s="23">
        <f t="shared" si="8"/>
        <v>10873</v>
      </c>
      <c r="H33">
        <f t="shared" si="9"/>
        <v>6562</v>
      </c>
      <c r="I33">
        <f t="shared" si="2"/>
        <v>0</v>
      </c>
      <c r="J33">
        <f t="shared" si="3"/>
        <v>0</v>
      </c>
      <c r="K33">
        <f t="shared" si="4"/>
        <v>17435</v>
      </c>
      <c r="L33">
        <f t="shared" si="5"/>
        <v>1</v>
      </c>
      <c r="M33">
        <f t="shared" si="6"/>
        <v>0</v>
      </c>
      <c r="N33">
        <f t="shared" si="7"/>
        <v>0</v>
      </c>
    </row>
    <row r="34" spans="1:14" x14ac:dyDescent="0.35">
      <c r="A34" s="5">
        <v>38535407</v>
      </c>
      <c r="B34" s="6">
        <v>42919</v>
      </c>
      <c r="C34" s="7">
        <v>0.43593749999999998</v>
      </c>
      <c r="D34" s="8">
        <v>0.44417824074074075</v>
      </c>
      <c r="E34" s="20">
        <f t="shared" si="0"/>
        <v>8.2407407407407707E-3</v>
      </c>
      <c r="F34" t="str">
        <f t="shared" si="1"/>
        <v>komorkowy</v>
      </c>
      <c r="G34" s="23">
        <f t="shared" si="8"/>
        <v>10873</v>
      </c>
      <c r="H34">
        <f t="shared" si="9"/>
        <v>7274</v>
      </c>
      <c r="I34">
        <f t="shared" si="2"/>
        <v>0</v>
      </c>
      <c r="J34">
        <f t="shared" si="3"/>
        <v>0</v>
      </c>
      <c r="K34">
        <f t="shared" si="4"/>
        <v>18147</v>
      </c>
      <c r="L34">
        <f t="shared" si="5"/>
        <v>1</v>
      </c>
      <c r="M34">
        <f t="shared" si="6"/>
        <v>0</v>
      </c>
      <c r="N34">
        <f t="shared" si="7"/>
        <v>0</v>
      </c>
    </row>
    <row r="35" spans="1:14" x14ac:dyDescent="0.35">
      <c r="A35" s="9">
        <v>38535407</v>
      </c>
      <c r="B35" s="10">
        <v>42919</v>
      </c>
      <c r="C35" s="11">
        <v>0.43824074074074076</v>
      </c>
      <c r="D35" s="12">
        <v>0.43913194444444442</v>
      </c>
      <c r="E35" s="20">
        <f t="shared" si="0"/>
        <v>8.9120370370365798E-4</v>
      </c>
      <c r="F35" t="str">
        <f t="shared" si="1"/>
        <v>komorkowy</v>
      </c>
      <c r="G35" s="23">
        <f t="shared" si="8"/>
        <v>10873</v>
      </c>
      <c r="H35">
        <f t="shared" si="9"/>
        <v>7351</v>
      </c>
      <c r="I35">
        <f t="shared" si="2"/>
        <v>0</v>
      </c>
      <c r="J35">
        <f t="shared" si="3"/>
        <v>0</v>
      </c>
      <c r="K35">
        <f t="shared" si="4"/>
        <v>18224</v>
      </c>
      <c r="L35">
        <f t="shared" si="5"/>
        <v>1</v>
      </c>
      <c r="M35">
        <f t="shared" si="6"/>
        <v>0</v>
      </c>
      <c r="N35">
        <f t="shared" si="7"/>
        <v>0</v>
      </c>
    </row>
    <row r="36" spans="1:14" x14ac:dyDescent="0.35">
      <c r="A36" s="5">
        <v>9413315</v>
      </c>
      <c r="B36" s="6">
        <v>42919</v>
      </c>
      <c r="C36" s="7">
        <v>0.44313657407407409</v>
      </c>
      <c r="D36" s="8">
        <v>0.45300925925925928</v>
      </c>
      <c r="E36" s="20">
        <f t="shared" si="0"/>
        <v>9.8726851851851927E-3</v>
      </c>
      <c r="F36" t="str">
        <f t="shared" si="1"/>
        <v>stacjonarny</v>
      </c>
      <c r="G36" s="23">
        <f t="shared" si="8"/>
        <v>11726</v>
      </c>
      <c r="H36">
        <f t="shared" si="9"/>
        <v>7351</v>
      </c>
      <c r="I36">
        <f t="shared" si="2"/>
        <v>0</v>
      </c>
      <c r="J36">
        <f t="shared" si="3"/>
        <v>0</v>
      </c>
      <c r="K36">
        <f t="shared" si="4"/>
        <v>19077</v>
      </c>
      <c r="L36">
        <f t="shared" si="5"/>
        <v>1</v>
      </c>
      <c r="M36">
        <f t="shared" si="6"/>
        <v>0</v>
      </c>
      <c r="N36">
        <f t="shared" si="7"/>
        <v>0</v>
      </c>
    </row>
    <row r="37" spans="1:14" x14ac:dyDescent="0.35">
      <c r="A37" s="9">
        <v>8514016</v>
      </c>
      <c r="B37" s="10">
        <v>42919</v>
      </c>
      <c r="C37" s="11">
        <v>0.44778935185185187</v>
      </c>
      <c r="D37" s="12">
        <v>0.44998842592592592</v>
      </c>
      <c r="E37" s="20">
        <f t="shared" si="0"/>
        <v>2.1990740740740478E-3</v>
      </c>
      <c r="F37" t="str">
        <f t="shared" si="1"/>
        <v>stacjonarny</v>
      </c>
      <c r="G37" s="23">
        <f t="shared" si="8"/>
        <v>11916</v>
      </c>
      <c r="H37">
        <f t="shared" si="9"/>
        <v>7351</v>
      </c>
      <c r="I37">
        <f t="shared" si="2"/>
        <v>0</v>
      </c>
      <c r="J37">
        <f t="shared" si="3"/>
        <v>0</v>
      </c>
      <c r="K37">
        <f t="shared" si="4"/>
        <v>19267</v>
      </c>
      <c r="L37">
        <f t="shared" si="5"/>
        <v>1</v>
      </c>
      <c r="M37">
        <f t="shared" si="6"/>
        <v>0</v>
      </c>
      <c r="N37">
        <f t="shared" si="7"/>
        <v>0</v>
      </c>
    </row>
    <row r="38" spans="1:14" x14ac:dyDescent="0.35">
      <c r="A38" s="5">
        <v>40965486</v>
      </c>
      <c r="B38" s="6">
        <v>42919</v>
      </c>
      <c r="C38" s="7">
        <v>0.44945601851851852</v>
      </c>
      <c r="D38" s="8">
        <v>0.46011574074074074</v>
      </c>
      <c r="E38" s="20">
        <f t="shared" si="0"/>
        <v>1.0659722222222223E-2</v>
      </c>
      <c r="F38" t="str">
        <f t="shared" si="1"/>
        <v>komorkowy</v>
      </c>
      <c r="G38" s="23">
        <f t="shared" si="8"/>
        <v>11916</v>
      </c>
      <c r="H38">
        <f t="shared" si="9"/>
        <v>8272</v>
      </c>
      <c r="I38">
        <f t="shared" si="2"/>
        <v>0</v>
      </c>
      <c r="J38">
        <f t="shared" si="3"/>
        <v>0</v>
      </c>
      <c r="K38">
        <f t="shared" si="4"/>
        <v>20188</v>
      </c>
      <c r="L38">
        <f t="shared" si="5"/>
        <v>1</v>
      </c>
      <c r="M38">
        <f t="shared" si="6"/>
        <v>0</v>
      </c>
      <c r="N38">
        <f t="shared" si="7"/>
        <v>0</v>
      </c>
    </row>
    <row r="39" spans="1:14" x14ac:dyDescent="0.35">
      <c r="A39" s="9">
        <v>4546455</v>
      </c>
      <c r="B39" s="10">
        <v>42919</v>
      </c>
      <c r="C39" s="11">
        <v>0.45270833333333332</v>
      </c>
      <c r="D39" s="12">
        <v>0.45620370370370372</v>
      </c>
      <c r="E39" s="20">
        <f t="shared" si="0"/>
        <v>3.4953703703703987E-3</v>
      </c>
      <c r="F39" t="str">
        <f t="shared" si="1"/>
        <v>stacjonarny</v>
      </c>
      <c r="G39" s="23">
        <f t="shared" si="8"/>
        <v>12218</v>
      </c>
      <c r="H39">
        <f t="shared" si="9"/>
        <v>8272</v>
      </c>
      <c r="I39">
        <f t="shared" si="2"/>
        <v>0</v>
      </c>
      <c r="J39">
        <f t="shared" si="3"/>
        <v>0</v>
      </c>
      <c r="K39">
        <f t="shared" si="4"/>
        <v>20490</v>
      </c>
      <c r="L39">
        <f t="shared" si="5"/>
        <v>1</v>
      </c>
      <c r="M39">
        <f t="shared" si="6"/>
        <v>0</v>
      </c>
      <c r="N39">
        <f t="shared" si="7"/>
        <v>0</v>
      </c>
    </row>
    <row r="40" spans="1:14" x14ac:dyDescent="0.35">
      <c r="A40" s="5">
        <v>1435049</v>
      </c>
      <c r="B40" s="6">
        <v>42919</v>
      </c>
      <c r="C40" s="7">
        <v>0.45494212962962965</v>
      </c>
      <c r="D40" s="8">
        <v>0.45567129629629627</v>
      </c>
      <c r="E40" s="20">
        <f t="shared" si="0"/>
        <v>7.2916666666661412E-4</v>
      </c>
      <c r="F40" t="str">
        <f t="shared" si="1"/>
        <v>stacjonarny</v>
      </c>
      <c r="G40" s="23">
        <f t="shared" si="8"/>
        <v>12281</v>
      </c>
      <c r="H40">
        <f t="shared" si="9"/>
        <v>8272</v>
      </c>
      <c r="I40">
        <f t="shared" si="2"/>
        <v>0</v>
      </c>
      <c r="J40">
        <f t="shared" si="3"/>
        <v>0</v>
      </c>
      <c r="K40">
        <f t="shared" si="4"/>
        <v>20553</v>
      </c>
      <c r="L40">
        <f t="shared" si="5"/>
        <v>1</v>
      </c>
      <c r="M40">
        <f t="shared" si="6"/>
        <v>0</v>
      </c>
      <c r="N40">
        <f t="shared" si="7"/>
        <v>0</v>
      </c>
    </row>
    <row r="41" spans="1:14" x14ac:dyDescent="0.35">
      <c r="A41" s="9">
        <v>85598139</v>
      </c>
      <c r="B41" s="10">
        <v>42919</v>
      </c>
      <c r="C41" s="11">
        <v>0.45608796296296295</v>
      </c>
      <c r="D41" s="12">
        <v>0.46314814814814814</v>
      </c>
      <c r="E41" s="20">
        <f t="shared" si="0"/>
        <v>7.0601851851851971E-3</v>
      </c>
      <c r="F41" t="str">
        <f t="shared" si="1"/>
        <v>komorkowy</v>
      </c>
      <c r="G41" s="23">
        <f t="shared" si="8"/>
        <v>12281</v>
      </c>
      <c r="H41">
        <f t="shared" si="9"/>
        <v>8882</v>
      </c>
      <c r="I41">
        <f t="shared" si="2"/>
        <v>0</v>
      </c>
      <c r="J41">
        <f t="shared" si="3"/>
        <v>0</v>
      </c>
      <c r="K41">
        <f t="shared" si="4"/>
        <v>21163</v>
      </c>
      <c r="L41">
        <f t="shared" si="5"/>
        <v>1</v>
      </c>
      <c r="M41">
        <f t="shared" si="6"/>
        <v>0</v>
      </c>
      <c r="N41">
        <f t="shared" si="7"/>
        <v>0</v>
      </c>
    </row>
    <row r="42" spans="1:14" x14ac:dyDescent="0.35">
      <c r="A42" s="5">
        <v>1787732</v>
      </c>
      <c r="B42" s="6">
        <v>42919</v>
      </c>
      <c r="C42" s="7">
        <v>0.46151620370370372</v>
      </c>
      <c r="D42" s="8">
        <v>0.46546296296296297</v>
      </c>
      <c r="E42" s="20">
        <f t="shared" si="0"/>
        <v>3.9467592592592471E-3</v>
      </c>
      <c r="F42" t="str">
        <f t="shared" si="1"/>
        <v>stacjonarny</v>
      </c>
      <c r="G42" s="23">
        <f t="shared" si="8"/>
        <v>12622</v>
      </c>
      <c r="H42">
        <f t="shared" si="9"/>
        <v>8882</v>
      </c>
      <c r="I42">
        <f t="shared" si="2"/>
        <v>0</v>
      </c>
      <c r="J42">
        <f t="shared" si="3"/>
        <v>0</v>
      </c>
      <c r="K42">
        <f t="shared" si="4"/>
        <v>21504</v>
      </c>
      <c r="L42">
        <f t="shared" si="5"/>
        <v>1</v>
      </c>
      <c r="M42">
        <f t="shared" si="6"/>
        <v>0</v>
      </c>
      <c r="N42">
        <f t="shared" si="7"/>
        <v>0</v>
      </c>
    </row>
    <row r="43" spans="1:14" x14ac:dyDescent="0.35">
      <c r="A43" s="9">
        <v>1926053</v>
      </c>
      <c r="B43" s="10">
        <v>42919</v>
      </c>
      <c r="C43" s="11">
        <v>0.46155092592592595</v>
      </c>
      <c r="D43" s="12">
        <v>0.46766203703703701</v>
      </c>
      <c r="E43" s="20">
        <f t="shared" si="0"/>
        <v>6.1111111111110672E-3</v>
      </c>
      <c r="F43" t="str">
        <f t="shared" si="1"/>
        <v>stacjonarny</v>
      </c>
      <c r="G43" s="23">
        <f t="shared" si="8"/>
        <v>13150</v>
      </c>
      <c r="H43">
        <f t="shared" si="9"/>
        <v>8882</v>
      </c>
      <c r="I43">
        <f t="shared" si="2"/>
        <v>0</v>
      </c>
      <c r="J43">
        <f t="shared" si="3"/>
        <v>0</v>
      </c>
      <c r="K43">
        <f t="shared" si="4"/>
        <v>22032</v>
      </c>
      <c r="L43">
        <f t="shared" si="5"/>
        <v>1</v>
      </c>
      <c r="M43">
        <f t="shared" si="6"/>
        <v>0</v>
      </c>
      <c r="N43">
        <f t="shared" si="7"/>
        <v>0</v>
      </c>
    </row>
    <row r="44" spans="1:14" x14ac:dyDescent="0.35">
      <c r="A44" s="5">
        <v>82949156</v>
      </c>
      <c r="B44" s="6">
        <v>42919</v>
      </c>
      <c r="C44" s="7">
        <v>0.46224537037037039</v>
      </c>
      <c r="D44" s="8">
        <v>0.46390046296296295</v>
      </c>
      <c r="E44" s="20">
        <f t="shared" si="0"/>
        <v>1.6550925925925553E-3</v>
      </c>
      <c r="F44" t="str">
        <f t="shared" si="1"/>
        <v>komorkowy</v>
      </c>
      <c r="G44" s="23">
        <f t="shared" si="8"/>
        <v>13150</v>
      </c>
      <c r="H44">
        <f t="shared" si="9"/>
        <v>9025</v>
      </c>
      <c r="I44">
        <f t="shared" si="2"/>
        <v>0</v>
      </c>
      <c r="J44">
        <f t="shared" si="3"/>
        <v>0</v>
      </c>
      <c r="K44">
        <f t="shared" si="4"/>
        <v>22175</v>
      </c>
      <c r="L44">
        <f t="shared" si="5"/>
        <v>1</v>
      </c>
      <c r="M44">
        <f t="shared" si="6"/>
        <v>0</v>
      </c>
      <c r="N44">
        <f t="shared" si="7"/>
        <v>0</v>
      </c>
    </row>
    <row r="45" spans="1:14" x14ac:dyDescent="0.35">
      <c r="A45" s="9">
        <v>73690742</v>
      </c>
      <c r="B45" s="10">
        <v>42919</v>
      </c>
      <c r="C45" s="11">
        <v>0.46766203703703701</v>
      </c>
      <c r="D45" s="12">
        <v>0.4767939814814815</v>
      </c>
      <c r="E45" s="20">
        <f t="shared" si="0"/>
        <v>9.1319444444444842E-3</v>
      </c>
      <c r="F45" t="str">
        <f t="shared" si="1"/>
        <v>komorkowy</v>
      </c>
      <c r="G45" s="23">
        <f t="shared" si="8"/>
        <v>13150</v>
      </c>
      <c r="H45">
        <f t="shared" si="9"/>
        <v>9814</v>
      </c>
      <c r="I45">
        <f t="shared" si="2"/>
        <v>0</v>
      </c>
      <c r="J45">
        <f t="shared" si="3"/>
        <v>0</v>
      </c>
      <c r="K45">
        <f t="shared" si="4"/>
        <v>22964</v>
      </c>
      <c r="L45">
        <f t="shared" si="5"/>
        <v>1</v>
      </c>
      <c r="M45">
        <f t="shared" si="6"/>
        <v>0</v>
      </c>
      <c r="N45">
        <f t="shared" si="7"/>
        <v>0</v>
      </c>
    </row>
    <row r="46" spans="1:14" x14ac:dyDescent="0.35">
      <c r="A46" s="5">
        <v>5107477025</v>
      </c>
      <c r="B46" s="6">
        <v>42919</v>
      </c>
      <c r="C46" s="7">
        <v>0.47125</v>
      </c>
      <c r="D46" s="8">
        <v>0.47871527777777778</v>
      </c>
      <c r="E46" s="20">
        <f t="shared" si="0"/>
        <v>7.465277777777779E-3</v>
      </c>
      <c r="F46" t="str">
        <f t="shared" si="1"/>
        <v>zagraniczny</v>
      </c>
      <c r="G46" s="23">
        <f t="shared" si="8"/>
        <v>13150</v>
      </c>
      <c r="H46">
        <f t="shared" si="9"/>
        <v>9814</v>
      </c>
      <c r="I46">
        <f t="shared" si="2"/>
        <v>645</v>
      </c>
      <c r="J46">
        <f t="shared" si="3"/>
        <v>11</v>
      </c>
      <c r="K46">
        <f t="shared" si="4"/>
        <v>22964</v>
      </c>
      <c r="L46">
        <f t="shared" si="5"/>
        <v>1</v>
      </c>
      <c r="M46">
        <f t="shared" si="6"/>
        <v>0</v>
      </c>
      <c r="N46">
        <f t="shared" si="7"/>
        <v>0</v>
      </c>
    </row>
    <row r="47" spans="1:14" x14ac:dyDescent="0.35">
      <c r="A47" s="9">
        <v>4787793</v>
      </c>
      <c r="B47" s="10">
        <v>42919</v>
      </c>
      <c r="C47" s="11">
        <v>0.47584490740740742</v>
      </c>
      <c r="D47" s="12">
        <v>0.48518518518518516</v>
      </c>
      <c r="E47" s="20">
        <f t="shared" si="0"/>
        <v>9.340277777777739E-3</v>
      </c>
      <c r="F47" t="str">
        <f t="shared" si="1"/>
        <v>stacjonarny</v>
      </c>
      <c r="G47" s="23">
        <f t="shared" si="8"/>
        <v>13957</v>
      </c>
      <c r="H47">
        <f t="shared" si="9"/>
        <v>9814</v>
      </c>
      <c r="I47">
        <f t="shared" si="2"/>
        <v>0</v>
      </c>
      <c r="J47">
        <f t="shared" si="3"/>
        <v>0</v>
      </c>
      <c r="K47">
        <f t="shared" si="4"/>
        <v>23771</v>
      </c>
      <c r="L47">
        <f t="shared" si="5"/>
        <v>1</v>
      </c>
      <c r="M47">
        <f t="shared" si="6"/>
        <v>0</v>
      </c>
      <c r="N47">
        <f t="shared" si="7"/>
        <v>0</v>
      </c>
    </row>
    <row r="48" spans="1:14" x14ac:dyDescent="0.35">
      <c r="A48" s="5">
        <v>79381100</v>
      </c>
      <c r="B48" s="6">
        <v>42919</v>
      </c>
      <c r="C48" s="7">
        <v>0.48078703703703701</v>
      </c>
      <c r="D48" s="8">
        <v>0.48550925925925925</v>
      </c>
      <c r="E48" s="20">
        <f t="shared" si="0"/>
        <v>4.7222222222222388E-3</v>
      </c>
      <c r="F48" t="str">
        <f t="shared" si="1"/>
        <v>komorkowy</v>
      </c>
      <c r="G48" s="23">
        <f t="shared" si="8"/>
        <v>13957</v>
      </c>
      <c r="H48">
        <f t="shared" si="9"/>
        <v>10222</v>
      </c>
      <c r="I48">
        <f t="shared" si="2"/>
        <v>0</v>
      </c>
      <c r="J48">
        <f t="shared" si="3"/>
        <v>0</v>
      </c>
      <c r="K48">
        <f t="shared" si="4"/>
        <v>24179</v>
      </c>
      <c r="L48">
        <f t="shared" si="5"/>
        <v>1</v>
      </c>
      <c r="M48">
        <f t="shared" si="6"/>
        <v>0</v>
      </c>
      <c r="N48">
        <f t="shared" si="7"/>
        <v>0</v>
      </c>
    </row>
    <row r="49" spans="1:14" x14ac:dyDescent="0.35">
      <c r="A49" s="9">
        <v>4146159</v>
      </c>
      <c r="B49" s="10">
        <v>42919</v>
      </c>
      <c r="C49" s="11">
        <v>0.48123842592592592</v>
      </c>
      <c r="D49" s="12">
        <v>0.49261574074074072</v>
      </c>
      <c r="E49" s="20">
        <f t="shared" si="0"/>
        <v>1.1377314814814798E-2</v>
      </c>
      <c r="F49" t="str">
        <f t="shared" si="1"/>
        <v>stacjonarny</v>
      </c>
      <c r="G49" s="23">
        <f t="shared" si="8"/>
        <v>14940</v>
      </c>
      <c r="H49">
        <f t="shared" si="9"/>
        <v>10222</v>
      </c>
      <c r="I49">
        <f t="shared" si="2"/>
        <v>0</v>
      </c>
      <c r="J49">
        <f t="shared" si="3"/>
        <v>0</v>
      </c>
      <c r="K49">
        <f t="shared" si="4"/>
        <v>25162</v>
      </c>
      <c r="L49">
        <f t="shared" si="5"/>
        <v>1</v>
      </c>
      <c r="M49">
        <f t="shared" si="6"/>
        <v>0</v>
      </c>
      <c r="N49">
        <f t="shared" si="7"/>
        <v>0</v>
      </c>
    </row>
    <row r="50" spans="1:14" x14ac:dyDescent="0.35">
      <c r="A50" s="5">
        <v>13484133</v>
      </c>
      <c r="B50" s="6">
        <v>42919</v>
      </c>
      <c r="C50" s="7">
        <v>0.48254629629629631</v>
      </c>
      <c r="D50" s="8">
        <v>0.48739583333333331</v>
      </c>
      <c r="E50" s="20">
        <f t="shared" si="0"/>
        <v>4.8495370370369995E-3</v>
      </c>
      <c r="F50" t="str">
        <f t="shared" si="1"/>
        <v>komorkowy</v>
      </c>
      <c r="G50" s="23">
        <f t="shared" si="8"/>
        <v>14940</v>
      </c>
      <c r="H50">
        <f t="shared" si="9"/>
        <v>10641</v>
      </c>
      <c r="I50">
        <f t="shared" si="2"/>
        <v>0</v>
      </c>
      <c r="J50">
        <f t="shared" si="3"/>
        <v>0</v>
      </c>
      <c r="K50">
        <f t="shared" si="4"/>
        <v>25581</v>
      </c>
      <c r="L50">
        <f t="shared" si="5"/>
        <v>1</v>
      </c>
      <c r="M50">
        <f t="shared" si="6"/>
        <v>0</v>
      </c>
      <c r="N50">
        <f t="shared" si="7"/>
        <v>0</v>
      </c>
    </row>
    <row r="51" spans="1:14" x14ac:dyDescent="0.35">
      <c r="A51" s="9">
        <v>4657345</v>
      </c>
      <c r="B51" s="10">
        <v>42919</v>
      </c>
      <c r="C51" s="11">
        <v>0.48489583333333336</v>
      </c>
      <c r="D51" s="12">
        <v>0.48734953703703704</v>
      </c>
      <c r="E51" s="20">
        <f t="shared" si="0"/>
        <v>2.4537037037036802E-3</v>
      </c>
      <c r="F51" t="str">
        <f t="shared" si="1"/>
        <v>stacjonarny</v>
      </c>
      <c r="G51" s="23">
        <f t="shared" si="8"/>
        <v>15152</v>
      </c>
      <c r="H51">
        <f t="shared" si="9"/>
        <v>10641</v>
      </c>
      <c r="I51">
        <f t="shared" si="2"/>
        <v>0</v>
      </c>
      <c r="J51">
        <f t="shared" si="3"/>
        <v>0</v>
      </c>
      <c r="K51">
        <f t="shared" si="4"/>
        <v>25793</v>
      </c>
      <c r="L51">
        <f t="shared" si="5"/>
        <v>1</v>
      </c>
      <c r="M51">
        <f t="shared" si="6"/>
        <v>0</v>
      </c>
      <c r="N51">
        <f t="shared" si="7"/>
        <v>0</v>
      </c>
    </row>
    <row r="52" spans="1:14" x14ac:dyDescent="0.35">
      <c r="A52" s="5">
        <v>3697935</v>
      </c>
      <c r="B52" s="6">
        <v>42919</v>
      </c>
      <c r="C52" s="7">
        <v>0.49054398148148148</v>
      </c>
      <c r="D52" s="8">
        <v>0.49251157407407409</v>
      </c>
      <c r="E52" s="20">
        <f t="shared" si="0"/>
        <v>1.9675925925926041E-3</v>
      </c>
      <c r="F52" t="str">
        <f t="shared" si="1"/>
        <v>stacjonarny</v>
      </c>
      <c r="G52" s="23">
        <f t="shared" si="8"/>
        <v>15322</v>
      </c>
      <c r="H52">
        <f t="shared" si="9"/>
        <v>10641</v>
      </c>
      <c r="I52">
        <f t="shared" si="2"/>
        <v>0</v>
      </c>
      <c r="J52">
        <f t="shared" si="3"/>
        <v>0</v>
      </c>
      <c r="K52">
        <f t="shared" si="4"/>
        <v>25963</v>
      </c>
      <c r="L52">
        <f t="shared" si="5"/>
        <v>1</v>
      </c>
      <c r="M52">
        <f t="shared" si="6"/>
        <v>0</v>
      </c>
      <c r="N52">
        <f t="shared" si="7"/>
        <v>0</v>
      </c>
    </row>
    <row r="53" spans="1:14" x14ac:dyDescent="0.35">
      <c r="A53" s="9">
        <v>2668991</v>
      </c>
      <c r="B53" s="10">
        <v>42919</v>
      </c>
      <c r="C53" s="11">
        <v>0.49284722222222221</v>
      </c>
      <c r="D53" s="12">
        <v>0.50354166666666667</v>
      </c>
      <c r="E53" s="20">
        <f t="shared" si="0"/>
        <v>1.0694444444444451E-2</v>
      </c>
      <c r="F53" t="str">
        <f t="shared" si="1"/>
        <v>stacjonarny</v>
      </c>
      <c r="G53" s="23">
        <f t="shared" si="8"/>
        <v>16246</v>
      </c>
      <c r="H53">
        <f t="shared" si="9"/>
        <v>10641</v>
      </c>
      <c r="I53">
        <f t="shared" si="2"/>
        <v>0</v>
      </c>
      <c r="J53">
        <f t="shared" si="3"/>
        <v>0</v>
      </c>
      <c r="K53">
        <f t="shared" si="4"/>
        <v>26887</v>
      </c>
      <c r="L53">
        <f t="shared" si="5"/>
        <v>1</v>
      </c>
      <c r="M53">
        <f t="shared" si="6"/>
        <v>0</v>
      </c>
      <c r="N53">
        <f t="shared" si="7"/>
        <v>0</v>
      </c>
    </row>
    <row r="54" spans="1:14" x14ac:dyDescent="0.35">
      <c r="A54" s="5">
        <v>3520189</v>
      </c>
      <c r="B54" s="6">
        <v>42919</v>
      </c>
      <c r="C54" s="7">
        <v>0.49862268518518521</v>
      </c>
      <c r="D54" s="8">
        <v>0.50287037037037041</v>
      </c>
      <c r="E54" s="20">
        <f t="shared" si="0"/>
        <v>4.2476851851852016E-3</v>
      </c>
      <c r="F54" t="str">
        <f t="shared" si="1"/>
        <v>stacjonarny</v>
      </c>
      <c r="G54" s="23">
        <f t="shared" si="8"/>
        <v>16613</v>
      </c>
      <c r="H54">
        <f t="shared" si="9"/>
        <v>10641</v>
      </c>
      <c r="I54">
        <f t="shared" si="2"/>
        <v>0</v>
      </c>
      <c r="J54">
        <f t="shared" si="3"/>
        <v>0</v>
      </c>
      <c r="K54">
        <f t="shared" si="4"/>
        <v>27254</v>
      </c>
      <c r="L54">
        <f t="shared" si="5"/>
        <v>1</v>
      </c>
      <c r="M54">
        <f t="shared" si="6"/>
        <v>0</v>
      </c>
      <c r="N54">
        <f t="shared" si="7"/>
        <v>0</v>
      </c>
    </row>
    <row r="55" spans="1:14" x14ac:dyDescent="0.35">
      <c r="A55" s="9">
        <v>4546455</v>
      </c>
      <c r="B55" s="10">
        <v>42919</v>
      </c>
      <c r="C55" s="11">
        <v>0.50089120370370366</v>
      </c>
      <c r="D55" s="12">
        <v>0.50876157407407407</v>
      </c>
      <c r="E55" s="20">
        <f t="shared" si="0"/>
        <v>7.8703703703704164E-3</v>
      </c>
      <c r="F55" t="str">
        <f t="shared" si="1"/>
        <v>stacjonarny</v>
      </c>
      <c r="G55" s="23">
        <f t="shared" si="8"/>
        <v>17293</v>
      </c>
      <c r="H55">
        <f t="shared" si="9"/>
        <v>10641</v>
      </c>
      <c r="I55">
        <f t="shared" si="2"/>
        <v>0</v>
      </c>
      <c r="J55">
        <f t="shared" si="3"/>
        <v>0</v>
      </c>
      <c r="K55">
        <f t="shared" si="4"/>
        <v>27934</v>
      </c>
      <c r="L55">
        <f t="shared" si="5"/>
        <v>1</v>
      </c>
      <c r="M55">
        <f t="shared" si="6"/>
        <v>0</v>
      </c>
      <c r="N55">
        <f t="shared" si="7"/>
        <v>0</v>
      </c>
    </row>
    <row r="56" spans="1:14" x14ac:dyDescent="0.35">
      <c r="A56" s="5">
        <v>3897347</v>
      </c>
      <c r="B56" s="6">
        <v>42919</v>
      </c>
      <c r="C56" s="7">
        <v>0.50549768518518523</v>
      </c>
      <c r="D56" s="8">
        <v>0.5100231481481482</v>
      </c>
      <c r="E56" s="20">
        <f t="shared" si="0"/>
        <v>4.5254629629629672E-3</v>
      </c>
      <c r="F56" t="str">
        <f t="shared" si="1"/>
        <v>stacjonarny</v>
      </c>
      <c r="G56" s="23">
        <f t="shared" si="8"/>
        <v>17684</v>
      </c>
      <c r="H56">
        <f t="shared" si="9"/>
        <v>10641</v>
      </c>
      <c r="I56">
        <f t="shared" si="2"/>
        <v>0</v>
      </c>
      <c r="J56">
        <f t="shared" si="3"/>
        <v>0</v>
      </c>
      <c r="K56">
        <f t="shared" si="4"/>
        <v>28325</v>
      </c>
      <c r="L56">
        <f t="shared" si="5"/>
        <v>1</v>
      </c>
      <c r="M56">
        <f t="shared" si="6"/>
        <v>0</v>
      </c>
      <c r="N56">
        <f t="shared" si="7"/>
        <v>0</v>
      </c>
    </row>
    <row r="57" spans="1:14" x14ac:dyDescent="0.35">
      <c r="A57" s="9">
        <v>1867016</v>
      </c>
      <c r="B57" s="10">
        <v>42919</v>
      </c>
      <c r="C57" s="11">
        <v>0.50910879629629635</v>
      </c>
      <c r="D57" s="12">
        <v>0.50930555555555557</v>
      </c>
      <c r="E57" s="20">
        <f t="shared" si="0"/>
        <v>1.96759259259216E-4</v>
      </c>
      <c r="F57" t="str">
        <f t="shared" si="1"/>
        <v>stacjonarny</v>
      </c>
      <c r="G57" s="23">
        <f t="shared" si="8"/>
        <v>17701</v>
      </c>
      <c r="H57">
        <f t="shared" si="9"/>
        <v>10641</v>
      </c>
      <c r="I57">
        <f t="shared" si="2"/>
        <v>0</v>
      </c>
      <c r="J57">
        <f t="shared" si="3"/>
        <v>0</v>
      </c>
      <c r="K57">
        <f t="shared" si="4"/>
        <v>28342</v>
      </c>
      <c r="L57">
        <f t="shared" si="5"/>
        <v>1</v>
      </c>
      <c r="M57">
        <f t="shared" si="6"/>
        <v>0</v>
      </c>
      <c r="N57">
        <f t="shared" si="7"/>
        <v>0</v>
      </c>
    </row>
    <row r="58" spans="1:14" x14ac:dyDescent="0.35">
      <c r="A58" s="5">
        <v>96949751</v>
      </c>
      <c r="B58" s="6">
        <v>42919</v>
      </c>
      <c r="C58" s="7">
        <v>0.51262731481481483</v>
      </c>
      <c r="D58" s="8">
        <v>0.5142592592592593</v>
      </c>
      <c r="E58" s="20">
        <f t="shared" si="0"/>
        <v>1.6319444444444775E-3</v>
      </c>
      <c r="F58" t="str">
        <f t="shared" si="1"/>
        <v>komorkowy</v>
      </c>
      <c r="G58" s="23">
        <f t="shared" si="8"/>
        <v>17701</v>
      </c>
      <c r="H58">
        <f t="shared" si="9"/>
        <v>10782</v>
      </c>
      <c r="I58">
        <f t="shared" si="2"/>
        <v>0</v>
      </c>
      <c r="J58">
        <f t="shared" si="3"/>
        <v>0</v>
      </c>
      <c r="K58">
        <f t="shared" si="4"/>
        <v>28483</v>
      </c>
      <c r="L58">
        <f t="shared" si="5"/>
        <v>1</v>
      </c>
      <c r="M58">
        <f t="shared" si="6"/>
        <v>0</v>
      </c>
      <c r="N58">
        <f t="shared" si="7"/>
        <v>0</v>
      </c>
    </row>
    <row r="59" spans="1:14" x14ac:dyDescent="0.35">
      <c r="A59" s="9">
        <v>81613163</v>
      </c>
      <c r="B59" s="10">
        <v>42919</v>
      </c>
      <c r="C59" s="11">
        <v>0.5175925925925926</v>
      </c>
      <c r="D59" s="12">
        <v>0.52021990740740742</v>
      </c>
      <c r="E59" s="20">
        <f t="shared" si="0"/>
        <v>2.6273148148148184E-3</v>
      </c>
      <c r="F59" t="str">
        <f t="shared" si="1"/>
        <v>komorkowy</v>
      </c>
      <c r="G59" s="23">
        <f t="shared" si="8"/>
        <v>17701</v>
      </c>
      <c r="H59">
        <f t="shared" si="9"/>
        <v>11009</v>
      </c>
      <c r="I59">
        <f t="shared" si="2"/>
        <v>0</v>
      </c>
      <c r="J59">
        <f t="shared" si="3"/>
        <v>0</v>
      </c>
      <c r="K59">
        <f t="shared" si="4"/>
        <v>28710</v>
      </c>
      <c r="L59">
        <f t="shared" si="5"/>
        <v>1</v>
      </c>
      <c r="M59">
        <f t="shared" si="6"/>
        <v>0</v>
      </c>
      <c r="N59">
        <f t="shared" si="7"/>
        <v>0</v>
      </c>
    </row>
    <row r="60" spans="1:14" x14ac:dyDescent="0.35">
      <c r="A60" s="5">
        <v>4250194</v>
      </c>
      <c r="B60" s="6">
        <v>42919</v>
      </c>
      <c r="C60" s="7">
        <v>0.52217592592592588</v>
      </c>
      <c r="D60" s="8">
        <v>0.52918981481481486</v>
      </c>
      <c r="E60" s="20">
        <f t="shared" si="0"/>
        <v>7.0138888888889861E-3</v>
      </c>
      <c r="F60" t="str">
        <f t="shared" si="1"/>
        <v>stacjonarny</v>
      </c>
      <c r="G60" s="23">
        <f t="shared" si="8"/>
        <v>18307</v>
      </c>
      <c r="H60">
        <f t="shared" si="9"/>
        <v>11009</v>
      </c>
      <c r="I60">
        <f t="shared" si="2"/>
        <v>0</v>
      </c>
      <c r="J60">
        <f t="shared" si="3"/>
        <v>0</v>
      </c>
      <c r="K60">
        <f t="shared" si="4"/>
        <v>29316</v>
      </c>
      <c r="L60">
        <f t="shared" si="5"/>
        <v>1</v>
      </c>
      <c r="M60">
        <f t="shared" si="6"/>
        <v>0</v>
      </c>
      <c r="N60">
        <f t="shared" si="7"/>
        <v>0</v>
      </c>
    </row>
    <row r="61" spans="1:14" x14ac:dyDescent="0.35">
      <c r="A61" s="9">
        <v>6050344</v>
      </c>
      <c r="B61" s="10">
        <v>42919</v>
      </c>
      <c r="C61" s="11">
        <v>0.52444444444444449</v>
      </c>
      <c r="D61" s="12">
        <v>0.52681712962962968</v>
      </c>
      <c r="E61" s="20">
        <f t="shared" si="0"/>
        <v>2.372685185185186E-3</v>
      </c>
      <c r="F61" t="str">
        <f t="shared" si="1"/>
        <v>stacjonarny</v>
      </c>
      <c r="G61" s="23">
        <f t="shared" si="8"/>
        <v>18512</v>
      </c>
      <c r="H61">
        <f t="shared" si="9"/>
        <v>11009</v>
      </c>
      <c r="I61">
        <f t="shared" si="2"/>
        <v>0</v>
      </c>
      <c r="J61">
        <f t="shared" si="3"/>
        <v>0</v>
      </c>
      <c r="K61">
        <f t="shared" si="4"/>
        <v>29521</v>
      </c>
      <c r="L61">
        <f t="shared" si="5"/>
        <v>1</v>
      </c>
      <c r="M61">
        <f t="shared" si="6"/>
        <v>0</v>
      </c>
      <c r="N61">
        <f t="shared" si="7"/>
        <v>0</v>
      </c>
    </row>
    <row r="62" spans="1:14" x14ac:dyDescent="0.35">
      <c r="A62" s="5">
        <v>4546455</v>
      </c>
      <c r="B62" s="6">
        <v>42919</v>
      </c>
      <c r="C62" s="7">
        <v>0.5258680555555556</v>
      </c>
      <c r="D62" s="8">
        <v>0.53531249999999997</v>
      </c>
      <c r="E62" s="20">
        <f t="shared" si="0"/>
        <v>9.4444444444443665E-3</v>
      </c>
      <c r="F62" t="str">
        <f t="shared" si="1"/>
        <v>stacjonarny</v>
      </c>
      <c r="G62" s="23">
        <f t="shared" si="8"/>
        <v>19328</v>
      </c>
      <c r="H62">
        <f t="shared" si="9"/>
        <v>11009</v>
      </c>
      <c r="I62">
        <f t="shared" si="2"/>
        <v>0</v>
      </c>
      <c r="J62">
        <f t="shared" si="3"/>
        <v>0</v>
      </c>
      <c r="K62">
        <f t="shared" si="4"/>
        <v>30337</v>
      </c>
      <c r="L62">
        <f t="shared" si="5"/>
        <v>1</v>
      </c>
      <c r="M62">
        <f t="shared" si="6"/>
        <v>0</v>
      </c>
      <c r="N62">
        <f t="shared" si="7"/>
        <v>0</v>
      </c>
    </row>
    <row r="63" spans="1:14" x14ac:dyDescent="0.35">
      <c r="A63" s="9">
        <v>7727942</v>
      </c>
      <c r="B63" s="10">
        <v>42919</v>
      </c>
      <c r="C63" s="11">
        <v>0.53013888888888894</v>
      </c>
      <c r="D63" s="12">
        <v>0.53707175925925921</v>
      </c>
      <c r="E63" s="20">
        <f t="shared" si="0"/>
        <v>6.9328703703702699E-3</v>
      </c>
      <c r="F63" t="str">
        <f t="shared" si="1"/>
        <v>stacjonarny</v>
      </c>
      <c r="G63" s="23">
        <f t="shared" si="8"/>
        <v>19927</v>
      </c>
      <c r="H63">
        <f t="shared" si="9"/>
        <v>11009</v>
      </c>
      <c r="I63">
        <f t="shared" si="2"/>
        <v>0</v>
      </c>
      <c r="J63">
        <f t="shared" si="3"/>
        <v>0</v>
      </c>
      <c r="K63">
        <f t="shared" si="4"/>
        <v>30936</v>
      </c>
      <c r="L63">
        <f t="shared" si="5"/>
        <v>1</v>
      </c>
      <c r="M63">
        <f t="shared" si="6"/>
        <v>0</v>
      </c>
      <c r="N63">
        <f t="shared" si="7"/>
        <v>0</v>
      </c>
    </row>
    <row r="64" spans="1:14" x14ac:dyDescent="0.35">
      <c r="A64" s="5">
        <v>8249721</v>
      </c>
      <c r="B64" s="6">
        <v>42919</v>
      </c>
      <c r="C64" s="7">
        <v>0.53486111111111112</v>
      </c>
      <c r="D64" s="8">
        <v>0.53756944444444443</v>
      </c>
      <c r="E64" s="20">
        <f t="shared" si="0"/>
        <v>2.7083333333333126E-3</v>
      </c>
      <c r="F64" t="str">
        <f t="shared" si="1"/>
        <v>stacjonarny</v>
      </c>
      <c r="G64" s="23">
        <f t="shared" si="8"/>
        <v>20161</v>
      </c>
      <c r="H64">
        <f t="shared" si="9"/>
        <v>11009</v>
      </c>
      <c r="I64">
        <f t="shared" si="2"/>
        <v>0</v>
      </c>
      <c r="J64">
        <f t="shared" si="3"/>
        <v>0</v>
      </c>
      <c r="K64">
        <f t="shared" si="4"/>
        <v>31170</v>
      </c>
      <c r="L64">
        <f t="shared" si="5"/>
        <v>1</v>
      </c>
      <c r="M64">
        <f t="shared" si="6"/>
        <v>0</v>
      </c>
      <c r="N64">
        <f t="shared" si="7"/>
        <v>0</v>
      </c>
    </row>
    <row r="65" spans="1:14" x14ac:dyDescent="0.35">
      <c r="A65" s="9">
        <v>6894270</v>
      </c>
      <c r="B65" s="10">
        <v>42919</v>
      </c>
      <c r="C65" s="11">
        <v>0.53488425925925931</v>
      </c>
      <c r="D65" s="12">
        <v>0.53523148148148147</v>
      </c>
      <c r="E65" s="20">
        <f t="shared" si="0"/>
        <v>3.4722222222216548E-4</v>
      </c>
      <c r="F65" t="str">
        <f t="shared" si="1"/>
        <v>stacjonarny</v>
      </c>
      <c r="G65" s="23">
        <f t="shared" si="8"/>
        <v>20191</v>
      </c>
      <c r="H65">
        <f t="shared" si="9"/>
        <v>11009</v>
      </c>
      <c r="I65">
        <f t="shared" si="2"/>
        <v>0</v>
      </c>
      <c r="J65">
        <f t="shared" si="3"/>
        <v>0</v>
      </c>
      <c r="K65">
        <f t="shared" si="4"/>
        <v>31200</v>
      </c>
      <c r="L65">
        <f t="shared" si="5"/>
        <v>1</v>
      </c>
      <c r="M65">
        <f t="shared" si="6"/>
        <v>0</v>
      </c>
      <c r="N65">
        <f t="shared" si="7"/>
        <v>0</v>
      </c>
    </row>
    <row r="66" spans="1:14" x14ac:dyDescent="0.35">
      <c r="A66" s="5">
        <v>3095218</v>
      </c>
      <c r="B66" s="6">
        <v>42919</v>
      </c>
      <c r="C66" s="7">
        <v>0.5358680555555555</v>
      </c>
      <c r="D66" s="8">
        <v>0.54329861111111111</v>
      </c>
      <c r="E66" s="20">
        <f t="shared" si="0"/>
        <v>7.4305555555556069E-3</v>
      </c>
      <c r="F66" t="str">
        <f t="shared" si="1"/>
        <v>stacjonarny</v>
      </c>
      <c r="G66" s="23">
        <f t="shared" si="8"/>
        <v>20833</v>
      </c>
      <c r="H66">
        <f t="shared" si="9"/>
        <v>11009</v>
      </c>
      <c r="I66">
        <f t="shared" si="2"/>
        <v>0</v>
      </c>
      <c r="J66">
        <f t="shared" si="3"/>
        <v>0</v>
      </c>
      <c r="K66">
        <f t="shared" si="4"/>
        <v>31842</v>
      </c>
      <c r="L66">
        <f t="shared" si="5"/>
        <v>1</v>
      </c>
      <c r="M66">
        <f t="shared" si="6"/>
        <v>0</v>
      </c>
      <c r="N66">
        <f t="shared" si="7"/>
        <v>0</v>
      </c>
    </row>
    <row r="67" spans="1:14" x14ac:dyDescent="0.35">
      <c r="A67" s="9">
        <v>45081794</v>
      </c>
      <c r="B67" s="10">
        <v>42919</v>
      </c>
      <c r="C67" s="11">
        <v>0.54016203703703702</v>
      </c>
      <c r="D67" s="12">
        <v>0.54297453703703702</v>
      </c>
      <c r="E67" s="20">
        <f t="shared" ref="E67:E130" si="10">D67-C67</f>
        <v>2.8124999999999956E-3</v>
      </c>
      <c r="F67" t="str">
        <f t="shared" ref="F67:F130" si="11">IF(LEN(A67)=7,"stacjonarny",IF(LEN(A67)=8,"komorkowy","zagraniczny"))</f>
        <v>komorkowy</v>
      </c>
      <c r="G67" s="23">
        <f t="shared" si="8"/>
        <v>20833</v>
      </c>
      <c r="H67">
        <f t="shared" si="9"/>
        <v>11252</v>
      </c>
      <c r="I67">
        <f t="shared" ref="I67:I130" si="12">IF(F67="zagraniczny",MINUTE(E67)*60+SECOND(E67)+HOUR(E67)*3600,0)</f>
        <v>0</v>
      </c>
      <c r="J67">
        <f t="shared" ref="J67:J130" si="13">ROUNDUP(I67/60,0)</f>
        <v>0</v>
      </c>
      <c r="K67">
        <f t="shared" ref="K67:K130" si="14">G67+H67</f>
        <v>32085</v>
      </c>
      <c r="L67">
        <f t="shared" ref="L67:L130" si="15">IF(K67&lt;=48000,1,0)</f>
        <v>1</v>
      </c>
      <c r="M67">
        <f t="shared" ref="M67:M130" si="16">IF(AND(L67=0,F67="stacjonarny"),SECOND(E67)+60*MINUTE(E67),0)</f>
        <v>0</v>
      </c>
      <c r="N67">
        <f t="shared" ref="N67:N130" si="17">IF(AND(L67=0,F67="komorkowy"),SECOND(E67)+60*MINUTE(E67),0)</f>
        <v>0</v>
      </c>
    </row>
    <row r="68" spans="1:14" x14ac:dyDescent="0.35">
      <c r="A68" s="5">
        <v>3533271</v>
      </c>
      <c r="B68" s="6">
        <v>42919</v>
      </c>
      <c r="C68" s="7">
        <v>0.54280092592592588</v>
      </c>
      <c r="D68" s="8">
        <v>0.54478009259259264</v>
      </c>
      <c r="E68" s="20">
        <f t="shared" si="10"/>
        <v>1.979166666666754E-3</v>
      </c>
      <c r="F68" t="str">
        <f t="shared" si="11"/>
        <v>stacjonarny</v>
      </c>
      <c r="G68" s="23">
        <f t="shared" ref="G68:G131" si="18">IF(F68="stacjonarny",MINUTE(E68)*60+SECOND(E68)+G67,G67)</f>
        <v>21004</v>
      </c>
      <c r="H68">
        <f t="shared" ref="H68:H131" si="19">IF(F68="komorkowy",MINUTE(E68)*60+SECOND(E68)+H67,H67)</f>
        <v>11252</v>
      </c>
      <c r="I68">
        <f t="shared" si="12"/>
        <v>0</v>
      </c>
      <c r="J68">
        <f t="shared" si="13"/>
        <v>0</v>
      </c>
      <c r="K68">
        <f t="shared" si="14"/>
        <v>32256</v>
      </c>
      <c r="L68">
        <f t="shared" si="15"/>
        <v>1</v>
      </c>
      <c r="M68">
        <f t="shared" si="16"/>
        <v>0</v>
      </c>
      <c r="N68">
        <f t="shared" si="17"/>
        <v>0</v>
      </c>
    </row>
    <row r="69" spans="1:14" x14ac:dyDescent="0.35">
      <c r="A69" s="9">
        <v>7415603</v>
      </c>
      <c r="B69" s="10">
        <v>42919</v>
      </c>
      <c r="C69" s="11">
        <v>0.54848379629629629</v>
      </c>
      <c r="D69" s="12">
        <v>0.5578819444444445</v>
      </c>
      <c r="E69" s="20">
        <f t="shared" si="10"/>
        <v>9.398148148148211E-3</v>
      </c>
      <c r="F69" t="str">
        <f t="shared" si="11"/>
        <v>stacjonarny</v>
      </c>
      <c r="G69" s="23">
        <f t="shared" si="18"/>
        <v>21816</v>
      </c>
      <c r="H69">
        <f t="shared" si="19"/>
        <v>11252</v>
      </c>
      <c r="I69">
        <f t="shared" si="12"/>
        <v>0</v>
      </c>
      <c r="J69">
        <f t="shared" si="13"/>
        <v>0</v>
      </c>
      <c r="K69">
        <f t="shared" si="14"/>
        <v>33068</v>
      </c>
      <c r="L69">
        <f t="shared" si="15"/>
        <v>1</v>
      </c>
      <c r="M69">
        <f t="shared" si="16"/>
        <v>0</v>
      </c>
      <c r="N69">
        <f t="shared" si="17"/>
        <v>0</v>
      </c>
    </row>
    <row r="70" spans="1:14" x14ac:dyDescent="0.35">
      <c r="A70" s="5">
        <v>9088452</v>
      </c>
      <c r="B70" s="6">
        <v>42919</v>
      </c>
      <c r="C70" s="7">
        <v>0.55283564814814812</v>
      </c>
      <c r="D70" s="8">
        <v>0.55756944444444445</v>
      </c>
      <c r="E70" s="20">
        <f t="shared" si="10"/>
        <v>4.7337962962963331E-3</v>
      </c>
      <c r="F70" t="str">
        <f t="shared" si="11"/>
        <v>stacjonarny</v>
      </c>
      <c r="G70" s="23">
        <f t="shared" si="18"/>
        <v>22225</v>
      </c>
      <c r="H70">
        <f t="shared" si="19"/>
        <v>11252</v>
      </c>
      <c r="I70">
        <f t="shared" si="12"/>
        <v>0</v>
      </c>
      <c r="J70">
        <f t="shared" si="13"/>
        <v>0</v>
      </c>
      <c r="K70">
        <f t="shared" si="14"/>
        <v>33477</v>
      </c>
      <c r="L70">
        <f t="shared" si="15"/>
        <v>1</v>
      </c>
      <c r="M70">
        <f t="shared" si="16"/>
        <v>0</v>
      </c>
      <c r="N70">
        <f t="shared" si="17"/>
        <v>0</v>
      </c>
    </row>
    <row r="71" spans="1:14" x14ac:dyDescent="0.35">
      <c r="A71" s="9">
        <v>3379401</v>
      </c>
      <c r="B71" s="10">
        <v>42919</v>
      </c>
      <c r="C71" s="11">
        <v>0.55576388888888884</v>
      </c>
      <c r="D71" s="12">
        <v>0.56342592592592589</v>
      </c>
      <c r="E71" s="20">
        <f t="shared" si="10"/>
        <v>7.6620370370370505E-3</v>
      </c>
      <c r="F71" t="str">
        <f t="shared" si="11"/>
        <v>stacjonarny</v>
      </c>
      <c r="G71" s="23">
        <f t="shared" si="18"/>
        <v>22887</v>
      </c>
      <c r="H71">
        <f t="shared" si="19"/>
        <v>11252</v>
      </c>
      <c r="I71">
        <f t="shared" si="12"/>
        <v>0</v>
      </c>
      <c r="J71">
        <f t="shared" si="13"/>
        <v>0</v>
      </c>
      <c r="K71">
        <f t="shared" si="14"/>
        <v>34139</v>
      </c>
      <c r="L71">
        <f t="shared" si="15"/>
        <v>1</v>
      </c>
      <c r="M71">
        <f t="shared" si="16"/>
        <v>0</v>
      </c>
      <c r="N71">
        <f t="shared" si="17"/>
        <v>0</v>
      </c>
    </row>
    <row r="72" spans="1:14" x14ac:dyDescent="0.35">
      <c r="A72" s="5">
        <v>73350537</v>
      </c>
      <c r="B72" s="6">
        <v>42919</v>
      </c>
      <c r="C72" s="7">
        <v>0.55722222222222217</v>
      </c>
      <c r="D72" s="8">
        <v>0.55787037037037035</v>
      </c>
      <c r="E72" s="20">
        <f t="shared" si="10"/>
        <v>6.4814814814817545E-4</v>
      </c>
      <c r="F72" t="str">
        <f t="shared" si="11"/>
        <v>komorkowy</v>
      </c>
      <c r="G72" s="23">
        <f t="shared" si="18"/>
        <v>22887</v>
      </c>
      <c r="H72">
        <f t="shared" si="19"/>
        <v>11308</v>
      </c>
      <c r="I72">
        <f t="shared" si="12"/>
        <v>0</v>
      </c>
      <c r="J72">
        <f t="shared" si="13"/>
        <v>0</v>
      </c>
      <c r="K72">
        <f t="shared" si="14"/>
        <v>34195</v>
      </c>
      <c r="L72">
        <f t="shared" si="15"/>
        <v>1</v>
      </c>
      <c r="M72">
        <f t="shared" si="16"/>
        <v>0</v>
      </c>
      <c r="N72">
        <f t="shared" si="17"/>
        <v>0</v>
      </c>
    </row>
    <row r="73" spans="1:14" x14ac:dyDescent="0.35">
      <c r="A73" s="9">
        <v>83707586</v>
      </c>
      <c r="B73" s="10">
        <v>42919</v>
      </c>
      <c r="C73" s="11">
        <v>0.55803240740740745</v>
      </c>
      <c r="D73" s="12">
        <v>0.56174768518518514</v>
      </c>
      <c r="E73" s="20">
        <f t="shared" si="10"/>
        <v>3.7152777777776924E-3</v>
      </c>
      <c r="F73" t="str">
        <f t="shared" si="11"/>
        <v>komorkowy</v>
      </c>
      <c r="G73" s="23">
        <f t="shared" si="18"/>
        <v>22887</v>
      </c>
      <c r="H73">
        <f t="shared" si="19"/>
        <v>11629</v>
      </c>
      <c r="I73">
        <f t="shared" si="12"/>
        <v>0</v>
      </c>
      <c r="J73">
        <f t="shared" si="13"/>
        <v>0</v>
      </c>
      <c r="K73">
        <f t="shared" si="14"/>
        <v>34516</v>
      </c>
      <c r="L73">
        <f t="shared" si="15"/>
        <v>1</v>
      </c>
      <c r="M73">
        <f t="shared" si="16"/>
        <v>0</v>
      </c>
      <c r="N73">
        <f t="shared" si="17"/>
        <v>0</v>
      </c>
    </row>
    <row r="74" spans="1:14" x14ac:dyDescent="0.35">
      <c r="A74" s="5">
        <v>5107477025</v>
      </c>
      <c r="B74" s="6">
        <v>42919</v>
      </c>
      <c r="C74" s="7">
        <v>0.55888888888888888</v>
      </c>
      <c r="D74" s="8">
        <v>0.56745370370370374</v>
      </c>
      <c r="E74" s="20">
        <f t="shared" si="10"/>
        <v>8.5648148148148584E-3</v>
      </c>
      <c r="F74" t="str">
        <f t="shared" si="11"/>
        <v>zagraniczny</v>
      </c>
      <c r="G74" s="23">
        <f t="shared" si="18"/>
        <v>22887</v>
      </c>
      <c r="H74">
        <f t="shared" si="19"/>
        <v>11629</v>
      </c>
      <c r="I74">
        <f t="shared" si="12"/>
        <v>740</v>
      </c>
      <c r="J74">
        <f t="shared" si="13"/>
        <v>13</v>
      </c>
      <c r="K74">
        <f t="shared" si="14"/>
        <v>34516</v>
      </c>
      <c r="L74">
        <f t="shared" si="15"/>
        <v>1</v>
      </c>
      <c r="M74">
        <f t="shared" si="16"/>
        <v>0</v>
      </c>
      <c r="N74">
        <f t="shared" si="17"/>
        <v>0</v>
      </c>
    </row>
    <row r="75" spans="1:14" x14ac:dyDescent="0.35">
      <c r="A75" s="9">
        <v>1480206</v>
      </c>
      <c r="B75" s="10">
        <v>42919</v>
      </c>
      <c r="C75" s="11">
        <v>0.5645486111111111</v>
      </c>
      <c r="D75" s="12">
        <v>0.56458333333333333</v>
      </c>
      <c r="E75" s="20">
        <f t="shared" si="10"/>
        <v>3.472222222222765E-5</v>
      </c>
      <c r="F75" t="str">
        <f t="shared" si="11"/>
        <v>stacjonarny</v>
      </c>
      <c r="G75" s="23">
        <f t="shared" si="18"/>
        <v>22890</v>
      </c>
      <c r="H75">
        <f t="shared" si="19"/>
        <v>11629</v>
      </c>
      <c r="I75">
        <f t="shared" si="12"/>
        <v>0</v>
      </c>
      <c r="J75">
        <f t="shared" si="13"/>
        <v>0</v>
      </c>
      <c r="K75">
        <f t="shared" si="14"/>
        <v>34519</v>
      </c>
      <c r="L75">
        <f t="shared" si="15"/>
        <v>1</v>
      </c>
      <c r="M75">
        <f t="shared" si="16"/>
        <v>0</v>
      </c>
      <c r="N75">
        <f t="shared" si="17"/>
        <v>0</v>
      </c>
    </row>
    <row r="76" spans="1:14" x14ac:dyDescent="0.35">
      <c r="A76" s="5">
        <v>3095218</v>
      </c>
      <c r="B76" s="6">
        <v>42919</v>
      </c>
      <c r="C76" s="7">
        <v>0.56555555555555559</v>
      </c>
      <c r="D76" s="8">
        <v>0.56557870370370367</v>
      </c>
      <c r="E76" s="20">
        <f t="shared" si="10"/>
        <v>2.3148148148077752E-5</v>
      </c>
      <c r="F76" t="str">
        <f t="shared" si="11"/>
        <v>stacjonarny</v>
      </c>
      <c r="G76" s="23">
        <f t="shared" si="18"/>
        <v>22892</v>
      </c>
      <c r="H76">
        <f t="shared" si="19"/>
        <v>11629</v>
      </c>
      <c r="I76">
        <f t="shared" si="12"/>
        <v>0</v>
      </c>
      <c r="J76">
        <f t="shared" si="13"/>
        <v>0</v>
      </c>
      <c r="K76">
        <f t="shared" si="14"/>
        <v>34521</v>
      </c>
      <c r="L76">
        <f t="shared" si="15"/>
        <v>1</v>
      </c>
      <c r="M76">
        <f t="shared" si="16"/>
        <v>0</v>
      </c>
      <c r="N76">
        <f t="shared" si="17"/>
        <v>0</v>
      </c>
    </row>
    <row r="77" spans="1:14" x14ac:dyDescent="0.35">
      <c r="A77" s="9">
        <v>2028923</v>
      </c>
      <c r="B77" s="10">
        <v>42919</v>
      </c>
      <c r="C77" s="11">
        <v>0.56800925925925927</v>
      </c>
      <c r="D77" s="12">
        <v>0.57093749999999999</v>
      </c>
      <c r="E77" s="20">
        <f t="shared" si="10"/>
        <v>2.9282407407407174E-3</v>
      </c>
      <c r="F77" t="str">
        <f t="shared" si="11"/>
        <v>stacjonarny</v>
      </c>
      <c r="G77" s="23">
        <f t="shared" si="18"/>
        <v>23145</v>
      </c>
      <c r="H77">
        <f t="shared" si="19"/>
        <v>11629</v>
      </c>
      <c r="I77">
        <f t="shared" si="12"/>
        <v>0</v>
      </c>
      <c r="J77">
        <f t="shared" si="13"/>
        <v>0</v>
      </c>
      <c r="K77">
        <f t="shared" si="14"/>
        <v>34774</v>
      </c>
      <c r="L77">
        <f t="shared" si="15"/>
        <v>1</v>
      </c>
      <c r="M77">
        <f t="shared" si="16"/>
        <v>0</v>
      </c>
      <c r="N77">
        <f t="shared" si="17"/>
        <v>0</v>
      </c>
    </row>
    <row r="78" spans="1:14" x14ac:dyDescent="0.35">
      <c r="A78" s="5">
        <v>81880891</v>
      </c>
      <c r="B78" s="6">
        <v>42919</v>
      </c>
      <c r="C78" s="7">
        <v>0.57141203703703702</v>
      </c>
      <c r="D78" s="8">
        <v>0.57547453703703699</v>
      </c>
      <c r="E78" s="20">
        <f t="shared" si="10"/>
        <v>4.0624999999999689E-3</v>
      </c>
      <c r="F78" t="str">
        <f t="shared" si="11"/>
        <v>komorkowy</v>
      </c>
      <c r="G78" s="23">
        <f t="shared" si="18"/>
        <v>23145</v>
      </c>
      <c r="H78">
        <f t="shared" si="19"/>
        <v>11980</v>
      </c>
      <c r="I78">
        <f t="shared" si="12"/>
        <v>0</v>
      </c>
      <c r="J78">
        <f t="shared" si="13"/>
        <v>0</v>
      </c>
      <c r="K78">
        <f t="shared" si="14"/>
        <v>35125</v>
      </c>
      <c r="L78">
        <f t="shared" si="15"/>
        <v>1</v>
      </c>
      <c r="M78">
        <f t="shared" si="16"/>
        <v>0</v>
      </c>
      <c r="N78">
        <f t="shared" si="17"/>
        <v>0</v>
      </c>
    </row>
    <row r="79" spans="1:14" x14ac:dyDescent="0.35">
      <c r="A79" s="9">
        <v>4274149</v>
      </c>
      <c r="B79" s="10">
        <v>42919</v>
      </c>
      <c r="C79" s="11">
        <v>0.5717592592592593</v>
      </c>
      <c r="D79" s="12">
        <v>0.58065972222222217</v>
      </c>
      <c r="E79" s="20">
        <f t="shared" si="10"/>
        <v>8.900462962962874E-3</v>
      </c>
      <c r="F79" t="str">
        <f t="shared" si="11"/>
        <v>stacjonarny</v>
      </c>
      <c r="G79" s="23">
        <f t="shared" si="18"/>
        <v>23914</v>
      </c>
      <c r="H79">
        <f t="shared" si="19"/>
        <v>11980</v>
      </c>
      <c r="I79">
        <f t="shared" si="12"/>
        <v>0</v>
      </c>
      <c r="J79">
        <f t="shared" si="13"/>
        <v>0</v>
      </c>
      <c r="K79">
        <f t="shared" si="14"/>
        <v>35894</v>
      </c>
      <c r="L79">
        <f t="shared" si="15"/>
        <v>1</v>
      </c>
      <c r="M79">
        <f t="shared" si="16"/>
        <v>0</v>
      </c>
      <c r="N79">
        <f t="shared" si="17"/>
        <v>0</v>
      </c>
    </row>
    <row r="80" spans="1:14" x14ac:dyDescent="0.35">
      <c r="A80" s="5">
        <v>3505978</v>
      </c>
      <c r="B80" s="6">
        <v>42919</v>
      </c>
      <c r="C80" s="7">
        <v>0.57642361111111107</v>
      </c>
      <c r="D80" s="8">
        <v>0.5799305555555555</v>
      </c>
      <c r="E80" s="20">
        <f t="shared" si="10"/>
        <v>3.5069444444444375E-3</v>
      </c>
      <c r="F80" t="str">
        <f t="shared" si="11"/>
        <v>stacjonarny</v>
      </c>
      <c r="G80" s="23">
        <f t="shared" si="18"/>
        <v>24217</v>
      </c>
      <c r="H80">
        <f t="shared" si="19"/>
        <v>11980</v>
      </c>
      <c r="I80">
        <f t="shared" si="12"/>
        <v>0</v>
      </c>
      <c r="J80">
        <f t="shared" si="13"/>
        <v>0</v>
      </c>
      <c r="K80">
        <f t="shared" si="14"/>
        <v>36197</v>
      </c>
      <c r="L80">
        <f t="shared" si="15"/>
        <v>1</v>
      </c>
      <c r="M80">
        <f t="shared" si="16"/>
        <v>0</v>
      </c>
      <c r="N80">
        <f t="shared" si="17"/>
        <v>0</v>
      </c>
    </row>
    <row r="81" spans="1:14" x14ac:dyDescent="0.35">
      <c r="A81" s="9">
        <v>8504601</v>
      </c>
      <c r="B81" s="10">
        <v>42919</v>
      </c>
      <c r="C81" s="11">
        <v>0.57958333333333334</v>
      </c>
      <c r="D81" s="12">
        <v>0.58056712962962964</v>
      </c>
      <c r="E81" s="20">
        <f t="shared" si="10"/>
        <v>9.8379629629630205E-4</v>
      </c>
      <c r="F81" t="str">
        <f t="shared" si="11"/>
        <v>stacjonarny</v>
      </c>
      <c r="G81" s="23">
        <f t="shared" si="18"/>
        <v>24302</v>
      </c>
      <c r="H81">
        <f t="shared" si="19"/>
        <v>11980</v>
      </c>
      <c r="I81">
        <f t="shared" si="12"/>
        <v>0</v>
      </c>
      <c r="J81">
        <f t="shared" si="13"/>
        <v>0</v>
      </c>
      <c r="K81">
        <f t="shared" si="14"/>
        <v>36282</v>
      </c>
      <c r="L81">
        <f t="shared" si="15"/>
        <v>1</v>
      </c>
      <c r="M81">
        <f t="shared" si="16"/>
        <v>0</v>
      </c>
      <c r="N81">
        <f t="shared" si="17"/>
        <v>0</v>
      </c>
    </row>
    <row r="82" spans="1:14" x14ac:dyDescent="0.35">
      <c r="A82" s="5">
        <v>8214927</v>
      </c>
      <c r="B82" s="6">
        <v>42919</v>
      </c>
      <c r="C82" s="7">
        <v>0.5819212962962963</v>
      </c>
      <c r="D82" s="8">
        <v>0.59106481481481477</v>
      </c>
      <c r="E82" s="20">
        <f t="shared" si="10"/>
        <v>9.1435185185184675E-3</v>
      </c>
      <c r="F82" t="str">
        <f t="shared" si="11"/>
        <v>stacjonarny</v>
      </c>
      <c r="G82" s="23">
        <f t="shared" si="18"/>
        <v>25092</v>
      </c>
      <c r="H82">
        <f t="shared" si="19"/>
        <v>11980</v>
      </c>
      <c r="I82">
        <f t="shared" si="12"/>
        <v>0</v>
      </c>
      <c r="J82">
        <f t="shared" si="13"/>
        <v>0</v>
      </c>
      <c r="K82">
        <f t="shared" si="14"/>
        <v>37072</v>
      </c>
      <c r="L82">
        <f t="shared" si="15"/>
        <v>1</v>
      </c>
      <c r="M82">
        <f t="shared" si="16"/>
        <v>0</v>
      </c>
      <c r="N82">
        <f t="shared" si="17"/>
        <v>0</v>
      </c>
    </row>
    <row r="83" spans="1:14" x14ac:dyDescent="0.35">
      <c r="A83" s="9">
        <v>5913547</v>
      </c>
      <c r="B83" s="10">
        <v>42919</v>
      </c>
      <c r="C83" s="11">
        <v>0.58414351851851853</v>
      </c>
      <c r="D83" s="12">
        <v>0.5861574074074074</v>
      </c>
      <c r="E83" s="20">
        <f t="shared" si="10"/>
        <v>2.0138888888888706E-3</v>
      </c>
      <c r="F83" t="str">
        <f t="shared" si="11"/>
        <v>stacjonarny</v>
      </c>
      <c r="G83" s="23">
        <f t="shared" si="18"/>
        <v>25266</v>
      </c>
      <c r="H83">
        <f t="shared" si="19"/>
        <v>11980</v>
      </c>
      <c r="I83">
        <f t="shared" si="12"/>
        <v>0</v>
      </c>
      <c r="J83">
        <f t="shared" si="13"/>
        <v>0</v>
      </c>
      <c r="K83">
        <f t="shared" si="14"/>
        <v>37246</v>
      </c>
      <c r="L83">
        <f t="shared" si="15"/>
        <v>1</v>
      </c>
      <c r="M83">
        <f t="shared" si="16"/>
        <v>0</v>
      </c>
      <c r="N83">
        <f t="shared" si="17"/>
        <v>0</v>
      </c>
    </row>
    <row r="84" spans="1:14" x14ac:dyDescent="0.35">
      <c r="A84" s="5">
        <v>3505978</v>
      </c>
      <c r="B84" s="6">
        <v>42919</v>
      </c>
      <c r="C84" s="7">
        <v>0.58699074074074076</v>
      </c>
      <c r="D84" s="8">
        <v>0.59060185185185188</v>
      </c>
      <c r="E84" s="20">
        <f t="shared" si="10"/>
        <v>3.6111111111111205E-3</v>
      </c>
      <c r="F84" t="str">
        <f t="shared" si="11"/>
        <v>stacjonarny</v>
      </c>
      <c r="G84" s="23">
        <f t="shared" si="18"/>
        <v>25578</v>
      </c>
      <c r="H84">
        <f t="shared" si="19"/>
        <v>11980</v>
      </c>
      <c r="I84">
        <f t="shared" si="12"/>
        <v>0</v>
      </c>
      <c r="J84">
        <f t="shared" si="13"/>
        <v>0</v>
      </c>
      <c r="K84">
        <f t="shared" si="14"/>
        <v>37558</v>
      </c>
      <c r="L84">
        <f t="shared" si="15"/>
        <v>1</v>
      </c>
      <c r="M84">
        <f t="shared" si="16"/>
        <v>0</v>
      </c>
      <c r="N84">
        <f t="shared" si="17"/>
        <v>0</v>
      </c>
    </row>
    <row r="85" spans="1:14" x14ac:dyDescent="0.35">
      <c r="A85" s="9">
        <v>14783929</v>
      </c>
      <c r="B85" s="10">
        <v>42919</v>
      </c>
      <c r="C85" s="11">
        <v>0.5902546296296296</v>
      </c>
      <c r="D85" s="12">
        <v>0.59516203703703707</v>
      </c>
      <c r="E85" s="20">
        <f t="shared" si="10"/>
        <v>4.9074074074074714E-3</v>
      </c>
      <c r="F85" t="str">
        <f t="shared" si="11"/>
        <v>komorkowy</v>
      </c>
      <c r="G85" s="23">
        <f t="shared" si="18"/>
        <v>25578</v>
      </c>
      <c r="H85">
        <f t="shared" si="19"/>
        <v>12404</v>
      </c>
      <c r="I85">
        <f t="shared" si="12"/>
        <v>0</v>
      </c>
      <c r="J85">
        <f t="shared" si="13"/>
        <v>0</v>
      </c>
      <c r="K85">
        <f t="shared" si="14"/>
        <v>37982</v>
      </c>
      <c r="L85">
        <f t="shared" si="15"/>
        <v>1</v>
      </c>
      <c r="M85">
        <f t="shared" si="16"/>
        <v>0</v>
      </c>
      <c r="N85">
        <f t="shared" si="17"/>
        <v>0</v>
      </c>
    </row>
    <row r="86" spans="1:14" x14ac:dyDescent="0.35">
      <c r="A86" s="5">
        <v>2915745</v>
      </c>
      <c r="B86" s="6">
        <v>42919</v>
      </c>
      <c r="C86" s="7">
        <v>0.59324074074074074</v>
      </c>
      <c r="D86" s="8">
        <v>0.6029282407407407</v>
      </c>
      <c r="E86" s="20">
        <f t="shared" si="10"/>
        <v>9.68749999999996E-3</v>
      </c>
      <c r="F86" t="str">
        <f t="shared" si="11"/>
        <v>stacjonarny</v>
      </c>
      <c r="G86" s="23">
        <f t="shared" si="18"/>
        <v>26415</v>
      </c>
      <c r="H86">
        <f t="shared" si="19"/>
        <v>12404</v>
      </c>
      <c r="I86">
        <f t="shared" si="12"/>
        <v>0</v>
      </c>
      <c r="J86">
        <f t="shared" si="13"/>
        <v>0</v>
      </c>
      <c r="K86">
        <f t="shared" si="14"/>
        <v>38819</v>
      </c>
      <c r="L86">
        <f t="shared" si="15"/>
        <v>1</v>
      </c>
      <c r="M86">
        <f t="shared" si="16"/>
        <v>0</v>
      </c>
      <c r="N86">
        <f t="shared" si="17"/>
        <v>0</v>
      </c>
    </row>
    <row r="87" spans="1:14" x14ac:dyDescent="0.35">
      <c r="A87" s="9">
        <v>1100142</v>
      </c>
      <c r="B87" s="10">
        <v>42919</v>
      </c>
      <c r="C87" s="11">
        <v>0.59710648148148149</v>
      </c>
      <c r="D87" s="12">
        <v>0.6003356481481481</v>
      </c>
      <c r="E87" s="20">
        <f t="shared" si="10"/>
        <v>3.2291666666666163E-3</v>
      </c>
      <c r="F87" t="str">
        <f t="shared" si="11"/>
        <v>stacjonarny</v>
      </c>
      <c r="G87" s="23">
        <f t="shared" si="18"/>
        <v>26694</v>
      </c>
      <c r="H87">
        <f t="shared" si="19"/>
        <v>12404</v>
      </c>
      <c r="I87">
        <f t="shared" si="12"/>
        <v>0</v>
      </c>
      <c r="J87">
        <f t="shared" si="13"/>
        <v>0</v>
      </c>
      <c r="K87">
        <f t="shared" si="14"/>
        <v>39098</v>
      </c>
      <c r="L87">
        <f t="shared" si="15"/>
        <v>1</v>
      </c>
      <c r="M87">
        <f t="shared" si="16"/>
        <v>0</v>
      </c>
      <c r="N87">
        <f t="shared" si="17"/>
        <v>0</v>
      </c>
    </row>
    <row r="88" spans="1:14" x14ac:dyDescent="0.35">
      <c r="A88" s="5">
        <v>7795911</v>
      </c>
      <c r="B88" s="6">
        <v>42919</v>
      </c>
      <c r="C88" s="7">
        <v>0.60196759259259258</v>
      </c>
      <c r="D88" s="8">
        <v>0.61259259259259258</v>
      </c>
      <c r="E88" s="20">
        <f t="shared" si="10"/>
        <v>1.0624999999999996E-2</v>
      </c>
      <c r="F88" t="str">
        <f t="shared" si="11"/>
        <v>stacjonarny</v>
      </c>
      <c r="G88" s="23">
        <f t="shared" si="18"/>
        <v>27612</v>
      </c>
      <c r="H88">
        <f t="shared" si="19"/>
        <v>12404</v>
      </c>
      <c r="I88">
        <f t="shared" si="12"/>
        <v>0</v>
      </c>
      <c r="J88">
        <f t="shared" si="13"/>
        <v>0</v>
      </c>
      <c r="K88">
        <f t="shared" si="14"/>
        <v>40016</v>
      </c>
      <c r="L88">
        <f t="shared" si="15"/>
        <v>1</v>
      </c>
      <c r="M88">
        <f t="shared" si="16"/>
        <v>0</v>
      </c>
      <c r="N88">
        <f t="shared" si="17"/>
        <v>0</v>
      </c>
    </row>
    <row r="89" spans="1:14" x14ac:dyDescent="0.35">
      <c r="A89" s="9">
        <v>1709455</v>
      </c>
      <c r="B89" s="10">
        <v>42919</v>
      </c>
      <c r="C89" s="11">
        <v>0.60313657407407406</v>
      </c>
      <c r="D89" s="12">
        <v>0.60765046296296299</v>
      </c>
      <c r="E89" s="20">
        <f t="shared" si="10"/>
        <v>4.5138888888889284E-3</v>
      </c>
      <c r="F89" t="str">
        <f t="shared" si="11"/>
        <v>stacjonarny</v>
      </c>
      <c r="G89" s="23">
        <f t="shared" si="18"/>
        <v>28002</v>
      </c>
      <c r="H89">
        <f t="shared" si="19"/>
        <v>12404</v>
      </c>
      <c r="I89">
        <f t="shared" si="12"/>
        <v>0</v>
      </c>
      <c r="J89">
        <f t="shared" si="13"/>
        <v>0</v>
      </c>
      <c r="K89">
        <f t="shared" si="14"/>
        <v>40406</v>
      </c>
      <c r="L89">
        <f t="shared" si="15"/>
        <v>1</v>
      </c>
      <c r="M89">
        <f t="shared" si="16"/>
        <v>0</v>
      </c>
      <c r="N89">
        <f t="shared" si="17"/>
        <v>0</v>
      </c>
    </row>
    <row r="90" spans="1:14" x14ac:dyDescent="0.35">
      <c r="A90" s="5">
        <v>54586484</v>
      </c>
      <c r="B90" s="6">
        <v>42919</v>
      </c>
      <c r="C90" s="7">
        <v>0.60753472222222227</v>
      </c>
      <c r="D90" s="8">
        <v>0.61120370370370369</v>
      </c>
      <c r="E90" s="20">
        <f t="shared" si="10"/>
        <v>3.6689814814814259E-3</v>
      </c>
      <c r="F90" t="str">
        <f t="shared" si="11"/>
        <v>komorkowy</v>
      </c>
      <c r="G90" s="23">
        <f t="shared" si="18"/>
        <v>28002</v>
      </c>
      <c r="H90">
        <f t="shared" si="19"/>
        <v>12721</v>
      </c>
      <c r="I90">
        <f t="shared" si="12"/>
        <v>0</v>
      </c>
      <c r="J90">
        <f t="shared" si="13"/>
        <v>0</v>
      </c>
      <c r="K90">
        <f t="shared" si="14"/>
        <v>40723</v>
      </c>
      <c r="L90">
        <f t="shared" si="15"/>
        <v>1</v>
      </c>
      <c r="M90">
        <f t="shared" si="16"/>
        <v>0</v>
      </c>
      <c r="N90">
        <f t="shared" si="17"/>
        <v>0</v>
      </c>
    </row>
    <row r="91" spans="1:14" x14ac:dyDescent="0.35">
      <c r="A91" s="9">
        <v>6674505</v>
      </c>
      <c r="B91" s="10">
        <v>42919</v>
      </c>
      <c r="C91" s="11">
        <v>0.61243055555555559</v>
      </c>
      <c r="D91" s="12">
        <v>0.62267361111111108</v>
      </c>
      <c r="E91" s="20">
        <f t="shared" si="10"/>
        <v>1.0243055555555491E-2</v>
      </c>
      <c r="F91" t="str">
        <f t="shared" si="11"/>
        <v>stacjonarny</v>
      </c>
      <c r="G91" s="23">
        <f t="shared" si="18"/>
        <v>28887</v>
      </c>
      <c r="H91">
        <f t="shared" si="19"/>
        <v>12721</v>
      </c>
      <c r="I91">
        <f t="shared" si="12"/>
        <v>0</v>
      </c>
      <c r="J91">
        <f t="shared" si="13"/>
        <v>0</v>
      </c>
      <c r="K91">
        <f t="shared" si="14"/>
        <v>41608</v>
      </c>
      <c r="L91">
        <f t="shared" si="15"/>
        <v>1</v>
      </c>
      <c r="M91">
        <f t="shared" si="16"/>
        <v>0</v>
      </c>
      <c r="N91">
        <f t="shared" si="17"/>
        <v>0</v>
      </c>
    </row>
    <row r="92" spans="1:14" x14ac:dyDescent="0.35">
      <c r="A92" s="5">
        <v>6920814</v>
      </c>
      <c r="B92" s="6">
        <v>42919</v>
      </c>
      <c r="C92" s="7">
        <v>0.6141550925925926</v>
      </c>
      <c r="D92" s="8">
        <v>0.61440972222222223</v>
      </c>
      <c r="E92" s="20">
        <f t="shared" si="10"/>
        <v>2.5462962962963243E-4</v>
      </c>
      <c r="F92" t="str">
        <f t="shared" si="11"/>
        <v>stacjonarny</v>
      </c>
      <c r="G92" s="23">
        <f t="shared" si="18"/>
        <v>28909</v>
      </c>
      <c r="H92">
        <f t="shared" si="19"/>
        <v>12721</v>
      </c>
      <c r="I92">
        <f t="shared" si="12"/>
        <v>0</v>
      </c>
      <c r="J92">
        <f t="shared" si="13"/>
        <v>0</v>
      </c>
      <c r="K92">
        <f t="shared" si="14"/>
        <v>41630</v>
      </c>
      <c r="L92">
        <f t="shared" si="15"/>
        <v>1</v>
      </c>
      <c r="M92">
        <f t="shared" si="16"/>
        <v>0</v>
      </c>
      <c r="N92">
        <f t="shared" si="17"/>
        <v>0</v>
      </c>
    </row>
    <row r="93" spans="1:14" x14ac:dyDescent="0.35">
      <c r="A93" s="9">
        <v>6161675</v>
      </c>
      <c r="B93" s="10">
        <v>42919</v>
      </c>
      <c r="C93" s="11">
        <v>0.61449074074074073</v>
      </c>
      <c r="D93" s="12">
        <v>0.62415509259259261</v>
      </c>
      <c r="E93" s="20">
        <f t="shared" si="10"/>
        <v>9.6643518518518823E-3</v>
      </c>
      <c r="F93" t="str">
        <f t="shared" si="11"/>
        <v>stacjonarny</v>
      </c>
      <c r="G93" s="23">
        <f t="shared" si="18"/>
        <v>29744</v>
      </c>
      <c r="H93">
        <f t="shared" si="19"/>
        <v>12721</v>
      </c>
      <c r="I93">
        <f t="shared" si="12"/>
        <v>0</v>
      </c>
      <c r="J93">
        <f t="shared" si="13"/>
        <v>0</v>
      </c>
      <c r="K93">
        <f t="shared" si="14"/>
        <v>42465</v>
      </c>
      <c r="L93">
        <f t="shared" si="15"/>
        <v>1</v>
      </c>
      <c r="M93">
        <f t="shared" si="16"/>
        <v>0</v>
      </c>
      <c r="N93">
        <f t="shared" si="17"/>
        <v>0</v>
      </c>
    </row>
    <row r="94" spans="1:14" x14ac:dyDescent="0.35">
      <c r="A94" s="5">
        <v>8498076</v>
      </c>
      <c r="B94" s="6">
        <v>42919</v>
      </c>
      <c r="C94" s="7">
        <v>0.61523148148148143</v>
      </c>
      <c r="D94" s="8">
        <v>0.62223379629629627</v>
      </c>
      <c r="E94" s="20">
        <f t="shared" si="10"/>
        <v>7.0023148148148362E-3</v>
      </c>
      <c r="F94" t="str">
        <f t="shared" si="11"/>
        <v>stacjonarny</v>
      </c>
      <c r="G94" s="23">
        <f t="shared" si="18"/>
        <v>30349</v>
      </c>
      <c r="H94">
        <f t="shared" si="19"/>
        <v>12721</v>
      </c>
      <c r="I94">
        <f t="shared" si="12"/>
        <v>0</v>
      </c>
      <c r="J94">
        <f t="shared" si="13"/>
        <v>0</v>
      </c>
      <c r="K94">
        <f t="shared" si="14"/>
        <v>43070</v>
      </c>
      <c r="L94">
        <f t="shared" si="15"/>
        <v>1</v>
      </c>
      <c r="M94">
        <f t="shared" si="16"/>
        <v>0</v>
      </c>
      <c r="N94">
        <f t="shared" si="17"/>
        <v>0</v>
      </c>
    </row>
    <row r="95" spans="1:14" x14ac:dyDescent="0.35">
      <c r="A95" s="9">
        <v>4174785</v>
      </c>
      <c r="B95" s="10">
        <v>42919</v>
      </c>
      <c r="C95" s="11">
        <v>0.61624999999999996</v>
      </c>
      <c r="D95" s="12">
        <v>0.62702546296296291</v>
      </c>
      <c r="E95" s="20">
        <f t="shared" si="10"/>
        <v>1.0775462962962945E-2</v>
      </c>
      <c r="F95" t="str">
        <f t="shared" si="11"/>
        <v>stacjonarny</v>
      </c>
      <c r="G95" s="23">
        <f t="shared" si="18"/>
        <v>31280</v>
      </c>
      <c r="H95">
        <f t="shared" si="19"/>
        <v>12721</v>
      </c>
      <c r="I95">
        <f t="shared" si="12"/>
        <v>0</v>
      </c>
      <c r="J95">
        <f t="shared" si="13"/>
        <v>0</v>
      </c>
      <c r="K95">
        <f t="shared" si="14"/>
        <v>44001</v>
      </c>
      <c r="L95">
        <f t="shared" si="15"/>
        <v>1</v>
      </c>
      <c r="M95">
        <f t="shared" si="16"/>
        <v>0</v>
      </c>
      <c r="N95">
        <f t="shared" si="17"/>
        <v>0</v>
      </c>
    </row>
    <row r="96" spans="1:14" x14ac:dyDescent="0.35">
      <c r="A96" s="5">
        <v>3776937</v>
      </c>
      <c r="B96" s="6">
        <v>42919</v>
      </c>
      <c r="C96" s="7">
        <v>0.61767361111111108</v>
      </c>
      <c r="D96" s="8">
        <v>0.6234143518518519</v>
      </c>
      <c r="E96" s="20">
        <f t="shared" si="10"/>
        <v>5.740740740740824E-3</v>
      </c>
      <c r="F96" t="str">
        <f t="shared" si="11"/>
        <v>stacjonarny</v>
      </c>
      <c r="G96" s="23">
        <f t="shared" si="18"/>
        <v>31776</v>
      </c>
      <c r="H96">
        <f t="shared" si="19"/>
        <v>12721</v>
      </c>
      <c r="I96">
        <f t="shared" si="12"/>
        <v>0</v>
      </c>
      <c r="J96">
        <f t="shared" si="13"/>
        <v>0</v>
      </c>
      <c r="K96">
        <f t="shared" si="14"/>
        <v>44497</v>
      </c>
      <c r="L96">
        <f t="shared" si="15"/>
        <v>1</v>
      </c>
      <c r="M96">
        <f t="shared" si="16"/>
        <v>0</v>
      </c>
      <c r="N96">
        <f t="shared" si="17"/>
        <v>0</v>
      </c>
    </row>
    <row r="97" spans="1:14" x14ac:dyDescent="0.35">
      <c r="A97" s="9">
        <v>2636055</v>
      </c>
      <c r="B97" s="10">
        <v>42919</v>
      </c>
      <c r="C97" s="11">
        <v>0.62174768518518519</v>
      </c>
      <c r="D97" s="12">
        <v>0.62206018518518513</v>
      </c>
      <c r="E97" s="20">
        <f t="shared" si="10"/>
        <v>3.1249999999993783E-4</v>
      </c>
      <c r="F97" t="str">
        <f t="shared" si="11"/>
        <v>stacjonarny</v>
      </c>
      <c r="G97" s="23">
        <f t="shared" si="18"/>
        <v>31803</v>
      </c>
      <c r="H97">
        <f t="shared" si="19"/>
        <v>12721</v>
      </c>
      <c r="I97">
        <f t="shared" si="12"/>
        <v>0</v>
      </c>
      <c r="J97">
        <f t="shared" si="13"/>
        <v>0</v>
      </c>
      <c r="K97">
        <f t="shared" si="14"/>
        <v>44524</v>
      </c>
      <c r="L97">
        <f t="shared" si="15"/>
        <v>1</v>
      </c>
      <c r="M97">
        <f t="shared" si="16"/>
        <v>0</v>
      </c>
      <c r="N97">
        <f t="shared" si="17"/>
        <v>0</v>
      </c>
    </row>
    <row r="98" spans="1:14" x14ac:dyDescent="0.35">
      <c r="A98" s="5">
        <v>4555937</v>
      </c>
      <c r="B98" s="6">
        <v>42919</v>
      </c>
      <c r="C98" s="7">
        <v>0.62645833333333334</v>
      </c>
      <c r="D98" s="8">
        <v>0.63792824074074073</v>
      </c>
      <c r="E98" s="20">
        <f t="shared" si="10"/>
        <v>1.1469907407407387E-2</v>
      </c>
      <c r="F98" t="str">
        <f t="shared" si="11"/>
        <v>stacjonarny</v>
      </c>
      <c r="G98" s="23">
        <f t="shared" si="18"/>
        <v>32794</v>
      </c>
      <c r="H98">
        <f t="shared" si="19"/>
        <v>12721</v>
      </c>
      <c r="I98">
        <f t="shared" si="12"/>
        <v>0</v>
      </c>
      <c r="J98">
        <f t="shared" si="13"/>
        <v>0</v>
      </c>
      <c r="K98">
        <f t="shared" si="14"/>
        <v>45515</v>
      </c>
      <c r="L98">
        <f t="shared" si="15"/>
        <v>1</v>
      </c>
      <c r="M98">
        <f t="shared" si="16"/>
        <v>0</v>
      </c>
      <c r="N98">
        <f t="shared" si="17"/>
        <v>0</v>
      </c>
    </row>
    <row r="99" spans="1:14" x14ac:dyDescent="0.35">
      <c r="A99" s="9">
        <v>80306197</v>
      </c>
      <c r="B99" s="10">
        <v>42920</v>
      </c>
      <c r="C99" s="11">
        <v>0.33644675925925926</v>
      </c>
      <c r="D99" s="12">
        <v>0.33884259259259258</v>
      </c>
      <c r="E99" s="20">
        <f t="shared" si="10"/>
        <v>2.3958333333333193E-3</v>
      </c>
      <c r="F99" t="str">
        <f t="shared" si="11"/>
        <v>komorkowy</v>
      </c>
      <c r="G99" s="23">
        <f t="shared" si="18"/>
        <v>32794</v>
      </c>
      <c r="H99">
        <f t="shared" si="19"/>
        <v>12928</v>
      </c>
      <c r="I99">
        <f t="shared" si="12"/>
        <v>0</v>
      </c>
      <c r="J99">
        <f t="shared" si="13"/>
        <v>0</v>
      </c>
      <c r="K99">
        <f t="shared" si="14"/>
        <v>45722</v>
      </c>
      <c r="L99">
        <f t="shared" si="15"/>
        <v>1</v>
      </c>
      <c r="M99">
        <f t="shared" si="16"/>
        <v>0</v>
      </c>
      <c r="N99">
        <f t="shared" si="17"/>
        <v>0</v>
      </c>
    </row>
    <row r="100" spans="1:14" x14ac:dyDescent="0.35">
      <c r="A100" s="5">
        <v>99162491</v>
      </c>
      <c r="B100" s="6">
        <v>42920</v>
      </c>
      <c r="C100" s="7">
        <v>0.33944444444444444</v>
      </c>
      <c r="D100" s="8">
        <v>0.35085648148148146</v>
      </c>
      <c r="E100" s="20">
        <f t="shared" si="10"/>
        <v>1.1412037037037026E-2</v>
      </c>
      <c r="F100" t="str">
        <f t="shared" si="11"/>
        <v>komorkowy</v>
      </c>
      <c r="G100" s="23">
        <f t="shared" si="18"/>
        <v>32794</v>
      </c>
      <c r="H100">
        <f t="shared" si="19"/>
        <v>13914</v>
      </c>
      <c r="I100">
        <f t="shared" si="12"/>
        <v>0</v>
      </c>
      <c r="J100">
        <f t="shared" si="13"/>
        <v>0</v>
      </c>
      <c r="K100">
        <f t="shared" si="14"/>
        <v>46708</v>
      </c>
      <c r="L100">
        <f t="shared" si="15"/>
        <v>1</v>
      </c>
      <c r="M100">
        <f t="shared" si="16"/>
        <v>0</v>
      </c>
      <c r="N100">
        <f t="shared" si="17"/>
        <v>0</v>
      </c>
    </row>
    <row r="101" spans="1:14" x14ac:dyDescent="0.35">
      <c r="A101" s="9">
        <v>2109147679</v>
      </c>
      <c r="B101" s="10">
        <v>42920</v>
      </c>
      <c r="C101" s="11">
        <v>0.34505787037037039</v>
      </c>
      <c r="D101" s="12">
        <v>0.35395833333333332</v>
      </c>
      <c r="E101" s="20">
        <f t="shared" si="10"/>
        <v>8.9004629629629295E-3</v>
      </c>
      <c r="F101" t="str">
        <f t="shared" si="11"/>
        <v>zagraniczny</v>
      </c>
      <c r="G101" s="23">
        <f t="shared" si="18"/>
        <v>32794</v>
      </c>
      <c r="H101">
        <f t="shared" si="19"/>
        <v>13914</v>
      </c>
      <c r="I101">
        <f t="shared" si="12"/>
        <v>769</v>
      </c>
      <c r="J101">
        <f t="shared" si="13"/>
        <v>13</v>
      </c>
      <c r="K101">
        <f t="shared" si="14"/>
        <v>46708</v>
      </c>
      <c r="L101">
        <f t="shared" si="15"/>
        <v>1</v>
      </c>
      <c r="M101">
        <f t="shared" si="16"/>
        <v>0</v>
      </c>
      <c r="N101">
        <f t="shared" si="17"/>
        <v>0</v>
      </c>
    </row>
    <row r="102" spans="1:14" x14ac:dyDescent="0.35">
      <c r="A102" s="5">
        <v>9422310</v>
      </c>
      <c r="B102" s="6">
        <v>42920</v>
      </c>
      <c r="C102" s="7">
        <v>0.35071759259259261</v>
      </c>
      <c r="D102" s="8">
        <v>0.36206018518518518</v>
      </c>
      <c r="E102" s="20">
        <f t="shared" si="10"/>
        <v>1.1342592592592571E-2</v>
      </c>
      <c r="F102" t="str">
        <f t="shared" si="11"/>
        <v>stacjonarny</v>
      </c>
      <c r="G102" s="23">
        <f t="shared" si="18"/>
        <v>33774</v>
      </c>
      <c r="H102">
        <f t="shared" si="19"/>
        <v>13914</v>
      </c>
      <c r="I102">
        <f t="shared" si="12"/>
        <v>0</v>
      </c>
      <c r="J102">
        <f t="shared" si="13"/>
        <v>0</v>
      </c>
      <c r="K102">
        <f t="shared" si="14"/>
        <v>47688</v>
      </c>
      <c r="L102">
        <f t="shared" si="15"/>
        <v>1</v>
      </c>
      <c r="M102">
        <f t="shared" si="16"/>
        <v>0</v>
      </c>
      <c r="N102">
        <f t="shared" si="17"/>
        <v>0</v>
      </c>
    </row>
    <row r="103" spans="1:14" x14ac:dyDescent="0.35">
      <c r="A103" s="9">
        <v>20679187</v>
      </c>
      <c r="B103" s="10">
        <v>42920</v>
      </c>
      <c r="C103" s="11">
        <v>0.35372685185185188</v>
      </c>
      <c r="D103" s="12">
        <v>0.3595949074074074</v>
      </c>
      <c r="E103" s="20">
        <f t="shared" si="10"/>
        <v>5.8680555555555292E-3</v>
      </c>
      <c r="F103" t="str">
        <f t="shared" si="11"/>
        <v>komorkowy</v>
      </c>
      <c r="G103" s="23">
        <f t="shared" si="18"/>
        <v>33774</v>
      </c>
      <c r="H103">
        <f t="shared" si="19"/>
        <v>14421</v>
      </c>
      <c r="I103">
        <f t="shared" si="12"/>
        <v>0</v>
      </c>
      <c r="J103">
        <f t="shared" si="13"/>
        <v>0</v>
      </c>
      <c r="K103">
        <f t="shared" si="14"/>
        <v>48195</v>
      </c>
      <c r="L103">
        <f t="shared" si="15"/>
        <v>0</v>
      </c>
      <c r="M103">
        <f t="shared" si="16"/>
        <v>0</v>
      </c>
      <c r="N103">
        <f t="shared" si="17"/>
        <v>507</v>
      </c>
    </row>
    <row r="104" spans="1:14" x14ac:dyDescent="0.35">
      <c r="A104" s="5">
        <v>6087997</v>
      </c>
      <c r="B104" s="6">
        <v>42920</v>
      </c>
      <c r="C104" s="7">
        <v>0.35653935185185187</v>
      </c>
      <c r="D104" s="8">
        <v>0.36062499999999997</v>
      </c>
      <c r="E104" s="20">
        <f t="shared" si="10"/>
        <v>4.0856481481481022E-3</v>
      </c>
      <c r="F104" t="str">
        <f t="shared" si="11"/>
        <v>stacjonarny</v>
      </c>
      <c r="G104" s="23">
        <f t="shared" si="18"/>
        <v>34127</v>
      </c>
      <c r="H104">
        <f t="shared" si="19"/>
        <v>14421</v>
      </c>
      <c r="I104">
        <f t="shared" si="12"/>
        <v>0</v>
      </c>
      <c r="J104">
        <f t="shared" si="13"/>
        <v>0</v>
      </c>
      <c r="K104">
        <f t="shared" si="14"/>
        <v>48548</v>
      </c>
      <c r="L104">
        <f t="shared" si="15"/>
        <v>0</v>
      </c>
      <c r="M104">
        <f t="shared" si="16"/>
        <v>353</v>
      </c>
      <c r="N104">
        <f t="shared" si="17"/>
        <v>0</v>
      </c>
    </row>
    <row r="105" spans="1:14" x14ac:dyDescent="0.35">
      <c r="A105" s="9">
        <v>20679187</v>
      </c>
      <c r="B105" s="10">
        <v>42920</v>
      </c>
      <c r="C105" s="11">
        <v>0.35850694444444442</v>
      </c>
      <c r="D105" s="12">
        <v>0.36371527777777779</v>
      </c>
      <c r="E105" s="20">
        <f t="shared" si="10"/>
        <v>5.2083333333333703E-3</v>
      </c>
      <c r="F105" t="str">
        <f t="shared" si="11"/>
        <v>komorkowy</v>
      </c>
      <c r="G105" s="23">
        <f t="shared" si="18"/>
        <v>34127</v>
      </c>
      <c r="H105">
        <f t="shared" si="19"/>
        <v>14871</v>
      </c>
      <c r="I105">
        <f t="shared" si="12"/>
        <v>0</v>
      </c>
      <c r="J105">
        <f t="shared" si="13"/>
        <v>0</v>
      </c>
      <c r="K105">
        <f t="shared" si="14"/>
        <v>48998</v>
      </c>
      <c r="L105">
        <f t="shared" si="15"/>
        <v>0</v>
      </c>
      <c r="M105">
        <f t="shared" si="16"/>
        <v>0</v>
      </c>
      <c r="N105">
        <f t="shared" si="17"/>
        <v>450</v>
      </c>
    </row>
    <row r="106" spans="1:14" x14ac:dyDescent="0.35">
      <c r="A106" s="5">
        <v>5253133</v>
      </c>
      <c r="B106" s="6">
        <v>42920</v>
      </c>
      <c r="C106" s="7">
        <v>0.35986111111111113</v>
      </c>
      <c r="D106" s="8">
        <v>0.36961805555555555</v>
      </c>
      <c r="E106" s="20">
        <f t="shared" si="10"/>
        <v>9.7569444444444153E-3</v>
      </c>
      <c r="F106" t="str">
        <f t="shared" si="11"/>
        <v>stacjonarny</v>
      </c>
      <c r="G106" s="23">
        <f t="shared" si="18"/>
        <v>34970</v>
      </c>
      <c r="H106">
        <f t="shared" si="19"/>
        <v>14871</v>
      </c>
      <c r="I106">
        <f t="shared" si="12"/>
        <v>0</v>
      </c>
      <c r="J106">
        <f t="shared" si="13"/>
        <v>0</v>
      </c>
      <c r="K106">
        <f t="shared" si="14"/>
        <v>49841</v>
      </c>
      <c r="L106">
        <f t="shared" si="15"/>
        <v>0</v>
      </c>
      <c r="M106">
        <f t="shared" si="16"/>
        <v>843</v>
      </c>
      <c r="N106">
        <f t="shared" si="17"/>
        <v>0</v>
      </c>
    </row>
    <row r="107" spans="1:14" x14ac:dyDescent="0.35">
      <c r="A107" s="9">
        <v>96949751</v>
      </c>
      <c r="B107" s="10">
        <v>42920</v>
      </c>
      <c r="C107" s="11">
        <v>0.36465277777777777</v>
      </c>
      <c r="D107" s="12">
        <v>0.36525462962962962</v>
      </c>
      <c r="E107" s="20">
        <f t="shared" si="10"/>
        <v>6.0185185185185341E-4</v>
      </c>
      <c r="F107" t="str">
        <f t="shared" si="11"/>
        <v>komorkowy</v>
      </c>
      <c r="G107" s="23">
        <f t="shared" si="18"/>
        <v>34970</v>
      </c>
      <c r="H107">
        <f t="shared" si="19"/>
        <v>14923</v>
      </c>
      <c r="I107">
        <f t="shared" si="12"/>
        <v>0</v>
      </c>
      <c r="J107">
        <f t="shared" si="13"/>
        <v>0</v>
      </c>
      <c r="K107">
        <f t="shared" si="14"/>
        <v>49893</v>
      </c>
      <c r="L107">
        <f t="shared" si="15"/>
        <v>0</v>
      </c>
      <c r="M107">
        <f t="shared" si="16"/>
        <v>0</v>
      </c>
      <c r="N107">
        <f t="shared" si="17"/>
        <v>52</v>
      </c>
    </row>
    <row r="108" spans="1:14" x14ac:dyDescent="0.35">
      <c r="A108" s="5">
        <v>1508356</v>
      </c>
      <c r="B108" s="6">
        <v>42920</v>
      </c>
      <c r="C108" s="7">
        <v>0.37013888888888891</v>
      </c>
      <c r="D108" s="8">
        <v>0.38033564814814813</v>
      </c>
      <c r="E108" s="20">
        <f t="shared" si="10"/>
        <v>1.0196759259259225E-2</v>
      </c>
      <c r="F108" t="str">
        <f t="shared" si="11"/>
        <v>stacjonarny</v>
      </c>
      <c r="G108" s="23">
        <f t="shared" si="18"/>
        <v>35851</v>
      </c>
      <c r="H108">
        <f t="shared" si="19"/>
        <v>14923</v>
      </c>
      <c r="I108">
        <f t="shared" si="12"/>
        <v>0</v>
      </c>
      <c r="J108">
        <f t="shared" si="13"/>
        <v>0</v>
      </c>
      <c r="K108">
        <f t="shared" si="14"/>
        <v>50774</v>
      </c>
      <c r="L108">
        <f t="shared" si="15"/>
        <v>0</v>
      </c>
      <c r="M108">
        <f t="shared" si="16"/>
        <v>881</v>
      </c>
      <c r="N108">
        <f t="shared" si="17"/>
        <v>0</v>
      </c>
    </row>
    <row r="109" spans="1:14" x14ac:dyDescent="0.35">
      <c r="A109" s="9">
        <v>9171025</v>
      </c>
      <c r="B109" s="10">
        <v>42920</v>
      </c>
      <c r="C109" s="11">
        <v>0.37292824074074077</v>
      </c>
      <c r="D109" s="12">
        <v>0.38390046296296299</v>
      </c>
      <c r="E109" s="20">
        <f t="shared" si="10"/>
        <v>1.0972222222222217E-2</v>
      </c>
      <c r="F109" t="str">
        <f t="shared" si="11"/>
        <v>stacjonarny</v>
      </c>
      <c r="G109" s="23">
        <f t="shared" si="18"/>
        <v>36799</v>
      </c>
      <c r="H109">
        <f t="shared" si="19"/>
        <v>14923</v>
      </c>
      <c r="I109">
        <f t="shared" si="12"/>
        <v>0</v>
      </c>
      <c r="J109">
        <f t="shared" si="13"/>
        <v>0</v>
      </c>
      <c r="K109">
        <f t="shared" si="14"/>
        <v>51722</v>
      </c>
      <c r="L109">
        <f t="shared" si="15"/>
        <v>0</v>
      </c>
      <c r="M109">
        <f t="shared" si="16"/>
        <v>948</v>
      </c>
      <c r="N109">
        <f t="shared" si="17"/>
        <v>0</v>
      </c>
    </row>
    <row r="110" spans="1:14" x14ac:dyDescent="0.35">
      <c r="A110" s="5">
        <v>7191598</v>
      </c>
      <c r="B110" s="6">
        <v>42920</v>
      </c>
      <c r="C110" s="7">
        <v>0.37559027777777776</v>
      </c>
      <c r="D110" s="8">
        <v>0.37986111111111109</v>
      </c>
      <c r="E110" s="20">
        <f t="shared" si="10"/>
        <v>4.2708333333333348E-3</v>
      </c>
      <c r="F110" t="str">
        <f t="shared" si="11"/>
        <v>stacjonarny</v>
      </c>
      <c r="G110" s="23">
        <f t="shared" si="18"/>
        <v>37168</v>
      </c>
      <c r="H110">
        <f t="shared" si="19"/>
        <v>14923</v>
      </c>
      <c r="I110">
        <f t="shared" si="12"/>
        <v>0</v>
      </c>
      <c r="J110">
        <f t="shared" si="13"/>
        <v>0</v>
      </c>
      <c r="K110">
        <f t="shared" si="14"/>
        <v>52091</v>
      </c>
      <c r="L110">
        <f t="shared" si="15"/>
        <v>0</v>
      </c>
      <c r="M110">
        <f t="shared" si="16"/>
        <v>369</v>
      </c>
      <c r="N110">
        <f t="shared" si="17"/>
        <v>0</v>
      </c>
    </row>
    <row r="111" spans="1:14" x14ac:dyDescent="0.35">
      <c r="A111" s="9">
        <v>3505978</v>
      </c>
      <c r="B111" s="10">
        <v>42920</v>
      </c>
      <c r="C111" s="11">
        <v>0.37769675925925927</v>
      </c>
      <c r="D111" s="12">
        <v>0.38211805555555556</v>
      </c>
      <c r="E111" s="20">
        <f t="shared" si="10"/>
        <v>4.4212962962962843E-3</v>
      </c>
      <c r="F111" t="str">
        <f t="shared" si="11"/>
        <v>stacjonarny</v>
      </c>
      <c r="G111" s="23">
        <f t="shared" si="18"/>
        <v>37550</v>
      </c>
      <c r="H111">
        <f t="shared" si="19"/>
        <v>14923</v>
      </c>
      <c r="I111">
        <f t="shared" si="12"/>
        <v>0</v>
      </c>
      <c r="J111">
        <f t="shared" si="13"/>
        <v>0</v>
      </c>
      <c r="K111">
        <f t="shared" si="14"/>
        <v>52473</v>
      </c>
      <c r="L111">
        <f t="shared" si="15"/>
        <v>0</v>
      </c>
      <c r="M111">
        <f t="shared" si="16"/>
        <v>382</v>
      </c>
      <c r="N111">
        <f t="shared" si="17"/>
        <v>0</v>
      </c>
    </row>
    <row r="112" spans="1:14" x14ac:dyDescent="0.35">
      <c r="A112" s="5">
        <v>90533733</v>
      </c>
      <c r="B112" s="6">
        <v>42920</v>
      </c>
      <c r="C112" s="7">
        <v>0.38092592592592595</v>
      </c>
      <c r="D112" s="8">
        <v>0.38866898148148149</v>
      </c>
      <c r="E112" s="20">
        <f t="shared" si="10"/>
        <v>7.7430555555555447E-3</v>
      </c>
      <c r="F112" t="str">
        <f t="shared" si="11"/>
        <v>komorkowy</v>
      </c>
      <c r="G112" s="23">
        <f t="shared" si="18"/>
        <v>37550</v>
      </c>
      <c r="H112">
        <f t="shared" si="19"/>
        <v>15592</v>
      </c>
      <c r="I112">
        <f t="shared" si="12"/>
        <v>0</v>
      </c>
      <c r="J112">
        <f t="shared" si="13"/>
        <v>0</v>
      </c>
      <c r="K112">
        <f t="shared" si="14"/>
        <v>53142</v>
      </c>
      <c r="L112">
        <f t="shared" si="15"/>
        <v>0</v>
      </c>
      <c r="M112">
        <f t="shared" si="16"/>
        <v>0</v>
      </c>
      <c r="N112">
        <f t="shared" si="17"/>
        <v>669</v>
      </c>
    </row>
    <row r="113" spans="1:14" x14ac:dyDescent="0.35">
      <c r="A113" s="9">
        <v>6859181</v>
      </c>
      <c r="B113" s="10">
        <v>42920</v>
      </c>
      <c r="C113" s="11">
        <v>0.38188657407407406</v>
      </c>
      <c r="D113" s="12">
        <v>0.38545138888888891</v>
      </c>
      <c r="E113" s="20">
        <f t="shared" si="10"/>
        <v>3.564814814814854E-3</v>
      </c>
      <c r="F113" t="str">
        <f t="shared" si="11"/>
        <v>stacjonarny</v>
      </c>
      <c r="G113" s="23">
        <f t="shared" si="18"/>
        <v>37858</v>
      </c>
      <c r="H113">
        <f t="shared" si="19"/>
        <v>15592</v>
      </c>
      <c r="I113">
        <f t="shared" si="12"/>
        <v>0</v>
      </c>
      <c r="J113">
        <f t="shared" si="13"/>
        <v>0</v>
      </c>
      <c r="K113">
        <f t="shared" si="14"/>
        <v>53450</v>
      </c>
      <c r="L113">
        <f t="shared" si="15"/>
        <v>0</v>
      </c>
      <c r="M113">
        <f t="shared" si="16"/>
        <v>308</v>
      </c>
      <c r="N113">
        <f t="shared" si="17"/>
        <v>0</v>
      </c>
    </row>
    <row r="114" spans="1:14" x14ac:dyDescent="0.35">
      <c r="A114" s="5">
        <v>7207066</v>
      </c>
      <c r="B114" s="6">
        <v>42920</v>
      </c>
      <c r="C114" s="7">
        <v>0.3862962962962963</v>
      </c>
      <c r="D114" s="8">
        <v>0.3883449074074074</v>
      </c>
      <c r="E114" s="20">
        <f t="shared" si="10"/>
        <v>2.0486111111110983E-3</v>
      </c>
      <c r="F114" t="str">
        <f t="shared" si="11"/>
        <v>stacjonarny</v>
      </c>
      <c r="G114" s="23">
        <f t="shared" si="18"/>
        <v>38035</v>
      </c>
      <c r="H114">
        <f t="shared" si="19"/>
        <v>15592</v>
      </c>
      <c r="I114">
        <f t="shared" si="12"/>
        <v>0</v>
      </c>
      <c r="J114">
        <f t="shared" si="13"/>
        <v>0</v>
      </c>
      <c r="K114">
        <f t="shared" si="14"/>
        <v>53627</v>
      </c>
      <c r="L114">
        <f t="shared" si="15"/>
        <v>0</v>
      </c>
      <c r="M114">
        <f t="shared" si="16"/>
        <v>177</v>
      </c>
      <c r="N114">
        <f t="shared" si="17"/>
        <v>0</v>
      </c>
    </row>
    <row r="115" spans="1:14" x14ac:dyDescent="0.35">
      <c r="A115" s="9">
        <v>4230507</v>
      </c>
      <c r="B115" s="10">
        <v>42920</v>
      </c>
      <c r="C115" s="11">
        <v>0.38763888888888887</v>
      </c>
      <c r="D115" s="12">
        <v>0.39317129629629627</v>
      </c>
      <c r="E115" s="20">
        <f t="shared" si="10"/>
        <v>5.5324074074074026E-3</v>
      </c>
      <c r="F115" t="str">
        <f t="shared" si="11"/>
        <v>stacjonarny</v>
      </c>
      <c r="G115" s="23">
        <f t="shared" si="18"/>
        <v>38513</v>
      </c>
      <c r="H115">
        <f t="shared" si="19"/>
        <v>15592</v>
      </c>
      <c r="I115">
        <f t="shared" si="12"/>
        <v>0</v>
      </c>
      <c r="J115">
        <f t="shared" si="13"/>
        <v>0</v>
      </c>
      <c r="K115">
        <f t="shared" si="14"/>
        <v>54105</v>
      </c>
      <c r="L115">
        <f t="shared" si="15"/>
        <v>0</v>
      </c>
      <c r="M115">
        <f t="shared" si="16"/>
        <v>478</v>
      </c>
      <c r="N115">
        <f t="shared" si="17"/>
        <v>0</v>
      </c>
    </row>
    <row r="116" spans="1:14" x14ac:dyDescent="0.35">
      <c r="A116" s="5">
        <v>2915745</v>
      </c>
      <c r="B116" s="6">
        <v>42920</v>
      </c>
      <c r="C116" s="7">
        <v>0.39210648148148147</v>
      </c>
      <c r="D116" s="8">
        <v>0.39277777777777778</v>
      </c>
      <c r="E116" s="20">
        <f t="shared" si="10"/>
        <v>6.7129629629630871E-4</v>
      </c>
      <c r="F116" t="str">
        <f t="shared" si="11"/>
        <v>stacjonarny</v>
      </c>
      <c r="G116" s="23">
        <f t="shared" si="18"/>
        <v>38571</v>
      </c>
      <c r="H116">
        <f t="shared" si="19"/>
        <v>15592</v>
      </c>
      <c r="I116">
        <f t="shared" si="12"/>
        <v>0</v>
      </c>
      <c r="J116">
        <f t="shared" si="13"/>
        <v>0</v>
      </c>
      <c r="K116">
        <f t="shared" si="14"/>
        <v>54163</v>
      </c>
      <c r="L116">
        <f t="shared" si="15"/>
        <v>0</v>
      </c>
      <c r="M116">
        <f t="shared" si="16"/>
        <v>58</v>
      </c>
      <c r="N116">
        <f t="shared" si="17"/>
        <v>0</v>
      </c>
    </row>
    <row r="117" spans="1:14" x14ac:dyDescent="0.35">
      <c r="A117" s="9">
        <v>2235911</v>
      </c>
      <c r="B117" s="10">
        <v>42920</v>
      </c>
      <c r="C117" s="11">
        <v>0.39656249999999998</v>
      </c>
      <c r="D117" s="12">
        <v>0.40236111111111111</v>
      </c>
      <c r="E117" s="20">
        <f t="shared" si="10"/>
        <v>5.7986111111111294E-3</v>
      </c>
      <c r="F117" t="str">
        <f t="shared" si="11"/>
        <v>stacjonarny</v>
      </c>
      <c r="G117" s="23">
        <f t="shared" si="18"/>
        <v>39072</v>
      </c>
      <c r="H117">
        <f t="shared" si="19"/>
        <v>15592</v>
      </c>
      <c r="I117">
        <f t="shared" si="12"/>
        <v>0</v>
      </c>
      <c r="J117">
        <f t="shared" si="13"/>
        <v>0</v>
      </c>
      <c r="K117">
        <f t="shared" si="14"/>
        <v>54664</v>
      </c>
      <c r="L117">
        <f t="shared" si="15"/>
        <v>0</v>
      </c>
      <c r="M117">
        <f t="shared" si="16"/>
        <v>501</v>
      </c>
      <c r="N117">
        <f t="shared" si="17"/>
        <v>0</v>
      </c>
    </row>
    <row r="118" spans="1:14" x14ac:dyDescent="0.35">
      <c r="A118" s="5">
        <v>1611389</v>
      </c>
      <c r="B118" s="6">
        <v>42920</v>
      </c>
      <c r="C118" s="7">
        <v>0.39879629629629632</v>
      </c>
      <c r="D118" s="8">
        <v>0.41033564814814816</v>
      </c>
      <c r="E118" s="20">
        <f t="shared" si="10"/>
        <v>1.1539351851851842E-2</v>
      </c>
      <c r="F118" t="str">
        <f t="shared" si="11"/>
        <v>stacjonarny</v>
      </c>
      <c r="G118" s="23">
        <f t="shared" si="18"/>
        <v>40069</v>
      </c>
      <c r="H118">
        <f t="shared" si="19"/>
        <v>15592</v>
      </c>
      <c r="I118">
        <f t="shared" si="12"/>
        <v>0</v>
      </c>
      <c r="J118">
        <f t="shared" si="13"/>
        <v>0</v>
      </c>
      <c r="K118">
        <f t="shared" si="14"/>
        <v>55661</v>
      </c>
      <c r="L118">
        <f t="shared" si="15"/>
        <v>0</v>
      </c>
      <c r="M118">
        <f t="shared" si="16"/>
        <v>997</v>
      </c>
      <c r="N118">
        <f t="shared" si="17"/>
        <v>0</v>
      </c>
    </row>
    <row r="119" spans="1:14" x14ac:dyDescent="0.35">
      <c r="A119" s="9">
        <v>9052652</v>
      </c>
      <c r="B119" s="10">
        <v>42920</v>
      </c>
      <c r="C119" s="11">
        <v>0.3997337962962963</v>
      </c>
      <c r="D119" s="12">
        <v>0.40465277777777775</v>
      </c>
      <c r="E119" s="20">
        <f t="shared" si="10"/>
        <v>4.9189814814814548E-3</v>
      </c>
      <c r="F119" t="str">
        <f t="shared" si="11"/>
        <v>stacjonarny</v>
      </c>
      <c r="G119" s="23">
        <f t="shared" si="18"/>
        <v>40494</v>
      </c>
      <c r="H119">
        <f t="shared" si="19"/>
        <v>15592</v>
      </c>
      <c r="I119">
        <f t="shared" si="12"/>
        <v>0</v>
      </c>
      <c r="J119">
        <f t="shared" si="13"/>
        <v>0</v>
      </c>
      <c r="K119">
        <f t="shared" si="14"/>
        <v>56086</v>
      </c>
      <c r="L119">
        <f t="shared" si="15"/>
        <v>0</v>
      </c>
      <c r="M119">
        <f t="shared" si="16"/>
        <v>425</v>
      </c>
      <c r="N119">
        <f t="shared" si="17"/>
        <v>0</v>
      </c>
    </row>
    <row r="120" spans="1:14" x14ac:dyDescent="0.35">
      <c r="A120" s="5">
        <v>93611539</v>
      </c>
      <c r="B120" s="6">
        <v>42920</v>
      </c>
      <c r="C120" s="7">
        <v>0.40133101851851855</v>
      </c>
      <c r="D120" s="8">
        <v>0.40964120370370372</v>
      </c>
      <c r="E120" s="20">
        <f t="shared" si="10"/>
        <v>8.3101851851851705E-3</v>
      </c>
      <c r="F120" t="str">
        <f t="shared" si="11"/>
        <v>komorkowy</v>
      </c>
      <c r="G120" s="23">
        <f t="shared" si="18"/>
        <v>40494</v>
      </c>
      <c r="H120">
        <f t="shared" si="19"/>
        <v>16310</v>
      </c>
      <c r="I120">
        <f t="shared" si="12"/>
        <v>0</v>
      </c>
      <c r="J120">
        <f t="shared" si="13"/>
        <v>0</v>
      </c>
      <c r="K120">
        <f t="shared" si="14"/>
        <v>56804</v>
      </c>
      <c r="L120">
        <f t="shared" si="15"/>
        <v>0</v>
      </c>
      <c r="M120">
        <f t="shared" si="16"/>
        <v>0</v>
      </c>
      <c r="N120">
        <f t="shared" si="17"/>
        <v>718</v>
      </c>
    </row>
    <row r="121" spans="1:14" x14ac:dyDescent="0.35">
      <c r="A121" s="9">
        <v>68966479</v>
      </c>
      <c r="B121" s="10">
        <v>42920</v>
      </c>
      <c r="C121" s="11">
        <v>0.40493055555555557</v>
      </c>
      <c r="D121" s="12">
        <v>0.40618055555555554</v>
      </c>
      <c r="E121" s="20">
        <f t="shared" si="10"/>
        <v>1.2499999999999734E-3</v>
      </c>
      <c r="F121" t="str">
        <f t="shared" si="11"/>
        <v>komorkowy</v>
      </c>
      <c r="G121" s="23">
        <f t="shared" si="18"/>
        <v>40494</v>
      </c>
      <c r="H121">
        <f t="shared" si="19"/>
        <v>16418</v>
      </c>
      <c r="I121">
        <f t="shared" si="12"/>
        <v>0</v>
      </c>
      <c r="J121">
        <f t="shared" si="13"/>
        <v>0</v>
      </c>
      <c r="K121">
        <f t="shared" si="14"/>
        <v>56912</v>
      </c>
      <c r="L121">
        <f t="shared" si="15"/>
        <v>0</v>
      </c>
      <c r="M121">
        <f t="shared" si="16"/>
        <v>0</v>
      </c>
      <c r="N121">
        <f t="shared" si="17"/>
        <v>108</v>
      </c>
    </row>
    <row r="122" spans="1:14" x14ac:dyDescent="0.35">
      <c r="A122" s="5">
        <v>79381100</v>
      </c>
      <c r="B122" s="6">
        <v>42920</v>
      </c>
      <c r="C122" s="7">
        <v>0.40614583333333332</v>
      </c>
      <c r="D122" s="8">
        <v>0.41761574074074076</v>
      </c>
      <c r="E122" s="20">
        <f t="shared" si="10"/>
        <v>1.1469907407407443E-2</v>
      </c>
      <c r="F122" t="str">
        <f t="shared" si="11"/>
        <v>komorkowy</v>
      </c>
      <c r="G122" s="23">
        <f t="shared" si="18"/>
        <v>40494</v>
      </c>
      <c r="H122">
        <f t="shared" si="19"/>
        <v>17409</v>
      </c>
      <c r="I122">
        <f t="shared" si="12"/>
        <v>0</v>
      </c>
      <c r="J122">
        <f t="shared" si="13"/>
        <v>0</v>
      </c>
      <c r="K122">
        <f t="shared" si="14"/>
        <v>57903</v>
      </c>
      <c r="L122">
        <f t="shared" si="15"/>
        <v>0</v>
      </c>
      <c r="M122">
        <f t="shared" si="16"/>
        <v>0</v>
      </c>
      <c r="N122">
        <f t="shared" si="17"/>
        <v>991</v>
      </c>
    </row>
    <row r="123" spans="1:14" x14ac:dyDescent="0.35">
      <c r="A123" s="9">
        <v>4697138</v>
      </c>
      <c r="B123" s="10">
        <v>42920</v>
      </c>
      <c r="C123" s="11">
        <v>0.40737268518518521</v>
      </c>
      <c r="D123" s="12">
        <v>0.4102777777777778</v>
      </c>
      <c r="E123" s="20">
        <f t="shared" si="10"/>
        <v>2.9050925925925841E-3</v>
      </c>
      <c r="F123" t="str">
        <f t="shared" si="11"/>
        <v>stacjonarny</v>
      </c>
      <c r="G123" s="23">
        <f t="shared" si="18"/>
        <v>40745</v>
      </c>
      <c r="H123">
        <f t="shared" si="19"/>
        <v>17409</v>
      </c>
      <c r="I123">
        <f t="shared" si="12"/>
        <v>0</v>
      </c>
      <c r="J123">
        <f t="shared" si="13"/>
        <v>0</v>
      </c>
      <c r="K123">
        <f t="shared" si="14"/>
        <v>58154</v>
      </c>
      <c r="L123">
        <f t="shared" si="15"/>
        <v>0</v>
      </c>
      <c r="M123">
        <f t="shared" si="16"/>
        <v>251</v>
      </c>
      <c r="N123">
        <f t="shared" si="17"/>
        <v>0</v>
      </c>
    </row>
    <row r="124" spans="1:14" x14ac:dyDescent="0.35">
      <c r="A124" s="5">
        <v>5786740</v>
      </c>
      <c r="B124" s="6">
        <v>42920</v>
      </c>
      <c r="C124" s="7">
        <v>0.40796296296296297</v>
      </c>
      <c r="D124" s="8">
        <v>0.41495370370370371</v>
      </c>
      <c r="E124" s="20">
        <f t="shared" si="10"/>
        <v>6.9907407407407418E-3</v>
      </c>
      <c r="F124" t="str">
        <f t="shared" si="11"/>
        <v>stacjonarny</v>
      </c>
      <c r="G124" s="23">
        <f t="shared" si="18"/>
        <v>41349</v>
      </c>
      <c r="H124">
        <f t="shared" si="19"/>
        <v>17409</v>
      </c>
      <c r="I124">
        <f t="shared" si="12"/>
        <v>0</v>
      </c>
      <c r="J124">
        <f t="shared" si="13"/>
        <v>0</v>
      </c>
      <c r="K124">
        <f t="shared" si="14"/>
        <v>58758</v>
      </c>
      <c r="L124">
        <f t="shared" si="15"/>
        <v>0</v>
      </c>
      <c r="M124">
        <f t="shared" si="16"/>
        <v>604</v>
      </c>
      <c r="N124">
        <f t="shared" si="17"/>
        <v>0</v>
      </c>
    </row>
    <row r="125" spans="1:14" x14ac:dyDescent="0.35">
      <c r="A125" s="9">
        <v>7727942</v>
      </c>
      <c r="B125" s="10">
        <v>42920</v>
      </c>
      <c r="C125" s="11">
        <v>0.41097222222222224</v>
      </c>
      <c r="D125" s="12">
        <v>0.41613425925925923</v>
      </c>
      <c r="E125" s="20">
        <f t="shared" si="10"/>
        <v>5.1620370370369928E-3</v>
      </c>
      <c r="F125" t="str">
        <f t="shared" si="11"/>
        <v>stacjonarny</v>
      </c>
      <c r="G125" s="23">
        <f t="shared" si="18"/>
        <v>41795</v>
      </c>
      <c r="H125">
        <f t="shared" si="19"/>
        <v>17409</v>
      </c>
      <c r="I125">
        <f t="shared" si="12"/>
        <v>0</v>
      </c>
      <c r="J125">
        <f t="shared" si="13"/>
        <v>0</v>
      </c>
      <c r="K125">
        <f t="shared" si="14"/>
        <v>59204</v>
      </c>
      <c r="L125">
        <f t="shared" si="15"/>
        <v>0</v>
      </c>
      <c r="M125">
        <f t="shared" si="16"/>
        <v>446</v>
      </c>
      <c r="N125">
        <f t="shared" si="17"/>
        <v>0</v>
      </c>
    </row>
    <row r="126" spans="1:14" x14ac:dyDescent="0.35">
      <c r="A126" s="5">
        <v>8384647</v>
      </c>
      <c r="B126" s="6">
        <v>42920</v>
      </c>
      <c r="C126" s="7">
        <v>0.4110300925925926</v>
      </c>
      <c r="D126" s="8">
        <v>0.42162037037037037</v>
      </c>
      <c r="E126" s="20">
        <f t="shared" si="10"/>
        <v>1.0590277777777768E-2</v>
      </c>
      <c r="F126" t="str">
        <f t="shared" si="11"/>
        <v>stacjonarny</v>
      </c>
      <c r="G126" s="23">
        <f t="shared" si="18"/>
        <v>42710</v>
      </c>
      <c r="H126">
        <f t="shared" si="19"/>
        <v>17409</v>
      </c>
      <c r="I126">
        <f t="shared" si="12"/>
        <v>0</v>
      </c>
      <c r="J126">
        <f t="shared" si="13"/>
        <v>0</v>
      </c>
      <c r="K126">
        <f t="shared" si="14"/>
        <v>60119</v>
      </c>
      <c r="L126">
        <f t="shared" si="15"/>
        <v>0</v>
      </c>
      <c r="M126">
        <f t="shared" si="16"/>
        <v>915</v>
      </c>
      <c r="N126">
        <f t="shared" si="17"/>
        <v>0</v>
      </c>
    </row>
    <row r="127" spans="1:14" x14ac:dyDescent="0.35">
      <c r="A127" s="9">
        <v>1858872516</v>
      </c>
      <c r="B127" s="10">
        <v>42920</v>
      </c>
      <c r="C127" s="11">
        <v>0.41510416666666666</v>
      </c>
      <c r="D127" s="12">
        <v>0.41668981481481482</v>
      </c>
      <c r="E127" s="20">
        <f t="shared" si="10"/>
        <v>1.5856481481481555E-3</v>
      </c>
      <c r="F127" t="str">
        <f t="shared" si="11"/>
        <v>zagraniczny</v>
      </c>
      <c r="G127" s="23">
        <f t="shared" si="18"/>
        <v>42710</v>
      </c>
      <c r="H127">
        <f t="shared" si="19"/>
        <v>17409</v>
      </c>
      <c r="I127">
        <f t="shared" si="12"/>
        <v>137</v>
      </c>
      <c r="J127">
        <f t="shared" si="13"/>
        <v>3</v>
      </c>
      <c r="K127">
        <f t="shared" si="14"/>
        <v>60119</v>
      </c>
      <c r="L127">
        <f t="shared" si="15"/>
        <v>0</v>
      </c>
      <c r="M127">
        <f t="shared" si="16"/>
        <v>0</v>
      </c>
      <c r="N127">
        <f t="shared" si="17"/>
        <v>0</v>
      </c>
    </row>
    <row r="128" spans="1:14" x14ac:dyDescent="0.35">
      <c r="A128" s="5">
        <v>4546455</v>
      </c>
      <c r="B128" s="6">
        <v>42920</v>
      </c>
      <c r="C128" s="7">
        <v>0.41912037037037037</v>
      </c>
      <c r="D128" s="8">
        <v>0.42031249999999998</v>
      </c>
      <c r="E128" s="20">
        <f t="shared" si="10"/>
        <v>1.1921296296296124E-3</v>
      </c>
      <c r="F128" t="str">
        <f t="shared" si="11"/>
        <v>stacjonarny</v>
      </c>
      <c r="G128" s="23">
        <f t="shared" si="18"/>
        <v>42813</v>
      </c>
      <c r="H128">
        <f t="shared" si="19"/>
        <v>17409</v>
      </c>
      <c r="I128">
        <f t="shared" si="12"/>
        <v>0</v>
      </c>
      <c r="J128">
        <f t="shared" si="13"/>
        <v>0</v>
      </c>
      <c r="K128">
        <f t="shared" si="14"/>
        <v>60222</v>
      </c>
      <c r="L128">
        <f t="shared" si="15"/>
        <v>0</v>
      </c>
      <c r="M128">
        <f t="shared" si="16"/>
        <v>103</v>
      </c>
      <c r="N128">
        <f t="shared" si="17"/>
        <v>0</v>
      </c>
    </row>
    <row r="129" spans="1:14" x14ac:dyDescent="0.35">
      <c r="A129" s="9">
        <v>2668991</v>
      </c>
      <c r="B129" s="10">
        <v>42920</v>
      </c>
      <c r="C129" s="11">
        <v>0.42249999999999999</v>
      </c>
      <c r="D129" s="12">
        <v>0.42834490740740738</v>
      </c>
      <c r="E129" s="20">
        <f t="shared" si="10"/>
        <v>5.8449074074073959E-3</v>
      </c>
      <c r="F129" t="str">
        <f t="shared" si="11"/>
        <v>stacjonarny</v>
      </c>
      <c r="G129" s="23">
        <f t="shared" si="18"/>
        <v>43318</v>
      </c>
      <c r="H129">
        <f t="shared" si="19"/>
        <v>17409</v>
      </c>
      <c r="I129">
        <f t="shared" si="12"/>
        <v>0</v>
      </c>
      <c r="J129">
        <f t="shared" si="13"/>
        <v>0</v>
      </c>
      <c r="K129">
        <f t="shared" si="14"/>
        <v>60727</v>
      </c>
      <c r="L129">
        <f t="shared" si="15"/>
        <v>0</v>
      </c>
      <c r="M129">
        <f t="shared" si="16"/>
        <v>505</v>
      </c>
      <c r="N129">
        <f t="shared" si="17"/>
        <v>0</v>
      </c>
    </row>
    <row r="130" spans="1:14" x14ac:dyDescent="0.35">
      <c r="A130" s="5">
        <v>5528648</v>
      </c>
      <c r="B130" s="6">
        <v>42920</v>
      </c>
      <c r="C130" s="7">
        <v>0.42591435185185184</v>
      </c>
      <c r="D130" s="8">
        <v>0.43486111111111109</v>
      </c>
      <c r="E130" s="20">
        <f t="shared" si="10"/>
        <v>8.9467592592592515E-3</v>
      </c>
      <c r="F130" t="str">
        <f t="shared" si="11"/>
        <v>stacjonarny</v>
      </c>
      <c r="G130" s="23">
        <f t="shared" si="18"/>
        <v>44091</v>
      </c>
      <c r="H130">
        <f t="shared" si="19"/>
        <v>17409</v>
      </c>
      <c r="I130">
        <f t="shared" si="12"/>
        <v>0</v>
      </c>
      <c r="J130">
        <f t="shared" si="13"/>
        <v>0</v>
      </c>
      <c r="K130">
        <f t="shared" si="14"/>
        <v>61500</v>
      </c>
      <c r="L130">
        <f t="shared" si="15"/>
        <v>0</v>
      </c>
      <c r="M130">
        <f t="shared" si="16"/>
        <v>773</v>
      </c>
      <c r="N130">
        <f t="shared" si="17"/>
        <v>0</v>
      </c>
    </row>
    <row r="131" spans="1:14" x14ac:dyDescent="0.35">
      <c r="A131" s="9">
        <v>2157195</v>
      </c>
      <c r="B131" s="10">
        <v>42920</v>
      </c>
      <c r="C131" s="11">
        <v>0.42942129629629627</v>
      </c>
      <c r="D131" s="12">
        <v>0.4349189814814815</v>
      </c>
      <c r="E131" s="20">
        <f t="shared" ref="E131:E194" si="20">D131-C131</f>
        <v>5.4976851851852304E-3</v>
      </c>
      <c r="F131" t="str">
        <f t="shared" ref="F131:F194" si="21">IF(LEN(A131)=7,"stacjonarny",IF(LEN(A131)=8,"komorkowy","zagraniczny"))</f>
        <v>stacjonarny</v>
      </c>
      <c r="G131" s="23">
        <f t="shared" si="18"/>
        <v>44566</v>
      </c>
      <c r="H131">
        <f t="shared" si="19"/>
        <v>17409</v>
      </c>
      <c r="I131">
        <f t="shared" ref="I131:I194" si="22">IF(F131="zagraniczny",MINUTE(E131)*60+SECOND(E131)+HOUR(E131)*3600,0)</f>
        <v>0</v>
      </c>
      <c r="J131">
        <f t="shared" ref="J131:J194" si="23">ROUNDUP(I131/60,0)</f>
        <v>0</v>
      </c>
      <c r="K131">
        <f t="shared" ref="K131:K194" si="24">G131+H131</f>
        <v>61975</v>
      </c>
      <c r="L131">
        <f t="shared" ref="L131:L194" si="25">IF(K131&lt;=48000,1,0)</f>
        <v>0</v>
      </c>
      <c r="M131">
        <f t="shared" ref="M131:M194" si="26">IF(AND(L131=0,F131="stacjonarny"),SECOND(E131)+60*MINUTE(E131),0)</f>
        <v>475</v>
      </c>
      <c r="N131">
        <f t="shared" ref="N131:N194" si="27">IF(AND(L131=0,F131="komorkowy"),SECOND(E131)+60*MINUTE(E131),0)</f>
        <v>0</v>
      </c>
    </row>
    <row r="132" spans="1:14" x14ac:dyDescent="0.35">
      <c r="A132" s="5">
        <v>7747085</v>
      </c>
      <c r="B132" s="6">
        <v>42920</v>
      </c>
      <c r="C132" s="7">
        <v>0.43247685185185186</v>
      </c>
      <c r="D132" s="8">
        <v>0.43613425925925925</v>
      </c>
      <c r="E132" s="20">
        <f t="shared" si="20"/>
        <v>3.657407407407387E-3</v>
      </c>
      <c r="F132" t="str">
        <f t="shared" si="21"/>
        <v>stacjonarny</v>
      </c>
      <c r="G132" s="23">
        <f t="shared" ref="G132:G195" si="28">IF(F132="stacjonarny",MINUTE(E132)*60+SECOND(E132)+G131,G131)</f>
        <v>44882</v>
      </c>
      <c r="H132">
        <f t="shared" ref="H132:H195" si="29">IF(F132="komorkowy",MINUTE(E132)*60+SECOND(E132)+H131,H131)</f>
        <v>17409</v>
      </c>
      <c r="I132">
        <f t="shared" si="22"/>
        <v>0</v>
      </c>
      <c r="J132">
        <f t="shared" si="23"/>
        <v>0</v>
      </c>
      <c r="K132">
        <f t="shared" si="24"/>
        <v>62291</v>
      </c>
      <c r="L132">
        <f t="shared" si="25"/>
        <v>0</v>
      </c>
      <c r="M132">
        <f t="shared" si="26"/>
        <v>316</v>
      </c>
      <c r="N132">
        <f t="shared" si="27"/>
        <v>0</v>
      </c>
    </row>
    <row r="133" spans="1:14" x14ac:dyDescent="0.35">
      <c r="A133" s="9">
        <v>6865106</v>
      </c>
      <c r="B133" s="10">
        <v>42920</v>
      </c>
      <c r="C133" s="11">
        <v>0.43741898148148151</v>
      </c>
      <c r="D133" s="12">
        <v>0.44848379629629631</v>
      </c>
      <c r="E133" s="20">
        <f t="shared" si="20"/>
        <v>1.1064814814814805E-2</v>
      </c>
      <c r="F133" t="str">
        <f t="shared" si="21"/>
        <v>stacjonarny</v>
      </c>
      <c r="G133" s="23">
        <f t="shared" si="28"/>
        <v>45838</v>
      </c>
      <c r="H133">
        <f t="shared" si="29"/>
        <v>17409</v>
      </c>
      <c r="I133">
        <f t="shared" si="22"/>
        <v>0</v>
      </c>
      <c r="J133">
        <f t="shared" si="23"/>
        <v>0</v>
      </c>
      <c r="K133">
        <f t="shared" si="24"/>
        <v>63247</v>
      </c>
      <c r="L133">
        <f t="shared" si="25"/>
        <v>0</v>
      </c>
      <c r="M133">
        <f t="shared" si="26"/>
        <v>956</v>
      </c>
      <c r="N133">
        <f t="shared" si="27"/>
        <v>0</v>
      </c>
    </row>
    <row r="134" spans="1:14" x14ac:dyDescent="0.35">
      <c r="A134" s="5">
        <v>8819206</v>
      </c>
      <c r="B134" s="6">
        <v>42920</v>
      </c>
      <c r="C134" s="7">
        <v>0.44068287037037035</v>
      </c>
      <c r="D134" s="8">
        <v>0.44912037037037039</v>
      </c>
      <c r="E134" s="20">
        <f t="shared" si="20"/>
        <v>8.4375000000000422E-3</v>
      </c>
      <c r="F134" t="str">
        <f t="shared" si="21"/>
        <v>stacjonarny</v>
      </c>
      <c r="G134" s="23">
        <f t="shared" si="28"/>
        <v>46567</v>
      </c>
      <c r="H134">
        <f t="shared" si="29"/>
        <v>17409</v>
      </c>
      <c r="I134">
        <f t="shared" si="22"/>
        <v>0</v>
      </c>
      <c r="J134">
        <f t="shared" si="23"/>
        <v>0</v>
      </c>
      <c r="K134">
        <f t="shared" si="24"/>
        <v>63976</v>
      </c>
      <c r="L134">
        <f t="shared" si="25"/>
        <v>0</v>
      </c>
      <c r="M134">
        <f t="shared" si="26"/>
        <v>729</v>
      </c>
      <c r="N134">
        <f t="shared" si="27"/>
        <v>0</v>
      </c>
    </row>
    <row r="135" spans="1:14" x14ac:dyDescent="0.35">
      <c r="A135" s="9">
        <v>3990337</v>
      </c>
      <c r="B135" s="10">
        <v>42920</v>
      </c>
      <c r="C135" s="11">
        <v>0.44158564814814816</v>
      </c>
      <c r="D135" s="12">
        <v>0.4470601851851852</v>
      </c>
      <c r="E135" s="20">
        <f t="shared" si="20"/>
        <v>5.4745370370370416E-3</v>
      </c>
      <c r="F135" t="str">
        <f t="shared" si="21"/>
        <v>stacjonarny</v>
      </c>
      <c r="G135" s="23">
        <f t="shared" si="28"/>
        <v>47040</v>
      </c>
      <c r="H135">
        <f t="shared" si="29"/>
        <v>17409</v>
      </c>
      <c r="I135">
        <f t="shared" si="22"/>
        <v>0</v>
      </c>
      <c r="J135">
        <f t="shared" si="23"/>
        <v>0</v>
      </c>
      <c r="K135">
        <f t="shared" si="24"/>
        <v>64449</v>
      </c>
      <c r="L135">
        <f t="shared" si="25"/>
        <v>0</v>
      </c>
      <c r="M135">
        <f t="shared" si="26"/>
        <v>473</v>
      </c>
      <c r="N135">
        <f t="shared" si="27"/>
        <v>0</v>
      </c>
    </row>
    <row r="136" spans="1:14" x14ac:dyDescent="0.35">
      <c r="A136" s="5">
        <v>4238684</v>
      </c>
      <c r="B136" s="6">
        <v>42920</v>
      </c>
      <c r="C136" s="7">
        <v>0.44466435185185182</v>
      </c>
      <c r="D136" s="8">
        <v>0.4535763888888889</v>
      </c>
      <c r="E136" s="20">
        <f t="shared" si="20"/>
        <v>8.9120370370370794E-3</v>
      </c>
      <c r="F136" t="str">
        <f t="shared" si="21"/>
        <v>stacjonarny</v>
      </c>
      <c r="G136" s="23">
        <f t="shared" si="28"/>
        <v>47810</v>
      </c>
      <c r="H136">
        <f t="shared" si="29"/>
        <v>17409</v>
      </c>
      <c r="I136">
        <f t="shared" si="22"/>
        <v>0</v>
      </c>
      <c r="J136">
        <f t="shared" si="23"/>
        <v>0</v>
      </c>
      <c r="K136">
        <f t="shared" si="24"/>
        <v>65219</v>
      </c>
      <c r="L136">
        <f t="shared" si="25"/>
        <v>0</v>
      </c>
      <c r="M136">
        <f t="shared" si="26"/>
        <v>770</v>
      </c>
      <c r="N136">
        <f t="shared" si="27"/>
        <v>0</v>
      </c>
    </row>
    <row r="137" spans="1:14" x14ac:dyDescent="0.35">
      <c r="A137" s="9">
        <v>86774913</v>
      </c>
      <c r="B137" s="10">
        <v>42920</v>
      </c>
      <c r="C137" s="11">
        <v>0.44548611111111114</v>
      </c>
      <c r="D137" s="12">
        <v>0.4541898148148148</v>
      </c>
      <c r="E137" s="20">
        <f t="shared" si="20"/>
        <v>8.703703703703658E-3</v>
      </c>
      <c r="F137" t="str">
        <f t="shared" si="21"/>
        <v>komorkowy</v>
      </c>
      <c r="G137" s="23">
        <f t="shared" si="28"/>
        <v>47810</v>
      </c>
      <c r="H137">
        <f t="shared" si="29"/>
        <v>18161</v>
      </c>
      <c r="I137">
        <f t="shared" si="22"/>
        <v>0</v>
      </c>
      <c r="J137">
        <f t="shared" si="23"/>
        <v>0</v>
      </c>
      <c r="K137">
        <f t="shared" si="24"/>
        <v>65971</v>
      </c>
      <c r="L137">
        <f t="shared" si="25"/>
        <v>0</v>
      </c>
      <c r="M137">
        <f t="shared" si="26"/>
        <v>0</v>
      </c>
      <c r="N137">
        <f t="shared" si="27"/>
        <v>752</v>
      </c>
    </row>
    <row r="138" spans="1:14" x14ac:dyDescent="0.35">
      <c r="A138" s="5">
        <v>93696449</v>
      </c>
      <c r="B138" s="6">
        <v>42920</v>
      </c>
      <c r="C138" s="7">
        <v>0.45063657407407409</v>
      </c>
      <c r="D138" s="8">
        <v>0.45581018518518518</v>
      </c>
      <c r="E138" s="20">
        <f t="shared" si="20"/>
        <v>5.1736111111110872E-3</v>
      </c>
      <c r="F138" t="str">
        <f t="shared" si="21"/>
        <v>komorkowy</v>
      </c>
      <c r="G138" s="23">
        <f t="shared" si="28"/>
        <v>47810</v>
      </c>
      <c r="H138">
        <f t="shared" si="29"/>
        <v>18608</v>
      </c>
      <c r="I138">
        <f t="shared" si="22"/>
        <v>0</v>
      </c>
      <c r="J138">
        <f t="shared" si="23"/>
        <v>0</v>
      </c>
      <c r="K138">
        <f t="shared" si="24"/>
        <v>66418</v>
      </c>
      <c r="L138">
        <f t="shared" si="25"/>
        <v>0</v>
      </c>
      <c r="M138">
        <f t="shared" si="26"/>
        <v>0</v>
      </c>
      <c r="N138">
        <f t="shared" si="27"/>
        <v>447</v>
      </c>
    </row>
    <row r="139" spans="1:14" x14ac:dyDescent="0.35">
      <c r="A139" s="9">
        <v>1269611</v>
      </c>
      <c r="B139" s="10">
        <v>42920</v>
      </c>
      <c r="C139" s="11">
        <v>0.45596064814814813</v>
      </c>
      <c r="D139" s="12">
        <v>0.46010416666666665</v>
      </c>
      <c r="E139" s="20">
        <f t="shared" si="20"/>
        <v>4.1435185185185186E-3</v>
      </c>
      <c r="F139" t="str">
        <f t="shared" si="21"/>
        <v>stacjonarny</v>
      </c>
      <c r="G139" s="23">
        <f t="shared" si="28"/>
        <v>48168</v>
      </c>
      <c r="H139">
        <f t="shared" si="29"/>
        <v>18608</v>
      </c>
      <c r="I139">
        <f t="shared" si="22"/>
        <v>0</v>
      </c>
      <c r="J139">
        <f t="shared" si="23"/>
        <v>0</v>
      </c>
      <c r="K139">
        <f t="shared" si="24"/>
        <v>66776</v>
      </c>
      <c r="L139">
        <f t="shared" si="25"/>
        <v>0</v>
      </c>
      <c r="M139">
        <f t="shared" si="26"/>
        <v>358</v>
      </c>
      <c r="N139">
        <f t="shared" si="27"/>
        <v>0</v>
      </c>
    </row>
    <row r="140" spans="1:14" x14ac:dyDescent="0.35">
      <c r="A140" s="5">
        <v>4623731</v>
      </c>
      <c r="B140" s="6">
        <v>42920</v>
      </c>
      <c r="C140" s="7">
        <v>0.46053240740740742</v>
      </c>
      <c r="D140" s="8">
        <v>0.47131944444444446</v>
      </c>
      <c r="E140" s="20">
        <f t="shared" si="20"/>
        <v>1.0787037037037039E-2</v>
      </c>
      <c r="F140" t="str">
        <f t="shared" si="21"/>
        <v>stacjonarny</v>
      </c>
      <c r="G140" s="23">
        <f t="shared" si="28"/>
        <v>49100</v>
      </c>
      <c r="H140">
        <f t="shared" si="29"/>
        <v>18608</v>
      </c>
      <c r="I140">
        <f t="shared" si="22"/>
        <v>0</v>
      </c>
      <c r="J140">
        <f t="shared" si="23"/>
        <v>0</v>
      </c>
      <c r="K140">
        <f t="shared" si="24"/>
        <v>67708</v>
      </c>
      <c r="L140">
        <f t="shared" si="25"/>
        <v>0</v>
      </c>
      <c r="M140">
        <f t="shared" si="26"/>
        <v>932</v>
      </c>
      <c r="N140">
        <f t="shared" si="27"/>
        <v>0</v>
      </c>
    </row>
    <row r="141" spans="1:14" x14ac:dyDescent="0.35">
      <c r="A141" s="9">
        <v>4623731</v>
      </c>
      <c r="B141" s="10">
        <v>42920</v>
      </c>
      <c r="C141" s="11">
        <v>0.46423611111111113</v>
      </c>
      <c r="D141" s="12">
        <v>0.46842592592592591</v>
      </c>
      <c r="E141" s="20">
        <f t="shared" si="20"/>
        <v>4.1898148148147851E-3</v>
      </c>
      <c r="F141" t="str">
        <f t="shared" si="21"/>
        <v>stacjonarny</v>
      </c>
      <c r="G141" s="23">
        <f t="shared" si="28"/>
        <v>49462</v>
      </c>
      <c r="H141">
        <f t="shared" si="29"/>
        <v>18608</v>
      </c>
      <c r="I141">
        <f t="shared" si="22"/>
        <v>0</v>
      </c>
      <c r="J141">
        <f t="shared" si="23"/>
        <v>0</v>
      </c>
      <c r="K141">
        <f t="shared" si="24"/>
        <v>68070</v>
      </c>
      <c r="L141">
        <f t="shared" si="25"/>
        <v>0</v>
      </c>
      <c r="M141">
        <f t="shared" si="26"/>
        <v>362</v>
      </c>
      <c r="N141">
        <f t="shared" si="27"/>
        <v>0</v>
      </c>
    </row>
    <row r="142" spans="1:14" x14ac:dyDescent="0.35">
      <c r="A142" s="5">
        <v>3127402</v>
      </c>
      <c r="B142" s="6">
        <v>42920</v>
      </c>
      <c r="C142" s="7">
        <v>0.46861111111111109</v>
      </c>
      <c r="D142" s="8">
        <v>0.47747685185185185</v>
      </c>
      <c r="E142" s="20">
        <f t="shared" si="20"/>
        <v>8.8657407407407574E-3</v>
      </c>
      <c r="F142" t="str">
        <f t="shared" si="21"/>
        <v>stacjonarny</v>
      </c>
      <c r="G142" s="23">
        <f t="shared" si="28"/>
        <v>50228</v>
      </c>
      <c r="H142">
        <f t="shared" si="29"/>
        <v>18608</v>
      </c>
      <c r="I142">
        <f t="shared" si="22"/>
        <v>0</v>
      </c>
      <c r="J142">
        <f t="shared" si="23"/>
        <v>0</v>
      </c>
      <c r="K142">
        <f t="shared" si="24"/>
        <v>68836</v>
      </c>
      <c r="L142">
        <f t="shared" si="25"/>
        <v>0</v>
      </c>
      <c r="M142">
        <f t="shared" si="26"/>
        <v>766</v>
      </c>
      <c r="N142">
        <f t="shared" si="27"/>
        <v>0</v>
      </c>
    </row>
    <row r="143" spans="1:14" x14ac:dyDescent="0.35">
      <c r="A143" s="9">
        <v>1714791</v>
      </c>
      <c r="B143" s="10">
        <v>42920</v>
      </c>
      <c r="C143" s="11">
        <v>0.47230324074074076</v>
      </c>
      <c r="D143" s="12">
        <v>0.47288194444444442</v>
      </c>
      <c r="E143" s="20">
        <f t="shared" si="20"/>
        <v>5.7870370370366464E-4</v>
      </c>
      <c r="F143" t="str">
        <f t="shared" si="21"/>
        <v>stacjonarny</v>
      </c>
      <c r="G143" s="23">
        <f t="shared" si="28"/>
        <v>50278</v>
      </c>
      <c r="H143">
        <f t="shared" si="29"/>
        <v>18608</v>
      </c>
      <c r="I143">
        <f t="shared" si="22"/>
        <v>0</v>
      </c>
      <c r="J143">
        <f t="shared" si="23"/>
        <v>0</v>
      </c>
      <c r="K143">
        <f t="shared" si="24"/>
        <v>68886</v>
      </c>
      <c r="L143">
        <f t="shared" si="25"/>
        <v>0</v>
      </c>
      <c r="M143">
        <f t="shared" si="26"/>
        <v>50</v>
      </c>
      <c r="N143">
        <f t="shared" si="27"/>
        <v>0</v>
      </c>
    </row>
    <row r="144" spans="1:14" x14ac:dyDescent="0.35">
      <c r="A144" s="5">
        <v>7768277</v>
      </c>
      <c r="B144" s="6">
        <v>42920</v>
      </c>
      <c r="C144" s="7">
        <v>0.47453703703703703</v>
      </c>
      <c r="D144" s="8">
        <v>0.4800462962962963</v>
      </c>
      <c r="E144" s="20">
        <f t="shared" si="20"/>
        <v>5.5092592592592693E-3</v>
      </c>
      <c r="F144" t="str">
        <f t="shared" si="21"/>
        <v>stacjonarny</v>
      </c>
      <c r="G144" s="23">
        <f t="shared" si="28"/>
        <v>50754</v>
      </c>
      <c r="H144">
        <f t="shared" si="29"/>
        <v>18608</v>
      </c>
      <c r="I144">
        <f t="shared" si="22"/>
        <v>0</v>
      </c>
      <c r="J144">
        <f t="shared" si="23"/>
        <v>0</v>
      </c>
      <c r="K144">
        <f t="shared" si="24"/>
        <v>69362</v>
      </c>
      <c r="L144">
        <f t="shared" si="25"/>
        <v>0</v>
      </c>
      <c r="M144">
        <f t="shared" si="26"/>
        <v>476</v>
      </c>
      <c r="N144">
        <f t="shared" si="27"/>
        <v>0</v>
      </c>
    </row>
    <row r="145" spans="1:14" x14ac:dyDescent="0.35">
      <c r="A145" s="9">
        <v>4371394</v>
      </c>
      <c r="B145" s="10">
        <v>42920</v>
      </c>
      <c r="C145" s="11">
        <v>0.47967592592592595</v>
      </c>
      <c r="D145" s="12">
        <v>0.48236111111111113</v>
      </c>
      <c r="E145" s="20">
        <f t="shared" si="20"/>
        <v>2.6851851851851793E-3</v>
      </c>
      <c r="F145" t="str">
        <f t="shared" si="21"/>
        <v>stacjonarny</v>
      </c>
      <c r="G145" s="23">
        <f t="shared" si="28"/>
        <v>50986</v>
      </c>
      <c r="H145">
        <f t="shared" si="29"/>
        <v>18608</v>
      </c>
      <c r="I145">
        <f t="shared" si="22"/>
        <v>0</v>
      </c>
      <c r="J145">
        <f t="shared" si="23"/>
        <v>0</v>
      </c>
      <c r="K145">
        <f t="shared" si="24"/>
        <v>69594</v>
      </c>
      <c r="L145">
        <f t="shared" si="25"/>
        <v>0</v>
      </c>
      <c r="M145">
        <f t="shared" si="26"/>
        <v>232</v>
      </c>
      <c r="N145">
        <f t="shared" si="27"/>
        <v>0</v>
      </c>
    </row>
    <row r="146" spans="1:14" x14ac:dyDescent="0.35">
      <c r="A146" s="5">
        <v>9803545</v>
      </c>
      <c r="B146" s="6">
        <v>42920</v>
      </c>
      <c r="C146" s="7">
        <v>0.47978009259259258</v>
      </c>
      <c r="D146" s="8">
        <v>0.49125000000000002</v>
      </c>
      <c r="E146" s="20">
        <f t="shared" si="20"/>
        <v>1.1469907407407443E-2</v>
      </c>
      <c r="F146" t="str">
        <f t="shared" si="21"/>
        <v>stacjonarny</v>
      </c>
      <c r="G146" s="23">
        <f t="shared" si="28"/>
        <v>51977</v>
      </c>
      <c r="H146">
        <f t="shared" si="29"/>
        <v>18608</v>
      </c>
      <c r="I146">
        <f t="shared" si="22"/>
        <v>0</v>
      </c>
      <c r="J146">
        <f t="shared" si="23"/>
        <v>0</v>
      </c>
      <c r="K146">
        <f t="shared" si="24"/>
        <v>70585</v>
      </c>
      <c r="L146">
        <f t="shared" si="25"/>
        <v>0</v>
      </c>
      <c r="M146">
        <f t="shared" si="26"/>
        <v>991</v>
      </c>
      <c r="N146">
        <f t="shared" si="27"/>
        <v>0</v>
      </c>
    </row>
    <row r="147" spans="1:14" x14ac:dyDescent="0.35">
      <c r="A147" s="9">
        <v>4176704</v>
      </c>
      <c r="B147" s="10">
        <v>42920</v>
      </c>
      <c r="C147" s="11">
        <v>0.47983796296296294</v>
      </c>
      <c r="D147" s="12">
        <v>0.48949074074074073</v>
      </c>
      <c r="E147" s="20">
        <f t="shared" si="20"/>
        <v>9.6527777777777879E-3</v>
      </c>
      <c r="F147" t="str">
        <f t="shared" si="21"/>
        <v>stacjonarny</v>
      </c>
      <c r="G147" s="23">
        <f t="shared" si="28"/>
        <v>52811</v>
      </c>
      <c r="H147">
        <f t="shared" si="29"/>
        <v>18608</v>
      </c>
      <c r="I147">
        <f t="shared" si="22"/>
        <v>0</v>
      </c>
      <c r="J147">
        <f t="shared" si="23"/>
        <v>0</v>
      </c>
      <c r="K147">
        <f t="shared" si="24"/>
        <v>71419</v>
      </c>
      <c r="L147">
        <f t="shared" si="25"/>
        <v>0</v>
      </c>
      <c r="M147">
        <f t="shared" si="26"/>
        <v>834</v>
      </c>
      <c r="N147">
        <f t="shared" si="27"/>
        <v>0</v>
      </c>
    </row>
    <row r="148" spans="1:14" x14ac:dyDescent="0.35">
      <c r="A148" s="5">
        <v>90271112</v>
      </c>
      <c r="B148" s="6">
        <v>42920</v>
      </c>
      <c r="C148" s="7">
        <v>0.4805787037037037</v>
      </c>
      <c r="D148" s="8">
        <v>0.48696759259259259</v>
      </c>
      <c r="E148" s="20">
        <f t="shared" si="20"/>
        <v>6.3888888888888884E-3</v>
      </c>
      <c r="F148" t="str">
        <f t="shared" si="21"/>
        <v>komorkowy</v>
      </c>
      <c r="G148" s="23">
        <f t="shared" si="28"/>
        <v>52811</v>
      </c>
      <c r="H148">
        <f t="shared" si="29"/>
        <v>19160</v>
      </c>
      <c r="I148">
        <f t="shared" si="22"/>
        <v>0</v>
      </c>
      <c r="J148">
        <f t="shared" si="23"/>
        <v>0</v>
      </c>
      <c r="K148">
        <f t="shared" si="24"/>
        <v>71971</v>
      </c>
      <c r="L148">
        <f t="shared" si="25"/>
        <v>0</v>
      </c>
      <c r="M148">
        <f t="shared" si="26"/>
        <v>0</v>
      </c>
      <c r="N148">
        <f t="shared" si="27"/>
        <v>552</v>
      </c>
    </row>
    <row r="149" spans="1:14" x14ac:dyDescent="0.35">
      <c r="A149" s="9">
        <v>8136309</v>
      </c>
      <c r="B149" s="10">
        <v>42920</v>
      </c>
      <c r="C149" s="11">
        <v>0.48189814814814813</v>
      </c>
      <c r="D149" s="12">
        <v>0.49115740740740743</v>
      </c>
      <c r="E149" s="20">
        <f t="shared" si="20"/>
        <v>9.2592592592593004E-3</v>
      </c>
      <c r="F149" t="str">
        <f t="shared" si="21"/>
        <v>stacjonarny</v>
      </c>
      <c r="G149" s="23">
        <f t="shared" si="28"/>
        <v>53611</v>
      </c>
      <c r="H149">
        <f t="shared" si="29"/>
        <v>19160</v>
      </c>
      <c r="I149">
        <f t="shared" si="22"/>
        <v>0</v>
      </c>
      <c r="J149">
        <f t="shared" si="23"/>
        <v>0</v>
      </c>
      <c r="K149">
        <f t="shared" si="24"/>
        <v>72771</v>
      </c>
      <c r="L149">
        <f t="shared" si="25"/>
        <v>0</v>
      </c>
      <c r="M149">
        <f t="shared" si="26"/>
        <v>800</v>
      </c>
      <c r="N149">
        <f t="shared" si="27"/>
        <v>0</v>
      </c>
    </row>
    <row r="150" spans="1:14" x14ac:dyDescent="0.35">
      <c r="A150" s="5">
        <v>3178616</v>
      </c>
      <c r="B150" s="6">
        <v>42920</v>
      </c>
      <c r="C150" s="7">
        <v>0.48312500000000003</v>
      </c>
      <c r="D150" s="8">
        <v>0.49138888888888888</v>
      </c>
      <c r="E150" s="20">
        <f t="shared" si="20"/>
        <v>8.2638888888888484E-3</v>
      </c>
      <c r="F150" t="str">
        <f t="shared" si="21"/>
        <v>stacjonarny</v>
      </c>
      <c r="G150" s="23">
        <f t="shared" si="28"/>
        <v>54325</v>
      </c>
      <c r="H150">
        <f t="shared" si="29"/>
        <v>19160</v>
      </c>
      <c r="I150">
        <f t="shared" si="22"/>
        <v>0</v>
      </c>
      <c r="J150">
        <f t="shared" si="23"/>
        <v>0</v>
      </c>
      <c r="K150">
        <f t="shared" si="24"/>
        <v>73485</v>
      </c>
      <c r="L150">
        <f t="shared" si="25"/>
        <v>0</v>
      </c>
      <c r="M150">
        <f t="shared" si="26"/>
        <v>714</v>
      </c>
      <c r="N150">
        <f t="shared" si="27"/>
        <v>0</v>
      </c>
    </row>
    <row r="151" spans="1:14" x14ac:dyDescent="0.35">
      <c r="A151" s="9">
        <v>27791497</v>
      </c>
      <c r="B151" s="10">
        <v>42920</v>
      </c>
      <c r="C151" s="11">
        <v>0.48803240740740739</v>
      </c>
      <c r="D151" s="12">
        <v>0.49682870370370369</v>
      </c>
      <c r="E151" s="20">
        <f t="shared" si="20"/>
        <v>8.7962962962963021E-3</v>
      </c>
      <c r="F151" t="str">
        <f t="shared" si="21"/>
        <v>komorkowy</v>
      </c>
      <c r="G151" s="23">
        <f t="shared" si="28"/>
        <v>54325</v>
      </c>
      <c r="H151">
        <f t="shared" si="29"/>
        <v>19920</v>
      </c>
      <c r="I151">
        <f t="shared" si="22"/>
        <v>0</v>
      </c>
      <c r="J151">
        <f t="shared" si="23"/>
        <v>0</v>
      </c>
      <c r="K151">
        <f t="shared" si="24"/>
        <v>74245</v>
      </c>
      <c r="L151">
        <f t="shared" si="25"/>
        <v>0</v>
      </c>
      <c r="M151">
        <f t="shared" si="26"/>
        <v>0</v>
      </c>
      <c r="N151">
        <f t="shared" si="27"/>
        <v>760</v>
      </c>
    </row>
    <row r="152" spans="1:14" x14ac:dyDescent="0.35">
      <c r="A152" s="5">
        <v>4738129</v>
      </c>
      <c r="B152" s="6">
        <v>42920</v>
      </c>
      <c r="C152" s="7">
        <v>0.48979166666666668</v>
      </c>
      <c r="D152" s="8">
        <v>0.500462962962963</v>
      </c>
      <c r="E152" s="20">
        <f t="shared" si="20"/>
        <v>1.0671296296296318E-2</v>
      </c>
      <c r="F152" t="str">
        <f t="shared" si="21"/>
        <v>stacjonarny</v>
      </c>
      <c r="G152" s="23">
        <f t="shared" si="28"/>
        <v>55247</v>
      </c>
      <c r="H152">
        <f t="shared" si="29"/>
        <v>19920</v>
      </c>
      <c r="I152">
        <f t="shared" si="22"/>
        <v>0</v>
      </c>
      <c r="J152">
        <f t="shared" si="23"/>
        <v>0</v>
      </c>
      <c r="K152">
        <f t="shared" si="24"/>
        <v>75167</v>
      </c>
      <c r="L152">
        <f t="shared" si="25"/>
        <v>0</v>
      </c>
      <c r="M152">
        <f t="shared" si="26"/>
        <v>922</v>
      </c>
      <c r="N152">
        <f t="shared" si="27"/>
        <v>0</v>
      </c>
    </row>
    <row r="153" spans="1:14" x14ac:dyDescent="0.35">
      <c r="A153" s="9">
        <v>54840810</v>
      </c>
      <c r="B153" s="10">
        <v>42920</v>
      </c>
      <c r="C153" s="11">
        <v>0.49430555555555555</v>
      </c>
      <c r="D153" s="12">
        <v>0.50231481481481477</v>
      </c>
      <c r="E153" s="20">
        <f t="shared" si="20"/>
        <v>8.009259259259216E-3</v>
      </c>
      <c r="F153" t="str">
        <f t="shared" si="21"/>
        <v>komorkowy</v>
      </c>
      <c r="G153" s="23">
        <f t="shared" si="28"/>
        <v>55247</v>
      </c>
      <c r="H153">
        <f t="shared" si="29"/>
        <v>20612</v>
      </c>
      <c r="I153">
        <f t="shared" si="22"/>
        <v>0</v>
      </c>
      <c r="J153">
        <f t="shared" si="23"/>
        <v>0</v>
      </c>
      <c r="K153">
        <f t="shared" si="24"/>
        <v>75859</v>
      </c>
      <c r="L153">
        <f t="shared" si="25"/>
        <v>0</v>
      </c>
      <c r="M153">
        <f t="shared" si="26"/>
        <v>0</v>
      </c>
      <c r="N153">
        <f t="shared" si="27"/>
        <v>692</v>
      </c>
    </row>
    <row r="154" spans="1:14" x14ac:dyDescent="0.35">
      <c r="A154" s="5">
        <v>8885606</v>
      </c>
      <c r="B154" s="6">
        <v>42920</v>
      </c>
      <c r="C154" s="7">
        <v>0.49984953703703705</v>
      </c>
      <c r="D154" s="8">
        <v>0.50960648148148147</v>
      </c>
      <c r="E154" s="20">
        <f t="shared" si="20"/>
        <v>9.7569444444444153E-3</v>
      </c>
      <c r="F154" t="str">
        <f t="shared" si="21"/>
        <v>stacjonarny</v>
      </c>
      <c r="G154" s="23">
        <f t="shared" si="28"/>
        <v>56090</v>
      </c>
      <c r="H154">
        <f t="shared" si="29"/>
        <v>20612</v>
      </c>
      <c r="I154">
        <f t="shared" si="22"/>
        <v>0</v>
      </c>
      <c r="J154">
        <f t="shared" si="23"/>
        <v>0</v>
      </c>
      <c r="K154">
        <f t="shared" si="24"/>
        <v>76702</v>
      </c>
      <c r="L154">
        <f t="shared" si="25"/>
        <v>0</v>
      </c>
      <c r="M154">
        <f t="shared" si="26"/>
        <v>843</v>
      </c>
      <c r="N154">
        <f t="shared" si="27"/>
        <v>0</v>
      </c>
    </row>
    <row r="155" spans="1:14" x14ac:dyDescent="0.35">
      <c r="A155" s="9">
        <v>6730442</v>
      </c>
      <c r="B155" s="10">
        <v>42920</v>
      </c>
      <c r="C155" s="11">
        <v>0.50063657407407403</v>
      </c>
      <c r="D155" s="12">
        <v>0.50876157407407407</v>
      </c>
      <c r="E155" s="20">
        <f t="shared" si="20"/>
        <v>8.1250000000000488E-3</v>
      </c>
      <c r="F155" t="str">
        <f t="shared" si="21"/>
        <v>stacjonarny</v>
      </c>
      <c r="G155" s="23">
        <f t="shared" si="28"/>
        <v>56792</v>
      </c>
      <c r="H155">
        <f t="shared" si="29"/>
        <v>20612</v>
      </c>
      <c r="I155">
        <f t="shared" si="22"/>
        <v>0</v>
      </c>
      <c r="J155">
        <f t="shared" si="23"/>
        <v>0</v>
      </c>
      <c r="K155">
        <f t="shared" si="24"/>
        <v>77404</v>
      </c>
      <c r="L155">
        <f t="shared" si="25"/>
        <v>0</v>
      </c>
      <c r="M155">
        <f t="shared" si="26"/>
        <v>702</v>
      </c>
      <c r="N155">
        <f t="shared" si="27"/>
        <v>0</v>
      </c>
    </row>
    <row r="156" spans="1:14" x14ac:dyDescent="0.35">
      <c r="A156" s="5">
        <v>3326913</v>
      </c>
      <c r="B156" s="6">
        <v>42920</v>
      </c>
      <c r="C156" s="7">
        <v>0.50594907407407408</v>
      </c>
      <c r="D156" s="8">
        <v>0.5154050925925926</v>
      </c>
      <c r="E156" s="20">
        <f t="shared" si="20"/>
        <v>9.4560185185185164E-3</v>
      </c>
      <c r="F156" t="str">
        <f t="shared" si="21"/>
        <v>stacjonarny</v>
      </c>
      <c r="G156" s="23">
        <f t="shared" si="28"/>
        <v>57609</v>
      </c>
      <c r="H156">
        <f t="shared" si="29"/>
        <v>20612</v>
      </c>
      <c r="I156">
        <f t="shared" si="22"/>
        <v>0</v>
      </c>
      <c r="J156">
        <f t="shared" si="23"/>
        <v>0</v>
      </c>
      <c r="K156">
        <f t="shared" si="24"/>
        <v>78221</v>
      </c>
      <c r="L156">
        <f t="shared" si="25"/>
        <v>0</v>
      </c>
      <c r="M156">
        <f t="shared" si="26"/>
        <v>817</v>
      </c>
      <c r="N156">
        <f t="shared" si="27"/>
        <v>0</v>
      </c>
    </row>
    <row r="157" spans="1:14" x14ac:dyDescent="0.35">
      <c r="A157" s="9">
        <v>9865716</v>
      </c>
      <c r="B157" s="10">
        <v>42920</v>
      </c>
      <c r="C157" s="11">
        <v>0.51076388888888891</v>
      </c>
      <c r="D157" s="12">
        <v>0.51890046296296299</v>
      </c>
      <c r="E157" s="20">
        <f t="shared" si="20"/>
        <v>8.1365740740740877E-3</v>
      </c>
      <c r="F157" t="str">
        <f t="shared" si="21"/>
        <v>stacjonarny</v>
      </c>
      <c r="G157" s="23">
        <f t="shared" si="28"/>
        <v>58312</v>
      </c>
      <c r="H157">
        <f t="shared" si="29"/>
        <v>20612</v>
      </c>
      <c r="I157">
        <f t="shared" si="22"/>
        <v>0</v>
      </c>
      <c r="J157">
        <f t="shared" si="23"/>
        <v>0</v>
      </c>
      <c r="K157">
        <f t="shared" si="24"/>
        <v>78924</v>
      </c>
      <c r="L157">
        <f t="shared" si="25"/>
        <v>0</v>
      </c>
      <c r="M157">
        <f t="shared" si="26"/>
        <v>703</v>
      </c>
      <c r="N157">
        <f t="shared" si="27"/>
        <v>0</v>
      </c>
    </row>
    <row r="158" spans="1:14" x14ac:dyDescent="0.35">
      <c r="A158" s="5">
        <v>73284745</v>
      </c>
      <c r="B158" s="6">
        <v>42920</v>
      </c>
      <c r="C158" s="7">
        <v>0.51451388888888894</v>
      </c>
      <c r="D158" s="8">
        <v>0.51857638888888891</v>
      </c>
      <c r="E158" s="20">
        <f t="shared" si="20"/>
        <v>4.0624999999999689E-3</v>
      </c>
      <c r="F158" t="str">
        <f t="shared" si="21"/>
        <v>komorkowy</v>
      </c>
      <c r="G158" s="23">
        <f t="shared" si="28"/>
        <v>58312</v>
      </c>
      <c r="H158">
        <f t="shared" si="29"/>
        <v>20963</v>
      </c>
      <c r="I158">
        <f t="shared" si="22"/>
        <v>0</v>
      </c>
      <c r="J158">
        <f t="shared" si="23"/>
        <v>0</v>
      </c>
      <c r="K158">
        <f t="shared" si="24"/>
        <v>79275</v>
      </c>
      <c r="L158">
        <f t="shared" si="25"/>
        <v>0</v>
      </c>
      <c r="M158">
        <f t="shared" si="26"/>
        <v>0</v>
      </c>
      <c r="N158">
        <f t="shared" si="27"/>
        <v>351</v>
      </c>
    </row>
    <row r="159" spans="1:14" x14ac:dyDescent="0.35">
      <c r="A159" s="9">
        <v>1761255</v>
      </c>
      <c r="B159" s="10">
        <v>42920</v>
      </c>
      <c r="C159" s="11">
        <v>0.51958333333333329</v>
      </c>
      <c r="D159" s="12">
        <v>0.52266203703703706</v>
      </c>
      <c r="E159" s="20">
        <f t="shared" si="20"/>
        <v>3.0787037037037779E-3</v>
      </c>
      <c r="F159" t="str">
        <f t="shared" si="21"/>
        <v>stacjonarny</v>
      </c>
      <c r="G159" s="23">
        <f t="shared" si="28"/>
        <v>58578</v>
      </c>
      <c r="H159">
        <f t="shared" si="29"/>
        <v>20963</v>
      </c>
      <c r="I159">
        <f t="shared" si="22"/>
        <v>0</v>
      </c>
      <c r="J159">
        <f t="shared" si="23"/>
        <v>0</v>
      </c>
      <c r="K159">
        <f t="shared" si="24"/>
        <v>79541</v>
      </c>
      <c r="L159">
        <f t="shared" si="25"/>
        <v>0</v>
      </c>
      <c r="M159">
        <f t="shared" si="26"/>
        <v>266</v>
      </c>
      <c r="N159">
        <f t="shared" si="27"/>
        <v>0</v>
      </c>
    </row>
    <row r="160" spans="1:14" x14ac:dyDescent="0.35">
      <c r="A160" s="5">
        <v>48625903</v>
      </c>
      <c r="B160" s="6">
        <v>42920</v>
      </c>
      <c r="C160" s="7">
        <v>0.52303240740740742</v>
      </c>
      <c r="D160" s="8">
        <v>0.523900462962963</v>
      </c>
      <c r="E160" s="20">
        <f t="shared" si="20"/>
        <v>8.6805555555558023E-4</v>
      </c>
      <c r="F160" t="str">
        <f t="shared" si="21"/>
        <v>komorkowy</v>
      </c>
      <c r="G160" s="23">
        <f t="shared" si="28"/>
        <v>58578</v>
      </c>
      <c r="H160">
        <f t="shared" si="29"/>
        <v>21038</v>
      </c>
      <c r="I160">
        <f t="shared" si="22"/>
        <v>0</v>
      </c>
      <c r="J160">
        <f t="shared" si="23"/>
        <v>0</v>
      </c>
      <c r="K160">
        <f t="shared" si="24"/>
        <v>79616</v>
      </c>
      <c r="L160">
        <f t="shared" si="25"/>
        <v>0</v>
      </c>
      <c r="M160">
        <f t="shared" si="26"/>
        <v>0</v>
      </c>
      <c r="N160">
        <f t="shared" si="27"/>
        <v>75</v>
      </c>
    </row>
    <row r="161" spans="1:14" x14ac:dyDescent="0.35">
      <c r="A161" s="9">
        <v>2235911</v>
      </c>
      <c r="B161" s="10">
        <v>42920</v>
      </c>
      <c r="C161" s="11">
        <v>0.52454861111111106</v>
      </c>
      <c r="D161" s="12">
        <v>0.53546296296296292</v>
      </c>
      <c r="E161" s="20">
        <f t="shared" si="20"/>
        <v>1.0914351851851856E-2</v>
      </c>
      <c r="F161" t="str">
        <f t="shared" si="21"/>
        <v>stacjonarny</v>
      </c>
      <c r="G161" s="23">
        <f t="shared" si="28"/>
        <v>59521</v>
      </c>
      <c r="H161">
        <f t="shared" si="29"/>
        <v>21038</v>
      </c>
      <c r="I161">
        <f t="shared" si="22"/>
        <v>0</v>
      </c>
      <c r="J161">
        <f t="shared" si="23"/>
        <v>0</v>
      </c>
      <c r="K161">
        <f t="shared" si="24"/>
        <v>80559</v>
      </c>
      <c r="L161">
        <f t="shared" si="25"/>
        <v>0</v>
      </c>
      <c r="M161">
        <f t="shared" si="26"/>
        <v>943</v>
      </c>
      <c r="N161">
        <f t="shared" si="27"/>
        <v>0</v>
      </c>
    </row>
    <row r="162" spans="1:14" x14ac:dyDescent="0.35">
      <c r="A162" s="5">
        <v>18036364</v>
      </c>
      <c r="B162" s="6">
        <v>42920</v>
      </c>
      <c r="C162" s="7">
        <v>0.53015046296296298</v>
      </c>
      <c r="D162" s="8">
        <v>0.53275462962962961</v>
      </c>
      <c r="E162" s="20">
        <f t="shared" si="20"/>
        <v>2.6041666666666297E-3</v>
      </c>
      <c r="F162" t="str">
        <f t="shared" si="21"/>
        <v>komorkowy</v>
      </c>
      <c r="G162" s="23">
        <f t="shared" si="28"/>
        <v>59521</v>
      </c>
      <c r="H162">
        <f t="shared" si="29"/>
        <v>21263</v>
      </c>
      <c r="I162">
        <f t="shared" si="22"/>
        <v>0</v>
      </c>
      <c r="J162">
        <f t="shared" si="23"/>
        <v>0</v>
      </c>
      <c r="K162">
        <f t="shared" si="24"/>
        <v>80784</v>
      </c>
      <c r="L162">
        <f t="shared" si="25"/>
        <v>0</v>
      </c>
      <c r="M162">
        <f t="shared" si="26"/>
        <v>0</v>
      </c>
      <c r="N162">
        <f t="shared" si="27"/>
        <v>225</v>
      </c>
    </row>
    <row r="163" spans="1:14" x14ac:dyDescent="0.35">
      <c r="A163" s="9">
        <v>38063903</v>
      </c>
      <c r="B163" s="10">
        <v>42920</v>
      </c>
      <c r="C163" s="11">
        <v>0.53465277777777775</v>
      </c>
      <c r="D163" s="12">
        <v>0.53925925925925922</v>
      </c>
      <c r="E163" s="20">
        <f t="shared" si="20"/>
        <v>4.6064814814814614E-3</v>
      </c>
      <c r="F163" t="str">
        <f t="shared" si="21"/>
        <v>komorkowy</v>
      </c>
      <c r="G163" s="23">
        <f t="shared" si="28"/>
        <v>59521</v>
      </c>
      <c r="H163">
        <f t="shared" si="29"/>
        <v>21661</v>
      </c>
      <c r="I163">
        <f t="shared" si="22"/>
        <v>0</v>
      </c>
      <c r="J163">
        <f t="shared" si="23"/>
        <v>0</v>
      </c>
      <c r="K163">
        <f t="shared" si="24"/>
        <v>81182</v>
      </c>
      <c r="L163">
        <f t="shared" si="25"/>
        <v>0</v>
      </c>
      <c r="M163">
        <f t="shared" si="26"/>
        <v>0</v>
      </c>
      <c r="N163">
        <f t="shared" si="27"/>
        <v>398</v>
      </c>
    </row>
    <row r="164" spans="1:14" x14ac:dyDescent="0.35">
      <c r="A164" s="5">
        <v>4555937</v>
      </c>
      <c r="B164" s="6">
        <v>42920</v>
      </c>
      <c r="C164" s="7">
        <v>0.53748842592592594</v>
      </c>
      <c r="D164" s="8">
        <v>0.54775462962962962</v>
      </c>
      <c r="E164" s="20">
        <f t="shared" si="20"/>
        <v>1.026620370370368E-2</v>
      </c>
      <c r="F164" t="str">
        <f t="shared" si="21"/>
        <v>stacjonarny</v>
      </c>
      <c r="G164" s="23">
        <f t="shared" si="28"/>
        <v>60408</v>
      </c>
      <c r="H164">
        <f t="shared" si="29"/>
        <v>21661</v>
      </c>
      <c r="I164">
        <f t="shared" si="22"/>
        <v>0</v>
      </c>
      <c r="J164">
        <f t="shared" si="23"/>
        <v>0</v>
      </c>
      <c r="K164">
        <f t="shared" si="24"/>
        <v>82069</v>
      </c>
      <c r="L164">
        <f t="shared" si="25"/>
        <v>0</v>
      </c>
      <c r="M164">
        <f t="shared" si="26"/>
        <v>887</v>
      </c>
      <c r="N164">
        <f t="shared" si="27"/>
        <v>0</v>
      </c>
    </row>
    <row r="165" spans="1:14" x14ac:dyDescent="0.35">
      <c r="A165" s="9">
        <v>9422310</v>
      </c>
      <c r="B165" s="10">
        <v>42920</v>
      </c>
      <c r="C165" s="11">
        <v>0.54137731481481477</v>
      </c>
      <c r="D165" s="12">
        <v>0.5506712962962963</v>
      </c>
      <c r="E165" s="20">
        <f t="shared" si="20"/>
        <v>9.293981481481528E-3</v>
      </c>
      <c r="F165" t="str">
        <f t="shared" si="21"/>
        <v>stacjonarny</v>
      </c>
      <c r="G165" s="23">
        <f t="shared" si="28"/>
        <v>61211</v>
      </c>
      <c r="H165">
        <f t="shared" si="29"/>
        <v>21661</v>
      </c>
      <c r="I165">
        <f t="shared" si="22"/>
        <v>0</v>
      </c>
      <c r="J165">
        <f t="shared" si="23"/>
        <v>0</v>
      </c>
      <c r="K165">
        <f t="shared" si="24"/>
        <v>82872</v>
      </c>
      <c r="L165">
        <f t="shared" si="25"/>
        <v>0</v>
      </c>
      <c r="M165">
        <f t="shared" si="26"/>
        <v>803</v>
      </c>
      <c r="N165">
        <f t="shared" si="27"/>
        <v>0</v>
      </c>
    </row>
    <row r="166" spans="1:14" x14ac:dyDescent="0.35">
      <c r="A166" s="5">
        <v>16999529</v>
      </c>
      <c r="B166" s="6">
        <v>42920</v>
      </c>
      <c r="C166" s="7">
        <v>0.54395833333333332</v>
      </c>
      <c r="D166" s="8">
        <v>0.54451388888888885</v>
      </c>
      <c r="E166" s="20">
        <f t="shared" si="20"/>
        <v>5.5555555555553138E-4</v>
      </c>
      <c r="F166" t="str">
        <f t="shared" si="21"/>
        <v>komorkowy</v>
      </c>
      <c r="G166" s="23">
        <f t="shared" si="28"/>
        <v>61211</v>
      </c>
      <c r="H166">
        <f t="shared" si="29"/>
        <v>21709</v>
      </c>
      <c r="I166">
        <f t="shared" si="22"/>
        <v>0</v>
      </c>
      <c r="J166">
        <f t="shared" si="23"/>
        <v>0</v>
      </c>
      <c r="K166">
        <f t="shared" si="24"/>
        <v>82920</v>
      </c>
      <c r="L166">
        <f t="shared" si="25"/>
        <v>0</v>
      </c>
      <c r="M166">
        <f t="shared" si="26"/>
        <v>0</v>
      </c>
      <c r="N166">
        <f t="shared" si="27"/>
        <v>48</v>
      </c>
    </row>
    <row r="167" spans="1:14" x14ac:dyDescent="0.35">
      <c r="A167" s="9">
        <v>8385222</v>
      </c>
      <c r="B167" s="10">
        <v>42920</v>
      </c>
      <c r="C167" s="11">
        <v>0.5455092592592593</v>
      </c>
      <c r="D167" s="12">
        <v>0.54748842592592595</v>
      </c>
      <c r="E167" s="20">
        <f t="shared" si="20"/>
        <v>1.979166666666643E-3</v>
      </c>
      <c r="F167" t="str">
        <f t="shared" si="21"/>
        <v>stacjonarny</v>
      </c>
      <c r="G167" s="23">
        <f t="shared" si="28"/>
        <v>61382</v>
      </c>
      <c r="H167">
        <f t="shared" si="29"/>
        <v>21709</v>
      </c>
      <c r="I167">
        <f t="shared" si="22"/>
        <v>0</v>
      </c>
      <c r="J167">
        <f t="shared" si="23"/>
        <v>0</v>
      </c>
      <c r="K167">
        <f t="shared" si="24"/>
        <v>83091</v>
      </c>
      <c r="L167">
        <f t="shared" si="25"/>
        <v>0</v>
      </c>
      <c r="M167">
        <f t="shared" si="26"/>
        <v>171</v>
      </c>
      <c r="N167">
        <f t="shared" si="27"/>
        <v>0</v>
      </c>
    </row>
    <row r="168" spans="1:14" x14ac:dyDescent="0.35">
      <c r="A168" s="5">
        <v>8086847</v>
      </c>
      <c r="B168" s="6">
        <v>42920</v>
      </c>
      <c r="C168" s="7">
        <v>0.54909722222222224</v>
      </c>
      <c r="D168" s="8">
        <v>0.5524768518518518</v>
      </c>
      <c r="E168" s="20">
        <f t="shared" si="20"/>
        <v>3.3796296296295658E-3</v>
      </c>
      <c r="F168" t="str">
        <f t="shared" si="21"/>
        <v>stacjonarny</v>
      </c>
      <c r="G168" s="23">
        <f t="shared" si="28"/>
        <v>61674</v>
      </c>
      <c r="H168">
        <f t="shared" si="29"/>
        <v>21709</v>
      </c>
      <c r="I168">
        <f t="shared" si="22"/>
        <v>0</v>
      </c>
      <c r="J168">
        <f t="shared" si="23"/>
        <v>0</v>
      </c>
      <c r="K168">
        <f t="shared" si="24"/>
        <v>83383</v>
      </c>
      <c r="L168">
        <f t="shared" si="25"/>
        <v>0</v>
      </c>
      <c r="M168">
        <f t="shared" si="26"/>
        <v>292</v>
      </c>
      <c r="N168">
        <f t="shared" si="27"/>
        <v>0</v>
      </c>
    </row>
    <row r="169" spans="1:14" x14ac:dyDescent="0.35">
      <c r="A169" s="9">
        <v>5215912</v>
      </c>
      <c r="B169" s="10">
        <v>42920</v>
      </c>
      <c r="C169" s="11">
        <v>0.5512731481481481</v>
      </c>
      <c r="D169" s="12">
        <v>0.55435185185185187</v>
      </c>
      <c r="E169" s="20">
        <f t="shared" si="20"/>
        <v>3.0787037037037779E-3</v>
      </c>
      <c r="F169" t="str">
        <f t="shared" si="21"/>
        <v>stacjonarny</v>
      </c>
      <c r="G169" s="23">
        <f t="shared" si="28"/>
        <v>61940</v>
      </c>
      <c r="H169">
        <f t="shared" si="29"/>
        <v>21709</v>
      </c>
      <c r="I169">
        <f t="shared" si="22"/>
        <v>0</v>
      </c>
      <c r="J169">
        <f t="shared" si="23"/>
        <v>0</v>
      </c>
      <c r="K169">
        <f t="shared" si="24"/>
        <v>83649</v>
      </c>
      <c r="L169">
        <f t="shared" si="25"/>
        <v>0</v>
      </c>
      <c r="M169">
        <f t="shared" si="26"/>
        <v>266</v>
      </c>
      <c r="N169">
        <f t="shared" si="27"/>
        <v>0</v>
      </c>
    </row>
    <row r="170" spans="1:14" x14ac:dyDescent="0.35">
      <c r="A170" s="5">
        <v>1973826522</v>
      </c>
      <c r="B170" s="6">
        <v>42920</v>
      </c>
      <c r="C170" s="7">
        <v>0.5553703703703704</v>
      </c>
      <c r="D170" s="8">
        <v>0.55833333333333335</v>
      </c>
      <c r="E170" s="20">
        <f t="shared" si="20"/>
        <v>2.962962962962945E-3</v>
      </c>
      <c r="F170" t="str">
        <f t="shared" si="21"/>
        <v>zagraniczny</v>
      </c>
      <c r="G170" s="23">
        <f t="shared" si="28"/>
        <v>61940</v>
      </c>
      <c r="H170">
        <f t="shared" si="29"/>
        <v>21709</v>
      </c>
      <c r="I170">
        <f t="shared" si="22"/>
        <v>256</v>
      </c>
      <c r="J170">
        <f t="shared" si="23"/>
        <v>5</v>
      </c>
      <c r="K170">
        <f t="shared" si="24"/>
        <v>83649</v>
      </c>
      <c r="L170">
        <f t="shared" si="25"/>
        <v>0</v>
      </c>
      <c r="M170">
        <f t="shared" si="26"/>
        <v>0</v>
      </c>
      <c r="N170">
        <f t="shared" si="27"/>
        <v>0</v>
      </c>
    </row>
    <row r="171" spans="1:14" x14ac:dyDescent="0.35">
      <c r="A171" s="9">
        <v>2255197</v>
      </c>
      <c r="B171" s="10">
        <v>42920</v>
      </c>
      <c r="C171" s="11">
        <v>0.55905092592592598</v>
      </c>
      <c r="D171" s="12">
        <v>0.56342592592592589</v>
      </c>
      <c r="E171" s="20">
        <f t="shared" si="20"/>
        <v>4.3749999999999067E-3</v>
      </c>
      <c r="F171" t="str">
        <f t="shared" si="21"/>
        <v>stacjonarny</v>
      </c>
      <c r="G171" s="23">
        <f t="shared" si="28"/>
        <v>62318</v>
      </c>
      <c r="H171">
        <f t="shared" si="29"/>
        <v>21709</v>
      </c>
      <c r="I171">
        <f t="shared" si="22"/>
        <v>0</v>
      </c>
      <c r="J171">
        <f t="shared" si="23"/>
        <v>0</v>
      </c>
      <c r="K171">
        <f t="shared" si="24"/>
        <v>84027</v>
      </c>
      <c r="L171">
        <f t="shared" si="25"/>
        <v>0</v>
      </c>
      <c r="M171">
        <f t="shared" si="26"/>
        <v>378</v>
      </c>
      <c r="N171">
        <f t="shared" si="27"/>
        <v>0</v>
      </c>
    </row>
    <row r="172" spans="1:14" x14ac:dyDescent="0.35">
      <c r="A172" s="5">
        <v>6719542</v>
      </c>
      <c r="B172" s="6">
        <v>42920</v>
      </c>
      <c r="C172" s="7">
        <v>0.5638657407407407</v>
      </c>
      <c r="D172" s="8">
        <v>0.56425925925925924</v>
      </c>
      <c r="E172" s="20">
        <f t="shared" si="20"/>
        <v>3.9351851851854303E-4</v>
      </c>
      <c r="F172" t="str">
        <f t="shared" si="21"/>
        <v>stacjonarny</v>
      </c>
      <c r="G172" s="23">
        <f t="shared" si="28"/>
        <v>62352</v>
      </c>
      <c r="H172">
        <f t="shared" si="29"/>
        <v>21709</v>
      </c>
      <c r="I172">
        <f t="shared" si="22"/>
        <v>0</v>
      </c>
      <c r="J172">
        <f t="shared" si="23"/>
        <v>0</v>
      </c>
      <c r="K172">
        <f t="shared" si="24"/>
        <v>84061</v>
      </c>
      <c r="L172">
        <f t="shared" si="25"/>
        <v>0</v>
      </c>
      <c r="M172">
        <f t="shared" si="26"/>
        <v>34</v>
      </c>
      <c r="N172">
        <f t="shared" si="27"/>
        <v>0</v>
      </c>
    </row>
    <row r="173" spans="1:14" x14ac:dyDescent="0.35">
      <c r="A173" s="9">
        <v>1837797</v>
      </c>
      <c r="B173" s="10">
        <v>42920</v>
      </c>
      <c r="C173" s="11">
        <v>0.5688657407407407</v>
      </c>
      <c r="D173" s="12">
        <v>0.57524305555555555</v>
      </c>
      <c r="E173" s="20">
        <f t="shared" si="20"/>
        <v>6.3773148148148495E-3</v>
      </c>
      <c r="F173" t="str">
        <f t="shared" si="21"/>
        <v>stacjonarny</v>
      </c>
      <c r="G173" s="23">
        <f t="shared" si="28"/>
        <v>62903</v>
      </c>
      <c r="H173">
        <f t="shared" si="29"/>
        <v>21709</v>
      </c>
      <c r="I173">
        <f t="shared" si="22"/>
        <v>0</v>
      </c>
      <c r="J173">
        <f t="shared" si="23"/>
        <v>0</v>
      </c>
      <c r="K173">
        <f t="shared" si="24"/>
        <v>84612</v>
      </c>
      <c r="L173">
        <f t="shared" si="25"/>
        <v>0</v>
      </c>
      <c r="M173">
        <f t="shared" si="26"/>
        <v>551</v>
      </c>
      <c r="N173">
        <f t="shared" si="27"/>
        <v>0</v>
      </c>
    </row>
    <row r="174" spans="1:14" x14ac:dyDescent="0.35">
      <c r="A174" s="5">
        <v>6772052</v>
      </c>
      <c r="B174" s="6">
        <v>42920</v>
      </c>
      <c r="C174" s="7">
        <v>0.57204861111111116</v>
      </c>
      <c r="D174" s="8">
        <v>0.57371527777777775</v>
      </c>
      <c r="E174" s="20">
        <f t="shared" si="20"/>
        <v>1.6666666666665941E-3</v>
      </c>
      <c r="F174" t="str">
        <f t="shared" si="21"/>
        <v>stacjonarny</v>
      </c>
      <c r="G174" s="23">
        <f t="shared" si="28"/>
        <v>63047</v>
      </c>
      <c r="H174">
        <f t="shared" si="29"/>
        <v>21709</v>
      </c>
      <c r="I174">
        <f t="shared" si="22"/>
        <v>0</v>
      </c>
      <c r="J174">
        <f t="shared" si="23"/>
        <v>0</v>
      </c>
      <c r="K174">
        <f t="shared" si="24"/>
        <v>84756</v>
      </c>
      <c r="L174">
        <f t="shared" si="25"/>
        <v>0</v>
      </c>
      <c r="M174">
        <f t="shared" si="26"/>
        <v>144</v>
      </c>
      <c r="N174">
        <f t="shared" si="27"/>
        <v>0</v>
      </c>
    </row>
    <row r="175" spans="1:14" x14ac:dyDescent="0.35">
      <c r="A175" s="9">
        <v>6495517</v>
      </c>
      <c r="B175" s="10">
        <v>42920</v>
      </c>
      <c r="C175" s="11">
        <v>0.57347222222222227</v>
      </c>
      <c r="D175" s="12">
        <v>0.58420138888888884</v>
      </c>
      <c r="E175" s="20">
        <f t="shared" si="20"/>
        <v>1.0729166666666567E-2</v>
      </c>
      <c r="F175" t="str">
        <f t="shared" si="21"/>
        <v>stacjonarny</v>
      </c>
      <c r="G175" s="23">
        <f t="shared" si="28"/>
        <v>63974</v>
      </c>
      <c r="H175">
        <f t="shared" si="29"/>
        <v>21709</v>
      </c>
      <c r="I175">
        <f t="shared" si="22"/>
        <v>0</v>
      </c>
      <c r="J175">
        <f t="shared" si="23"/>
        <v>0</v>
      </c>
      <c r="K175">
        <f t="shared" si="24"/>
        <v>85683</v>
      </c>
      <c r="L175">
        <f t="shared" si="25"/>
        <v>0</v>
      </c>
      <c r="M175">
        <f t="shared" si="26"/>
        <v>927</v>
      </c>
      <c r="N175">
        <f t="shared" si="27"/>
        <v>0</v>
      </c>
    </row>
    <row r="176" spans="1:14" x14ac:dyDescent="0.35">
      <c r="A176" s="5">
        <v>6275284312</v>
      </c>
      <c r="B176" s="6">
        <v>42920</v>
      </c>
      <c r="C176" s="7">
        <v>0.57861111111111108</v>
      </c>
      <c r="D176" s="8">
        <v>0.58296296296296302</v>
      </c>
      <c r="E176" s="20">
        <f t="shared" si="20"/>
        <v>4.35185185185194E-3</v>
      </c>
      <c r="F176" t="str">
        <f t="shared" si="21"/>
        <v>zagraniczny</v>
      </c>
      <c r="G176" s="23">
        <f t="shared" si="28"/>
        <v>63974</v>
      </c>
      <c r="H176">
        <f t="shared" si="29"/>
        <v>21709</v>
      </c>
      <c r="I176">
        <f t="shared" si="22"/>
        <v>376</v>
      </c>
      <c r="J176">
        <f t="shared" si="23"/>
        <v>7</v>
      </c>
      <c r="K176">
        <f t="shared" si="24"/>
        <v>85683</v>
      </c>
      <c r="L176">
        <f t="shared" si="25"/>
        <v>0</v>
      </c>
      <c r="M176">
        <f t="shared" si="26"/>
        <v>0</v>
      </c>
      <c r="N176">
        <f t="shared" si="27"/>
        <v>0</v>
      </c>
    </row>
    <row r="177" spans="1:14" x14ac:dyDescent="0.35">
      <c r="A177" s="9">
        <v>5997385</v>
      </c>
      <c r="B177" s="10">
        <v>42920</v>
      </c>
      <c r="C177" s="11">
        <v>0.58136574074074077</v>
      </c>
      <c r="D177" s="12">
        <v>0.58156249999999998</v>
      </c>
      <c r="E177" s="20">
        <f t="shared" si="20"/>
        <v>1.96759259259216E-4</v>
      </c>
      <c r="F177" t="str">
        <f t="shared" si="21"/>
        <v>stacjonarny</v>
      </c>
      <c r="G177" s="23">
        <f t="shared" si="28"/>
        <v>63991</v>
      </c>
      <c r="H177">
        <f t="shared" si="29"/>
        <v>21709</v>
      </c>
      <c r="I177">
        <f t="shared" si="22"/>
        <v>0</v>
      </c>
      <c r="J177">
        <f t="shared" si="23"/>
        <v>0</v>
      </c>
      <c r="K177">
        <f t="shared" si="24"/>
        <v>85700</v>
      </c>
      <c r="L177">
        <f t="shared" si="25"/>
        <v>0</v>
      </c>
      <c r="M177">
        <f t="shared" si="26"/>
        <v>17</v>
      </c>
      <c r="N177">
        <f t="shared" si="27"/>
        <v>0</v>
      </c>
    </row>
    <row r="178" spans="1:14" x14ac:dyDescent="0.35">
      <c r="A178" s="5">
        <v>54586484</v>
      </c>
      <c r="B178" s="6">
        <v>42920</v>
      </c>
      <c r="C178" s="7">
        <v>0.58335648148148145</v>
      </c>
      <c r="D178" s="8">
        <v>0.5841319444444445</v>
      </c>
      <c r="E178" s="20">
        <f t="shared" si="20"/>
        <v>7.7546296296304718E-4</v>
      </c>
      <c r="F178" t="str">
        <f t="shared" si="21"/>
        <v>komorkowy</v>
      </c>
      <c r="G178" s="23">
        <f t="shared" si="28"/>
        <v>63991</v>
      </c>
      <c r="H178">
        <f t="shared" si="29"/>
        <v>21776</v>
      </c>
      <c r="I178">
        <f t="shared" si="22"/>
        <v>0</v>
      </c>
      <c r="J178">
        <f t="shared" si="23"/>
        <v>0</v>
      </c>
      <c r="K178">
        <f t="shared" si="24"/>
        <v>85767</v>
      </c>
      <c r="L178">
        <f t="shared" si="25"/>
        <v>0</v>
      </c>
      <c r="M178">
        <f t="shared" si="26"/>
        <v>0</v>
      </c>
      <c r="N178">
        <f t="shared" si="27"/>
        <v>67</v>
      </c>
    </row>
    <row r="179" spans="1:14" x14ac:dyDescent="0.35">
      <c r="A179" s="9">
        <v>8449157</v>
      </c>
      <c r="B179" s="10">
        <v>42920</v>
      </c>
      <c r="C179" s="11">
        <v>0.58377314814814818</v>
      </c>
      <c r="D179" s="12">
        <v>0.59186342592592589</v>
      </c>
      <c r="E179" s="20">
        <f t="shared" si="20"/>
        <v>8.0902777777777102E-3</v>
      </c>
      <c r="F179" t="str">
        <f t="shared" si="21"/>
        <v>stacjonarny</v>
      </c>
      <c r="G179" s="23">
        <f t="shared" si="28"/>
        <v>64690</v>
      </c>
      <c r="H179">
        <f t="shared" si="29"/>
        <v>21776</v>
      </c>
      <c r="I179">
        <f t="shared" si="22"/>
        <v>0</v>
      </c>
      <c r="J179">
        <f t="shared" si="23"/>
        <v>0</v>
      </c>
      <c r="K179">
        <f t="shared" si="24"/>
        <v>86466</v>
      </c>
      <c r="L179">
        <f t="shared" si="25"/>
        <v>0</v>
      </c>
      <c r="M179">
        <f t="shared" si="26"/>
        <v>699</v>
      </c>
      <c r="N179">
        <f t="shared" si="27"/>
        <v>0</v>
      </c>
    </row>
    <row r="180" spans="1:14" x14ac:dyDescent="0.35">
      <c r="A180" s="5">
        <v>1301099</v>
      </c>
      <c r="B180" s="6">
        <v>42920</v>
      </c>
      <c r="C180" s="7">
        <v>0.58452546296296293</v>
      </c>
      <c r="D180" s="8">
        <v>0.58862268518518523</v>
      </c>
      <c r="E180" s="20">
        <f t="shared" si="20"/>
        <v>4.0972222222223076E-3</v>
      </c>
      <c r="F180" t="str">
        <f t="shared" si="21"/>
        <v>stacjonarny</v>
      </c>
      <c r="G180" s="23">
        <f t="shared" si="28"/>
        <v>65044</v>
      </c>
      <c r="H180">
        <f t="shared" si="29"/>
        <v>21776</v>
      </c>
      <c r="I180">
        <f t="shared" si="22"/>
        <v>0</v>
      </c>
      <c r="J180">
        <f t="shared" si="23"/>
        <v>0</v>
      </c>
      <c r="K180">
        <f t="shared" si="24"/>
        <v>86820</v>
      </c>
      <c r="L180">
        <f t="shared" si="25"/>
        <v>0</v>
      </c>
      <c r="M180">
        <f t="shared" si="26"/>
        <v>354</v>
      </c>
      <c r="N180">
        <f t="shared" si="27"/>
        <v>0</v>
      </c>
    </row>
    <row r="181" spans="1:14" x14ac:dyDescent="0.35">
      <c r="A181" s="9">
        <v>1774304298</v>
      </c>
      <c r="B181" s="10">
        <v>42920</v>
      </c>
      <c r="C181" s="11">
        <v>0.58452546296296293</v>
      </c>
      <c r="D181" s="12">
        <v>0.59087962962962959</v>
      </c>
      <c r="E181" s="20">
        <f t="shared" si="20"/>
        <v>6.3541666666666607E-3</v>
      </c>
      <c r="F181" t="str">
        <f t="shared" si="21"/>
        <v>zagraniczny</v>
      </c>
      <c r="G181" s="23">
        <f t="shared" si="28"/>
        <v>65044</v>
      </c>
      <c r="H181">
        <f t="shared" si="29"/>
        <v>21776</v>
      </c>
      <c r="I181">
        <f t="shared" si="22"/>
        <v>549</v>
      </c>
      <c r="J181">
        <f t="shared" si="23"/>
        <v>10</v>
      </c>
      <c r="K181">
        <f t="shared" si="24"/>
        <v>86820</v>
      </c>
      <c r="L181">
        <f t="shared" si="25"/>
        <v>0</v>
      </c>
      <c r="M181">
        <f t="shared" si="26"/>
        <v>0</v>
      </c>
      <c r="N181">
        <f t="shared" si="27"/>
        <v>0</v>
      </c>
    </row>
    <row r="182" spans="1:14" x14ac:dyDescent="0.35">
      <c r="A182" s="5">
        <v>52165701</v>
      </c>
      <c r="B182" s="6">
        <v>42920</v>
      </c>
      <c r="C182" s="7">
        <v>0.59018518518518515</v>
      </c>
      <c r="D182" s="8">
        <v>0.60047453703703701</v>
      </c>
      <c r="E182" s="20">
        <f t="shared" si="20"/>
        <v>1.0289351851851869E-2</v>
      </c>
      <c r="F182" t="str">
        <f t="shared" si="21"/>
        <v>komorkowy</v>
      </c>
      <c r="G182" s="23">
        <f t="shared" si="28"/>
        <v>65044</v>
      </c>
      <c r="H182">
        <f t="shared" si="29"/>
        <v>22665</v>
      </c>
      <c r="I182">
        <f t="shared" si="22"/>
        <v>0</v>
      </c>
      <c r="J182">
        <f t="shared" si="23"/>
        <v>0</v>
      </c>
      <c r="K182">
        <f t="shared" si="24"/>
        <v>87709</v>
      </c>
      <c r="L182">
        <f t="shared" si="25"/>
        <v>0</v>
      </c>
      <c r="M182">
        <f t="shared" si="26"/>
        <v>0</v>
      </c>
      <c r="N182">
        <f t="shared" si="27"/>
        <v>889</v>
      </c>
    </row>
    <row r="183" spans="1:14" x14ac:dyDescent="0.35">
      <c r="A183" s="9">
        <v>49158974</v>
      </c>
      <c r="B183" s="10">
        <v>42920</v>
      </c>
      <c r="C183" s="11">
        <v>0.59425925925925926</v>
      </c>
      <c r="D183" s="12">
        <v>0.59886574074074073</v>
      </c>
      <c r="E183" s="20">
        <f t="shared" si="20"/>
        <v>4.6064814814814614E-3</v>
      </c>
      <c r="F183" t="str">
        <f t="shared" si="21"/>
        <v>komorkowy</v>
      </c>
      <c r="G183" s="23">
        <f t="shared" si="28"/>
        <v>65044</v>
      </c>
      <c r="H183">
        <f t="shared" si="29"/>
        <v>23063</v>
      </c>
      <c r="I183">
        <f t="shared" si="22"/>
        <v>0</v>
      </c>
      <c r="J183">
        <f t="shared" si="23"/>
        <v>0</v>
      </c>
      <c r="K183">
        <f t="shared" si="24"/>
        <v>88107</v>
      </c>
      <c r="L183">
        <f t="shared" si="25"/>
        <v>0</v>
      </c>
      <c r="M183">
        <f t="shared" si="26"/>
        <v>0</v>
      </c>
      <c r="N183">
        <f t="shared" si="27"/>
        <v>398</v>
      </c>
    </row>
    <row r="184" spans="1:14" x14ac:dyDescent="0.35">
      <c r="A184" s="5">
        <v>6231537</v>
      </c>
      <c r="B184" s="6">
        <v>42920</v>
      </c>
      <c r="C184" s="7">
        <v>0.59767361111111106</v>
      </c>
      <c r="D184" s="8">
        <v>0.6026273148148148</v>
      </c>
      <c r="E184" s="20">
        <f t="shared" si="20"/>
        <v>4.9537037037037379E-3</v>
      </c>
      <c r="F184" t="str">
        <f t="shared" si="21"/>
        <v>stacjonarny</v>
      </c>
      <c r="G184" s="23">
        <f t="shared" si="28"/>
        <v>65472</v>
      </c>
      <c r="H184">
        <f t="shared" si="29"/>
        <v>23063</v>
      </c>
      <c r="I184">
        <f t="shared" si="22"/>
        <v>0</v>
      </c>
      <c r="J184">
        <f t="shared" si="23"/>
        <v>0</v>
      </c>
      <c r="K184">
        <f t="shared" si="24"/>
        <v>88535</v>
      </c>
      <c r="L184">
        <f t="shared" si="25"/>
        <v>0</v>
      </c>
      <c r="M184">
        <f t="shared" si="26"/>
        <v>428</v>
      </c>
      <c r="N184">
        <f t="shared" si="27"/>
        <v>0</v>
      </c>
    </row>
    <row r="185" spans="1:14" x14ac:dyDescent="0.35">
      <c r="A185" s="9">
        <v>6965661375</v>
      </c>
      <c r="B185" s="10">
        <v>42920</v>
      </c>
      <c r="C185" s="11">
        <v>0.59995370370370371</v>
      </c>
      <c r="D185" s="12">
        <v>0.60442129629629626</v>
      </c>
      <c r="E185" s="20">
        <f t="shared" si="20"/>
        <v>4.4675925925925508E-3</v>
      </c>
      <c r="F185" t="str">
        <f t="shared" si="21"/>
        <v>zagraniczny</v>
      </c>
      <c r="G185" s="23">
        <f t="shared" si="28"/>
        <v>65472</v>
      </c>
      <c r="H185">
        <f t="shared" si="29"/>
        <v>23063</v>
      </c>
      <c r="I185">
        <f t="shared" si="22"/>
        <v>386</v>
      </c>
      <c r="J185">
        <f t="shared" si="23"/>
        <v>7</v>
      </c>
      <c r="K185">
        <f t="shared" si="24"/>
        <v>88535</v>
      </c>
      <c r="L185">
        <f t="shared" si="25"/>
        <v>0</v>
      </c>
      <c r="M185">
        <f t="shared" si="26"/>
        <v>0</v>
      </c>
      <c r="N185">
        <f t="shared" si="27"/>
        <v>0</v>
      </c>
    </row>
    <row r="186" spans="1:14" x14ac:dyDescent="0.35">
      <c r="A186" s="5">
        <v>4555937</v>
      </c>
      <c r="B186" s="6">
        <v>42920</v>
      </c>
      <c r="C186" s="7">
        <v>0.60509259259259263</v>
      </c>
      <c r="D186" s="8">
        <v>0.60509259259259263</v>
      </c>
      <c r="E186" s="20">
        <f t="shared" si="20"/>
        <v>0</v>
      </c>
      <c r="F186" t="str">
        <f t="shared" si="21"/>
        <v>stacjonarny</v>
      </c>
      <c r="G186" s="23">
        <f t="shared" si="28"/>
        <v>65472</v>
      </c>
      <c r="H186">
        <f t="shared" si="29"/>
        <v>23063</v>
      </c>
      <c r="I186">
        <f t="shared" si="22"/>
        <v>0</v>
      </c>
      <c r="J186">
        <f t="shared" si="23"/>
        <v>0</v>
      </c>
      <c r="K186">
        <f t="shared" si="24"/>
        <v>88535</v>
      </c>
      <c r="L186">
        <f t="shared" si="25"/>
        <v>0</v>
      </c>
      <c r="M186">
        <f t="shared" si="26"/>
        <v>0</v>
      </c>
      <c r="N186">
        <f t="shared" si="27"/>
        <v>0</v>
      </c>
    </row>
    <row r="187" spans="1:14" x14ac:dyDescent="0.35">
      <c r="A187" s="9">
        <v>8831940</v>
      </c>
      <c r="B187" s="10">
        <v>42920</v>
      </c>
      <c r="C187" s="11">
        <v>0.6066435185185185</v>
      </c>
      <c r="D187" s="12">
        <v>0.61133101851851857</v>
      </c>
      <c r="E187" s="20">
        <f t="shared" si="20"/>
        <v>4.6875000000000666E-3</v>
      </c>
      <c r="F187" t="str">
        <f t="shared" si="21"/>
        <v>stacjonarny</v>
      </c>
      <c r="G187" s="23">
        <f t="shared" si="28"/>
        <v>65877</v>
      </c>
      <c r="H187">
        <f t="shared" si="29"/>
        <v>23063</v>
      </c>
      <c r="I187">
        <f t="shared" si="22"/>
        <v>0</v>
      </c>
      <c r="J187">
        <f t="shared" si="23"/>
        <v>0</v>
      </c>
      <c r="K187">
        <f t="shared" si="24"/>
        <v>88940</v>
      </c>
      <c r="L187">
        <f t="shared" si="25"/>
        <v>0</v>
      </c>
      <c r="M187">
        <f t="shared" si="26"/>
        <v>405</v>
      </c>
      <c r="N187">
        <f t="shared" si="27"/>
        <v>0</v>
      </c>
    </row>
    <row r="188" spans="1:14" x14ac:dyDescent="0.35">
      <c r="A188" s="5">
        <v>7421868</v>
      </c>
      <c r="B188" s="6">
        <v>42920</v>
      </c>
      <c r="C188" s="7">
        <v>0.61136574074074079</v>
      </c>
      <c r="D188" s="8">
        <v>0.61636574074074069</v>
      </c>
      <c r="E188" s="20">
        <f t="shared" si="20"/>
        <v>4.9999999999998934E-3</v>
      </c>
      <c r="F188" t="str">
        <f t="shared" si="21"/>
        <v>stacjonarny</v>
      </c>
      <c r="G188" s="23">
        <f t="shared" si="28"/>
        <v>66309</v>
      </c>
      <c r="H188">
        <f t="shared" si="29"/>
        <v>23063</v>
      </c>
      <c r="I188">
        <f t="shared" si="22"/>
        <v>0</v>
      </c>
      <c r="J188">
        <f t="shared" si="23"/>
        <v>0</v>
      </c>
      <c r="K188">
        <f t="shared" si="24"/>
        <v>89372</v>
      </c>
      <c r="L188">
        <f t="shared" si="25"/>
        <v>0</v>
      </c>
      <c r="M188">
        <f t="shared" si="26"/>
        <v>432</v>
      </c>
      <c r="N188">
        <f t="shared" si="27"/>
        <v>0</v>
      </c>
    </row>
    <row r="189" spans="1:14" x14ac:dyDescent="0.35">
      <c r="A189" s="9">
        <v>5131341</v>
      </c>
      <c r="B189" s="10">
        <v>42920</v>
      </c>
      <c r="C189" s="11">
        <v>0.61186342592592591</v>
      </c>
      <c r="D189" s="12">
        <v>0.61896990740740743</v>
      </c>
      <c r="E189" s="20">
        <f t="shared" si="20"/>
        <v>7.1064814814815191E-3</v>
      </c>
      <c r="F189" t="str">
        <f t="shared" si="21"/>
        <v>stacjonarny</v>
      </c>
      <c r="G189" s="23">
        <f t="shared" si="28"/>
        <v>66923</v>
      </c>
      <c r="H189">
        <f t="shared" si="29"/>
        <v>23063</v>
      </c>
      <c r="I189">
        <f t="shared" si="22"/>
        <v>0</v>
      </c>
      <c r="J189">
        <f t="shared" si="23"/>
        <v>0</v>
      </c>
      <c r="K189">
        <f t="shared" si="24"/>
        <v>89986</v>
      </c>
      <c r="L189">
        <f t="shared" si="25"/>
        <v>0</v>
      </c>
      <c r="M189">
        <f t="shared" si="26"/>
        <v>614</v>
      </c>
      <c r="N189">
        <f t="shared" si="27"/>
        <v>0</v>
      </c>
    </row>
    <row r="190" spans="1:14" x14ac:dyDescent="0.35">
      <c r="A190" s="5">
        <v>3121850</v>
      </c>
      <c r="B190" s="6">
        <v>42920</v>
      </c>
      <c r="C190" s="7">
        <v>0.61410879629629633</v>
      </c>
      <c r="D190" s="8">
        <v>0.6216666666666667</v>
      </c>
      <c r="E190" s="20">
        <f t="shared" si="20"/>
        <v>7.5578703703703676E-3</v>
      </c>
      <c r="F190" t="str">
        <f t="shared" si="21"/>
        <v>stacjonarny</v>
      </c>
      <c r="G190" s="23">
        <f t="shared" si="28"/>
        <v>67576</v>
      </c>
      <c r="H190">
        <f t="shared" si="29"/>
        <v>23063</v>
      </c>
      <c r="I190">
        <f t="shared" si="22"/>
        <v>0</v>
      </c>
      <c r="J190">
        <f t="shared" si="23"/>
        <v>0</v>
      </c>
      <c r="K190">
        <f t="shared" si="24"/>
        <v>90639</v>
      </c>
      <c r="L190">
        <f t="shared" si="25"/>
        <v>0</v>
      </c>
      <c r="M190">
        <f t="shared" si="26"/>
        <v>653</v>
      </c>
      <c r="N190">
        <f t="shared" si="27"/>
        <v>0</v>
      </c>
    </row>
    <row r="191" spans="1:14" x14ac:dyDescent="0.35">
      <c r="A191" s="9">
        <v>6905863</v>
      </c>
      <c r="B191" s="10">
        <v>42920</v>
      </c>
      <c r="C191" s="11">
        <v>0.6186342592592593</v>
      </c>
      <c r="D191" s="12">
        <v>0.62296296296296294</v>
      </c>
      <c r="E191" s="20">
        <f t="shared" si="20"/>
        <v>4.3287037037036402E-3</v>
      </c>
      <c r="F191" t="str">
        <f t="shared" si="21"/>
        <v>stacjonarny</v>
      </c>
      <c r="G191" s="23">
        <f t="shared" si="28"/>
        <v>67950</v>
      </c>
      <c r="H191">
        <f t="shared" si="29"/>
        <v>23063</v>
      </c>
      <c r="I191">
        <f t="shared" si="22"/>
        <v>0</v>
      </c>
      <c r="J191">
        <f t="shared" si="23"/>
        <v>0</v>
      </c>
      <c r="K191">
        <f t="shared" si="24"/>
        <v>91013</v>
      </c>
      <c r="L191">
        <f t="shared" si="25"/>
        <v>0</v>
      </c>
      <c r="M191">
        <f t="shared" si="26"/>
        <v>374</v>
      </c>
      <c r="N191">
        <f t="shared" si="27"/>
        <v>0</v>
      </c>
    </row>
    <row r="192" spans="1:14" x14ac:dyDescent="0.35">
      <c r="A192" s="5">
        <v>2514802</v>
      </c>
      <c r="B192" s="6">
        <v>42920</v>
      </c>
      <c r="C192" s="7">
        <v>0.6186342592592593</v>
      </c>
      <c r="D192" s="8">
        <v>0.6265856481481481</v>
      </c>
      <c r="E192" s="20">
        <f t="shared" si="20"/>
        <v>7.9513888888887996E-3</v>
      </c>
      <c r="F192" t="str">
        <f t="shared" si="21"/>
        <v>stacjonarny</v>
      </c>
      <c r="G192" s="23">
        <f t="shared" si="28"/>
        <v>68637</v>
      </c>
      <c r="H192">
        <f t="shared" si="29"/>
        <v>23063</v>
      </c>
      <c r="I192">
        <f t="shared" si="22"/>
        <v>0</v>
      </c>
      <c r="J192">
        <f t="shared" si="23"/>
        <v>0</v>
      </c>
      <c r="K192">
        <f t="shared" si="24"/>
        <v>91700</v>
      </c>
      <c r="L192">
        <f t="shared" si="25"/>
        <v>0</v>
      </c>
      <c r="M192">
        <f t="shared" si="26"/>
        <v>687</v>
      </c>
      <c r="N192">
        <f t="shared" si="27"/>
        <v>0</v>
      </c>
    </row>
    <row r="193" spans="1:14" x14ac:dyDescent="0.35">
      <c r="A193" s="9">
        <v>93696449</v>
      </c>
      <c r="B193" s="10">
        <v>42920</v>
      </c>
      <c r="C193" s="11">
        <v>0.6227314814814815</v>
      </c>
      <c r="D193" s="12">
        <v>0.63056712962962957</v>
      </c>
      <c r="E193" s="20">
        <f t="shared" si="20"/>
        <v>7.8356481481480778E-3</v>
      </c>
      <c r="F193" t="str">
        <f t="shared" si="21"/>
        <v>komorkowy</v>
      </c>
      <c r="G193" s="23">
        <f t="shared" si="28"/>
        <v>68637</v>
      </c>
      <c r="H193">
        <f t="shared" si="29"/>
        <v>23740</v>
      </c>
      <c r="I193">
        <f t="shared" si="22"/>
        <v>0</v>
      </c>
      <c r="J193">
        <f t="shared" si="23"/>
        <v>0</v>
      </c>
      <c r="K193">
        <f t="shared" si="24"/>
        <v>92377</v>
      </c>
      <c r="L193">
        <f t="shared" si="25"/>
        <v>0</v>
      </c>
      <c r="M193">
        <f t="shared" si="26"/>
        <v>0</v>
      </c>
      <c r="N193">
        <f t="shared" si="27"/>
        <v>677</v>
      </c>
    </row>
    <row r="194" spans="1:14" x14ac:dyDescent="0.35">
      <c r="A194" s="5">
        <v>3931464</v>
      </c>
      <c r="B194" s="6">
        <v>42920</v>
      </c>
      <c r="C194" s="7">
        <v>0.62381944444444448</v>
      </c>
      <c r="D194" s="8">
        <v>0.6322106481481482</v>
      </c>
      <c r="E194" s="20">
        <f t="shared" si="20"/>
        <v>8.3912037037037202E-3</v>
      </c>
      <c r="F194" t="str">
        <f t="shared" si="21"/>
        <v>stacjonarny</v>
      </c>
      <c r="G194" s="23">
        <f t="shared" si="28"/>
        <v>69362</v>
      </c>
      <c r="H194">
        <f t="shared" si="29"/>
        <v>23740</v>
      </c>
      <c r="I194">
        <f t="shared" si="22"/>
        <v>0</v>
      </c>
      <c r="J194">
        <f t="shared" si="23"/>
        <v>0</v>
      </c>
      <c r="K194">
        <f t="shared" si="24"/>
        <v>93102</v>
      </c>
      <c r="L194">
        <f t="shared" si="25"/>
        <v>0</v>
      </c>
      <c r="M194">
        <f t="shared" si="26"/>
        <v>725</v>
      </c>
      <c r="N194">
        <f t="shared" si="27"/>
        <v>0</v>
      </c>
    </row>
    <row r="195" spans="1:14" x14ac:dyDescent="0.35">
      <c r="A195" s="9">
        <v>1583683</v>
      </c>
      <c r="B195" s="10">
        <v>42920</v>
      </c>
      <c r="C195" s="11">
        <v>0.6275694444444444</v>
      </c>
      <c r="D195" s="12">
        <v>0.63215277777777779</v>
      </c>
      <c r="E195" s="20">
        <f t="shared" ref="E195:E258" si="30">D195-C195</f>
        <v>4.5833333333333837E-3</v>
      </c>
      <c r="F195" t="str">
        <f t="shared" ref="F195:F258" si="31">IF(LEN(A195)=7,"stacjonarny",IF(LEN(A195)=8,"komorkowy","zagraniczny"))</f>
        <v>stacjonarny</v>
      </c>
      <c r="G195" s="23">
        <f t="shared" si="28"/>
        <v>69758</v>
      </c>
      <c r="H195">
        <f t="shared" si="29"/>
        <v>23740</v>
      </c>
      <c r="I195">
        <f t="shared" ref="I195:I258" si="32">IF(F195="zagraniczny",MINUTE(E195)*60+SECOND(E195)+HOUR(E195)*3600,0)</f>
        <v>0</v>
      </c>
      <c r="J195">
        <f t="shared" ref="J195:J258" si="33">ROUNDUP(I195/60,0)</f>
        <v>0</v>
      </c>
      <c r="K195">
        <f t="shared" ref="K195:K258" si="34">G195+H195</f>
        <v>93498</v>
      </c>
      <c r="L195">
        <f t="shared" ref="L195:L258" si="35">IF(K195&lt;=48000,1,0)</f>
        <v>0</v>
      </c>
      <c r="M195">
        <f t="shared" ref="M195:M258" si="36">IF(AND(L195=0,F195="stacjonarny"),SECOND(E195)+60*MINUTE(E195),0)</f>
        <v>396</v>
      </c>
      <c r="N195">
        <f t="shared" ref="N195:N258" si="37">IF(AND(L195=0,F195="komorkowy"),SECOND(E195)+60*MINUTE(E195),0)</f>
        <v>0</v>
      </c>
    </row>
    <row r="196" spans="1:14" x14ac:dyDescent="0.35">
      <c r="A196" s="5">
        <v>52165701</v>
      </c>
      <c r="B196" s="6">
        <v>42921</v>
      </c>
      <c r="C196" s="7">
        <v>0.33545138888888887</v>
      </c>
      <c r="D196" s="8">
        <v>0.3435300925925926</v>
      </c>
      <c r="E196" s="20">
        <f t="shared" si="30"/>
        <v>8.0787037037037268E-3</v>
      </c>
      <c r="F196" t="str">
        <f t="shared" si="31"/>
        <v>komorkowy</v>
      </c>
      <c r="G196" s="23">
        <f t="shared" ref="G196:G259" si="38">IF(F196="stacjonarny",MINUTE(E196)*60+SECOND(E196)+G195,G195)</f>
        <v>69758</v>
      </c>
      <c r="H196">
        <f t="shared" ref="H196:H259" si="39">IF(F196="komorkowy",MINUTE(E196)*60+SECOND(E196)+H195,H195)</f>
        <v>24438</v>
      </c>
      <c r="I196">
        <f t="shared" si="32"/>
        <v>0</v>
      </c>
      <c r="J196">
        <f t="shared" si="33"/>
        <v>0</v>
      </c>
      <c r="K196">
        <f t="shared" si="34"/>
        <v>94196</v>
      </c>
      <c r="L196">
        <f t="shared" si="35"/>
        <v>0</v>
      </c>
      <c r="M196">
        <f t="shared" si="36"/>
        <v>0</v>
      </c>
      <c r="N196">
        <f t="shared" si="37"/>
        <v>698</v>
      </c>
    </row>
    <row r="197" spans="1:14" x14ac:dyDescent="0.35">
      <c r="A197" s="9">
        <v>1521041994</v>
      </c>
      <c r="B197" s="10">
        <v>42921</v>
      </c>
      <c r="C197" s="11">
        <v>0.34099537037037037</v>
      </c>
      <c r="D197" s="12">
        <v>0.34749999999999998</v>
      </c>
      <c r="E197" s="20">
        <f t="shared" si="30"/>
        <v>6.5046296296296102E-3</v>
      </c>
      <c r="F197" t="str">
        <f t="shared" si="31"/>
        <v>zagraniczny</v>
      </c>
      <c r="G197" s="23">
        <f t="shared" si="38"/>
        <v>69758</v>
      </c>
      <c r="H197">
        <f t="shared" si="39"/>
        <v>24438</v>
      </c>
      <c r="I197">
        <f t="shared" si="32"/>
        <v>562</v>
      </c>
      <c r="J197">
        <f t="shared" si="33"/>
        <v>10</v>
      </c>
      <c r="K197">
        <f t="shared" si="34"/>
        <v>94196</v>
      </c>
      <c r="L197">
        <f t="shared" si="35"/>
        <v>0</v>
      </c>
      <c r="M197">
        <f t="shared" si="36"/>
        <v>0</v>
      </c>
      <c r="N197">
        <f t="shared" si="37"/>
        <v>0</v>
      </c>
    </row>
    <row r="198" spans="1:14" x14ac:dyDescent="0.35">
      <c r="A198" s="5">
        <v>9187410</v>
      </c>
      <c r="B198" s="6">
        <v>42921</v>
      </c>
      <c r="C198" s="7">
        <v>0.34662037037037036</v>
      </c>
      <c r="D198" s="8">
        <v>0.34908564814814813</v>
      </c>
      <c r="E198" s="20">
        <f t="shared" si="30"/>
        <v>2.4652777777777746E-3</v>
      </c>
      <c r="F198" t="str">
        <f t="shared" si="31"/>
        <v>stacjonarny</v>
      </c>
      <c r="G198" s="23">
        <f t="shared" si="38"/>
        <v>69971</v>
      </c>
      <c r="H198">
        <f t="shared" si="39"/>
        <v>24438</v>
      </c>
      <c r="I198">
        <f t="shared" si="32"/>
        <v>0</v>
      </c>
      <c r="J198">
        <f t="shared" si="33"/>
        <v>0</v>
      </c>
      <c r="K198">
        <f t="shared" si="34"/>
        <v>94409</v>
      </c>
      <c r="L198">
        <f t="shared" si="35"/>
        <v>0</v>
      </c>
      <c r="M198">
        <f t="shared" si="36"/>
        <v>213</v>
      </c>
      <c r="N198">
        <f t="shared" si="37"/>
        <v>0</v>
      </c>
    </row>
    <row r="199" spans="1:14" x14ac:dyDescent="0.35">
      <c r="A199" s="9">
        <v>8228350</v>
      </c>
      <c r="B199" s="10">
        <v>42921</v>
      </c>
      <c r="C199" s="11">
        <v>0.34667824074074072</v>
      </c>
      <c r="D199" s="12">
        <v>0.3473148148148148</v>
      </c>
      <c r="E199" s="20">
        <f t="shared" si="30"/>
        <v>6.3657407407408106E-4</v>
      </c>
      <c r="F199" t="str">
        <f t="shared" si="31"/>
        <v>stacjonarny</v>
      </c>
      <c r="G199" s="23">
        <f t="shared" si="38"/>
        <v>70026</v>
      </c>
      <c r="H199">
        <f t="shared" si="39"/>
        <v>24438</v>
      </c>
      <c r="I199">
        <f t="shared" si="32"/>
        <v>0</v>
      </c>
      <c r="J199">
        <f t="shared" si="33"/>
        <v>0</v>
      </c>
      <c r="K199">
        <f t="shared" si="34"/>
        <v>94464</v>
      </c>
      <c r="L199">
        <f t="shared" si="35"/>
        <v>0</v>
      </c>
      <c r="M199">
        <f t="shared" si="36"/>
        <v>55</v>
      </c>
      <c r="N199">
        <f t="shared" si="37"/>
        <v>0</v>
      </c>
    </row>
    <row r="200" spans="1:14" x14ac:dyDescent="0.35">
      <c r="A200" s="5">
        <v>8313390</v>
      </c>
      <c r="B200" s="6">
        <v>42921</v>
      </c>
      <c r="C200" s="7">
        <v>0.34903935185185186</v>
      </c>
      <c r="D200" s="8">
        <v>0.35381944444444446</v>
      </c>
      <c r="E200" s="20">
        <f t="shared" si="30"/>
        <v>4.7800925925925997E-3</v>
      </c>
      <c r="F200" t="str">
        <f t="shared" si="31"/>
        <v>stacjonarny</v>
      </c>
      <c r="G200" s="23">
        <f t="shared" si="38"/>
        <v>70439</v>
      </c>
      <c r="H200">
        <f t="shared" si="39"/>
        <v>24438</v>
      </c>
      <c r="I200">
        <f t="shared" si="32"/>
        <v>0</v>
      </c>
      <c r="J200">
        <f t="shared" si="33"/>
        <v>0</v>
      </c>
      <c r="K200">
        <f t="shared" si="34"/>
        <v>94877</v>
      </c>
      <c r="L200">
        <f t="shared" si="35"/>
        <v>0</v>
      </c>
      <c r="M200">
        <f t="shared" si="36"/>
        <v>413</v>
      </c>
      <c r="N200">
        <f t="shared" si="37"/>
        <v>0</v>
      </c>
    </row>
    <row r="201" spans="1:14" x14ac:dyDescent="0.35">
      <c r="A201" s="9">
        <v>5508903</v>
      </c>
      <c r="B201" s="10">
        <v>42921</v>
      </c>
      <c r="C201" s="11">
        <v>0.34915509259259259</v>
      </c>
      <c r="D201" s="12">
        <v>0.3605902777777778</v>
      </c>
      <c r="E201" s="20">
        <f t="shared" si="30"/>
        <v>1.1435185185185215E-2</v>
      </c>
      <c r="F201" t="str">
        <f t="shared" si="31"/>
        <v>stacjonarny</v>
      </c>
      <c r="G201" s="23">
        <f t="shared" si="38"/>
        <v>71427</v>
      </c>
      <c r="H201">
        <f t="shared" si="39"/>
        <v>24438</v>
      </c>
      <c r="I201">
        <f t="shared" si="32"/>
        <v>0</v>
      </c>
      <c r="J201">
        <f t="shared" si="33"/>
        <v>0</v>
      </c>
      <c r="K201">
        <f t="shared" si="34"/>
        <v>95865</v>
      </c>
      <c r="L201">
        <f t="shared" si="35"/>
        <v>0</v>
      </c>
      <c r="M201">
        <f t="shared" si="36"/>
        <v>988</v>
      </c>
      <c r="N201">
        <f t="shared" si="37"/>
        <v>0</v>
      </c>
    </row>
    <row r="202" spans="1:14" x14ac:dyDescent="0.35">
      <c r="A202" s="5">
        <v>3102910</v>
      </c>
      <c r="B202" s="6">
        <v>42921</v>
      </c>
      <c r="C202" s="7">
        <v>0.35150462962962964</v>
      </c>
      <c r="D202" s="8">
        <v>0.35672453703703705</v>
      </c>
      <c r="E202" s="20">
        <f t="shared" si="30"/>
        <v>5.2199074074074092E-3</v>
      </c>
      <c r="F202" t="str">
        <f t="shared" si="31"/>
        <v>stacjonarny</v>
      </c>
      <c r="G202" s="23">
        <f t="shared" si="38"/>
        <v>71878</v>
      </c>
      <c r="H202">
        <f t="shared" si="39"/>
        <v>24438</v>
      </c>
      <c r="I202">
        <f t="shared" si="32"/>
        <v>0</v>
      </c>
      <c r="J202">
        <f t="shared" si="33"/>
        <v>0</v>
      </c>
      <c r="K202">
        <f t="shared" si="34"/>
        <v>96316</v>
      </c>
      <c r="L202">
        <f t="shared" si="35"/>
        <v>0</v>
      </c>
      <c r="M202">
        <f t="shared" si="36"/>
        <v>451</v>
      </c>
      <c r="N202">
        <f t="shared" si="37"/>
        <v>0</v>
      </c>
    </row>
    <row r="203" spans="1:14" x14ac:dyDescent="0.35">
      <c r="A203" s="9">
        <v>45948073</v>
      </c>
      <c r="B203" s="10">
        <v>42921</v>
      </c>
      <c r="C203" s="11">
        <v>0.35574074074074075</v>
      </c>
      <c r="D203" s="12">
        <v>0.36162037037037037</v>
      </c>
      <c r="E203" s="20">
        <f t="shared" si="30"/>
        <v>5.8796296296296235E-3</v>
      </c>
      <c r="F203" t="str">
        <f t="shared" si="31"/>
        <v>komorkowy</v>
      </c>
      <c r="G203" s="23">
        <f t="shared" si="38"/>
        <v>71878</v>
      </c>
      <c r="H203">
        <f t="shared" si="39"/>
        <v>24946</v>
      </c>
      <c r="I203">
        <f t="shared" si="32"/>
        <v>0</v>
      </c>
      <c r="J203">
        <f t="shared" si="33"/>
        <v>0</v>
      </c>
      <c r="K203">
        <f t="shared" si="34"/>
        <v>96824</v>
      </c>
      <c r="L203">
        <f t="shared" si="35"/>
        <v>0</v>
      </c>
      <c r="M203">
        <f t="shared" si="36"/>
        <v>0</v>
      </c>
      <c r="N203">
        <f t="shared" si="37"/>
        <v>508</v>
      </c>
    </row>
    <row r="204" spans="1:14" x14ac:dyDescent="0.35">
      <c r="A204" s="5">
        <v>73690742</v>
      </c>
      <c r="B204" s="6">
        <v>42921</v>
      </c>
      <c r="C204" s="7">
        <v>0.35829861111111111</v>
      </c>
      <c r="D204" s="8">
        <v>0.36826388888888889</v>
      </c>
      <c r="E204" s="20">
        <f t="shared" si="30"/>
        <v>9.9652777777777812E-3</v>
      </c>
      <c r="F204" t="str">
        <f t="shared" si="31"/>
        <v>komorkowy</v>
      </c>
      <c r="G204" s="23">
        <f t="shared" si="38"/>
        <v>71878</v>
      </c>
      <c r="H204">
        <f t="shared" si="39"/>
        <v>25807</v>
      </c>
      <c r="I204">
        <f t="shared" si="32"/>
        <v>0</v>
      </c>
      <c r="J204">
        <f t="shared" si="33"/>
        <v>0</v>
      </c>
      <c r="K204">
        <f t="shared" si="34"/>
        <v>97685</v>
      </c>
      <c r="L204">
        <f t="shared" si="35"/>
        <v>0</v>
      </c>
      <c r="M204">
        <f t="shared" si="36"/>
        <v>0</v>
      </c>
      <c r="N204">
        <f t="shared" si="37"/>
        <v>861</v>
      </c>
    </row>
    <row r="205" spans="1:14" x14ac:dyDescent="0.35">
      <c r="A205" s="9">
        <v>58037769</v>
      </c>
      <c r="B205" s="10">
        <v>42921</v>
      </c>
      <c r="C205" s="11">
        <v>0.36261574074074077</v>
      </c>
      <c r="D205" s="12">
        <v>0.36730324074074072</v>
      </c>
      <c r="E205" s="20">
        <f t="shared" si="30"/>
        <v>4.6874999999999556E-3</v>
      </c>
      <c r="F205" t="str">
        <f t="shared" si="31"/>
        <v>komorkowy</v>
      </c>
      <c r="G205" s="23">
        <f t="shared" si="38"/>
        <v>71878</v>
      </c>
      <c r="H205">
        <f t="shared" si="39"/>
        <v>26212</v>
      </c>
      <c r="I205">
        <f t="shared" si="32"/>
        <v>0</v>
      </c>
      <c r="J205">
        <f t="shared" si="33"/>
        <v>0</v>
      </c>
      <c r="K205">
        <f t="shared" si="34"/>
        <v>98090</v>
      </c>
      <c r="L205">
        <f t="shared" si="35"/>
        <v>0</v>
      </c>
      <c r="M205">
        <f t="shared" si="36"/>
        <v>0</v>
      </c>
      <c r="N205">
        <f t="shared" si="37"/>
        <v>405</v>
      </c>
    </row>
    <row r="206" spans="1:14" x14ac:dyDescent="0.35">
      <c r="A206" s="5">
        <v>3434934</v>
      </c>
      <c r="B206" s="6">
        <v>42921</v>
      </c>
      <c r="C206" s="7">
        <v>0.36760416666666668</v>
      </c>
      <c r="D206" s="8">
        <v>0.37854166666666667</v>
      </c>
      <c r="E206" s="20">
        <f t="shared" si="30"/>
        <v>1.0937499999999989E-2</v>
      </c>
      <c r="F206" t="str">
        <f t="shared" si="31"/>
        <v>stacjonarny</v>
      </c>
      <c r="G206" s="23">
        <f t="shared" si="38"/>
        <v>72823</v>
      </c>
      <c r="H206">
        <f t="shared" si="39"/>
        <v>26212</v>
      </c>
      <c r="I206">
        <f t="shared" si="32"/>
        <v>0</v>
      </c>
      <c r="J206">
        <f t="shared" si="33"/>
        <v>0</v>
      </c>
      <c r="K206">
        <f t="shared" si="34"/>
        <v>99035</v>
      </c>
      <c r="L206">
        <f t="shared" si="35"/>
        <v>0</v>
      </c>
      <c r="M206">
        <f t="shared" si="36"/>
        <v>945</v>
      </c>
      <c r="N206">
        <f t="shared" si="37"/>
        <v>0</v>
      </c>
    </row>
    <row r="207" spans="1:14" x14ac:dyDescent="0.35">
      <c r="A207" s="9">
        <v>4963499</v>
      </c>
      <c r="B207" s="10">
        <v>42921</v>
      </c>
      <c r="C207" s="11">
        <v>0.37008101851851855</v>
      </c>
      <c r="D207" s="12">
        <v>0.37175925925925923</v>
      </c>
      <c r="E207" s="20">
        <f t="shared" si="30"/>
        <v>1.6782407407406885E-3</v>
      </c>
      <c r="F207" t="str">
        <f t="shared" si="31"/>
        <v>stacjonarny</v>
      </c>
      <c r="G207" s="23">
        <f t="shared" si="38"/>
        <v>72968</v>
      </c>
      <c r="H207">
        <f t="shared" si="39"/>
        <v>26212</v>
      </c>
      <c r="I207">
        <f t="shared" si="32"/>
        <v>0</v>
      </c>
      <c r="J207">
        <f t="shared" si="33"/>
        <v>0</v>
      </c>
      <c r="K207">
        <f t="shared" si="34"/>
        <v>99180</v>
      </c>
      <c r="L207">
        <f t="shared" si="35"/>
        <v>0</v>
      </c>
      <c r="M207">
        <f t="shared" si="36"/>
        <v>145</v>
      </c>
      <c r="N207">
        <f t="shared" si="37"/>
        <v>0</v>
      </c>
    </row>
    <row r="208" spans="1:14" x14ac:dyDescent="0.35">
      <c r="A208" s="5">
        <v>7904403</v>
      </c>
      <c r="B208" s="6">
        <v>42921</v>
      </c>
      <c r="C208" s="7">
        <v>0.37361111111111112</v>
      </c>
      <c r="D208" s="8">
        <v>0.3772800925925926</v>
      </c>
      <c r="E208" s="20">
        <f t="shared" si="30"/>
        <v>3.6689814814814814E-3</v>
      </c>
      <c r="F208" t="str">
        <f t="shared" si="31"/>
        <v>stacjonarny</v>
      </c>
      <c r="G208" s="23">
        <f t="shared" si="38"/>
        <v>73285</v>
      </c>
      <c r="H208">
        <f t="shared" si="39"/>
        <v>26212</v>
      </c>
      <c r="I208">
        <f t="shared" si="32"/>
        <v>0</v>
      </c>
      <c r="J208">
        <f t="shared" si="33"/>
        <v>0</v>
      </c>
      <c r="K208">
        <f t="shared" si="34"/>
        <v>99497</v>
      </c>
      <c r="L208">
        <f t="shared" si="35"/>
        <v>0</v>
      </c>
      <c r="M208">
        <f t="shared" si="36"/>
        <v>317</v>
      </c>
      <c r="N208">
        <f t="shared" si="37"/>
        <v>0</v>
      </c>
    </row>
    <row r="209" spans="1:14" x14ac:dyDescent="0.35">
      <c r="A209" s="9">
        <v>4389240</v>
      </c>
      <c r="B209" s="10">
        <v>42921</v>
      </c>
      <c r="C209" s="11">
        <v>0.37711805555555555</v>
      </c>
      <c r="D209" s="12">
        <v>0.37886574074074075</v>
      </c>
      <c r="E209" s="20">
        <f t="shared" si="30"/>
        <v>1.7476851851851993E-3</v>
      </c>
      <c r="F209" t="str">
        <f t="shared" si="31"/>
        <v>stacjonarny</v>
      </c>
      <c r="G209" s="23">
        <f t="shared" si="38"/>
        <v>73436</v>
      </c>
      <c r="H209">
        <f t="shared" si="39"/>
        <v>26212</v>
      </c>
      <c r="I209">
        <f t="shared" si="32"/>
        <v>0</v>
      </c>
      <c r="J209">
        <f t="shared" si="33"/>
        <v>0</v>
      </c>
      <c r="K209">
        <f t="shared" si="34"/>
        <v>99648</v>
      </c>
      <c r="L209">
        <f t="shared" si="35"/>
        <v>0</v>
      </c>
      <c r="M209">
        <f t="shared" si="36"/>
        <v>151</v>
      </c>
      <c r="N209">
        <f t="shared" si="37"/>
        <v>0</v>
      </c>
    </row>
    <row r="210" spans="1:14" x14ac:dyDescent="0.35">
      <c r="A210" s="5">
        <v>68647339</v>
      </c>
      <c r="B210" s="6">
        <v>42921</v>
      </c>
      <c r="C210" s="7">
        <v>0.38180555555555556</v>
      </c>
      <c r="D210" s="8">
        <v>0.39295138888888886</v>
      </c>
      <c r="E210" s="20">
        <f t="shared" si="30"/>
        <v>1.1145833333333299E-2</v>
      </c>
      <c r="F210" t="str">
        <f t="shared" si="31"/>
        <v>komorkowy</v>
      </c>
      <c r="G210" s="23">
        <f t="shared" si="38"/>
        <v>73436</v>
      </c>
      <c r="H210">
        <f t="shared" si="39"/>
        <v>27175</v>
      </c>
      <c r="I210">
        <f t="shared" si="32"/>
        <v>0</v>
      </c>
      <c r="J210">
        <f t="shared" si="33"/>
        <v>0</v>
      </c>
      <c r="K210">
        <f t="shared" si="34"/>
        <v>100611</v>
      </c>
      <c r="L210">
        <f t="shared" si="35"/>
        <v>0</v>
      </c>
      <c r="M210">
        <f t="shared" si="36"/>
        <v>0</v>
      </c>
      <c r="N210">
        <f t="shared" si="37"/>
        <v>963</v>
      </c>
    </row>
    <row r="211" spans="1:14" x14ac:dyDescent="0.35">
      <c r="A211" s="9">
        <v>8461631</v>
      </c>
      <c r="B211" s="10">
        <v>42921</v>
      </c>
      <c r="C211" s="11">
        <v>0.38335648148148149</v>
      </c>
      <c r="D211" s="12">
        <v>0.38451388888888888</v>
      </c>
      <c r="E211" s="20">
        <f t="shared" si="30"/>
        <v>1.1574074074073848E-3</v>
      </c>
      <c r="F211" t="str">
        <f t="shared" si="31"/>
        <v>stacjonarny</v>
      </c>
      <c r="G211" s="23">
        <f t="shared" si="38"/>
        <v>73536</v>
      </c>
      <c r="H211">
        <f t="shared" si="39"/>
        <v>27175</v>
      </c>
      <c r="I211">
        <f t="shared" si="32"/>
        <v>0</v>
      </c>
      <c r="J211">
        <f t="shared" si="33"/>
        <v>0</v>
      </c>
      <c r="K211">
        <f t="shared" si="34"/>
        <v>100711</v>
      </c>
      <c r="L211">
        <f t="shared" si="35"/>
        <v>0</v>
      </c>
      <c r="M211">
        <f t="shared" si="36"/>
        <v>100</v>
      </c>
      <c r="N211">
        <f t="shared" si="37"/>
        <v>0</v>
      </c>
    </row>
    <row r="212" spans="1:14" x14ac:dyDescent="0.35">
      <c r="A212" s="5">
        <v>3087246</v>
      </c>
      <c r="B212" s="6">
        <v>42921</v>
      </c>
      <c r="C212" s="7">
        <v>0.38633101851851853</v>
      </c>
      <c r="D212" s="8">
        <v>0.39391203703703703</v>
      </c>
      <c r="E212" s="20">
        <f t="shared" si="30"/>
        <v>7.5810185185185008E-3</v>
      </c>
      <c r="F212" t="str">
        <f t="shared" si="31"/>
        <v>stacjonarny</v>
      </c>
      <c r="G212" s="23">
        <f t="shared" si="38"/>
        <v>74191</v>
      </c>
      <c r="H212">
        <f t="shared" si="39"/>
        <v>27175</v>
      </c>
      <c r="I212">
        <f t="shared" si="32"/>
        <v>0</v>
      </c>
      <c r="J212">
        <f t="shared" si="33"/>
        <v>0</v>
      </c>
      <c r="K212">
        <f t="shared" si="34"/>
        <v>101366</v>
      </c>
      <c r="L212">
        <f t="shared" si="35"/>
        <v>0</v>
      </c>
      <c r="M212">
        <f t="shared" si="36"/>
        <v>655</v>
      </c>
      <c r="N212">
        <f t="shared" si="37"/>
        <v>0</v>
      </c>
    </row>
    <row r="213" spans="1:14" x14ac:dyDescent="0.35">
      <c r="A213" s="9">
        <v>9321082</v>
      </c>
      <c r="B213" s="10">
        <v>42921</v>
      </c>
      <c r="C213" s="11">
        <v>0.38976851851851851</v>
      </c>
      <c r="D213" s="12">
        <v>0.40090277777777777</v>
      </c>
      <c r="E213" s="20">
        <f t="shared" si="30"/>
        <v>1.113425925925926E-2</v>
      </c>
      <c r="F213" t="str">
        <f t="shared" si="31"/>
        <v>stacjonarny</v>
      </c>
      <c r="G213" s="23">
        <f t="shared" si="38"/>
        <v>75153</v>
      </c>
      <c r="H213">
        <f t="shared" si="39"/>
        <v>27175</v>
      </c>
      <c r="I213">
        <f t="shared" si="32"/>
        <v>0</v>
      </c>
      <c r="J213">
        <f t="shared" si="33"/>
        <v>0</v>
      </c>
      <c r="K213">
        <f t="shared" si="34"/>
        <v>102328</v>
      </c>
      <c r="L213">
        <f t="shared" si="35"/>
        <v>0</v>
      </c>
      <c r="M213">
        <f t="shared" si="36"/>
        <v>962</v>
      </c>
      <c r="N213">
        <f t="shared" si="37"/>
        <v>0</v>
      </c>
    </row>
    <row r="214" spans="1:14" x14ac:dyDescent="0.35">
      <c r="A214" s="5">
        <v>4941247888</v>
      </c>
      <c r="B214" s="6">
        <v>42921</v>
      </c>
      <c r="C214" s="7">
        <v>0.39114583333333336</v>
      </c>
      <c r="D214" s="8">
        <v>0.39870370370370373</v>
      </c>
      <c r="E214" s="20">
        <f t="shared" si="30"/>
        <v>7.5578703703703676E-3</v>
      </c>
      <c r="F214" t="str">
        <f t="shared" si="31"/>
        <v>zagraniczny</v>
      </c>
      <c r="G214" s="23">
        <f t="shared" si="38"/>
        <v>75153</v>
      </c>
      <c r="H214">
        <f t="shared" si="39"/>
        <v>27175</v>
      </c>
      <c r="I214">
        <f t="shared" si="32"/>
        <v>653</v>
      </c>
      <c r="J214">
        <f t="shared" si="33"/>
        <v>11</v>
      </c>
      <c r="K214">
        <f t="shared" si="34"/>
        <v>102328</v>
      </c>
      <c r="L214">
        <f t="shared" si="35"/>
        <v>0</v>
      </c>
      <c r="M214">
        <f t="shared" si="36"/>
        <v>0</v>
      </c>
      <c r="N214">
        <f t="shared" si="37"/>
        <v>0</v>
      </c>
    </row>
    <row r="215" spans="1:14" x14ac:dyDescent="0.35">
      <c r="A215" s="9">
        <v>13484133</v>
      </c>
      <c r="B215" s="10">
        <v>42921</v>
      </c>
      <c r="C215" s="11">
        <v>0.3959375</v>
      </c>
      <c r="D215" s="12">
        <v>0.3982060185185185</v>
      </c>
      <c r="E215" s="20">
        <f t="shared" si="30"/>
        <v>2.2685185185185031E-3</v>
      </c>
      <c r="F215" t="str">
        <f t="shared" si="31"/>
        <v>komorkowy</v>
      </c>
      <c r="G215" s="23">
        <f t="shared" si="38"/>
        <v>75153</v>
      </c>
      <c r="H215">
        <f t="shared" si="39"/>
        <v>27371</v>
      </c>
      <c r="I215">
        <f t="shared" si="32"/>
        <v>0</v>
      </c>
      <c r="J215">
        <f t="shared" si="33"/>
        <v>0</v>
      </c>
      <c r="K215">
        <f t="shared" si="34"/>
        <v>102524</v>
      </c>
      <c r="L215">
        <f t="shared" si="35"/>
        <v>0</v>
      </c>
      <c r="M215">
        <f t="shared" si="36"/>
        <v>0</v>
      </c>
      <c r="N215">
        <f t="shared" si="37"/>
        <v>196</v>
      </c>
    </row>
    <row r="216" spans="1:14" x14ac:dyDescent="0.35">
      <c r="A216" s="5">
        <v>9610703</v>
      </c>
      <c r="B216" s="6">
        <v>42921</v>
      </c>
      <c r="C216" s="7">
        <v>0.40074074074074073</v>
      </c>
      <c r="D216" s="8">
        <v>0.40766203703703702</v>
      </c>
      <c r="E216" s="20">
        <f t="shared" si="30"/>
        <v>6.9212962962962865E-3</v>
      </c>
      <c r="F216" t="str">
        <f t="shared" si="31"/>
        <v>stacjonarny</v>
      </c>
      <c r="G216" s="23">
        <f t="shared" si="38"/>
        <v>75751</v>
      </c>
      <c r="H216">
        <f t="shared" si="39"/>
        <v>27371</v>
      </c>
      <c r="I216">
        <f t="shared" si="32"/>
        <v>0</v>
      </c>
      <c r="J216">
        <f t="shared" si="33"/>
        <v>0</v>
      </c>
      <c r="K216">
        <f t="shared" si="34"/>
        <v>103122</v>
      </c>
      <c r="L216">
        <f t="shared" si="35"/>
        <v>0</v>
      </c>
      <c r="M216">
        <f t="shared" si="36"/>
        <v>598</v>
      </c>
      <c r="N216">
        <f t="shared" si="37"/>
        <v>0</v>
      </c>
    </row>
    <row r="217" spans="1:14" x14ac:dyDescent="0.35">
      <c r="A217" s="9">
        <v>7236035</v>
      </c>
      <c r="B217" s="10">
        <v>42921</v>
      </c>
      <c r="C217" s="11">
        <v>0.40517361111111111</v>
      </c>
      <c r="D217" s="12">
        <v>0.41189814814814812</v>
      </c>
      <c r="E217" s="20">
        <f t="shared" si="30"/>
        <v>6.724537037037015E-3</v>
      </c>
      <c r="F217" t="str">
        <f t="shared" si="31"/>
        <v>stacjonarny</v>
      </c>
      <c r="G217" s="23">
        <f t="shared" si="38"/>
        <v>76332</v>
      </c>
      <c r="H217">
        <f t="shared" si="39"/>
        <v>27371</v>
      </c>
      <c r="I217">
        <f t="shared" si="32"/>
        <v>0</v>
      </c>
      <c r="J217">
        <f t="shared" si="33"/>
        <v>0</v>
      </c>
      <c r="K217">
        <f t="shared" si="34"/>
        <v>103703</v>
      </c>
      <c r="L217">
        <f t="shared" si="35"/>
        <v>0</v>
      </c>
      <c r="M217">
        <f t="shared" si="36"/>
        <v>581</v>
      </c>
      <c r="N217">
        <f t="shared" si="37"/>
        <v>0</v>
      </c>
    </row>
    <row r="218" spans="1:14" x14ac:dyDescent="0.35">
      <c r="A218" s="5">
        <v>7236035</v>
      </c>
      <c r="B218" s="6">
        <v>42921</v>
      </c>
      <c r="C218" s="7">
        <v>0.4089814814814815</v>
      </c>
      <c r="D218" s="8">
        <v>0.41927083333333331</v>
      </c>
      <c r="E218" s="20">
        <f t="shared" si="30"/>
        <v>1.0289351851851813E-2</v>
      </c>
      <c r="F218" t="str">
        <f t="shared" si="31"/>
        <v>stacjonarny</v>
      </c>
      <c r="G218" s="23">
        <f t="shared" si="38"/>
        <v>77221</v>
      </c>
      <c r="H218">
        <f t="shared" si="39"/>
        <v>27371</v>
      </c>
      <c r="I218">
        <f t="shared" si="32"/>
        <v>0</v>
      </c>
      <c r="J218">
        <f t="shared" si="33"/>
        <v>0</v>
      </c>
      <c r="K218">
        <f t="shared" si="34"/>
        <v>104592</v>
      </c>
      <c r="L218">
        <f t="shared" si="35"/>
        <v>0</v>
      </c>
      <c r="M218">
        <f t="shared" si="36"/>
        <v>889</v>
      </c>
      <c r="N218">
        <f t="shared" si="37"/>
        <v>0</v>
      </c>
    </row>
    <row r="219" spans="1:14" x14ac:dyDescent="0.35">
      <c r="A219" s="9">
        <v>2675422</v>
      </c>
      <c r="B219" s="10">
        <v>42921</v>
      </c>
      <c r="C219" s="11">
        <v>0.41393518518518518</v>
      </c>
      <c r="D219" s="12">
        <v>0.42075231481481479</v>
      </c>
      <c r="E219" s="20">
        <f t="shared" si="30"/>
        <v>6.8171296296296036E-3</v>
      </c>
      <c r="F219" t="str">
        <f t="shared" si="31"/>
        <v>stacjonarny</v>
      </c>
      <c r="G219" s="23">
        <f t="shared" si="38"/>
        <v>77810</v>
      </c>
      <c r="H219">
        <f t="shared" si="39"/>
        <v>27371</v>
      </c>
      <c r="I219">
        <f t="shared" si="32"/>
        <v>0</v>
      </c>
      <c r="J219">
        <f t="shared" si="33"/>
        <v>0</v>
      </c>
      <c r="K219">
        <f t="shared" si="34"/>
        <v>105181</v>
      </c>
      <c r="L219">
        <f t="shared" si="35"/>
        <v>0</v>
      </c>
      <c r="M219">
        <f t="shared" si="36"/>
        <v>589</v>
      </c>
      <c r="N219">
        <f t="shared" si="37"/>
        <v>0</v>
      </c>
    </row>
    <row r="220" spans="1:14" x14ac:dyDescent="0.35">
      <c r="A220" s="5">
        <v>99056276</v>
      </c>
      <c r="B220" s="6">
        <v>42921</v>
      </c>
      <c r="C220" s="7">
        <v>0.41749999999999998</v>
      </c>
      <c r="D220" s="8">
        <v>0.42891203703703706</v>
      </c>
      <c r="E220" s="20">
        <f t="shared" si="30"/>
        <v>1.1412037037037082E-2</v>
      </c>
      <c r="F220" t="str">
        <f t="shared" si="31"/>
        <v>komorkowy</v>
      </c>
      <c r="G220" s="23">
        <f t="shared" si="38"/>
        <v>77810</v>
      </c>
      <c r="H220">
        <f t="shared" si="39"/>
        <v>28357</v>
      </c>
      <c r="I220">
        <f t="shared" si="32"/>
        <v>0</v>
      </c>
      <c r="J220">
        <f t="shared" si="33"/>
        <v>0</v>
      </c>
      <c r="K220">
        <f t="shared" si="34"/>
        <v>106167</v>
      </c>
      <c r="L220">
        <f t="shared" si="35"/>
        <v>0</v>
      </c>
      <c r="M220">
        <f t="shared" si="36"/>
        <v>0</v>
      </c>
      <c r="N220">
        <f t="shared" si="37"/>
        <v>986</v>
      </c>
    </row>
    <row r="221" spans="1:14" x14ac:dyDescent="0.35">
      <c r="A221" s="9">
        <v>1715377</v>
      </c>
      <c r="B221" s="10">
        <v>42921</v>
      </c>
      <c r="C221" s="11">
        <v>0.41847222222222225</v>
      </c>
      <c r="D221" s="12">
        <v>0.42833333333333334</v>
      </c>
      <c r="E221" s="20">
        <f t="shared" si="30"/>
        <v>9.8611111111110983E-3</v>
      </c>
      <c r="F221" t="str">
        <f t="shared" si="31"/>
        <v>stacjonarny</v>
      </c>
      <c r="G221" s="23">
        <f t="shared" si="38"/>
        <v>78662</v>
      </c>
      <c r="H221">
        <f t="shared" si="39"/>
        <v>28357</v>
      </c>
      <c r="I221">
        <f t="shared" si="32"/>
        <v>0</v>
      </c>
      <c r="J221">
        <f t="shared" si="33"/>
        <v>0</v>
      </c>
      <c r="K221">
        <f t="shared" si="34"/>
        <v>107019</v>
      </c>
      <c r="L221">
        <f t="shared" si="35"/>
        <v>0</v>
      </c>
      <c r="M221">
        <f t="shared" si="36"/>
        <v>852</v>
      </c>
      <c r="N221">
        <f t="shared" si="37"/>
        <v>0</v>
      </c>
    </row>
    <row r="222" spans="1:14" x14ac:dyDescent="0.35">
      <c r="A222" s="5">
        <v>6700458395</v>
      </c>
      <c r="B222" s="6">
        <v>42921</v>
      </c>
      <c r="C222" s="7">
        <v>0.42149305555555555</v>
      </c>
      <c r="D222" s="8">
        <v>0.42678240740740742</v>
      </c>
      <c r="E222" s="20">
        <f t="shared" si="30"/>
        <v>5.2893518518518645E-3</v>
      </c>
      <c r="F222" t="str">
        <f t="shared" si="31"/>
        <v>zagraniczny</v>
      </c>
      <c r="G222" s="23">
        <f t="shared" si="38"/>
        <v>78662</v>
      </c>
      <c r="H222">
        <f t="shared" si="39"/>
        <v>28357</v>
      </c>
      <c r="I222">
        <f t="shared" si="32"/>
        <v>457</v>
      </c>
      <c r="J222">
        <f t="shared" si="33"/>
        <v>8</v>
      </c>
      <c r="K222">
        <f t="shared" si="34"/>
        <v>107019</v>
      </c>
      <c r="L222">
        <f t="shared" si="35"/>
        <v>0</v>
      </c>
      <c r="M222">
        <f t="shared" si="36"/>
        <v>0</v>
      </c>
      <c r="N222">
        <f t="shared" si="37"/>
        <v>0</v>
      </c>
    </row>
    <row r="223" spans="1:14" x14ac:dyDescent="0.35">
      <c r="A223" s="9">
        <v>2211277198</v>
      </c>
      <c r="B223" s="10">
        <v>42921</v>
      </c>
      <c r="C223" s="11">
        <v>0.42168981481481482</v>
      </c>
      <c r="D223" s="12">
        <v>0.42326388888888888</v>
      </c>
      <c r="E223" s="20">
        <f t="shared" si="30"/>
        <v>1.5740740740740611E-3</v>
      </c>
      <c r="F223" t="str">
        <f t="shared" si="31"/>
        <v>zagraniczny</v>
      </c>
      <c r="G223" s="23">
        <f t="shared" si="38"/>
        <v>78662</v>
      </c>
      <c r="H223">
        <f t="shared" si="39"/>
        <v>28357</v>
      </c>
      <c r="I223">
        <f t="shared" si="32"/>
        <v>136</v>
      </c>
      <c r="J223">
        <f t="shared" si="33"/>
        <v>3</v>
      </c>
      <c r="K223">
        <f t="shared" si="34"/>
        <v>107019</v>
      </c>
      <c r="L223">
        <f t="shared" si="35"/>
        <v>0</v>
      </c>
      <c r="M223">
        <f t="shared" si="36"/>
        <v>0</v>
      </c>
      <c r="N223">
        <f t="shared" si="37"/>
        <v>0</v>
      </c>
    </row>
    <row r="224" spans="1:14" x14ac:dyDescent="0.35">
      <c r="A224" s="5">
        <v>9866373</v>
      </c>
      <c r="B224" s="6">
        <v>42921</v>
      </c>
      <c r="C224" s="7">
        <v>0.42202546296296295</v>
      </c>
      <c r="D224" s="8">
        <v>0.42905092592592592</v>
      </c>
      <c r="E224" s="20">
        <f t="shared" si="30"/>
        <v>7.0254629629629695E-3</v>
      </c>
      <c r="F224" t="str">
        <f t="shared" si="31"/>
        <v>stacjonarny</v>
      </c>
      <c r="G224" s="23">
        <f t="shared" si="38"/>
        <v>79269</v>
      </c>
      <c r="H224">
        <f t="shared" si="39"/>
        <v>28357</v>
      </c>
      <c r="I224">
        <f t="shared" si="32"/>
        <v>0</v>
      </c>
      <c r="J224">
        <f t="shared" si="33"/>
        <v>0</v>
      </c>
      <c r="K224">
        <f t="shared" si="34"/>
        <v>107626</v>
      </c>
      <c r="L224">
        <f t="shared" si="35"/>
        <v>0</v>
      </c>
      <c r="M224">
        <f t="shared" si="36"/>
        <v>607</v>
      </c>
      <c r="N224">
        <f t="shared" si="37"/>
        <v>0</v>
      </c>
    </row>
    <row r="225" spans="1:14" x14ac:dyDescent="0.35">
      <c r="A225" s="9">
        <v>4526057</v>
      </c>
      <c r="B225" s="10">
        <v>42921</v>
      </c>
      <c r="C225" s="11">
        <v>0.42313657407407407</v>
      </c>
      <c r="D225" s="12">
        <v>0.42508101851851854</v>
      </c>
      <c r="E225" s="20">
        <f t="shared" si="30"/>
        <v>1.9444444444444708E-3</v>
      </c>
      <c r="F225" t="str">
        <f t="shared" si="31"/>
        <v>stacjonarny</v>
      </c>
      <c r="G225" s="23">
        <f t="shared" si="38"/>
        <v>79437</v>
      </c>
      <c r="H225">
        <f t="shared" si="39"/>
        <v>28357</v>
      </c>
      <c r="I225">
        <f t="shared" si="32"/>
        <v>0</v>
      </c>
      <c r="J225">
        <f t="shared" si="33"/>
        <v>0</v>
      </c>
      <c r="K225">
        <f t="shared" si="34"/>
        <v>107794</v>
      </c>
      <c r="L225">
        <f t="shared" si="35"/>
        <v>0</v>
      </c>
      <c r="M225">
        <f t="shared" si="36"/>
        <v>168</v>
      </c>
      <c r="N225">
        <f t="shared" si="37"/>
        <v>0</v>
      </c>
    </row>
    <row r="226" spans="1:14" x14ac:dyDescent="0.35">
      <c r="A226" s="5">
        <v>70786056</v>
      </c>
      <c r="B226" s="6">
        <v>42921</v>
      </c>
      <c r="C226" s="7">
        <v>0.42357638888888888</v>
      </c>
      <c r="D226" s="8">
        <v>0.4253587962962963</v>
      </c>
      <c r="E226" s="20">
        <f t="shared" si="30"/>
        <v>1.782407407407427E-3</v>
      </c>
      <c r="F226" t="str">
        <f t="shared" si="31"/>
        <v>komorkowy</v>
      </c>
      <c r="G226" s="23">
        <f t="shared" si="38"/>
        <v>79437</v>
      </c>
      <c r="H226">
        <f t="shared" si="39"/>
        <v>28511</v>
      </c>
      <c r="I226">
        <f t="shared" si="32"/>
        <v>0</v>
      </c>
      <c r="J226">
        <f t="shared" si="33"/>
        <v>0</v>
      </c>
      <c r="K226">
        <f t="shared" si="34"/>
        <v>107948</v>
      </c>
      <c r="L226">
        <f t="shared" si="35"/>
        <v>0</v>
      </c>
      <c r="M226">
        <f t="shared" si="36"/>
        <v>0</v>
      </c>
      <c r="N226">
        <f t="shared" si="37"/>
        <v>154</v>
      </c>
    </row>
    <row r="227" spans="1:14" x14ac:dyDescent="0.35">
      <c r="A227" s="9">
        <v>9874705</v>
      </c>
      <c r="B227" s="10">
        <v>42921</v>
      </c>
      <c r="C227" s="11">
        <v>0.4274074074074074</v>
      </c>
      <c r="D227" s="12">
        <v>0.43408564814814815</v>
      </c>
      <c r="E227" s="20">
        <f t="shared" si="30"/>
        <v>6.6782407407407485E-3</v>
      </c>
      <c r="F227" t="str">
        <f t="shared" si="31"/>
        <v>stacjonarny</v>
      </c>
      <c r="G227" s="23">
        <f t="shared" si="38"/>
        <v>80014</v>
      </c>
      <c r="H227">
        <f t="shared" si="39"/>
        <v>28511</v>
      </c>
      <c r="I227">
        <f t="shared" si="32"/>
        <v>0</v>
      </c>
      <c r="J227">
        <f t="shared" si="33"/>
        <v>0</v>
      </c>
      <c r="K227">
        <f t="shared" si="34"/>
        <v>108525</v>
      </c>
      <c r="L227">
        <f t="shared" si="35"/>
        <v>0</v>
      </c>
      <c r="M227">
        <f t="shared" si="36"/>
        <v>577</v>
      </c>
      <c r="N227">
        <f t="shared" si="37"/>
        <v>0</v>
      </c>
    </row>
    <row r="228" spans="1:14" x14ac:dyDescent="0.35">
      <c r="A228" s="5">
        <v>2506618</v>
      </c>
      <c r="B228" s="6">
        <v>42921</v>
      </c>
      <c r="C228" s="7">
        <v>0.43084490740740738</v>
      </c>
      <c r="D228" s="8">
        <v>0.43738425925925928</v>
      </c>
      <c r="E228" s="20">
        <f t="shared" si="30"/>
        <v>6.5393518518518934E-3</v>
      </c>
      <c r="F228" t="str">
        <f t="shared" si="31"/>
        <v>stacjonarny</v>
      </c>
      <c r="G228" s="23">
        <f t="shared" si="38"/>
        <v>80579</v>
      </c>
      <c r="H228">
        <f t="shared" si="39"/>
        <v>28511</v>
      </c>
      <c r="I228">
        <f t="shared" si="32"/>
        <v>0</v>
      </c>
      <c r="J228">
        <f t="shared" si="33"/>
        <v>0</v>
      </c>
      <c r="K228">
        <f t="shared" si="34"/>
        <v>109090</v>
      </c>
      <c r="L228">
        <f t="shared" si="35"/>
        <v>0</v>
      </c>
      <c r="M228">
        <f t="shared" si="36"/>
        <v>565</v>
      </c>
      <c r="N228">
        <f t="shared" si="37"/>
        <v>0</v>
      </c>
    </row>
    <row r="229" spans="1:14" x14ac:dyDescent="0.35">
      <c r="A229" s="9">
        <v>6312575</v>
      </c>
      <c r="B229" s="10">
        <v>42921</v>
      </c>
      <c r="C229" s="11">
        <v>0.43234953703703705</v>
      </c>
      <c r="D229" s="12">
        <v>0.44233796296296296</v>
      </c>
      <c r="E229" s="20">
        <f t="shared" si="30"/>
        <v>9.9884259259259145E-3</v>
      </c>
      <c r="F229" t="str">
        <f t="shared" si="31"/>
        <v>stacjonarny</v>
      </c>
      <c r="G229" s="23">
        <f t="shared" si="38"/>
        <v>81442</v>
      </c>
      <c r="H229">
        <f t="shared" si="39"/>
        <v>28511</v>
      </c>
      <c r="I229">
        <f t="shared" si="32"/>
        <v>0</v>
      </c>
      <c r="J229">
        <f t="shared" si="33"/>
        <v>0</v>
      </c>
      <c r="K229">
        <f t="shared" si="34"/>
        <v>109953</v>
      </c>
      <c r="L229">
        <f t="shared" si="35"/>
        <v>0</v>
      </c>
      <c r="M229">
        <f t="shared" si="36"/>
        <v>863</v>
      </c>
      <c r="N229">
        <f t="shared" si="37"/>
        <v>0</v>
      </c>
    </row>
    <row r="230" spans="1:14" x14ac:dyDescent="0.35">
      <c r="A230" s="5">
        <v>9620895</v>
      </c>
      <c r="B230" s="6">
        <v>42921</v>
      </c>
      <c r="C230" s="7">
        <v>0.4362847222222222</v>
      </c>
      <c r="D230" s="8">
        <v>0.44714120370370369</v>
      </c>
      <c r="E230" s="20">
        <f t="shared" si="30"/>
        <v>1.0856481481481495E-2</v>
      </c>
      <c r="F230" t="str">
        <f t="shared" si="31"/>
        <v>stacjonarny</v>
      </c>
      <c r="G230" s="23">
        <f t="shared" si="38"/>
        <v>82380</v>
      </c>
      <c r="H230">
        <f t="shared" si="39"/>
        <v>28511</v>
      </c>
      <c r="I230">
        <f t="shared" si="32"/>
        <v>0</v>
      </c>
      <c r="J230">
        <f t="shared" si="33"/>
        <v>0</v>
      </c>
      <c r="K230">
        <f t="shared" si="34"/>
        <v>110891</v>
      </c>
      <c r="L230">
        <f t="shared" si="35"/>
        <v>0</v>
      </c>
      <c r="M230">
        <f t="shared" si="36"/>
        <v>938</v>
      </c>
      <c r="N230">
        <f t="shared" si="37"/>
        <v>0</v>
      </c>
    </row>
    <row r="231" spans="1:14" x14ac:dyDescent="0.35">
      <c r="A231" s="9">
        <v>8187780</v>
      </c>
      <c r="B231" s="10">
        <v>42921</v>
      </c>
      <c r="C231" s="11">
        <v>0.43898148148148147</v>
      </c>
      <c r="D231" s="12">
        <v>0.44800925925925927</v>
      </c>
      <c r="E231" s="20">
        <f t="shared" si="30"/>
        <v>9.0277777777778012E-3</v>
      </c>
      <c r="F231" t="str">
        <f t="shared" si="31"/>
        <v>stacjonarny</v>
      </c>
      <c r="G231" s="23">
        <f t="shared" si="38"/>
        <v>83160</v>
      </c>
      <c r="H231">
        <f t="shared" si="39"/>
        <v>28511</v>
      </c>
      <c r="I231">
        <f t="shared" si="32"/>
        <v>0</v>
      </c>
      <c r="J231">
        <f t="shared" si="33"/>
        <v>0</v>
      </c>
      <c r="K231">
        <f t="shared" si="34"/>
        <v>111671</v>
      </c>
      <c r="L231">
        <f t="shared" si="35"/>
        <v>0</v>
      </c>
      <c r="M231">
        <f t="shared" si="36"/>
        <v>780</v>
      </c>
      <c r="N231">
        <f t="shared" si="37"/>
        <v>0</v>
      </c>
    </row>
    <row r="232" spans="1:14" x14ac:dyDescent="0.35">
      <c r="A232" s="5">
        <v>4176999</v>
      </c>
      <c r="B232" s="6">
        <v>42921</v>
      </c>
      <c r="C232" s="7">
        <v>0.44148148148148147</v>
      </c>
      <c r="D232" s="8">
        <v>0.45222222222222225</v>
      </c>
      <c r="E232" s="20">
        <f t="shared" si="30"/>
        <v>1.0740740740740773E-2</v>
      </c>
      <c r="F232" t="str">
        <f t="shared" si="31"/>
        <v>stacjonarny</v>
      </c>
      <c r="G232" s="23">
        <f t="shared" si="38"/>
        <v>84088</v>
      </c>
      <c r="H232">
        <f t="shared" si="39"/>
        <v>28511</v>
      </c>
      <c r="I232">
        <f t="shared" si="32"/>
        <v>0</v>
      </c>
      <c r="J232">
        <f t="shared" si="33"/>
        <v>0</v>
      </c>
      <c r="K232">
        <f t="shared" si="34"/>
        <v>112599</v>
      </c>
      <c r="L232">
        <f t="shared" si="35"/>
        <v>0</v>
      </c>
      <c r="M232">
        <f t="shared" si="36"/>
        <v>928</v>
      </c>
      <c r="N232">
        <f t="shared" si="37"/>
        <v>0</v>
      </c>
    </row>
    <row r="233" spans="1:14" x14ac:dyDescent="0.35">
      <c r="A233" s="9">
        <v>9937257</v>
      </c>
      <c r="B233" s="10">
        <v>42921</v>
      </c>
      <c r="C233" s="11">
        <v>0.44383101851851853</v>
      </c>
      <c r="D233" s="12">
        <v>0.44697916666666665</v>
      </c>
      <c r="E233" s="20">
        <f t="shared" si="30"/>
        <v>3.1481481481481222E-3</v>
      </c>
      <c r="F233" t="str">
        <f t="shared" si="31"/>
        <v>stacjonarny</v>
      </c>
      <c r="G233" s="23">
        <f t="shared" si="38"/>
        <v>84360</v>
      </c>
      <c r="H233">
        <f t="shared" si="39"/>
        <v>28511</v>
      </c>
      <c r="I233">
        <f t="shared" si="32"/>
        <v>0</v>
      </c>
      <c r="J233">
        <f t="shared" si="33"/>
        <v>0</v>
      </c>
      <c r="K233">
        <f t="shared" si="34"/>
        <v>112871</v>
      </c>
      <c r="L233">
        <f t="shared" si="35"/>
        <v>0</v>
      </c>
      <c r="M233">
        <f t="shared" si="36"/>
        <v>272</v>
      </c>
      <c r="N233">
        <f t="shared" si="37"/>
        <v>0</v>
      </c>
    </row>
    <row r="234" spans="1:14" x14ac:dyDescent="0.35">
      <c r="A234" s="5">
        <v>4363716</v>
      </c>
      <c r="B234" s="6">
        <v>42921</v>
      </c>
      <c r="C234" s="7">
        <v>0.44436342592592593</v>
      </c>
      <c r="D234" s="8">
        <v>0.45106481481481481</v>
      </c>
      <c r="E234" s="20">
        <f t="shared" si="30"/>
        <v>6.7013888888888817E-3</v>
      </c>
      <c r="F234" t="str">
        <f t="shared" si="31"/>
        <v>stacjonarny</v>
      </c>
      <c r="G234" s="23">
        <f t="shared" si="38"/>
        <v>84939</v>
      </c>
      <c r="H234">
        <f t="shared" si="39"/>
        <v>28511</v>
      </c>
      <c r="I234">
        <f t="shared" si="32"/>
        <v>0</v>
      </c>
      <c r="J234">
        <f t="shared" si="33"/>
        <v>0</v>
      </c>
      <c r="K234">
        <f t="shared" si="34"/>
        <v>113450</v>
      </c>
      <c r="L234">
        <f t="shared" si="35"/>
        <v>0</v>
      </c>
      <c r="M234">
        <f t="shared" si="36"/>
        <v>579</v>
      </c>
      <c r="N234">
        <f t="shared" si="37"/>
        <v>0</v>
      </c>
    </row>
    <row r="235" spans="1:14" x14ac:dyDescent="0.35">
      <c r="A235" s="9">
        <v>96323047</v>
      </c>
      <c r="B235" s="10">
        <v>42921</v>
      </c>
      <c r="C235" s="11">
        <v>0.44962962962962966</v>
      </c>
      <c r="D235" s="12">
        <v>0.45341435185185186</v>
      </c>
      <c r="E235" s="20">
        <f t="shared" si="30"/>
        <v>3.7847222222222032E-3</v>
      </c>
      <c r="F235" t="str">
        <f t="shared" si="31"/>
        <v>komorkowy</v>
      </c>
      <c r="G235" s="23">
        <f t="shared" si="38"/>
        <v>84939</v>
      </c>
      <c r="H235">
        <f t="shared" si="39"/>
        <v>28838</v>
      </c>
      <c r="I235">
        <f t="shared" si="32"/>
        <v>0</v>
      </c>
      <c r="J235">
        <f t="shared" si="33"/>
        <v>0</v>
      </c>
      <c r="K235">
        <f t="shared" si="34"/>
        <v>113777</v>
      </c>
      <c r="L235">
        <f t="shared" si="35"/>
        <v>0</v>
      </c>
      <c r="M235">
        <f t="shared" si="36"/>
        <v>0</v>
      </c>
      <c r="N235">
        <f t="shared" si="37"/>
        <v>327</v>
      </c>
    </row>
    <row r="236" spans="1:14" x14ac:dyDescent="0.35">
      <c r="A236" s="5">
        <v>2750193</v>
      </c>
      <c r="B236" s="6">
        <v>42921</v>
      </c>
      <c r="C236" s="7">
        <v>0.45445601851851852</v>
      </c>
      <c r="D236" s="8">
        <v>0.455625</v>
      </c>
      <c r="E236" s="20">
        <f t="shared" si="30"/>
        <v>1.1689814814814792E-3</v>
      </c>
      <c r="F236" t="str">
        <f t="shared" si="31"/>
        <v>stacjonarny</v>
      </c>
      <c r="G236" s="23">
        <f t="shared" si="38"/>
        <v>85040</v>
      </c>
      <c r="H236">
        <f t="shared" si="39"/>
        <v>28838</v>
      </c>
      <c r="I236">
        <f t="shared" si="32"/>
        <v>0</v>
      </c>
      <c r="J236">
        <f t="shared" si="33"/>
        <v>0</v>
      </c>
      <c r="K236">
        <f t="shared" si="34"/>
        <v>113878</v>
      </c>
      <c r="L236">
        <f t="shared" si="35"/>
        <v>0</v>
      </c>
      <c r="M236">
        <f t="shared" si="36"/>
        <v>101</v>
      </c>
      <c r="N236">
        <f t="shared" si="37"/>
        <v>0</v>
      </c>
    </row>
    <row r="237" spans="1:14" x14ac:dyDescent="0.35">
      <c r="A237" s="9">
        <v>7973319</v>
      </c>
      <c r="B237" s="10">
        <v>42921</v>
      </c>
      <c r="C237" s="11">
        <v>0.45565972222222223</v>
      </c>
      <c r="D237" s="12">
        <v>0.46090277777777777</v>
      </c>
      <c r="E237" s="20">
        <f t="shared" si="30"/>
        <v>5.2430555555555425E-3</v>
      </c>
      <c r="F237" t="str">
        <f t="shared" si="31"/>
        <v>stacjonarny</v>
      </c>
      <c r="G237" s="23">
        <f t="shared" si="38"/>
        <v>85493</v>
      </c>
      <c r="H237">
        <f t="shared" si="39"/>
        <v>28838</v>
      </c>
      <c r="I237">
        <f t="shared" si="32"/>
        <v>0</v>
      </c>
      <c r="J237">
        <f t="shared" si="33"/>
        <v>0</v>
      </c>
      <c r="K237">
        <f t="shared" si="34"/>
        <v>114331</v>
      </c>
      <c r="L237">
        <f t="shared" si="35"/>
        <v>0</v>
      </c>
      <c r="M237">
        <f t="shared" si="36"/>
        <v>453</v>
      </c>
      <c r="N237">
        <f t="shared" si="37"/>
        <v>0</v>
      </c>
    </row>
    <row r="238" spans="1:14" x14ac:dyDescent="0.35">
      <c r="A238" s="5">
        <v>1908394</v>
      </c>
      <c r="B238" s="6">
        <v>42921</v>
      </c>
      <c r="C238" s="7">
        <v>0.45825231481481482</v>
      </c>
      <c r="D238" s="8">
        <v>0.46818287037037037</v>
      </c>
      <c r="E238" s="20">
        <f t="shared" si="30"/>
        <v>9.9305555555555536E-3</v>
      </c>
      <c r="F238" t="str">
        <f t="shared" si="31"/>
        <v>stacjonarny</v>
      </c>
      <c r="G238" s="23">
        <f t="shared" si="38"/>
        <v>86351</v>
      </c>
      <c r="H238">
        <f t="shared" si="39"/>
        <v>28838</v>
      </c>
      <c r="I238">
        <f t="shared" si="32"/>
        <v>0</v>
      </c>
      <c r="J238">
        <f t="shared" si="33"/>
        <v>0</v>
      </c>
      <c r="K238">
        <f t="shared" si="34"/>
        <v>115189</v>
      </c>
      <c r="L238">
        <f t="shared" si="35"/>
        <v>0</v>
      </c>
      <c r="M238">
        <f t="shared" si="36"/>
        <v>858</v>
      </c>
      <c r="N238">
        <f t="shared" si="37"/>
        <v>0</v>
      </c>
    </row>
    <row r="239" spans="1:14" x14ac:dyDescent="0.35">
      <c r="A239" s="9">
        <v>19116274</v>
      </c>
      <c r="B239" s="10">
        <v>42921</v>
      </c>
      <c r="C239" s="11">
        <v>0.46032407407407405</v>
      </c>
      <c r="D239" s="12">
        <v>0.46797453703703706</v>
      </c>
      <c r="E239" s="20">
        <f t="shared" si="30"/>
        <v>7.6504629629630116E-3</v>
      </c>
      <c r="F239" t="str">
        <f t="shared" si="31"/>
        <v>komorkowy</v>
      </c>
      <c r="G239" s="23">
        <f t="shared" si="38"/>
        <v>86351</v>
      </c>
      <c r="H239">
        <f t="shared" si="39"/>
        <v>29499</v>
      </c>
      <c r="I239">
        <f t="shared" si="32"/>
        <v>0</v>
      </c>
      <c r="J239">
        <f t="shared" si="33"/>
        <v>0</v>
      </c>
      <c r="K239">
        <f t="shared" si="34"/>
        <v>115850</v>
      </c>
      <c r="L239">
        <f t="shared" si="35"/>
        <v>0</v>
      </c>
      <c r="M239">
        <f t="shared" si="36"/>
        <v>0</v>
      </c>
      <c r="N239">
        <f t="shared" si="37"/>
        <v>661</v>
      </c>
    </row>
    <row r="240" spans="1:14" x14ac:dyDescent="0.35">
      <c r="A240" s="5">
        <v>1235622</v>
      </c>
      <c r="B240" s="6">
        <v>42921</v>
      </c>
      <c r="C240" s="7">
        <v>0.46460648148148148</v>
      </c>
      <c r="D240" s="8">
        <v>0.47087962962962965</v>
      </c>
      <c r="E240" s="20">
        <f t="shared" si="30"/>
        <v>6.2731481481481666E-3</v>
      </c>
      <c r="F240" t="str">
        <f t="shared" si="31"/>
        <v>stacjonarny</v>
      </c>
      <c r="G240" s="23">
        <f t="shared" si="38"/>
        <v>86893</v>
      </c>
      <c r="H240">
        <f t="shared" si="39"/>
        <v>29499</v>
      </c>
      <c r="I240">
        <f t="shared" si="32"/>
        <v>0</v>
      </c>
      <c r="J240">
        <f t="shared" si="33"/>
        <v>0</v>
      </c>
      <c r="K240">
        <f t="shared" si="34"/>
        <v>116392</v>
      </c>
      <c r="L240">
        <f t="shared" si="35"/>
        <v>0</v>
      </c>
      <c r="M240">
        <f t="shared" si="36"/>
        <v>542</v>
      </c>
      <c r="N240">
        <f t="shared" si="37"/>
        <v>0</v>
      </c>
    </row>
    <row r="241" spans="1:14" x14ac:dyDescent="0.35">
      <c r="A241" s="9">
        <v>1926053</v>
      </c>
      <c r="B241" s="10">
        <v>42921</v>
      </c>
      <c r="C241" s="11">
        <v>0.46751157407407407</v>
      </c>
      <c r="D241" s="12">
        <v>0.46879629629629632</v>
      </c>
      <c r="E241" s="20">
        <f t="shared" si="30"/>
        <v>1.2847222222222565E-3</v>
      </c>
      <c r="F241" t="str">
        <f t="shared" si="31"/>
        <v>stacjonarny</v>
      </c>
      <c r="G241" s="23">
        <f t="shared" si="38"/>
        <v>87004</v>
      </c>
      <c r="H241">
        <f t="shared" si="39"/>
        <v>29499</v>
      </c>
      <c r="I241">
        <f t="shared" si="32"/>
        <v>0</v>
      </c>
      <c r="J241">
        <f t="shared" si="33"/>
        <v>0</v>
      </c>
      <c r="K241">
        <f t="shared" si="34"/>
        <v>116503</v>
      </c>
      <c r="L241">
        <f t="shared" si="35"/>
        <v>0</v>
      </c>
      <c r="M241">
        <f t="shared" si="36"/>
        <v>111</v>
      </c>
      <c r="N241">
        <f t="shared" si="37"/>
        <v>0</v>
      </c>
    </row>
    <row r="242" spans="1:14" x14ac:dyDescent="0.35">
      <c r="A242" s="5">
        <v>1458287</v>
      </c>
      <c r="B242" s="6">
        <v>42921</v>
      </c>
      <c r="C242" s="7">
        <v>0.47060185185185183</v>
      </c>
      <c r="D242" s="8">
        <v>0.47584490740740742</v>
      </c>
      <c r="E242" s="20">
        <f t="shared" si="30"/>
        <v>5.243055555555598E-3</v>
      </c>
      <c r="F242" t="str">
        <f t="shared" si="31"/>
        <v>stacjonarny</v>
      </c>
      <c r="G242" s="23">
        <f t="shared" si="38"/>
        <v>87457</v>
      </c>
      <c r="H242">
        <f t="shared" si="39"/>
        <v>29499</v>
      </c>
      <c r="I242">
        <f t="shared" si="32"/>
        <v>0</v>
      </c>
      <c r="J242">
        <f t="shared" si="33"/>
        <v>0</v>
      </c>
      <c r="K242">
        <f t="shared" si="34"/>
        <v>116956</v>
      </c>
      <c r="L242">
        <f t="shared" si="35"/>
        <v>0</v>
      </c>
      <c r="M242">
        <f t="shared" si="36"/>
        <v>453</v>
      </c>
      <c r="N242">
        <f t="shared" si="37"/>
        <v>0</v>
      </c>
    </row>
    <row r="243" spans="1:14" x14ac:dyDescent="0.35">
      <c r="A243" s="9">
        <v>3758539398</v>
      </c>
      <c r="B243" s="10">
        <v>42921</v>
      </c>
      <c r="C243" s="11">
        <v>0.47296296296296297</v>
      </c>
      <c r="D243" s="12">
        <v>0.47506944444444443</v>
      </c>
      <c r="E243" s="20">
        <f t="shared" si="30"/>
        <v>2.1064814814814592E-3</v>
      </c>
      <c r="F243" t="str">
        <f t="shared" si="31"/>
        <v>zagraniczny</v>
      </c>
      <c r="G243" s="23">
        <f t="shared" si="38"/>
        <v>87457</v>
      </c>
      <c r="H243">
        <f t="shared" si="39"/>
        <v>29499</v>
      </c>
      <c r="I243">
        <f t="shared" si="32"/>
        <v>182</v>
      </c>
      <c r="J243">
        <f t="shared" si="33"/>
        <v>4</v>
      </c>
      <c r="K243">
        <f t="shared" si="34"/>
        <v>116956</v>
      </c>
      <c r="L243">
        <f t="shared" si="35"/>
        <v>0</v>
      </c>
      <c r="M243">
        <f t="shared" si="36"/>
        <v>0</v>
      </c>
      <c r="N243">
        <f t="shared" si="37"/>
        <v>0</v>
      </c>
    </row>
    <row r="244" spans="1:14" x14ac:dyDescent="0.35">
      <c r="A244" s="5">
        <v>8471021</v>
      </c>
      <c r="B244" s="6">
        <v>42921</v>
      </c>
      <c r="C244" s="7">
        <v>0.47431712962962963</v>
      </c>
      <c r="D244" s="8">
        <v>0.47746527777777775</v>
      </c>
      <c r="E244" s="20">
        <f t="shared" si="30"/>
        <v>3.1481481481481222E-3</v>
      </c>
      <c r="F244" t="str">
        <f t="shared" si="31"/>
        <v>stacjonarny</v>
      </c>
      <c r="G244" s="23">
        <f t="shared" si="38"/>
        <v>87729</v>
      </c>
      <c r="H244">
        <f t="shared" si="39"/>
        <v>29499</v>
      </c>
      <c r="I244">
        <f t="shared" si="32"/>
        <v>0</v>
      </c>
      <c r="J244">
        <f t="shared" si="33"/>
        <v>0</v>
      </c>
      <c r="K244">
        <f t="shared" si="34"/>
        <v>117228</v>
      </c>
      <c r="L244">
        <f t="shared" si="35"/>
        <v>0</v>
      </c>
      <c r="M244">
        <f t="shared" si="36"/>
        <v>272</v>
      </c>
      <c r="N244">
        <f t="shared" si="37"/>
        <v>0</v>
      </c>
    </row>
    <row r="245" spans="1:14" x14ac:dyDescent="0.35">
      <c r="A245" s="9">
        <v>4039284</v>
      </c>
      <c r="B245" s="10">
        <v>42921</v>
      </c>
      <c r="C245" s="11">
        <v>0.47684027777777777</v>
      </c>
      <c r="D245" s="12">
        <v>0.4824074074074074</v>
      </c>
      <c r="E245" s="20">
        <f t="shared" si="30"/>
        <v>5.5671296296296302E-3</v>
      </c>
      <c r="F245" t="str">
        <f t="shared" si="31"/>
        <v>stacjonarny</v>
      </c>
      <c r="G245" s="23">
        <f t="shared" si="38"/>
        <v>88210</v>
      </c>
      <c r="H245">
        <f t="shared" si="39"/>
        <v>29499</v>
      </c>
      <c r="I245">
        <f t="shared" si="32"/>
        <v>0</v>
      </c>
      <c r="J245">
        <f t="shared" si="33"/>
        <v>0</v>
      </c>
      <c r="K245">
        <f t="shared" si="34"/>
        <v>117709</v>
      </c>
      <c r="L245">
        <f t="shared" si="35"/>
        <v>0</v>
      </c>
      <c r="M245">
        <f t="shared" si="36"/>
        <v>481</v>
      </c>
      <c r="N245">
        <f t="shared" si="37"/>
        <v>0</v>
      </c>
    </row>
    <row r="246" spans="1:14" x14ac:dyDescent="0.35">
      <c r="A246" s="5">
        <v>3177370</v>
      </c>
      <c r="B246" s="6">
        <v>42921</v>
      </c>
      <c r="C246" s="7">
        <v>0.47972222222222222</v>
      </c>
      <c r="D246" s="8">
        <v>0.48660879629629628</v>
      </c>
      <c r="E246" s="20">
        <f t="shared" si="30"/>
        <v>6.8865740740740589E-3</v>
      </c>
      <c r="F246" t="str">
        <f t="shared" si="31"/>
        <v>stacjonarny</v>
      </c>
      <c r="G246" s="23">
        <f t="shared" si="38"/>
        <v>88805</v>
      </c>
      <c r="H246">
        <f t="shared" si="39"/>
        <v>29499</v>
      </c>
      <c r="I246">
        <f t="shared" si="32"/>
        <v>0</v>
      </c>
      <c r="J246">
        <f t="shared" si="33"/>
        <v>0</v>
      </c>
      <c r="K246">
        <f t="shared" si="34"/>
        <v>118304</v>
      </c>
      <c r="L246">
        <f t="shared" si="35"/>
        <v>0</v>
      </c>
      <c r="M246">
        <f t="shared" si="36"/>
        <v>595</v>
      </c>
      <c r="N246">
        <f t="shared" si="37"/>
        <v>0</v>
      </c>
    </row>
    <row r="247" spans="1:14" x14ac:dyDescent="0.35">
      <c r="A247" s="9">
        <v>7236035</v>
      </c>
      <c r="B247" s="10">
        <v>42921</v>
      </c>
      <c r="C247" s="11">
        <v>0.48149305555555555</v>
      </c>
      <c r="D247" s="12">
        <v>0.48582175925925924</v>
      </c>
      <c r="E247" s="20">
        <f t="shared" si="30"/>
        <v>4.3287037037036957E-3</v>
      </c>
      <c r="F247" t="str">
        <f t="shared" si="31"/>
        <v>stacjonarny</v>
      </c>
      <c r="G247" s="23">
        <f t="shared" si="38"/>
        <v>89179</v>
      </c>
      <c r="H247">
        <f t="shared" si="39"/>
        <v>29499</v>
      </c>
      <c r="I247">
        <f t="shared" si="32"/>
        <v>0</v>
      </c>
      <c r="J247">
        <f t="shared" si="33"/>
        <v>0</v>
      </c>
      <c r="K247">
        <f t="shared" si="34"/>
        <v>118678</v>
      </c>
      <c r="L247">
        <f t="shared" si="35"/>
        <v>0</v>
      </c>
      <c r="M247">
        <f t="shared" si="36"/>
        <v>374</v>
      </c>
      <c r="N247">
        <f t="shared" si="37"/>
        <v>0</v>
      </c>
    </row>
    <row r="248" spans="1:14" x14ac:dyDescent="0.35">
      <c r="A248" s="5">
        <v>6689117</v>
      </c>
      <c r="B248" s="6">
        <v>42921</v>
      </c>
      <c r="C248" s="7">
        <v>0.48554398148148148</v>
      </c>
      <c r="D248" s="8">
        <v>0.49553240740740739</v>
      </c>
      <c r="E248" s="20">
        <f t="shared" si="30"/>
        <v>9.9884259259259145E-3</v>
      </c>
      <c r="F248" t="str">
        <f t="shared" si="31"/>
        <v>stacjonarny</v>
      </c>
      <c r="G248" s="23">
        <f t="shared" si="38"/>
        <v>90042</v>
      </c>
      <c r="H248">
        <f t="shared" si="39"/>
        <v>29499</v>
      </c>
      <c r="I248">
        <f t="shared" si="32"/>
        <v>0</v>
      </c>
      <c r="J248">
        <f t="shared" si="33"/>
        <v>0</v>
      </c>
      <c r="K248">
        <f t="shared" si="34"/>
        <v>119541</v>
      </c>
      <c r="L248">
        <f t="shared" si="35"/>
        <v>0</v>
      </c>
      <c r="M248">
        <f t="shared" si="36"/>
        <v>863</v>
      </c>
      <c r="N248">
        <f t="shared" si="37"/>
        <v>0</v>
      </c>
    </row>
    <row r="249" spans="1:14" x14ac:dyDescent="0.35">
      <c r="A249" s="9">
        <v>4824267</v>
      </c>
      <c r="B249" s="10">
        <v>42921</v>
      </c>
      <c r="C249" s="11">
        <v>0.4871875</v>
      </c>
      <c r="D249" s="12">
        <v>0.49509259259259258</v>
      </c>
      <c r="E249" s="20">
        <f t="shared" si="30"/>
        <v>7.9050925925925886E-3</v>
      </c>
      <c r="F249" t="str">
        <f t="shared" si="31"/>
        <v>stacjonarny</v>
      </c>
      <c r="G249" s="23">
        <f t="shared" si="38"/>
        <v>90725</v>
      </c>
      <c r="H249">
        <f t="shared" si="39"/>
        <v>29499</v>
      </c>
      <c r="I249">
        <f t="shared" si="32"/>
        <v>0</v>
      </c>
      <c r="J249">
        <f t="shared" si="33"/>
        <v>0</v>
      </c>
      <c r="K249">
        <f t="shared" si="34"/>
        <v>120224</v>
      </c>
      <c r="L249">
        <f t="shared" si="35"/>
        <v>0</v>
      </c>
      <c r="M249">
        <f t="shared" si="36"/>
        <v>683</v>
      </c>
      <c r="N249">
        <f t="shared" si="37"/>
        <v>0</v>
      </c>
    </row>
    <row r="250" spans="1:14" x14ac:dyDescent="0.35">
      <c r="A250" s="5">
        <v>6978234</v>
      </c>
      <c r="B250" s="6">
        <v>42921</v>
      </c>
      <c r="C250" s="7">
        <v>0.48873842592592592</v>
      </c>
      <c r="D250" s="8">
        <v>0.49131944444444442</v>
      </c>
      <c r="E250" s="20">
        <f t="shared" si="30"/>
        <v>2.5810185185184964E-3</v>
      </c>
      <c r="F250" t="str">
        <f t="shared" si="31"/>
        <v>stacjonarny</v>
      </c>
      <c r="G250" s="23">
        <f t="shared" si="38"/>
        <v>90948</v>
      </c>
      <c r="H250">
        <f t="shared" si="39"/>
        <v>29499</v>
      </c>
      <c r="I250">
        <f t="shared" si="32"/>
        <v>0</v>
      </c>
      <c r="J250">
        <f t="shared" si="33"/>
        <v>0</v>
      </c>
      <c r="K250">
        <f t="shared" si="34"/>
        <v>120447</v>
      </c>
      <c r="L250">
        <f t="shared" si="35"/>
        <v>0</v>
      </c>
      <c r="M250">
        <f t="shared" si="36"/>
        <v>223</v>
      </c>
      <c r="N250">
        <f t="shared" si="37"/>
        <v>0</v>
      </c>
    </row>
    <row r="251" spans="1:14" x14ac:dyDescent="0.35">
      <c r="A251" s="9">
        <v>2158377</v>
      </c>
      <c r="B251" s="10">
        <v>42921</v>
      </c>
      <c r="C251" s="11">
        <v>0.49149305555555556</v>
      </c>
      <c r="D251" s="12">
        <v>0.49283564814814818</v>
      </c>
      <c r="E251" s="20">
        <f t="shared" si="30"/>
        <v>1.3425925925926174E-3</v>
      </c>
      <c r="F251" t="str">
        <f t="shared" si="31"/>
        <v>stacjonarny</v>
      </c>
      <c r="G251" s="23">
        <f t="shared" si="38"/>
        <v>91064</v>
      </c>
      <c r="H251">
        <f t="shared" si="39"/>
        <v>29499</v>
      </c>
      <c r="I251">
        <f t="shared" si="32"/>
        <v>0</v>
      </c>
      <c r="J251">
        <f t="shared" si="33"/>
        <v>0</v>
      </c>
      <c r="K251">
        <f t="shared" si="34"/>
        <v>120563</v>
      </c>
      <c r="L251">
        <f t="shared" si="35"/>
        <v>0</v>
      </c>
      <c r="M251">
        <f t="shared" si="36"/>
        <v>116</v>
      </c>
      <c r="N251">
        <f t="shared" si="37"/>
        <v>0</v>
      </c>
    </row>
    <row r="252" spans="1:14" x14ac:dyDescent="0.35">
      <c r="A252" s="5">
        <v>73970924</v>
      </c>
      <c r="B252" s="6">
        <v>42921</v>
      </c>
      <c r="C252" s="7">
        <v>0.49336805555555557</v>
      </c>
      <c r="D252" s="8">
        <v>0.49403935185185183</v>
      </c>
      <c r="E252" s="20">
        <f t="shared" si="30"/>
        <v>6.712962962962532E-4</v>
      </c>
      <c r="F252" t="str">
        <f t="shared" si="31"/>
        <v>komorkowy</v>
      </c>
      <c r="G252" s="23">
        <f t="shared" si="38"/>
        <v>91064</v>
      </c>
      <c r="H252">
        <f t="shared" si="39"/>
        <v>29557</v>
      </c>
      <c r="I252">
        <f t="shared" si="32"/>
        <v>0</v>
      </c>
      <c r="J252">
        <f t="shared" si="33"/>
        <v>0</v>
      </c>
      <c r="K252">
        <f t="shared" si="34"/>
        <v>120621</v>
      </c>
      <c r="L252">
        <f t="shared" si="35"/>
        <v>0</v>
      </c>
      <c r="M252">
        <f t="shared" si="36"/>
        <v>0</v>
      </c>
      <c r="N252">
        <f t="shared" si="37"/>
        <v>58</v>
      </c>
    </row>
    <row r="253" spans="1:14" x14ac:dyDescent="0.35">
      <c r="A253" s="9">
        <v>6927270</v>
      </c>
      <c r="B253" s="10">
        <v>42921</v>
      </c>
      <c r="C253" s="11">
        <v>0.49571759259259257</v>
      </c>
      <c r="D253" s="12">
        <v>0.50516203703703699</v>
      </c>
      <c r="E253" s="20">
        <f t="shared" si="30"/>
        <v>9.444444444444422E-3</v>
      </c>
      <c r="F253" t="str">
        <f t="shared" si="31"/>
        <v>stacjonarny</v>
      </c>
      <c r="G253" s="23">
        <f t="shared" si="38"/>
        <v>91880</v>
      </c>
      <c r="H253">
        <f t="shared" si="39"/>
        <v>29557</v>
      </c>
      <c r="I253">
        <f t="shared" si="32"/>
        <v>0</v>
      </c>
      <c r="J253">
        <f t="shared" si="33"/>
        <v>0</v>
      </c>
      <c r="K253">
        <f t="shared" si="34"/>
        <v>121437</v>
      </c>
      <c r="L253">
        <f t="shared" si="35"/>
        <v>0</v>
      </c>
      <c r="M253">
        <f t="shared" si="36"/>
        <v>816</v>
      </c>
      <c r="N253">
        <f t="shared" si="37"/>
        <v>0</v>
      </c>
    </row>
    <row r="254" spans="1:14" x14ac:dyDescent="0.35">
      <c r="A254" s="5">
        <v>7318247385</v>
      </c>
      <c r="B254" s="6">
        <v>42921</v>
      </c>
      <c r="C254" s="7">
        <v>0.49596064814814816</v>
      </c>
      <c r="D254" s="8">
        <v>0.49886574074074075</v>
      </c>
      <c r="E254" s="20">
        <f t="shared" si="30"/>
        <v>2.9050925925925841E-3</v>
      </c>
      <c r="F254" t="str">
        <f t="shared" si="31"/>
        <v>zagraniczny</v>
      </c>
      <c r="G254" s="23">
        <f t="shared" si="38"/>
        <v>91880</v>
      </c>
      <c r="H254">
        <f t="shared" si="39"/>
        <v>29557</v>
      </c>
      <c r="I254">
        <f t="shared" si="32"/>
        <v>251</v>
      </c>
      <c r="J254">
        <f t="shared" si="33"/>
        <v>5</v>
      </c>
      <c r="K254">
        <f t="shared" si="34"/>
        <v>121437</v>
      </c>
      <c r="L254">
        <f t="shared" si="35"/>
        <v>0</v>
      </c>
      <c r="M254">
        <f t="shared" si="36"/>
        <v>0</v>
      </c>
      <c r="N254">
        <f t="shared" si="37"/>
        <v>0</v>
      </c>
    </row>
    <row r="255" spans="1:14" x14ac:dyDescent="0.35">
      <c r="A255" s="9">
        <v>1579531</v>
      </c>
      <c r="B255" s="10">
        <v>42921</v>
      </c>
      <c r="C255" s="11">
        <v>0.50134259259259262</v>
      </c>
      <c r="D255" s="12">
        <v>0.50873842592592589</v>
      </c>
      <c r="E255" s="20">
        <f t="shared" si="30"/>
        <v>7.3958333333332682E-3</v>
      </c>
      <c r="F255" t="str">
        <f t="shared" si="31"/>
        <v>stacjonarny</v>
      </c>
      <c r="G255" s="23">
        <f t="shared" si="38"/>
        <v>92519</v>
      </c>
      <c r="H255">
        <f t="shared" si="39"/>
        <v>29557</v>
      </c>
      <c r="I255">
        <f t="shared" si="32"/>
        <v>0</v>
      </c>
      <c r="J255">
        <f t="shared" si="33"/>
        <v>0</v>
      </c>
      <c r="K255">
        <f t="shared" si="34"/>
        <v>122076</v>
      </c>
      <c r="L255">
        <f t="shared" si="35"/>
        <v>0</v>
      </c>
      <c r="M255">
        <f t="shared" si="36"/>
        <v>639</v>
      </c>
      <c r="N255">
        <f t="shared" si="37"/>
        <v>0</v>
      </c>
    </row>
    <row r="256" spans="1:14" x14ac:dyDescent="0.35">
      <c r="A256" s="5">
        <v>9593481</v>
      </c>
      <c r="B256" s="6">
        <v>42921</v>
      </c>
      <c r="C256" s="7">
        <v>0.50179398148148147</v>
      </c>
      <c r="D256" s="8">
        <v>0.50248842592592591</v>
      </c>
      <c r="E256" s="20">
        <f t="shared" si="30"/>
        <v>6.9444444444444198E-4</v>
      </c>
      <c r="F256" t="str">
        <f t="shared" si="31"/>
        <v>stacjonarny</v>
      </c>
      <c r="G256" s="23">
        <f t="shared" si="38"/>
        <v>92579</v>
      </c>
      <c r="H256">
        <f t="shared" si="39"/>
        <v>29557</v>
      </c>
      <c r="I256">
        <f t="shared" si="32"/>
        <v>0</v>
      </c>
      <c r="J256">
        <f t="shared" si="33"/>
        <v>0</v>
      </c>
      <c r="K256">
        <f t="shared" si="34"/>
        <v>122136</v>
      </c>
      <c r="L256">
        <f t="shared" si="35"/>
        <v>0</v>
      </c>
      <c r="M256">
        <f t="shared" si="36"/>
        <v>60</v>
      </c>
      <c r="N256">
        <f t="shared" si="37"/>
        <v>0</v>
      </c>
    </row>
    <row r="257" spans="1:14" x14ac:dyDescent="0.35">
      <c r="A257" s="9">
        <v>6657074</v>
      </c>
      <c r="B257" s="10">
        <v>42921</v>
      </c>
      <c r="C257" s="11">
        <v>0.50288194444444445</v>
      </c>
      <c r="D257" s="12">
        <v>0.51248842592592592</v>
      </c>
      <c r="E257" s="20">
        <f t="shared" si="30"/>
        <v>9.6064814814814659E-3</v>
      </c>
      <c r="F257" t="str">
        <f t="shared" si="31"/>
        <v>stacjonarny</v>
      </c>
      <c r="G257" s="23">
        <f t="shared" si="38"/>
        <v>93409</v>
      </c>
      <c r="H257">
        <f t="shared" si="39"/>
        <v>29557</v>
      </c>
      <c r="I257">
        <f t="shared" si="32"/>
        <v>0</v>
      </c>
      <c r="J257">
        <f t="shared" si="33"/>
        <v>0</v>
      </c>
      <c r="K257">
        <f t="shared" si="34"/>
        <v>122966</v>
      </c>
      <c r="L257">
        <f t="shared" si="35"/>
        <v>0</v>
      </c>
      <c r="M257">
        <f t="shared" si="36"/>
        <v>830</v>
      </c>
      <c r="N257">
        <f t="shared" si="37"/>
        <v>0</v>
      </c>
    </row>
    <row r="258" spans="1:14" x14ac:dyDescent="0.35">
      <c r="A258" s="5">
        <v>1488369</v>
      </c>
      <c r="B258" s="6">
        <v>42921</v>
      </c>
      <c r="C258" s="7">
        <v>0.50457175925925923</v>
      </c>
      <c r="D258" s="8">
        <v>0.51533564814814814</v>
      </c>
      <c r="E258" s="20">
        <f t="shared" si="30"/>
        <v>1.0763888888888906E-2</v>
      </c>
      <c r="F258" t="str">
        <f t="shared" si="31"/>
        <v>stacjonarny</v>
      </c>
      <c r="G258" s="23">
        <f t="shared" si="38"/>
        <v>94339</v>
      </c>
      <c r="H258">
        <f t="shared" si="39"/>
        <v>29557</v>
      </c>
      <c r="I258">
        <f t="shared" si="32"/>
        <v>0</v>
      </c>
      <c r="J258">
        <f t="shared" si="33"/>
        <v>0</v>
      </c>
      <c r="K258">
        <f t="shared" si="34"/>
        <v>123896</v>
      </c>
      <c r="L258">
        <f t="shared" si="35"/>
        <v>0</v>
      </c>
      <c r="M258">
        <f t="shared" si="36"/>
        <v>930</v>
      </c>
      <c r="N258">
        <f t="shared" si="37"/>
        <v>0</v>
      </c>
    </row>
    <row r="259" spans="1:14" x14ac:dyDescent="0.35">
      <c r="A259" s="9">
        <v>1797960</v>
      </c>
      <c r="B259" s="10">
        <v>42921</v>
      </c>
      <c r="C259" s="11">
        <v>0.51026620370370368</v>
      </c>
      <c r="D259" s="12">
        <v>0.51557870370370373</v>
      </c>
      <c r="E259" s="20">
        <f t="shared" ref="E259:E322" si="40">D259-C259</f>
        <v>5.3125000000000533E-3</v>
      </c>
      <c r="F259" t="str">
        <f t="shared" ref="F259:F322" si="41">IF(LEN(A259)=7,"stacjonarny",IF(LEN(A259)=8,"komorkowy","zagraniczny"))</f>
        <v>stacjonarny</v>
      </c>
      <c r="G259" s="23">
        <f t="shared" si="38"/>
        <v>94798</v>
      </c>
      <c r="H259">
        <f t="shared" si="39"/>
        <v>29557</v>
      </c>
      <c r="I259">
        <f t="shared" ref="I259:I322" si="42">IF(F259="zagraniczny",MINUTE(E259)*60+SECOND(E259)+HOUR(E259)*3600,0)</f>
        <v>0</v>
      </c>
      <c r="J259">
        <f t="shared" ref="J259:J322" si="43">ROUNDUP(I259/60,0)</f>
        <v>0</v>
      </c>
      <c r="K259">
        <f t="shared" ref="K259:K322" si="44">G259+H259</f>
        <v>124355</v>
      </c>
      <c r="L259">
        <f t="shared" ref="L259:L322" si="45">IF(K259&lt;=48000,1,0)</f>
        <v>0</v>
      </c>
      <c r="M259">
        <f t="shared" ref="M259:M322" si="46">IF(AND(L259=0,F259="stacjonarny"),SECOND(E259)+60*MINUTE(E259),0)</f>
        <v>459</v>
      </c>
      <c r="N259">
        <f t="shared" ref="N259:N322" si="47">IF(AND(L259=0,F259="komorkowy"),SECOND(E259)+60*MINUTE(E259),0)</f>
        <v>0</v>
      </c>
    </row>
    <row r="260" spans="1:14" x14ac:dyDescent="0.35">
      <c r="A260" s="5">
        <v>65923776</v>
      </c>
      <c r="B260" s="6">
        <v>42921</v>
      </c>
      <c r="C260" s="7">
        <v>0.51388888888888884</v>
      </c>
      <c r="D260" s="8">
        <v>0.51673611111111106</v>
      </c>
      <c r="E260" s="20">
        <f t="shared" si="40"/>
        <v>2.8472222222222232E-3</v>
      </c>
      <c r="F260" t="str">
        <f t="shared" si="41"/>
        <v>komorkowy</v>
      </c>
      <c r="G260" s="23">
        <f t="shared" ref="G260:G323" si="48">IF(F260="stacjonarny",MINUTE(E260)*60+SECOND(E260)+G259,G259)</f>
        <v>94798</v>
      </c>
      <c r="H260">
        <f t="shared" ref="H260:H323" si="49">IF(F260="komorkowy",MINUTE(E260)*60+SECOND(E260)+H259,H259)</f>
        <v>29803</v>
      </c>
      <c r="I260">
        <f t="shared" si="42"/>
        <v>0</v>
      </c>
      <c r="J260">
        <f t="shared" si="43"/>
        <v>0</v>
      </c>
      <c r="K260">
        <f t="shared" si="44"/>
        <v>124601</v>
      </c>
      <c r="L260">
        <f t="shared" si="45"/>
        <v>0</v>
      </c>
      <c r="M260">
        <f t="shared" si="46"/>
        <v>0</v>
      </c>
      <c r="N260">
        <f t="shared" si="47"/>
        <v>246</v>
      </c>
    </row>
    <row r="261" spans="1:14" x14ac:dyDescent="0.35">
      <c r="A261" s="9">
        <v>3407358</v>
      </c>
      <c r="B261" s="10">
        <v>42921</v>
      </c>
      <c r="C261" s="11">
        <v>0.51827546296296301</v>
      </c>
      <c r="D261" s="12">
        <v>0.51986111111111111</v>
      </c>
      <c r="E261" s="20">
        <f t="shared" si="40"/>
        <v>1.5856481481481E-3</v>
      </c>
      <c r="F261" t="str">
        <f t="shared" si="41"/>
        <v>stacjonarny</v>
      </c>
      <c r="G261" s="23">
        <f t="shared" si="48"/>
        <v>94935</v>
      </c>
      <c r="H261">
        <f t="shared" si="49"/>
        <v>29803</v>
      </c>
      <c r="I261">
        <f t="shared" si="42"/>
        <v>0</v>
      </c>
      <c r="J261">
        <f t="shared" si="43"/>
        <v>0</v>
      </c>
      <c r="K261">
        <f t="shared" si="44"/>
        <v>124738</v>
      </c>
      <c r="L261">
        <f t="shared" si="45"/>
        <v>0</v>
      </c>
      <c r="M261">
        <f t="shared" si="46"/>
        <v>137</v>
      </c>
      <c r="N261">
        <f t="shared" si="47"/>
        <v>0</v>
      </c>
    </row>
    <row r="262" spans="1:14" x14ac:dyDescent="0.35">
      <c r="A262" s="5">
        <v>1887758</v>
      </c>
      <c r="B262" s="6">
        <v>42921</v>
      </c>
      <c r="C262" s="7">
        <v>0.51884259259259258</v>
      </c>
      <c r="D262" s="8">
        <v>0.52637731481481487</v>
      </c>
      <c r="E262" s="20">
        <f t="shared" si="40"/>
        <v>7.5347222222222898E-3</v>
      </c>
      <c r="F262" t="str">
        <f t="shared" si="41"/>
        <v>stacjonarny</v>
      </c>
      <c r="G262" s="23">
        <f t="shared" si="48"/>
        <v>95586</v>
      </c>
      <c r="H262">
        <f t="shared" si="49"/>
        <v>29803</v>
      </c>
      <c r="I262">
        <f t="shared" si="42"/>
        <v>0</v>
      </c>
      <c r="J262">
        <f t="shared" si="43"/>
        <v>0</v>
      </c>
      <c r="K262">
        <f t="shared" si="44"/>
        <v>125389</v>
      </c>
      <c r="L262">
        <f t="shared" si="45"/>
        <v>0</v>
      </c>
      <c r="M262">
        <f t="shared" si="46"/>
        <v>651</v>
      </c>
      <c r="N262">
        <f t="shared" si="47"/>
        <v>0</v>
      </c>
    </row>
    <row r="263" spans="1:14" x14ac:dyDescent="0.35">
      <c r="A263" s="9">
        <v>9983997</v>
      </c>
      <c r="B263" s="10">
        <v>42921</v>
      </c>
      <c r="C263" s="11">
        <v>0.5242013888888889</v>
      </c>
      <c r="D263" s="12">
        <v>0.53452546296296299</v>
      </c>
      <c r="E263" s="20">
        <f t="shared" si="40"/>
        <v>1.0324074074074097E-2</v>
      </c>
      <c r="F263" t="str">
        <f t="shared" si="41"/>
        <v>stacjonarny</v>
      </c>
      <c r="G263" s="23">
        <f t="shared" si="48"/>
        <v>96478</v>
      </c>
      <c r="H263">
        <f t="shared" si="49"/>
        <v>29803</v>
      </c>
      <c r="I263">
        <f t="shared" si="42"/>
        <v>0</v>
      </c>
      <c r="J263">
        <f t="shared" si="43"/>
        <v>0</v>
      </c>
      <c r="K263">
        <f t="shared" si="44"/>
        <v>126281</v>
      </c>
      <c r="L263">
        <f t="shared" si="45"/>
        <v>0</v>
      </c>
      <c r="M263">
        <f t="shared" si="46"/>
        <v>892</v>
      </c>
      <c r="N263">
        <f t="shared" si="47"/>
        <v>0</v>
      </c>
    </row>
    <row r="264" spans="1:14" x14ac:dyDescent="0.35">
      <c r="A264" s="5">
        <v>3539762</v>
      </c>
      <c r="B264" s="6">
        <v>42921</v>
      </c>
      <c r="C264" s="7">
        <v>0.5250231481481481</v>
      </c>
      <c r="D264" s="8">
        <v>0.5264699074074074</v>
      </c>
      <c r="E264" s="20">
        <f t="shared" si="40"/>
        <v>1.4467592592593004E-3</v>
      </c>
      <c r="F264" t="str">
        <f t="shared" si="41"/>
        <v>stacjonarny</v>
      </c>
      <c r="G264" s="23">
        <f t="shared" si="48"/>
        <v>96603</v>
      </c>
      <c r="H264">
        <f t="shared" si="49"/>
        <v>29803</v>
      </c>
      <c r="I264">
        <f t="shared" si="42"/>
        <v>0</v>
      </c>
      <c r="J264">
        <f t="shared" si="43"/>
        <v>0</v>
      </c>
      <c r="K264">
        <f t="shared" si="44"/>
        <v>126406</v>
      </c>
      <c r="L264">
        <f t="shared" si="45"/>
        <v>0</v>
      </c>
      <c r="M264">
        <f t="shared" si="46"/>
        <v>125</v>
      </c>
      <c r="N264">
        <f t="shared" si="47"/>
        <v>0</v>
      </c>
    </row>
    <row r="265" spans="1:14" x14ac:dyDescent="0.35">
      <c r="A265" s="9">
        <v>58067439</v>
      </c>
      <c r="B265" s="10">
        <v>42921</v>
      </c>
      <c r="C265" s="11">
        <v>0.52607638888888886</v>
      </c>
      <c r="D265" s="12">
        <v>0.52662037037037035</v>
      </c>
      <c r="E265" s="20">
        <f t="shared" si="40"/>
        <v>5.439814814814925E-4</v>
      </c>
      <c r="F265" t="str">
        <f t="shared" si="41"/>
        <v>komorkowy</v>
      </c>
      <c r="G265" s="23">
        <f t="shared" si="48"/>
        <v>96603</v>
      </c>
      <c r="H265">
        <f t="shared" si="49"/>
        <v>29850</v>
      </c>
      <c r="I265">
        <f t="shared" si="42"/>
        <v>0</v>
      </c>
      <c r="J265">
        <f t="shared" si="43"/>
        <v>0</v>
      </c>
      <c r="K265">
        <f t="shared" si="44"/>
        <v>126453</v>
      </c>
      <c r="L265">
        <f t="shared" si="45"/>
        <v>0</v>
      </c>
      <c r="M265">
        <f t="shared" si="46"/>
        <v>0</v>
      </c>
      <c r="N265">
        <f t="shared" si="47"/>
        <v>47</v>
      </c>
    </row>
    <row r="266" spans="1:14" x14ac:dyDescent="0.35">
      <c r="A266" s="5">
        <v>6760428735</v>
      </c>
      <c r="B266" s="6">
        <v>42921</v>
      </c>
      <c r="C266" s="7">
        <v>0.52811342592592592</v>
      </c>
      <c r="D266" s="8">
        <v>0.53195601851851848</v>
      </c>
      <c r="E266" s="20">
        <f t="shared" si="40"/>
        <v>3.8425925925925641E-3</v>
      </c>
      <c r="F266" t="str">
        <f t="shared" si="41"/>
        <v>zagraniczny</v>
      </c>
      <c r="G266" s="23">
        <f t="shared" si="48"/>
        <v>96603</v>
      </c>
      <c r="H266">
        <f t="shared" si="49"/>
        <v>29850</v>
      </c>
      <c r="I266">
        <f t="shared" si="42"/>
        <v>332</v>
      </c>
      <c r="J266">
        <f t="shared" si="43"/>
        <v>6</v>
      </c>
      <c r="K266">
        <f t="shared" si="44"/>
        <v>126453</v>
      </c>
      <c r="L266">
        <f t="shared" si="45"/>
        <v>0</v>
      </c>
      <c r="M266">
        <f t="shared" si="46"/>
        <v>0</v>
      </c>
      <c r="N266">
        <f t="shared" si="47"/>
        <v>0</v>
      </c>
    </row>
    <row r="267" spans="1:14" x14ac:dyDescent="0.35">
      <c r="A267" s="9">
        <v>9803006</v>
      </c>
      <c r="B267" s="10">
        <v>42921</v>
      </c>
      <c r="C267" s="11">
        <v>0.53233796296296299</v>
      </c>
      <c r="D267" s="12">
        <v>0.54116898148148151</v>
      </c>
      <c r="E267" s="20">
        <f t="shared" si="40"/>
        <v>8.8310185185185297E-3</v>
      </c>
      <c r="F267" t="str">
        <f t="shared" si="41"/>
        <v>stacjonarny</v>
      </c>
      <c r="G267" s="23">
        <f t="shared" si="48"/>
        <v>97366</v>
      </c>
      <c r="H267">
        <f t="shared" si="49"/>
        <v>29850</v>
      </c>
      <c r="I267">
        <f t="shared" si="42"/>
        <v>0</v>
      </c>
      <c r="J267">
        <f t="shared" si="43"/>
        <v>0</v>
      </c>
      <c r="K267">
        <f t="shared" si="44"/>
        <v>127216</v>
      </c>
      <c r="L267">
        <f t="shared" si="45"/>
        <v>0</v>
      </c>
      <c r="M267">
        <f t="shared" si="46"/>
        <v>763</v>
      </c>
      <c r="N267">
        <f t="shared" si="47"/>
        <v>0</v>
      </c>
    </row>
    <row r="268" spans="1:14" x14ac:dyDescent="0.35">
      <c r="A268" s="5">
        <v>5312081</v>
      </c>
      <c r="B268" s="6">
        <v>42921</v>
      </c>
      <c r="C268" s="7">
        <v>0.53372685185185187</v>
      </c>
      <c r="D268" s="8">
        <v>0.53991898148148143</v>
      </c>
      <c r="E268" s="20">
        <f t="shared" si="40"/>
        <v>6.1921296296295614E-3</v>
      </c>
      <c r="F268" t="str">
        <f t="shared" si="41"/>
        <v>stacjonarny</v>
      </c>
      <c r="G268" s="23">
        <f t="shared" si="48"/>
        <v>97901</v>
      </c>
      <c r="H268">
        <f t="shared" si="49"/>
        <v>29850</v>
      </c>
      <c r="I268">
        <f t="shared" si="42"/>
        <v>0</v>
      </c>
      <c r="J268">
        <f t="shared" si="43"/>
        <v>0</v>
      </c>
      <c r="K268">
        <f t="shared" si="44"/>
        <v>127751</v>
      </c>
      <c r="L268">
        <f t="shared" si="45"/>
        <v>0</v>
      </c>
      <c r="M268">
        <f t="shared" si="46"/>
        <v>535</v>
      </c>
      <c r="N268">
        <f t="shared" si="47"/>
        <v>0</v>
      </c>
    </row>
    <row r="269" spans="1:14" x14ac:dyDescent="0.35">
      <c r="A269" s="9">
        <v>7114306</v>
      </c>
      <c r="B269" s="10">
        <v>42921</v>
      </c>
      <c r="C269" s="11">
        <v>0.53607638888888887</v>
      </c>
      <c r="D269" s="12">
        <v>0.54104166666666664</v>
      </c>
      <c r="E269" s="20">
        <f t="shared" si="40"/>
        <v>4.9652777777777768E-3</v>
      </c>
      <c r="F269" t="str">
        <f t="shared" si="41"/>
        <v>stacjonarny</v>
      </c>
      <c r="G269" s="23">
        <f t="shared" si="48"/>
        <v>98330</v>
      </c>
      <c r="H269">
        <f t="shared" si="49"/>
        <v>29850</v>
      </c>
      <c r="I269">
        <f t="shared" si="42"/>
        <v>0</v>
      </c>
      <c r="J269">
        <f t="shared" si="43"/>
        <v>0</v>
      </c>
      <c r="K269">
        <f t="shared" si="44"/>
        <v>128180</v>
      </c>
      <c r="L269">
        <f t="shared" si="45"/>
        <v>0</v>
      </c>
      <c r="M269">
        <f t="shared" si="46"/>
        <v>429</v>
      </c>
      <c r="N269">
        <f t="shared" si="47"/>
        <v>0</v>
      </c>
    </row>
    <row r="270" spans="1:14" x14ac:dyDescent="0.35">
      <c r="A270" s="5">
        <v>7594764</v>
      </c>
      <c r="B270" s="6">
        <v>42921</v>
      </c>
      <c r="C270" s="7">
        <v>0.53850694444444447</v>
      </c>
      <c r="D270" s="8">
        <v>0.53944444444444439</v>
      </c>
      <c r="E270" s="20">
        <f t="shared" si="40"/>
        <v>9.374999999999245E-4</v>
      </c>
      <c r="F270" t="str">
        <f t="shared" si="41"/>
        <v>stacjonarny</v>
      </c>
      <c r="G270" s="23">
        <f t="shared" si="48"/>
        <v>98411</v>
      </c>
      <c r="H270">
        <f t="shared" si="49"/>
        <v>29850</v>
      </c>
      <c r="I270">
        <f t="shared" si="42"/>
        <v>0</v>
      </c>
      <c r="J270">
        <f t="shared" si="43"/>
        <v>0</v>
      </c>
      <c r="K270">
        <f t="shared" si="44"/>
        <v>128261</v>
      </c>
      <c r="L270">
        <f t="shared" si="45"/>
        <v>0</v>
      </c>
      <c r="M270">
        <f t="shared" si="46"/>
        <v>81</v>
      </c>
      <c r="N270">
        <f t="shared" si="47"/>
        <v>0</v>
      </c>
    </row>
    <row r="271" spans="1:14" x14ac:dyDescent="0.35">
      <c r="A271" s="9">
        <v>3004571</v>
      </c>
      <c r="B271" s="10">
        <v>42921</v>
      </c>
      <c r="C271" s="11">
        <v>0.54194444444444445</v>
      </c>
      <c r="D271" s="12">
        <v>0.54666666666666663</v>
      </c>
      <c r="E271" s="20">
        <f t="shared" si="40"/>
        <v>4.7222222222221832E-3</v>
      </c>
      <c r="F271" t="str">
        <f t="shared" si="41"/>
        <v>stacjonarny</v>
      </c>
      <c r="G271" s="23">
        <f t="shared" si="48"/>
        <v>98819</v>
      </c>
      <c r="H271">
        <f t="shared" si="49"/>
        <v>29850</v>
      </c>
      <c r="I271">
        <f t="shared" si="42"/>
        <v>0</v>
      </c>
      <c r="J271">
        <f t="shared" si="43"/>
        <v>0</v>
      </c>
      <c r="K271">
        <f t="shared" si="44"/>
        <v>128669</v>
      </c>
      <c r="L271">
        <f t="shared" si="45"/>
        <v>0</v>
      </c>
      <c r="M271">
        <f t="shared" si="46"/>
        <v>408</v>
      </c>
      <c r="N271">
        <f t="shared" si="47"/>
        <v>0</v>
      </c>
    </row>
    <row r="272" spans="1:14" x14ac:dyDescent="0.35">
      <c r="A272" s="5">
        <v>6689117</v>
      </c>
      <c r="B272" s="6">
        <v>42921</v>
      </c>
      <c r="C272" s="7">
        <v>0.54609953703703706</v>
      </c>
      <c r="D272" s="8">
        <v>0.55435185185185187</v>
      </c>
      <c r="E272" s="20">
        <f t="shared" si="40"/>
        <v>8.2523148148148096E-3</v>
      </c>
      <c r="F272" t="str">
        <f t="shared" si="41"/>
        <v>stacjonarny</v>
      </c>
      <c r="G272" s="23">
        <f t="shared" si="48"/>
        <v>99532</v>
      </c>
      <c r="H272">
        <f t="shared" si="49"/>
        <v>29850</v>
      </c>
      <c r="I272">
        <f t="shared" si="42"/>
        <v>0</v>
      </c>
      <c r="J272">
        <f t="shared" si="43"/>
        <v>0</v>
      </c>
      <c r="K272">
        <f t="shared" si="44"/>
        <v>129382</v>
      </c>
      <c r="L272">
        <f t="shared" si="45"/>
        <v>0</v>
      </c>
      <c r="M272">
        <f t="shared" si="46"/>
        <v>713</v>
      </c>
      <c r="N272">
        <f t="shared" si="47"/>
        <v>0</v>
      </c>
    </row>
    <row r="273" spans="1:14" x14ac:dyDescent="0.35">
      <c r="A273" s="9">
        <v>1081610</v>
      </c>
      <c r="B273" s="10">
        <v>42921</v>
      </c>
      <c r="C273" s="11">
        <v>0.54809027777777775</v>
      </c>
      <c r="D273" s="12">
        <v>0.55568287037037034</v>
      </c>
      <c r="E273" s="20">
        <f t="shared" si="40"/>
        <v>7.5925925925925952E-3</v>
      </c>
      <c r="F273" t="str">
        <f t="shared" si="41"/>
        <v>stacjonarny</v>
      </c>
      <c r="G273" s="23">
        <f t="shared" si="48"/>
        <v>100188</v>
      </c>
      <c r="H273">
        <f t="shared" si="49"/>
        <v>29850</v>
      </c>
      <c r="I273">
        <f t="shared" si="42"/>
        <v>0</v>
      </c>
      <c r="J273">
        <f t="shared" si="43"/>
        <v>0</v>
      </c>
      <c r="K273">
        <f t="shared" si="44"/>
        <v>130038</v>
      </c>
      <c r="L273">
        <f t="shared" si="45"/>
        <v>0</v>
      </c>
      <c r="M273">
        <f t="shared" si="46"/>
        <v>656</v>
      </c>
      <c r="N273">
        <f t="shared" si="47"/>
        <v>0</v>
      </c>
    </row>
    <row r="274" spans="1:14" x14ac:dyDescent="0.35">
      <c r="A274" s="5">
        <v>20220216</v>
      </c>
      <c r="B274" s="6">
        <v>42921</v>
      </c>
      <c r="C274" s="7">
        <v>0.54857638888888893</v>
      </c>
      <c r="D274" s="8">
        <v>0.55879629629629635</v>
      </c>
      <c r="E274" s="20">
        <f t="shared" si="40"/>
        <v>1.0219907407407414E-2</v>
      </c>
      <c r="F274" t="str">
        <f t="shared" si="41"/>
        <v>komorkowy</v>
      </c>
      <c r="G274" s="23">
        <f t="shared" si="48"/>
        <v>100188</v>
      </c>
      <c r="H274">
        <f t="shared" si="49"/>
        <v>30733</v>
      </c>
      <c r="I274">
        <f t="shared" si="42"/>
        <v>0</v>
      </c>
      <c r="J274">
        <f t="shared" si="43"/>
        <v>0</v>
      </c>
      <c r="K274">
        <f t="shared" si="44"/>
        <v>130921</v>
      </c>
      <c r="L274">
        <f t="shared" si="45"/>
        <v>0</v>
      </c>
      <c r="M274">
        <f t="shared" si="46"/>
        <v>0</v>
      </c>
      <c r="N274">
        <f t="shared" si="47"/>
        <v>883</v>
      </c>
    </row>
    <row r="275" spans="1:14" x14ac:dyDescent="0.35">
      <c r="A275" s="9">
        <v>79890857</v>
      </c>
      <c r="B275" s="10">
        <v>42921</v>
      </c>
      <c r="C275" s="11">
        <v>0.54859953703703701</v>
      </c>
      <c r="D275" s="12">
        <v>0.55990740740740741</v>
      </c>
      <c r="E275" s="20">
        <f t="shared" si="40"/>
        <v>1.1307870370370399E-2</v>
      </c>
      <c r="F275" t="str">
        <f t="shared" si="41"/>
        <v>komorkowy</v>
      </c>
      <c r="G275" s="23">
        <f t="shared" si="48"/>
        <v>100188</v>
      </c>
      <c r="H275">
        <f t="shared" si="49"/>
        <v>31710</v>
      </c>
      <c r="I275">
        <f t="shared" si="42"/>
        <v>0</v>
      </c>
      <c r="J275">
        <f t="shared" si="43"/>
        <v>0</v>
      </c>
      <c r="K275">
        <f t="shared" si="44"/>
        <v>131898</v>
      </c>
      <c r="L275">
        <f t="shared" si="45"/>
        <v>0</v>
      </c>
      <c r="M275">
        <f t="shared" si="46"/>
        <v>0</v>
      </c>
      <c r="N275">
        <f t="shared" si="47"/>
        <v>977</v>
      </c>
    </row>
    <row r="276" spans="1:14" x14ac:dyDescent="0.35">
      <c r="A276" s="5">
        <v>4600571814</v>
      </c>
      <c r="B276" s="6">
        <v>42921</v>
      </c>
      <c r="C276" s="7">
        <v>0.55166666666666664</v>
      </c>
      <c r="D276" s="8">
        <v>0.55865740740740744</v>
      </c>
      <c r="E276" s="20">
        <f t="shared" si="40"/>
        <v>6.9907407407407973E-3</v>
      </c>
      <c r="F276" t="str">
        <f t="shared" si="41"/>
        <v>zagraniczny</v>
      </c>
      <c r="G276" s="23">
        <f t="shared" si="48"/>
        <v>100188</v>
      </c>
      <c r="H276">
        <f t="shared" si="49"/>
        <v>31710</v>
      </c>
      <c r="I276">
        <f t="shared" si="42"/>
        <v>604</v>
      </c>
      <c r="J276">
        <f t="shared" si="43"/>
        <v>11</v>
      </c>
      <c r="K276">
        <f t="shared" si="44"/>
        <v>131898</v>
      </c>
      <c r="L276">
        <f t="shared" si="45"/>
        <v>0</v>
      </c>
      <c r="M276">
        <f t="shared" si="46"/>
        <v>0</v>
      </c>
      <c r="N276">
        <f t="shared" si="47"/>
        <v>0</v>
      </c>
    </row>
    <row r="277" spans="1:14" x14ac:dyDescent="0.35">
      <c r="A277" s="9">
        <v>1579531</v>
      </c>
      <c r="B277" s="10">
        <v>42921</v>
      </c>
      <c r="C277" s="11">
        <v>0.55266203703703709</v>
      </c>
      <c r="D277" s="12">
        <v>0.56405092592592587</v>
      </c>
      <c r="E277" s="20">
        <f t="shared" si="40"/>
        <v>1.1388888888888782E-2</v>
      </c>
      <c r="F277" t="str">
        <f t="shared" si="41"/>
        <v>stacjonarny</v>
      </c>
      <c r="G277" s="23">
        <f t="shared" si="48"/>
        <v>101172</v>
      </c>
      <c r="H277">
        <f t="shared" si="49"/>
        <v>31710</v>
      </c>
      <c r="I277">
        <f t="shared" si="42"/>
        <v>0</v>
      </c>
      <c r="J277">
        <f t="shared" si="43"/>
        <v>0</v>
      </c>
      <c r="K277">
        <f t="shared" si="44"/>
        <v>132882</v>
      </c>
      <c r="L277">
        <f t="shared" si="45"/>
        <v>0</v>
      </c>
      <c r="M277">
        <f t="shared" si="46"/>
        <v>984</v>
      </c>
      <c r="N277">
        <f t="shared" si="47"/>
        <v>0</v>
      </c>
    </row>
    <row r="278" spans="1:14" x14ac:dyDescent="0.35">
      <c r="A278" s="5">
        <v>7110850</v>
      </c>
      <c r="B278" s="6">
        <v>42921</v>
      </c>
      <c r="C278" s="7">
        <v>0.55269675925925921</v>
      </c>
      <c r="D278" s="8">
        <v>0.56355324074074076</v>
      </c>
      <c r="E278" s="20">
        <f t="shared" si="40"/>
        <v>1.085648148148155E-2</v>
      </c>
      <c r="F278" t="str">
        <f t="shared" si="41"/>
        <v>stacjonarny</v>
      </c>
      <c r="G278" s="23">
        <f t="shared" si="48"/>
        <v>102110</v>
      </c>
      <c r="H278">
        <f t="shared" si="49"/>
        <v>31710</v>
      </c>
      <c r="I278">
        <f t="shared" si="42"/>
        <v>0</v>
      </c>
      <c r="J278">
        <f t="shared" si="43"/>
        <v>0</v>
      </c>
      <c r="K278">
        <f t="shared" si="44"/>
        <v>133820</v>
      </c>
      <c r="L278">
        <f t="shared" si="45"/>
        <v>0</v>
      </c>
      <c r="M278">
        <f t="shared" si="46"/>
        <v>938</v>
      </c>
      <c r="N278">
        <f t="shared" si="47"/>
        <v>0</v>
      </c>
    </row>
    <row r="279" spans="1:14" x14ac:dyDescent="0.35">
      <c r="A279" s="9">
        <v>18036364</v>
      </c>
      <c r="B279" s="10">
        <v>42921</v>
      </c>
      <c r="C279" s="11">
        <v>0.55847222222222226</v>
      </c>
      <c r="D279" s="12">
        <v>0.56166666666666665</v>
      </c>
      <c r="E279" s="20">
        <f t="shared" si="40"/>
        <v>3.1944444444443887E-3</v>
      </c>
      <c r="F279" t="str">
        <f t="shared" si="41"/>
        <v>komorkowy</v>
      </c>
      <c r="G279" s="23">
        <f t="shared" si="48"/>
        <v>102110</v>
      </c>
      <c r="H279">
        <f t="shared" si="49"/>
        <v>31986</v>
      </c>
      <c r="I279">
        <f t="shared" si="42"/>
        <v>0</v>
      </c>
      <c r="J279">
        <f t="shared" si="43"/>
        <v>0</v>
      </c>
      <c r="K279">
        <f t="shared" si="44"/>
        <v>134096</v>
      </c>
      <c r="L279">
        <f t="shared" si="45"/>
        <v>0</v>
      </c>
      <c r="M279">
        <f t="shared" si="46"/>
        <v>0</v>
      </c>
      <c r="N279">
        <f t="shared" si="47"/>
        <v>276</v>
      </c>
    </row>
    <row r="280" spans="1:14" x14ac:dyDescent="0.35">
      <c r="A280" s="5">
        <v>6712006</v>
      </c>
      <c r="B280" s="6">
        <v>42921</v>
      </c>
      <c r="C280" s="7">
        <v>0.56106481481481485</v>
      </c>
      <c r="D280" s="8">
        <v>0.56716435185185188</v>
      </c>
      <c r="E280" s="20">
        <f t="shared" si="40"/>
        <v>6.0995370370370283E-3</v>
      </c>
      <c r="F280" t="str">
        <f t="shared" si="41"/>
        <v>stacjonarny</v>
      </c>
      <c r="G280" s="23">
        <f t="shared" si="48"/>
        <v>102637</v>
      </c>
      <c r="H280">
        <f t="shared" si="49"/>
        <v>31986</v>
      </c>
      <c r="I280">
        <f t="shared" si="42"/>
        <v>0</v>
      </c>
      <c r="J280">
        <f t="shared" si="43"/>
        <v>0</v>
      </c>
      <c r="K280">
        <f t="shared" si="44"/>
        <v>134623</v>
      </c>
      <c r="L280">
        <f t="shared" si="45"/>
        <v>0</v>
      </c>
      <c r="M280">
        <f t="shared" si="46"/>
        <v>527</v>
      </c>
      <c r="N280">
        <f t="shared" si="47"/>
        <v>0</v>
      </c>
    </row>
    <row r="281" spans="1:14" x14ac:dyDescent="0.35">
      <c r="A281" s="9">
        <v>5646830</v>
      </c>
      <c r="B281" s="10">
        <v>42921</v>
      </c>
      <c r="C281" s="11">
        <v>0.56361111111111106</v>
      </c>
      <c r="D281" s="12">
        <v>0.57469907407407406</v>
      </c>
      <c r="E281" s="20">
        <f t="shared" si="40"/>
        <v>1.1087962962962994E-2</v>
      </c>
      <c r="F281" t="str">
        <f t="shared" si="41"/>
        <v>stacjonarny</v>
      </c>
      <c r="G281" s="23">
        <f t="shared" si="48"/>
        <v>103595</v>
      </c>
      <c r="H281">
        <f t="shared" si="49"/>
        <v>31986</v>
      </c>
      <c r="I281">
        <f t="shared" si="42"/>
        <v>0</v>
      </c>
      <c r="J281">
        <f t="shared" si="43"/>
        <v>0</v>
      </c>
      <c r="K281">
        <f t="shared" si="44"/>
        <v>135581</v>
      </c>
      <c r="L281">
        <f t="shared" si="45"/>
        <v>0</v>
      </c>
      <c r="M281">
        <f t="shared" si="46"/>
        <v>958</v>
      </c>
      <c r="N281">
        <f t="shared" si="47"/>
        <v>0</v>
      </c>
    </row>
    <row r="282" spans="1:14" x14ac:dyDescent="0.35">
      <c r="A282" s="5">
        <v>38535407</v>
      </c>
      <c r="B282" s="6">
        <v>42921</v>
      </c>
      <c r="C282" s="7">
        <v>0.56568287037037035</v>
      </c>
      <c r="D282" s="8">
        <v>0.56981481481481477</v>
      </c>
      <c r="E282" s="20">
        <f t="shared" si="40"/>
        <v>4.1319444444444242E-3</v>
      </c>
      <c r="F282" t="str">
        <f t="shared" si="41"/>
        <v>komorkowy</v>
      </c>
      <c r="G282" s="23">
        <f t="shared" si="48"/>
        <v>103595</v>
      </c>
      <c r="H282">
        <f t="shared" si="49"/>
        <v>32343</v>
      </c>
      <c r="I282">
        <f t="shared" si="42"/>
        <v>0</v>
      </c>
      <c r="J282">
        <f t="shared" si="43"/>
        <v>0</v>
      </c>
      <c r="K282">
        <f t="shared" si="44"/>
        <v>135938</v>
      </c>
      <c r="L282">
        <f t="shared" si="45"/>
        <v>0</v>
      </c>
      <c r="M282">
        <f t="shared" si="46"/>
        <v>0</v>
      </c>
      <c r="N282">
        <f t="shared" si="47"/>
        <v>357</v>
      </c>
    </row>
    <row r="283" spans="1:14" x14ac:dyDescent="0.35">
      <c r="A283" s="9">
        <v>66871690</v>
      </c>
      <c r="B283" s="10">
        <v>42921</v>
      </c>
      <c r="C283" s="11">
        <v>0.56703703703703701</v>
      </c>
      <c r="D283" s="12">
        <v>0.57664351851851847</v>
      </c>
      <c r="E283" s="20">
        <f t="shared" si="40"/>
        <v>9.6064814814814659E-3</v>
      </c>
      <c r="F283" t="str">
        <f t="shared" si="41"/>
        <v>komorkowy</v>
      </c>
      <c r="G283" s="23">
        <f t="shared" si="48"/>
        <v>103595</v>
      </c>
      <c r="H283">
        <f t="shared" si="49"/>
        <v>33173</v>
      </c>
      <c r="I283">
        <f t="shared" si="42"/>
        <v>0</v>
      </c>
      <c r="J283">
        <f t="shared" si="43"/>
        <v>0</v>
      </c>
      <c r="K283">
        <f t="shared" si="44"/>
        <v>136768</v>
      </c>
      <c r="L283">
        <f t="shared" si="45"/>
        <v>0</v>
      </c>
      <c r="M283">
        <f t="shared" si="46"/>
        <v>0</v>
      </c>
      <c r="N283">
        <f t="shared" si="47"/>
        <v>830</v>
      </c>
    </row>
    <row r="284" spans="1:14" x14ac:dyDescent="0.35">
      <c r="A284" s="5">
        <v>7085993</v>
      </c>
      <c r="B284" s="6">
        <v>42921</v>
      </c>
      <c r="C284" s="7">
        <v>0.57192129629629629</v>
      </c>
      <c r="D284" s="8">
        <v>0.57506944444444441</v>
      </c>
      <c r="E284" s="20">
        <f t="shared" si="40"/>
        <v>3.1481481481481222E-3</v>
      </c>
      <c r="F284" t="str">
        <f t="shared" si="41"/>
        <v>stacjonarny</v>
      </c>
      <c r="G284" s="23">
        <f t="shared" si="48"/>
        <v>103867</v>
      </c>
      <c r="H284">
        <f t="shared" si="49"/>
        <v>33173</v>
      </c>
      <c r="I284">
        <f t="shared" si="42"/>
        <v>0</v>
      </c>
      <c r="J284">
        <f t="shared" si="43"/>
        <v>0</v>
      </c>
      <c r="K284">
        <f t="shared" si="44"/>
        <v>137040</v>
      </c>
      <c r="L284">
        <f t="shared" si="45"/>
        <v>0</v>
      </c>
      <c r="M284">
        <f t="shared" si="46"/>
        <v>272</v>
      </c>
      <c r="N284">
        <f t="shared" si="47"/>
        <v>0</v>
      </c>
    </row>
    <row r="285" spans="1:14" x14ac:dyDescent="0.35">
      <c r="A285" s="9">
        <v>2890720</v>
      </c>
      <c r="B285" s="10">
        <v>42921</v>
      </c>
      <c r="C285" s="11">
        <v>0.57589120370370372</v>
      </c>
      <c r="D285" s="12">
        <v>0.57648148148148148</v>
      </c>
      <c r="E285" s="20">
        <f t="shared" si="40"/>
        <v>5.9027777777775903E-4</v>
      </c>
      <c r="F285" t="str">
        <f t="shared" si="41"/>
        <v>stacjonarny</v>
      </c>
      <c r="G285" s="23">
        <f t="shared" si="48"/>
        <v>103918</v>
      </c>
      <c r="H285">
        <f t="shared" si="49"/>
        <v>33173</v>
      </c>
      <c r="I285">
        <f t="shared" si="42"/>
        <v>0</v>
      </c>
      <c r="J285">
        <f t="shared" si="43"/>
        <v>0</v>
      </c>
      <c r="K285">
        <f t="shared" si="44"/>
        <v>137091</v>
      </c>
      <c r="L285">
        <f t="shared" si="45"/>
        <v>0</v>
      </c>
      <c r="M285">
        <f t="shared" si="46"/>
        <v>51</v>
      </c>
      <c r="N285">
        <f t="shared" si="47"/>
        <v>0</v>
      </c>
    </row>
    <row r="286" spans="1:14" x14ac:dyDescent="0.35">
      <c r="A286" s="5">
        <v>8375968</v>
      </c>
      <c r="B286" s="6">
        <v>42921</v>
      </c>
      <c r="C286" s="7">
        <v>0.5786458333333333</v>
      </c>
      <c r="D286" s="8">
        <v>0.57954861111111111</v>
      </c>
      <c r="E286" s="20">
        <f t="shared" si="40"/>
        <v>9.0277777777780788E-4</v>
      </c>
      <c r="F286" t="str">
        <f t="shared" si="41"/>
        <v>stacjonarny</v>
      </c>
      <c r="G286" s="23">
        <f t="shared" si="48"/>
        <v>103996</v>
      </c>
      <c r="H286">
        <f t="shared" si="49"/>
        <v>33173</v>
      </c>
      <c r="I286">
        <f t="shared" si="42"/>
        <v>0</v>
      </c>
      <c r="J286">
        <f t="shared" si="43"/>
        <v>0</v>
      </c>
      <c r="K286">
        <f t="shared" si="44"/>
        <v>137169</v>
      </c>
      <c r="L286">
        <f t="shared" si="45"/>
        <v>0</v>
      </c>
      <c r="M286">
        <f t="shared" si="46"/>
        <v>78</v>
      </c>
      <c r="N286">
        <f t="shared" si="47"/>
        <v>0</v>
      </c>
    </row>
    <row r="287" spans="1:14" x14ac:dyDescent="0.35">
      <c r="A287" s="9">
        <v>1119740</v>
      </c>
      <c r="B287" s="10">
        <v>42921</v>
      </c>
      <c r="C287" s="11">
        <v>0.57876157407407403</v>
      </c>
      <c r="D287" s="12">
        <v>0.5811574074074074</v>
      </c>
      <c r="E287" s="20">
        <f t="shared" si="40"/>
        <v>2.3958333333333748E-3</v>
      </c>
      <c r="F287" t="str">
        <f t="shared" si="41"/>
        <v>stacjonarny</v>
      </c>
      <c r="G287" s="23">
        <f t="shared" si="48"/>
        <v>104203</v>
      </c>
      <c r="H287">
        <f t="shared" si="49"/>
        <v>33173</v>
      </c>
      <c r="I287">
        <f t="shared" si="42"/>
        <v>0</v>
      </c>
      <c r="J287">
        <f t="shared" si="43"/>
        <v>0</v>
      </c>
      <c r="K287">
        <f t="shared" si="44"/>
        <v>137376</v>
      </c>
      <c r="L287">
        <f t="shared" si="45"/>
        <v>0</v>
      </c>
      <c r="M287">
        <f t="shared" si="46"/>
        <v>207</v>
      </c>
      <c r="N287">
        <f t="shared" si="47"/>
        <v>0</v>
      </c>
    </row>
    <row r="288" spans="1:14" x14ac:dyDescent="0.35">
      <c r="A288" s="5">
        <v>3796958</v>
      </c>
      <c r="B288" s="6">
        <v>42921</v>
      </c>
      <c r="C288" s="7">
        <v>0.57901620370370366</v>
      </c>
      <c r="D288" s="8">
        <v>0.58940972222222221</v>
      </c>
      <c r="E288" s="20">
        <f t="shared" si="40"/>
        <v>1.0393518518518552E-2</v>
      </c>
      <c r="F288" t="str">
        <f t="shared" si="41"/>
        <v>stacjonarny</v>
      </c>
      <c r="G288" s="23">
        <f t="shared" si="48"/>
        <v>105101</v>
      </c>
      <c r="H288">
        <f t="shared" si="49"/>
        <v>33173</v>
      </c>
      <c r="I288">
        <f t="shared" si="42"/>
        <v>0</v>
      </c>
      <c r="J288">
        <f t="shared" si="43"/>
        <v>0</v>
      </c>
      <c r="K288">
        <f t="shared" si="44"/>
        <v>138274</v>
      </c>
      <c r="L288">
        <f t="shared" si="45"/>
        <v>0</v>
      </c>
      <c r="M288">
        <f t="shared" si="46"/>
        <v>898</v>
      </c>
      <c r="N288">
        <f t="shared" si="47"/>
        <v>0</v>
      </c>
    </row>
    <row r="289" spans="1:14" x14ac:dyDescent="0.35">
      <c r="A289" s="9">
        <v>8010775</v>
      </c>
      <c r="B289" s="10">
        <v>42921</v>
      </c>
      <c r="C289" s="11">
        <v>0.58275462962962965</v>
      </c>
      <c r="D289" s="12">
        <v>0.5852546296296296</v>
      </c>
      <c r="E289" s="20">
        <f t="shared" si="40"/>
        <v>2.4999999999999467E-3</v>
      </c>
      <c r="F289" t="str">
        <f t="shared" si="41"/>
        <v>stacjonarny</v>
      </c>
      <c r="G289" s="23">
        <f t="shared" si="48"/>
        <v>105317</v>
      </c>
      <c r="H289">
        <f t="shared" si="49"/>
        <v>33173</v>
      </c>
      <c r="I289">
        <f t="shared" si="42"/>
        <v>0</v>
      </c>
      <c r="J289">
        <f t="shared" si="43"/>
        <v>0</v>
      </c>
      <c r="K289">
        <f t="shared" si="44"/>
        <v>138490</v>
      </c>
      <c r="L289">
        <f t="shared" si="45"/>
        <v>0</v>
      </c>
      <c r="M289">
        <f t="shared" si="46"/>
        <v>216</v>
      </c>
      <c r="N289">
        <f t="shared" si="47"/>
        <v>0</v>
      </c>
    </row>
    <row r="290" spans="1:14" x14ac:dyDescent="0.35">
      <c r="A290" s="5">
        <v>46023878</v>
      </c>
      <c r="B290" s="6">
        <v>42921</v>
      </c>
      <c r="C290" s="7">
        <v>0.58829861111111115</v>
      </c>
      <c r="D290" s="8">
        <v>0.59641203703703705</v>
      </c>
      <c r="E290" s="20">
        <f t="shared" si="40"/>
        <v>8.113425925925899E-3</v>
      </c>
      <c r="F290" t="str">
        <f t="shared" si="41"/>
        <v>komorkowy</v>
      </c>
      <c r="G290" s="23">
        <f t="shared" si="48"/>
        <v>105317</v>
      </c>
      <c r="H290">
        <f t="shared" si="49"/>
        <v>33874</v>
      </c>
      <c r="I290">
        <f t="shared" si="42"/>
        <v>0</v>
      </c>
      <c r="J290">
        <f t="shared" si="43"/>
        <v>0</v>
      </c>
      <c r="K290">
        <f t="shared" si="44"/>
        <v>139191</v>
      </c>
      <c r="L290">
        <f t="shared" si="45"/>
        <v>0</v>
      </c>
      <c r="M290">
        <f t="shared" si="46"/>
        <v>0</v>
      </c>
      <c r="N290">
        <f t="shared" si="47"/>
        <v>701</v>
      </c>
    </row>
    <row r="291" spans="1:14" x14ac:dyDescent="0.35">
      <c r="A291" s="9">
        <v>3379007610</v>
      </c>
      <c r="B291" s="10">
        <v>42921</v>
      </c>
      <c r="C291" s="11">
        <v>0.59281249999999996</v>
      </c>
      <c r="D291" s="12">
        <v>0.59871527777777778</v>
      </c>
      <c r="E291" s="20">
        <f t="shared" si="40"/>
        <v>5.9027777777778123E-3</v>
      </c>
      <c r="F291" t="str">
        <f t="shared" si="41"/>
        <v>zagraniczny</v>
      </c>
      <c r="G291" s="23">
        <f t="shared" si="48"/>
        <v>105317</v>
      </c>
      <c r="H291">
        <f t="shared" si="49"/>
        <v>33874</v>
      </c>
      <c r="I291">
        <f t="shared" si="42"/>
        <v>510</v>
      </c>
      <c r="J291">
        <f t="shared" si="43"/>
        <v>9</v>
      </c>
      <c r="K291">
        <f t="shared" si="44"/>
        <v>139191</v>
      </c>
      <c r="L291">
        <f t="shared" si="45"/>
        <v>0</v>
      </c>
      <c r="M291">
        <f t="shared" si="46"/>
        <v>0</v>
      </c>
      <c r="N291">
        <f t="shared" si="47"/>
        <v>0</v>
      </c>
    </row>
    <row r="292" spans="1:14" x14ac:dyDescent="0.35">
      <c r="A292" s="5">
        <v>2890519255</v>
      </c>
      <c r="B292" s="6">
        <v>42921</v>
      </c>
      <c r="C292" s="7">
        <v>0.59557870370370369</v>
      </c>
      <c r="D292" s="8">
        <v>0.59930555555555554</v>
      </c>
      <c r="E292" s="20">
        <f t="shared" si="40"/>
        <v>3.7268518518518423E-3</v>
      </c>
      <c r="F292" t="str">
        <f t="shared" si="41"/>
        <v>zagraniczny</v>
      </c>
      <c r="G292" s="23">
        <f t="shared" si="48"/>
        <v>105317</v>
      </c>
      <c r="H292">
        <f t="shared" si="49"/>
        <v>33874</v>
      </c>
      <c r="I292">
        <f t="shared" si="42"/>
        <v>322</v>
      </c>
      <c r="J292">
        <f t="shared" si="43"/>
        <v>6</v>
      </c>
      <c r="K292">
        <f t="shared" si="44"/>
        <v>139191</v>
      </c>
      <c r="L292">
        <f t="shared" si="45"/>
        <v>0</v>
      </c>
      <c r="M292">
        <f t="shared" si="46"/>
        <v>0</v>
      </c>
      <c r="N292">
        <f t="shared" si="47"/>
        <v>0</v>
      </c>
    </row>
    <row r="293" spans="1:14" x14ac:dyDescent="0.35">
      <c r="A293" s="9">
        <v>27858818</v>
      </c>
      <c r="B293" s="10">
        <v>42921</v>
      </c>
      <c r="C293" s="11">
        <v>0.59718749999999998</v>
      </c>
      <c r="D293" s="12">
        <v>0.60711805555555554</v>
      </c>
      <c r="E293" s="20">
        <f t="shared" si="40"/>
        <v>9.9305555555555536E-3</v>
      </c>
      <c r="F293" t="str">
        <f t="shared" si="41"/>
        <v>komorkowy</v>
      </c>
      <c r="G293" s="23">
        <f t="shared" si="48"/>
        <v>105317</v>
      </c>
      <c r="H293">
        <f t="shared" si="49"/>
        <v>34732</v>
      </c>
      <c r="I293">
        <f t="shared" si="42"/>
        <v>0</v>
      </c>
      <c r="J293">
        <f t="shared" si="43"/>
        <v>0</v>
      </c>
      <c r="K293">
        <f t="shared" si="44"/>
        <v>140049</v>
      </c>
      <c r="L293">
        <f t="shared" si="45"/>
        <v>0</v>
      </c>
      <c r="M293">
        <f t="shared" si="46"/>
        <v>0</v>
      </c>
      <c r="N293">
        <f t="shared" si="47"/>
        <v>858</v>
      </c>
    </row>
    <row r="294" spans="1:14" x14ac:dyDescent="0.35">
      <c r="A294" s="5">
        <v>5076649</v>
      </c>
      <c r="B294" s="6">
        <v>42921</v>
      </c>
      <c r="C294" s="7">
        <v>0.59803240740740737</v>
      </c>
      <c r="D294" s="8">
        <v>0.60223379629629625</v>
      </c>
      <c r="E294" s="20">
        <f t="shared" si="40"/>
        <v>4.2013888888888795E-3</v>
      </c>
      <c r="F294" t="str">
        <f t="shared" si="41"/>
        <v>stacjonarny</v>
      </c>
      <c r="G294" s="23">
        <f t="shared" si="48"/>
        <v>105680</v>
      </c>
      <c r="H294">
        <f t="shared" si="49"/>
        <v>34732</v>
      </c>
      <c r="I294">
        <f t="shared" si="42"/>
        <v>0</v>
      </c>
      <c r="J294">
        <f t="shared" si="43"/>
        <v>0</v>
      </c>
      <c r="K294">
        <f t="shared" si="44"/>
        <v>140412</v>
      </c>
      <c r="L294">
        <f t="shared" si="45"/>
        <v>0</v>
      </c>
      <c r="M294">
        <f t="shared" si="46"/>
        <v>363</v>
      </c>
      <c r="N294">
        <f t="shared" si="47"/>
        <v>0</v>
      </c>
    </row>
    <row r="295" spans="1:14" x14ac:dyDescent="0.35">
      <c r="A295" s="9">
        <v>70367818</v>
      </c>
      <c r="B295" s="10">
        <v>42921</v>
      </c>
      <c r="C295" s="11">
        <v>0.5982291666666667</v>
      </c>
      <c r="D295" s="12">
        <v>0.60077546296296291</v>
      </c>
      <c r="E295" s="20">
        <f t="shared" si="40"/>
        <v>2.5462962962962132E-3</v>
      </c>
      <c r="F295" t="str">
        <f t="shared" si="41"/>
        <v>komorkowy</v>
      </c>
      <c r="G295" s="23">
        <f t="shared" si="48"/>
        <v>105680</v>
      </c>
      <c r="H295">
        <f t="shared" si="49"/>
        <v>34952</v>
      </c>
      <c r="I295">
        <f t="shared" si="42"/>
        <v>0</v>
      </c>
      <c r="J295">
        <f t="shared" si="43"/>
        <v>0</v>
      </c>
      <c r="K295">
        <f t="shared" si="44"/>
        <v>140632</v>
      </c>
      <c r="L295">
        <f t="shared" si="45"/>
        <v>0</v>
      </c>
      <c r="M295">
        <f t="shared" si="46"/>
        <v>0</v>
      </c>
      <c r="N295">
        <f t="shared" si="47"/>
        <v>220</v>
      </c>
    </row>
    <row r="296" spans="1:14" x14ac:dyDescent="0.35">
      <c r="A296" s="5">
        <v>9788998</v>
      </c>
      <c r="B296" s="6">
        <v>42921</v>
      </c>
      <c r="C296" s="7">
        <v>0.60070601851851857</v>
      </c>
      <c r="D296" s="8">
        <v>0.6075694444444445</v>
      </c>
      <c r="E296" s="20">
        <f t="shared" si="40"/>
        <v>6.8634259259259256E-3</v>
      </c>
      <c r="F296" t="str">
        <f t="shared" si="41"/>
        <v>stacjonarny</v>
      </c>
      <c r="G296" s="23">
        <f t="shared" si="48"/>
        <v>106273</v>
      </c>
      <c r="H296">
        <f t="shared" si="49"/>
        <v>34952</v>
      </c>
      <c r="I296">
        <f t="shared" si="42"/>
        <v>0</v>
      </c>
      <c r="J296">
        <f t="shared" si="43"/>
        <v>0</v>
      </c>
      <c r="K296">
        <f t="shared" si="44"/>
        <v>141225</v>
      </c>
      <c r="L296">
        <f t="shared" si="45"/>
        <v>0</v>
      </c>
      <c r="M296">
        <f t="shared" si="46"/>
        <v>593</v>
      </c>
      <c r="N296">
        <f t="shared" si="47"/>
        <v>0</v>
      </c>
    </row>
    <row r="297" spans="1:14" x14ac:dyDescent="0.35">
      <c r="A297" s="9">
        <v>1951101</v>
      </c>
      <c r="B297" s="10">
        <v>42921</v>
      </c>
      <c r="C297" s="11">
        <v>0.60379629629629628</v>
      </c>
      <c r="D297" s="12">
        <v>0.6139930555555555</v>
      </c>
      <c r="E297" s="20">
        <f t="shared" si="40"/>
        <v>1.0196759259259225E-2</v>
      </c>
      <c r="F297" t="str">
        <f t="shared" si="41"/>
        <v>stacjonarny</v>
      </c>
      <c r="G297" s="23">
        <f t="shared" si="48"/>
        <v>107154</v>
      </c>
      <c r="H297">
        <f t="shared" si="49"/>
        <v>34952</v>
      </c>
      <c r="I297">
        <f t="shared" si="42"/>
        <v>0</v>
      </c>
      <c r="J297">
        <f t="shared" si="43"/>
        <v>0</v>
      </c>
      <c r="K297">
        <f t="shared" si="44"/>
        <v>142106</v>
      </c>
      <c r="L297">
        <f t="shared" si="45"/>
        <v>0</v>
      </c>
      <c r="M297">
        <f t="shared" si="46"/>
        <v>881</v>
      </c>
      <c r="N297">
        <f t="shared" si="47"/>
        <v>0</v>
      </c>
    </row>
    <row r="298" spans="1:14" x14ac:dyDescent="0.35">
      <c r="A298" s="5">
        <v>4546455</v>
      </c>
      <c r="B298" s="6">
        <v>42921</v>
      </c>
      <c r="C298" s="7">
        <v>0.6040740740740741</v>
      </c>
      <c r="D298" s="8">
        <v>0.61181712962962964</v>
      </c>
      <c r="E298" s="20">
        <f t="shared" si="40"/>
        <v>7.7430555555555447E-3</v>
      </c>
      <c r="F298" t="str">
        <f t="shared" si="41"/>
        <v>stacjonarny</v>
      </c>
      <c r="G298" s="23">
        <f t="shared" si="48"/>
        <v>107823</v>
      </c>
      <c r="H298">
        <f t="shared" si="49"/>
        <v>34952</v>
      </c>
      <c r="I298">
        <f t="shared" si="42"/>
        <v>0</v>
      </c>
      <c r="J298">
        <f t="shared" si="43"/>
        <v>0</v>
      </c>
      <c r="K298">
        <f t="shared" si="44"/>
        <v>142775</v>
      </c>
      <c r="L298">
        <f t="shared" si="45"/>
        <v>0</v>
      </c>
      <c r="M298">
        <f t="shared" si="46"/>
        <v>669</v>
      </c>
      <c r="N298">
        <f t="shared" si="47"/>
        <v>0</v>
      </c>
    </row>
    <row r="299" spans="1:14" x14ac:dyDescent="0.35">
      <c r="A299" s="9">
        <v>12687991</v>
      </c>
      <c r="B299" s="10">
        <v>42921</v>
      </c>
      <c r="C299" s="11">
        <v>0.60660879629629627</v>
      </c>
      <c r="D299" s="12">
        <v>0.6086921296296296</v>
      </c>
      <c r="E299" s="20">
        <f t="shared" si="40"/>
        <v>2.0833333333333259E-3</v>
      </c>
      <c r="F299" t="str">
        <f t="shared" si="41"/>
        <v>komorkowy</v>
      </c>
      <c r="G299" s="23">
        <f t="shared" si="48"/>
        <v>107823</v>
      </c>
      <c r="H299">
        <f t="shared" si="49"/>
        <v>35132</v>
      </c>
      <c r="I299">
        <f t="shared" si="42"/>
        <v>0</v>
      </c>
      <c r="J299">
        <f t="shared" si="43"/>
        <v>0</v>
      </c>
      <c r="K299">
        <f t="shared" si="44"/>
        <v>142955</v>
      </c>
      <c r="L299">
        <f t="shared" si="45"/>
        <v>0</v>
      </c>
      <c r="M299">
        <f t="shared" si="46"/>
        <v>0</v>
      </c>
      <c r="N299">
        <f t="shared" si="47"/>
        <v>180</v>
      </c>
    </row>
    <row r="300" spans="1:14" x14ac:dyDescent="0.35">
      <c r="A300" s="5">
        <v>4328583</v>
      </c>
      <c r="B300" s="6">
        <v>42921</v>
      </c>
      <c r="C300" s="7">
        <v>0.60927083333333332</v>
      </c>
      <c r="D300" s="8">
        <v>0.61127314814814815</v>
      </c>
      <c r="E300" s="20">
        <f t="shared" si="40"/>
        <v>2.0023148148148318E-3</v>
      </c>
      <c r="F300" t="str">
        <f t="shared" si="41"/>
        <v>stacjonarny</v>
      </c>
      <c r="G300" s="23">
        <f t="shared" si="48"/>
        <v>107996</v>
      </c>
      <c r="H300">
        <f t="shared" si="49"/>
        <v>35132</v>
      </c>
      <c r="I300">
        <f t="shared" si="42"/>
        <v>0</v>
      </c>
      <c r="J300">
        <f t="shared" si="43"/>
        <v>0</v>
      </c>
      <c r="K300">
        <f t="shared" si="44"/>
        <v>143128</v>
      </c>
      <c r="L300">
        <f t="shared" si="45"/>
        <v>0</v>
      </c>
      <c r="M300">
        <f t="shared" si="46"/>
        <v>173</v>
      </c>
      <c r="N300">
        <f t="shared" si="47"/>
        <v>0</v>
      </c>
    </row>
    <row r="301" spans="1:14" x14ac:dyDescent="0.35">
      <c r="A301" s="9">
        <v>2184116</v>
      </c>
      <c r="B301" s="10">
        <v>42921</v>
      </c>
      <c r="C301" s="11">
        <v>0.61251157407407408</v>
      </c>
      <c r="D301" s="12">
        <v>0.61998842592592596</v>
      </c>
      <c r="E301" s="20">
        <f t="shared" si="40"/>
        <v>7.4768518518518734E-3</v>
      </c>
      <c r="F301" t="str">
        <f t="shared" si="41"/>
        <v>stacjonarny</v>
      </c>
      <c r="G301" s="23">
        <f t="shared" si="48"/>
        <v>108642</v>
      </c>
      <c r="H301">
        <f t="shared" si="49"/>
        <v>35132</v>
      </c>
      <c r="I301">
        <f t="shared" si="42"/>
        <v>0</v>
      </c>
      <c r="J301">
        <f t="shared" si="43"/>
        <v>0</v>
      </c>
      <c r="K301">
        <f t="shared" si="44"/>
        <v>143774</v>
      </c>
      <c r="L301">
        <f t="shared" si="45"/>
        <v>0</v>
      </c>
      <c r="M301">
        <f t="shared" si="46"/>
        <v>646</v>
      </c>
      <c r="N301">
        <f t="shared" si="47"/>
        <v>0</v>
      </c>
    </row>
    <row r="302" spans="1:14" x14ac:dyDescent="0.35">
      <c r="A302" s="5">
        <v>24724570</v>
      </c>
      <c r="B302" s="6">
        <v>42921</v>
      </c>
      <c r="C302" s="7">
        <v>0.61430555555555555</v>
      </c>
      <c r="D302" s="8">
        <v>0.61843749999999997</v>
      </c>
      <c r="E302" s="20">
        <f t="shared" si="40"/>
        <v>4.1319444444444242E-3</v>
      </c>
      <c r="F302" t="str">
        <f t="shared" si="41"/>
        <v>komorkowy</v>
      </c>
      <c r="G302" s="23">
        <f t="shared" si="48"/>
        <v>108642</v>
      </c>
      <c r="H302">
        <f t="shared" si="49"/>
        <v>35489</v>
      </c>
      <c r="I302">
        <f t="shared" si="42"/>
        <v>0</v>
      </c>
      <c r="J302">
        <f t="shared" si="43"/>
        <v>0</v>
      </c>
      <c r="K302">
        <f t="shared" si="44"/>
        <v>144131</v>
      </c>
      <c r="L302">
        <f t="shared" si="45"/>
        <v>0</v>
      </c>
      <c r="M302">
        <f t="shared" si="46"/>
        <v>0</v>
      </c>
      <c r="N302">
        <f t="shared" si="47"/>
        <v>357</v>
      </c>
    </row>
    <row r="303" spans="1:14" x14ac:dyDescent="0.35">
      <c r="A303" s="9">
        <v>4843076</v>
      </c>
      <c r="B303" s="10">
        <v>42921</v>
      </c>
      <c r="C303" s="11">
        <v>0.61957175925925922</v>
      </c>
      <c r="D303" s="12">
        <v>0.62241898148148145</v>
      </c>
      <c r="E303" s="20">
        <f t="shared" si="40"/>
        <v>2.8472222222222232E-3</v>
      </c>
      <c r="F303" t="str">
        <f t="shared" si="41"/>
        <v>stacjonarny</v>
      </c>
      <c r="G303" s="23">
        <f t="shared" si="48"/>
        <v>108888</v>
      </c>
      <c r="H303">
        <f t="shared" si="49"/>
        <v>35489</v>
      </c>
      <c r="I303">
        <f t="shared" si="42"/>
        <v>0</v>
      </c>
      <c r="J303">
        <f t="shared" si="43"/>
        <v>0</v>
      </c>
      <c r="K303">
        <f t="shared" si="44"/>
        <v>144377</v>
      </c>
      <c r="L303">
        <f t="shared" si="45"/>
        <v>0</v>
      </c>
      <c r="M303">
        <f t="shared" si="46"/>
        <v>246</v>
      </c>
      <c r="N303">
        <f t="shared" si="47"/>
        <v>0</v>
      </c>
    </row>
    <row r="304" spans="1:14" x14ac:dyDescent="0.35">
      <c r="A304" s="5">
        <v>7795911</v>
      </c>
      <c r="B304" s="6">
        <v>42921</v>
      </c>
      <c r="C304" s="7">
        <v>0.62047453703703703</v>
      </c>
      <c r="D304" s="8">
        <v>0.62715277777777778</v>
      </c>
      <c r="E304" s="20">
        <f t="shared" si="40"/>
        <v>6.6782407407407485E-3</v>
      </c>
      <c r="F304" t="str">
        <f t="shared" si="41"/>
        <v>stacjonarny</v>
      </c>
      <c r="G304" s="23">
        <f t="shared" si="48"/>
        <v>109465</v>
      </c>
      <c r="H304">
        <f t="shared" si="49"/>
        <v>35489</v>
      </c>
      <c r="I304">
        <f t="shared" si="42"/>
        <v>0</v>
      </c>
      <c r="J304">
        <f t="shared" si="43"/>
        <v>0</v>
      </c>
      <c r="K304">
        <f t="shared" si="44"/>
        <v>144954</v>
      </c>
      <c r="L304">
        <f t="shared" si="45"/>
        <v>0</v>
      </c>
      <c r="M304">
        <f t="shared" si="46"/>
        <v>577</v>
      </c>
      <c r="N304">
        <f t="shared" si="47"/>
        <v>0</v>
      </c>
    </row>
    <row r="305" spans="1:14" x14ac:dyDescent="0.35">
      <c r="A305" s="9">
        <v>42722517</v>
      </c>
      <c r="B305" s="10">
        <v>42921</v>
      </c>
      <c r="C305" s="11">
        <v>0.62094907407407407</v>
      </c>
      <c r="D305" s="12">
        <v>0.62687499999999996</v>
      </c>
      <c r="E305" s="20">
        <f t="shared" si="40"/>
        <v>5.9259259259258901E-3</v>
      </c>
      <c r="F305" t="str">
        <f t="shared" si="41"/>
        <v>komorkowy</v>
      </c>
      <c r="G305" s="23">
        <f t="shared" si="48"/>
        <v>109465</v>
      </c>
      <c r="H305">
        <f t="shared" si="49"/>
        <v>36001</v>
      </c>
      <c r="I305">
        <f t="shared" si="42"/>
        <v>0</v>
      </c>
      <c r="J305">
        <f t="shared" si="43"/>
        <v>0</v>
      </c>
      <c r="K305">
        <f t="shared" si="44"/>
        <v>145466</v>
      </c>
      <c r="L305">
        <f t="shared" si="45"/>
        <v>0</v>
      </c>
      <c r="M305">
        <f t="shared" si="46"/>
        <v>0</v>
      </c>
      <c r="N305">
        <f t="shared" si="47"/>
        <v>512</v>
      </c>
    </row>
    <row r="306" spans="1:14" x14ac:dyDescent="0.35">
      <c r="A306" s="5">
        <v>9697189</v>
      </c>
      <c r="B306" s="6">
        <v>42921</v>
      </c>
      <c r="C306" s="7">
        <v>0.62251157407407409</v>
      </c>
      <c r="D306" s="8">
        <v>0.6234143518518519</v>
      </c>
      <c r="E306" s="20">
        <f t="shared" si="40"/>
        <v>9.0277777777780788E-4</v>
      </c>
      <c r="F306" t="str">
        <f t="shared" si="41"/>
        <v>stacjonarny</v>
      </c>
      <c r="G306" s="23">
        <f t="shared" si="48"/>
        <v>109543</v>
      </c>
      <c r="H306">
        <f t="shared" si="49"/>
        <v>36001</v>
      </c>
      <c r="I306">
        <f t="shared" si="42"/>
        <v>0</v>
      </c>
      <c r="J306">
        <f t="shared" si="43"/>
        <v>0</v>
      </c>
      <c r="K306">
        <f t="shared" si="44"/>
        <v>145544</v>
      </c>
      <c r="L306">
        <f t="shared" si="45"/>
        <v>0</v>
      </c>
      <c r="M306">
        <f t="shared" si="46"/>
        <v>78</v>
      </c>
      <c r="N306">
        <f t="shared" si="47"/>
        <v>0</v>
      </c>
    </row>
    <row r="307" spans="1:14" x14ac:dyDescent="0.35">
      <c r="A307" s="9">
        <v>4471203</v>
      </c>
      <c r="B307" s="10">
        <v>42921</v>
      </c>
      <c r="C307" s="11">
        <v>0.62403935185185189</v>
      </c>
      <c r="D307" s="12">
        <v>0.62936342592592598</v>
      </c>
      <c r="E307" s="20">
        <f t="shared" si="40"/>
        <v>5.3240740740740922E-3</v>
      </c>
      <c r="F307" t="str">
        <f t="shared" si="41"/>
        <v>stacjonarny</v>
      </c>
      <c r="G307" s="23">
        <f t="shared" si="48"/>
        <v>110003</v>
      </c>
      <c r="H307">
        <f t="shared" si="49"/>
        <v>36001</v>
      </c>
      <c r="I307">
        <f t="shared" si="42"/>
        <v>0</v>
      </c>
      <c r="J307">
        <f t="shared" si="43"/>
        <v>0</v>
      </c>
      <c r="K307">
        <f t="shared" si="44"/>
        <v>146004</v>
      </c>
      <c r="L307">
        <f t="shared" si="45"/>
        <v>0</v>
      </c>
      <c r="M307">
        <f t="shared" si="46"/>
        <v>460</v>
      </c>
      <c r="N307">
        <f t="shared" si="47"/>
        <v>0</v>
      </c>
    </row>
    <row r="308" spans="1:14" x14ac:dyDescent="0.35">
      <c r="A308" s="5">
        <v>1439114</v>
      </c>
      <c r="B308" s="6">
        <v>42921</v>
      </c>
      <c r="C308" s="7">
        <v>0.62589120370370366</v>
      </c>
      <c r="D308" s="8">
        <v>0.62774305555555554</v>
      </c>
      <c r="E308" s="20">
        <f t="shared" si="40"/>
        <v>1.8518518518518823E-3</v>
      </c>
      <c r="F308" t="str">
        <f t="shared" si="41"/>
        <v>stacjonarny</v>
      </c>
      <c r="G308" s="23">
        <f t="shared" si="48"/>
        <v>110163</v>
      </c>
      <c r="H308">
        <f t="shared" si="49"/>
        <v>36001</v>
      </c>
      <c r="I308">
        <f t="shared" si="42"/>
        <v>0</v>
      </c>
      <c r="J308">
        <f t="shared" si="43"/>
        <v>0</v>
      </c>
      <c r="K308">
        <f t="shared" si="44"/>
        <v>146164</v>
      </c>
      <c r="L308">
        <f t="shared" si="45"/>
        <v>0</v>
      </c>
      <c r="M308">
        <f t="shared" si="46"/>
        <v>160</v>
      </c>
      <c r="N308">
        <f t="shared" si="47"/>
        <v>0</v>
      </c>
    </row>
    <row r="309" spans="1:14" x14ac:dyDescent="0.35">
      <c r="A309" s="9">
        <v>5822881</v>
      </c>
      <c r="B309" s="10">
        <v>42922</v>
      </c>
      <c r="C309" s="11">
        <v>0.33555555555555555</v>
      </c>
      <c r="D309" s="12">
        <v>0.34137731481481481</v>
      </c>
      <c r="E309" s="20">
        <f t="shared" si="40"/>
        <v>5.8217592592592626E-3</v>
      </c>
      <c r="F309" t="str">
        <f t="shared" si="41"/>
        <v>stacjonarny</v>
      </c>
      <c r="G309" s="23">
        <f t="shared" si="48"/>
        <v>110666</v>
      </c>
      <c r="H309">
        <f t="shared" si="49"/>
        <v>36001</v>
      </c>
      <c r="I309">
        <f t="shared" si="42"/>
        <v>0</v>
      </c>
      <c r="J309">
        <f t="shared" si="43"/>
        <v>0</v>
      </c>
      <c r="K309">
        <f t="shared" si="44"/>
        <v>146667</v>
      </c>
      <c r="L309">
        <f t="shared" si="45"/>
        <v>0</v>
      </c>
      <c r="M309">
        <f t="shared" si="46"/>
        <v>503</v>
      </c>
      <c r="N309">
        <f t="shared" si="47"/>
        <v>0</v>
      </c>
    </row>
    <row r="310" spans="1:14" x14ac:dyDescent="0.35">
      <c r="A310" s="5">
        <v>6027120</v>
      </c>
      <c r="B310" s="6">
        <v>42922</v>
      </c>
      <c r="C310" s="7">
        <v>0.33814814814814814</v>
      </c>
      <c r="D310" s="8">
        <v>0.34232638888888889</v>
      </c>
      <c r="E310" s="20">
        <f t="shared" si="40"/>
        <v>4.1782407407407463E-3</v>
      </c>
      <c r="F310" t="str">
        <f t="shared" si="41"/>
        <v>stacjonarny</v>
      </c>
      <c r="G310" s="23">
        <f t="shared" si="48"/>
        <v>111027</v>
      </c>
      <c r="H310">
        <f t="shared" si="49"/>
        <v>36001</v>
      </c>
      <c r="I310">
        <f t="shared" si="42"/>
        <v>0</v>
      </c>
      <c r="J310">
        <f t="shared" si="43"/>
        <v>0</v>
      </c>
      <c r="K310">
        <f t="shared" si="44"/>
        <v>147028</v>
      </c>
      <c r="L310">
        <f t="shared" si="45"/>
        <v>0</v>
      </c>
      <c r="M310">
        <f t="shared" si="46"/>
        <v>361</v>
      </c>
      <c r="N310">
        <f t="shared" si="47"/>
        <v>0</v>
      </c>
    </row>
    <row r="311" spans="1:14" x14ac:dyDescent="0.35">
      <c r="A311" s="9">
        <v>2790475</v>
      </c>
      <c r="B311" s="10">
        <v>42922</v>
      </c>
      <c r="C311" s="11">
        <v>0.34349537037037037</v>
      </c>
      <c r="D311" s="12">
        <v>0.34965277777777776</v>
      </c>
      <c r="E311" s="20">
        <f t="shared" si="40"/>
        <v>6.1574074074073892E-3</v>
      </c>
      <c r="F311" t="str">
        <f t="shared" si="41"/>
        <v>stacjonarny</v>
      </c>
      <c r="G311" s="23">
        <f t="shared" si="48"/>
        <v>111559</v>
      </c>
      <c r="H311">
        <f t="shared" si="49"/>
        <v>36001</v>
      </c>
      <c r="I311">
        <f t="shared" si="42"/>
        <v>0</v>
      </c>
      <c r="J311">
        <f t="shared" si="43"/>
        <v>0</v>
      </c>
      <c r="K311">
        <f t="shared" si="44"/>
        <v>147560</v>
      </c>
      <c r="L311">
        <f t="shared" si="45"/>
        <v>0</v>
      </c>
      <c r="M311">
        <f t="shared" si="46"/>
        <v>532</v>
      </c>
      <c r="N311">
        <f t="shared" si="47"/>
        <v>0</v>
      </c>
    </row>
    <row r="312" spans="1:14" x14ac:dyDescent="0.35">
      <c r="A312" s="5">
        <v>30893038</v>
      </c>
      <c r="B312" s="6">
        <v>42922</v>
      </c>
      <c r="C312" s="7">
        <v>0.34708333333333335</v>
      </c>
      <c r="D312" s="8">
        <v>0.34912037037037036</v>
      </c>
      <c r="E312" s="20">
        <f t="shared" si="40"/>
        <v>2.0370370370370039E-3</v>
      </c>
      <c r="F312" t="str">
        <f t="shared" si="41"/>
        <v>komorkowy</v>
      </c>
      <c r="G312" s="23">
        <f t="shared" si="48"/>
        <v>111559</v>
      </c>
      <c r="H312">
        <f t="shared" si="49"/>
        <v>36177</v>
      </c>
      <c r="I312">
        <f t="shared" si="42"/>
        <v>0</v>
      </c>
      <c r="J312">
        <f t="shared" si="43"/>
        <v>0</v>
      </c>
      <c r="K312">
        <f t="shared" si="44"/>
        <v>147736</v>
      </c>
      <c r="L312">
        <f t="shared" si="45"/>
        <v>0</v>
      </c>
      <c r="M312">
        <f t="shared" si="46"/>
        <v>0</v>
      </c>
      <c r="N312">
        <f t="shared" si="47"/>
        <v>176</v>
      </c>
    </row>
    <row r="313" spans="1:14" x14ac:dyDescent="0.35">
      <c r="A313" s="9">
        <v>5076649</v>
      </c>
      <c r="B313" s="10">
        <v>42922</v>
      </c>
      <c r="C313" s="11">
        <v>0.35163194444444446</v>
      </c>
      <c r="D313" s="12">
        <v>0.35670138888888892</v>
      </c>
      <c r="E313" s="20">
        <f t="shared" si="40"/>
        <v>5.0694444444444597E-3</v>
      </c>
      <c r="F313" t="str">
        <f t="shared" si="41"/>
        <v>stacjonarny</v>
      </c>
      <c r="G313" s="23">
        <f t="shared" si="48"/>
        <v>111997</v>
      </c>
      <c r="H313">
        <f t="shared" si="49"/>
        <v>36177</v>
      </c>
      <c r="I313">
        <f t="shared" si="42"/>
        <v>0</v>
      </c>
      <c r="J313">
        <f t="shared" si="43"/>
        <v>0</v>
      </c>
      <c r="K313">
        <f t="shared" si="44"/>
        <v>148174</v>
      </c>
      <c r="L313">
        <f t="shared" si="45"/>
        <v>0</v>
      </c>
      <c r="M313">
        <f t="shared" si="46"/>
        <v>438</v>
      </c>
      <c r="N313">
        <f t="shared" si="47"/>
        <v>0</v>
      </c>
    </row>
    <row r="314" spans="1:14" x14ac:dyDescent="0.35">
      <c r="A314" s="5">
        <v>5013602</v>
      </c>
      <c r="B314" s="6">
        <v>42922</v>
      </c>
      <c r="C314" s="7">
        <v>0.35531249999999998</v>
      </c>
      <c r="D314" s="8">
        <v>0.3630902777777778</v>
      </c>
      <c r="E314" s="20">
        <f t="shared" si="40"/>
        <v>7.7777777777778279E-3</v>
      </c>
      <c r="F314" t="str">
        <f t="shared" si="41"/>
        <v>stacjonarny</v>
      </c>
      <c r="G314" s="23">
        <f t="shared" si="48"/>
        <v>112669</v>
      </c>
      <c r="H314">
        <f t="shared" si="49"/>
        <v>36177</v>
      </c>
      <c r="I314">
        <f t="shared" si="42"/>
        <v>0</v>
      </c>
      <c r="J314">
        <f t="shared" si="43"/>
        <v>0</v>
      </c>
      <c r="K314">
        <f t="shared" si="44"/>
        <v>148846</v>
      </c>
      <c r="L314">
        <f t="shared" si="45"/>
        <v>0</v>
      </c>
      <c r="M314">
        <f t="shared" si="46"/>
        <v>672</v>
      </c>
      <c r="N314">
        <f t="shared" si="47"/>
        <v>0</v>
      </c>
    </row>
    <row r="315" spans="1:14" x14ac:dyDescent="0.35">
      <c r="A315" s="9">
        <v>5696056</v>
      </c>
      <c r="B315" s="10">
        <v>42922</v>
      </c>
      <c r="C315" s="11">
        <v>0.36097222222222225</v>
      </c>
      <c r="D315" s="12">
        <v>0.36534722222222221</v>
      </c>
      <c r="E315" s="20">
        <f t="shared" si="40"/>
        <v>4.3749999999999623E-3</v>
      </c>
      <c r="F315" t="str">
        <f t="shared" si="41"/>
        <v>stacjonarny</v>
      </c>
      <c r="G315" s="23">
        <f t="shared" si="48"/>
        <v>113047</v>
      </c>
      <c r="H315">
        <f t="shared" si="49"/>
        <v>36177</v>
      </c>
      <c r="I315">
        <f t="shared" si="42"/>
        <v>0</v>
      </c>
      <c r="J315">
        <f t="shared" si="43"/>
        <v>0</v>
      </c>
      <c r="K315">
        <f t="shared" si="44"/>
        <v>149224</v>
      </c>
      <c r="L315">
        <f t="shared" si="45"/>
        <v>0</v>
      </c>
      <c r="M315">
        <f t="shared" si="46"/>
        <v>378</v>
      </c>
      <c r="N315">
        <f t="shared" si="47"/>
        <v>0</v>
      </c>
    </row>
    <row r="316" spans="1:14" x14ac:dyDescent="0.35">
      <c r="A316" s="5">
        <v>11274735</v>
      </c>
      <c r="B316" s="6">
        <v>42922</v>
      </c>
      <c r="C316" s="7">
        <v>0.36618055555555556</v>
      </c>
      <c r="D316" s="8">
        <v>0.37038194444444444</v>
      </c>
      <c r="E316" s="20">
        <f t="shared" si="40"/>
        <v>4.2013888888888795E-3</v>
      </c>
      <c r="F316" t="str">
        <f t="shared" si="41"/>
        <v>komorkowy</v>
      </c>
      <c r="G316" s="23">
        <f t="shared" si="48"/>
        <v>113047</v>
      </c>
      <c r="H316">
        <f t="shared" si="49"/>
        <v>36540</v>
      </c>
      <c r="I316">
        <f t="shared" si="42"/>
        <v>0</v>
      </c>
      <c r="J316">
        <f t="shared" si="43"/>
        <v>0</v>
      </c>
      <c r="K316">
        <f t="shared" si="44"/>
        <v>149587</v>
      </c>
      <c r="L316">
        <f t="shared" si="45"/>
        <v>0</v>
      </c>
      <c r="M316">
        <f t="shared" si="46"/>
        <v>0</v>
      </c>
      <c r="N316">
        <f t="shared" si="47"/>
        <v>363</v>
      </c>
    </row>
    <row r="317" spans="1:14" x14ac:dyDescent="0.35">
      <c r="A317" s="9">
        <v>1158631</v>
      </c>
      <c r="B317" s="10">
        <v>42922</v>
      </c>
      <c r="C317" s="11">
        <v>0.3664351851851852</v>
      </c>
      <c r="D317" s="12">
        <v>0.37646990740740743</v>
      </c>
      <c r="E317" s="20">
        <f t="shared" si="40"/>
        <v>1.0034722222222237E-2</v>
      </c>
      <c r="F317" t="str">
        <f t="shared" si="41"/>
        <v>stacjonarny</v>
      </c>
      <c r="G317" s="23">
        <f t="shared" si="48"/>
        <v>113914</v>
      </c>
      <c r="H317">
        <f t="shared" si="49"/>
        <v>36540</v>
      </c>
      <c r="I317">
        <f t="shared" si="42"/>
        <v>0</v>
      </c>
      <c r="J317">
        <f t="shared" si="43"/>
        <v>0</v>
      </c>
      <c r="K317">
        <f t="shared" si="44"/>
        <v>150454</v>
      </c>
      <c r="L317">
        <f t="shared" si="45"/>
        <v>0</v>
      </c>
      <c r="M317">
        <f t="shared" si="46"/>
        <v>867</v>
      </c>
      <c r="N317">
        <f t="shared" si="47"/>
        <v>0</v>
      </c>
    </row>
    <row r="318" spans="1:14" x14ac:dyDescent="0.35">
      <c r="A318" s="5">
        <v>6009110</v>
      </c>
      <c r="B318" s="6">
        <v>42922</v>
      </c>
      <c r="C318" s="7">
        <v>0.37092592592592594</v>
      </c>
      <c r="D318" s="8">
        <v>0.37193287037037037</v>
      </c>
      <c r="E318" s="20">
        <f t="shared" si="40"/>
        <v>1.0069444444444353E-3</v>
      </c>
      <c r="F318" t="str">
        <f t="shared" si="41"/>
        <v>stacjonarny</v>
      </c>
      <c r="G318" s="23">
        <f t="shared" si="48"/>
        <v>114001</v>
      </c>
      <c r="H318">
        <f t="shared" si="49"/>
        <v>36540</v>
      </c>
      <c r="I318">
        <f t="shared" si="42"/>
        <v>0</v>
      </c>
      <c r="J318">
        <f t="shared" si="43"/>
        <v>0</v>
      </c>
      <c r="K318">
        <f t="shared" si="44"/>
        <v>150541</v>
      </c>
      <c r="L318">
        <f t="shared" si="45"/>
        <v>0</v>
      </c>
      <c r="M318">
        <f t="shared" si="46"/>
        <v>87</v>
      </c>
      <c r="N318">
        <f t="shared" si="47"/>
        <v>0</v>
      </c>
    </row>
    <row r="319" spans="1:14" x14ac:dyDescent="0.35">
      <c r="A319" s="9">
        <v>6644360383</v>
      </c>
      <c r="B319" s="10">
        <v>42922</v>
      </c>
      <c r="C319" s="11">
        <v>0.37333333333333335</v>
      </c>
      <c r="D319" s="12">
        <v>0.37968750000000001</v>
      </c>
      <c r="E319" s="20">
        <f t="shared" si="40"/>
        <v>6.3541666666666607E-3</v>
      </c>
      <c r="F319" t="str">
        <f t="shared" si="41"/>
        <v>zagraniczny</v>
      </c>
      <c r="G319" s="23">
        <f t="shared" si="48"/>
        <v>114001</v>
      </c>
      <c r="H319">
        <f t="shared" si="49"/>
        <v>36540</v>
      </c>
      <c r="I319">
        <f t="shared" si="42"/>
        <v>549</v>
      </c>
      <c r="J319">
        <f t="shared" si="43"/>
        <v>10</v>
      </c>
      <c r="K319">
        <f t="shared" si="44"/>
        <v>150541</v>
      </c>
      <c r="L319">
        <f t="shared" si="45"/>
        <v>0</v>
      </c>
      <c r="M319">
        <f t="shared" si="46"/>
        <v>0</v>
      </c>
      <c r="N319">
        <f t="shared" si="47"/>
        <v>0</v>
      </c>
    </row>
    <row r="320" spans="1:14" x14ac:dyDescent="0.35">
      <c r="A320" s="5">
        <v>6045882</v>
      </c>
      <c r="B320" s="6">
        <v>42922</v>
      </c>
      <c r="C320" s="7">
        <v>0.37799768518518517</v>
      </c>
      <c r="D320" s="8">
        <v>0.38377314814814817</v>
      </c>
      <c r="E320" s="20">
        <f t="shared" si="40"/>
        <v>5.7754629629629961E-3</v>
      </c>
      <c r="F320" t="str">
        <f t="shared" si="41"/>
        <v>stacjonarny</v>
      </c>
      <c r="G320" s="23">
        <f t="shared" si="48"/>
        <v>114500</v>
      </c>
      <c r="H320">
        <f t="shared" si="49"/>
        <v>36540</v>
      </c>
      <c r="I320">
        <f t="shared" si="42"/>
        <v>0</v>
      </c>
      <c r="J320">
        <f t="shared" si="43"/>
        <v>0</v>
      </c>
      <c r="K320">
        <f t="shared" si="44"/>
        <v>151040</v>
      </c>
      <c r="L320">
        <f t="shared" si="45"/>
        <v>0</v>
      </c>
      <c r="M320">
        <f t="shared" si="46"/>
        <v>499</v>
      </c>
      <c r="N320">
        <f t="shared" si="47"/>
        <v>0</v>
      </c>
    </row>
    <row r="321" spans="1:14" x14ac:dyDescent="0.35">
      <c r="A321" s="9">
        <v>4113351</v>
      </c>
      <c r="B321" s="10">
        <v>42922</v>
      </c>
      <c r="C321" s="11">
        <v>0.37913194444444442</v>
      </c>
      <c r="D321" s="12">
        <v>0.3800115740740741</v>
      </c>
      <c r="E321" s="20">
        <f t="shared" si="40"/>
        <v>8.7962962962967461E-4</v>
      </c>
      <c r="F321" t="str">
        <f t="shared" si="41"/>
        <v>stacjonarny</v>
      </c>
      <c r="G321" s="23">
        <f t="shared" si="48"/>
        <v>114576</v>
      </c>
      <c r="H321">
        <f t="shared" si="49"/>
        <v>36540</v>
      </c>
      <c r="I321">
        <f t="shared" si="42"/>
        <v>0</v>
      </c>
      <c r="J321">
        <f t="shared" si="43"/>
        <v>0</v>
      </c>
      <c r="K321">
        <f t="shared" si="44"/>
        <v>151116</v>
      </c>
      <c r="L321">
        <f t="shared" si="45"/>
        <v>0</v>
      </c>
      <c r="M321">
        <f t="shared" si="46"/>
        <v>76</v>
      </c>
      <c r="N321">
        <f t="shared" si="47"/>
        <v>0</v>
      </c>
    </row>
    <row r="322" spans="1:14" x14ac:dyDescent="0.35">
      <c r="A322" s="5">
        <v>9777118</v>
      </c>
      <c r="B322" s="6">
        <v>42922</v>
      </c>
      <c r="C322" s="7">
        <v>0.38156250000000003</v>
      </c>
      <c r="D322" s="8">
        <v>0.3878240740740741</v>
      </c>
      <c r="E322" s="20">
        <f t="shared" si="40"/>
        <v>6.2615740740740722E-3</v>
      </c>
      <c r="F322" t="str">
        <f t="shared" si="41"/>
        <v>stacjonarny</v>
      </c>
      <c r="G322" s="23">
        <f t="shared" si="48"/>
        <v>115117</v>
      </c>
      <c r="H322">
        <f t="shared" si="49"/>
        <v>36540</v>
      </c>
      <c r="I322">
        <f t="shared" si="42"/>
        <v>0</v>
      </c>
      <c r="J322">
        <f t="shared" si="43"/>
        <v>0</v>
      </c>
      <c r="K322">
        <f t="shared" si="44"/>
        <v>151657</v>
      </c>
      <c r="L322">
        <f t="shared" si="45"/>
        <v>0</v>
      </c>
      <c r="M322">
        <f t="shared" si="46"/>
        <v>541</v>
      </c>
      <c r="N322">
        <f t="shared" si="47"/>
        <v>0</v>
      </c>
    </row>
    <row r="323" spans="1:14" x14ac:dyDescent="0.35">
      <c r="A323" s="9">
        <v>1659814</v>
      </c>
      <c r="B323" s="10">
        <v>42922</v>
      </c>
      <c r="C323" s="11">
        <v>0.38416666666666666</v>
      </c>
      <c r="D323" s="12">
        <v>0.39554398148148145</v>
      </c>
      <c r="E323" s="20">
        <f t="shared" ref="E323:E386" si="50">D323-C323</f>
        <v>1.1377314814814798E-2</v>
      </c>
      <c r="F323" t="str">
        <f t="shared" ref="F323:F386" si="51">IF(LEN(A323)=7,"stacjonarny",IF(LEN(A323)=8,"komorkowy","zagraniczny"))</f>
        <v>stacjonarny</v>
      </c>
      <c r="G323" s="23">
        <f t="shared" si="48"/>
        <v>116100</v>
      </c>
      <c r="H323">
        <f t="shared" si="49"/>
        <v>36540</v>
      </c>
      <c r="I323">
        <f t="shared" ref="I323:I386" si="52">IF(F323="zagraniczny",MINUTE(E323)*60+SECOND(E323)+HOUR(E323)*3600,0)</f>
        <v>0</v>
      </c>
      <c r="J323">
        <f t="shared" ref="J323:J386" si="53">ROUNDUP(I323/60,0)</f>
        <v>0</v>
      </c>
      <c r="K323">
        <f t="shared" ref="K323:K386" si="54">G323+H323</f>
        <v>152640</v>
      </c>
      <c r="L323">
        <f t="shared" ref="L323:L386" si="55">IF(K323&lt;=48000,1,0)</f>
        <v>0</v>
      </c>
      <c r="M323">
        <f t="shared" ref="M323:M386" si="56">IF(AND(L323=0,F323="stacjonarny"),SECOND(E323)+60*MINUTE(E323),0)</f>
        <v>983</v>
      </c>
      <c r="N323">
        <f t="shared" ref="N323:N386" si="57">IF(AND(L323=0,F323="komorkowy"),SECOND(E323)+60*MINUTE(E323),0)</f>
        <v>0</v>
      </c>
    </row>
    <row r="324" spans="1:14" x14ac:dyDescent="0.35">
      <c r="A324" s="5">
        <v>26204415</v>
      </c>
      <c r="B324" s="6">
        <v>42922</v>
      </c>
      <c r="C324" s="7">
        <v>0.38806712962962964</v>
      </c>
      <c r="D324" s="8">
        <v>0.39144675925925926</v>
      </c>
      <c r="E324" s="20">
        <f t="shared" si="50"/>
        <v>3.3796296296296213E-3</v>
      </c>
      <c r="F324" t="str">
        <f t="shared" si="51"/>
        <v>komorkowy</v>
      </c>
      <c r="G324" s="23">
        <f t="shared" ref="G324:G387" si="58">IF(F324="stacjonarny",MINUTE(E324)*60+SECOND(E324)+G323,G323)</f>
        <v>116100</v>
      </c>
      <c r="H324">
        <f t="shared" ref="H324:H387" si="59">IF(F324="komorkowy",MINUTE(E324)*60+SECOND(E324)+H323,H323)</f>
        <v>36832</v>
      </c>
      <c r="I324">
        <f t="shared" si="52"/>
        <v>0</v>
      </c>
      <c r="J324">
        <f t="shared" si="53"/>
        <v>0</v>
      </c>
      <c r="K324">
        <f t="shared" si="54"/>
        <v>152932</v>
      </c>
      <c r="L324">
        <f t="shared" si="55"/>
        <v>0</v>
      </c>
      <c r="M324">
        <f t="shared" si="56"/>
        <v>0</v>
      </c>
      <c r="N324">
        <f t="shared" si="57"/>
        <v>292</v>
      </c>
    </row>
    <row r="325" spans="1:14" x14ac:dyDescent="0.35">
      <c r="A325" s="9">
        <v>8471544</v>
      </c>
      <c r="B325" s="10">
        <v>42922</v>
      </c>
      <c r="C325" s="11">
        <v>0.38960648148148147</v>
      </c>
      <c r="D325" s="12">
        <v>0.39498842592592592</v>
      </c>
      <c r="E325" s="20">
        <f t="shared" si="50"/>
        <v>5.3819444444444531E-3</v>
      </c>
      <c r="F325" t="str">
        <f t="shared" si="51"/>
        <v>stacjonarny</v>
      </c>
      <c r="G325" s="23">
        <f t="shared" si="58"/>
        <v>116565</v>
      </c>
      <c r="H325">
        <f t="shared" si="59"/>
        <v>36832</v>
      </c>
      <c r="I325">
        <f t="shared" si="52"/>
        <v>0</v>
      </c>
      <c r="J325">
        <f t="shared" si="53"/>
        <v>0</v>
      </c>
      <c r="K325">
        <f t="shared" si="54"/>
        <v>153397</v>
      </c>
      <c r="L325">
        <f t="shared" si="55"/>
        <v>0</v>
      </c>
      <c r="M325">
        <f t="shared" si="56"/>
        <v>465</v>
      </c>
      <c r="N325">
        <f t="shared" si="57"/>
        <v>0</v>
      </c>
    </row>
    <row r="326" spans="1:14" x14ac:dyDescent="0.35">
      <c r="A326" s="5">
        <v>3379401</v>
      </c>
      <c r="B326" s="6">
        <v>42922</v>
      </c>
      <c r="C326" s="7">
        <v>0.39466435185185184</v>
      </c>
      <c r="D326" s="8">
        <v>0.40501157407407407</v>
      </c>
      <c r="E326" s="20">
        <f t="shared" si="50"/>
        <v>1.034722222222223E-2</v>
      </c>
      <c r="F326" t="str">
        <f t="shared" si="51"/>
        <v>stacjonarny</v>
      </c>
      <c r="G326" s="23">
        <f t="shared" si="58"/>
        <v>117459</v>
      </c>
      <c r="H326">
        <f t="shared" si="59"/>
        <v>36832</v>
      </c>
      <c r="I326">
        <f t="shared" si="52"/>
        <v>0</v>
      </c>
      <c r="J326">
        <f t="shared" si="53"/>
        <v>0</v>
      </c>
      <c r="K326">
        <f t="shared" si="54"/>
        <v>154291</v>
      </c>
      <c r="L326">
        <f t="shared" si="55"/>
        <v>0</v>
      </c>
      <c r="M326">
        <f t="shared" si="56"/>
        <v>894</v>
      </c>
      <c r="N326">
        <f t="shared" si="57"/>
        <v>0</v>
      </c>
    </row>
    <row r="327" spans="1:14" x14ac:dyDescent="0.35">
      <c r="A327" s="9">
        <v>5912377607</v>
      </c>
      <c r="B327" s="10">
        <v>42922</v>
      </c>
      <c r="C327" s="11">
        <v>0.39613425925925927</v>
      </c>
      <c r="D327" s="12">
        <v>0.39868055555555554</v>
      </c>
      <c r="E327" s="20">
        <f t="shared" si="50"/>
        <v>2.5462962962962687E-3</v>
      </c>
      <c r="F327" t="str">
        <f t="shared" si="51"/>
        <v>zagraniczny</v>
      </c>
      <c r="G327" s="23">
        <f t="shared" si="58"/>
        <v>117459</v>
      </c>
      <c r="H327">
        <f t="shared" si="59"/>
        <v>36832</v>
      </c>
      <c r="I327">
        <f t="shared" si="52"/>
        <v>220</v>
      </c>
      <c r="J327">
        <f t="shared" si="53"/>
        <v>4</v>
      </c>
      <c r="K327">
        <f t="shared" si="54"/>
        <v>154291</v>
      </c>
      <c r="L327">
        <f t="shared" si="55"/>
        <v>0</v>
      </c>
      <c r="M327">
        <f t="shared" si="56"/>
        <v>0</v>
      </c>
      <c r="N327">
        <f t="shared" si="57"/>
        <v>0</v>
      </c>
    </row>
    <row r="328" spans="1:14" x14ac:dyDescent="0.35">
      <c r="A328" s="5">
        <v>77705897</v>
      </c>
      <c r="B328" s="6">
        <v>42922</v>
      </c>
      <c r="C328" s="7">
        <v>0.39956018518518521</v>
      </c>
      <c r="D328" s="8">
        <v>0.40025462962962965</v>
      </c>
      <c r="E328" s="20">
        <f t="shared" si="50"/>
        <v>6.9444444444444198E-4</v>
      </c>
      <c r="F328" t="str">
        <f t="shared" si="51"/>
        <v>komorkowy</v>
      </c>
      <c r="G328" s="23">
        <f t="shared" si="58"/>
        <v>117459</v>
      </c>
      <c r="H328">
        <f t="shared" si="59"/>
        <v>36892</v>
      </c>
      <c r="I328">
        <f t="shared" si="52"/>
        <v>0</v>
      </c>
      <c r="J328">
        <f t="shared" si="53"/>
        <v>0</v>
      </c>
      <c r="K328">
        <f t="shared" si="54"/>
        <v>154351</v>
      </c>
      <c r="L328">
        <f t="shared" si="55"/>
        <v>0</v>
      </c>
      <c r="M328">
        <f t="shared" si="56"/>
        <v>0</v>
      </c>
      <c r="N328">
        <f t="shared" si="57"/>
        <v>60</v>
      </c>
    </row>
    <row r="329" spans="1:14" x14ac:dyDescent="0.35">
      <c r="A329" s="9">
        <v>5894865</v>
      </c>
      <c r="B329" s="10">
        <v>42922</v>
      </c>
      <c r="C329" s="11">
        <v>0.40255787037037039</v>
      </c>
      <c r="D329" s="12">
        <v>0.40554398148148146</v>
      </c>
      <c r="E329" s="20">
        <f t="shared" si="50"/>
        <v>2.9861111111110783E-3</v>
      </c>
      <c r="F329" t="str">
        <f t="shared" si="51"/>
        <v>stacjonarny</v>
      </c>
      <c r="G329" s="23">
        <f t="shared" si="58"/>
        <v>117717</v>
      </c>
      <c r="H329">
        <f t="shared" si="59"/>
        <v>36892</v>
      </c>
      <c r="I329">
        <f t="shared" si="52"/>
        <v>0</v>
      </c>
      <c r="J329">
        <f t="shared" si="53"/>
        <v>0</v>
      </c>
      <c r="K329">
        <f t="shared" si="54"/>
        <v>154609</v>
      </c>
      <c r="L329">
        <f t="shared" si="55"/>
        <v>0</v>
      </c>
      <c r="M329">
        <f t="shared" si="56"/>
        <v>258</v>
      </c>
      <c r="N329">
        <f t="shared" si="57"/>
        <v>0</v>
      </c>
    </row>
    <row r="330" spans="1:14" x14ac:dyDescent="0.35">
      <c r="A330" s="5">
        <v>7449832</v>
      </c>
      <c r="B330" s="6">
        <v>42922</v>
      </c>
      <c r="C330" s="7">
        <v>0.40559027777777779</v>
      </c>
      <c r="D330" s="8">
        <v>0.41425925925925927</v>
      </c>
      <c r="E330" s="20">
        <f t="shared" si="50"/>
        <v>8.6689814814814858E-3</v>
      </c>
      <c r="F330" t="str">
        <f t="shared" si="51"/>
        <v>stacjonarny</v>
      </c>
      <c r="G330" s="23">
        <f t="shared" si="58"/>
        <v>118466</v>
      </c>
      <c r="H330">
        <f t="shared" si="59"/>
        <v>36892</v>
      </c>
      <c r="I330">
        <f t="shared" si="52"/>
        <v>0</v>
      </c>
      <c r="J330">
        <f t="shared" si="53"/>
        <v>0</v>
      </c>
      <c r="K330">
        <f t="shared" si="54"/>
        <v>155358</v>
      </c>
      <c r="L330">
        <f t="shared" si="55"/>
        <v>0</v>
      </c>
      <c r="M330">
        <f t="shared" si="56"/>
        <v>749</v>
      </c>
      <c r="N330">
        <f t="shared" si="57"/>
        <v>0</v>
      </c>
    </row>
    <row r="331" spans="1:14" x14ac:dyDescent="0.35">
      <c r="A331" s="9">
        <v>49390412</v>
      </c>
      <c r="B331" s="10">
        <v>42922</v>
      </c>
      <c r="C331" s="11">
        <v>0.40645833333333331</v>
      </c>
      <c r="D331" s="12">
        <v>0.41598379629629628</v>
      </c>
      <c r="E331" s="20">
        <f t="shared" si="50"/>
        <v>9.5254629629629717E-3</v>
      </c>
      <c r="F331" t="str">
        <f t="shared" si="51"/>
        <v>komorkowy</v>
      </c>
      <c r="G331" s="23">
        <f t="shared" si="58"/>
        <v>118466</v>
      </c>
      <c r="H331">
        <f t="shared" si="59"/>
        <v>37715</v>
      </c>
      <c r="I331">
        <f t="shared" si="52"/>
        <v>0</v>
      </c>
      <c r="J331">
        <f t="shared" si="53"/>
        <v>0</v>
      </c>
      <c r="K331">
        <f t="shared" si="54"/>
        <v>156181</v>
      </c>
      <c r="L331">
        <f t="shared" si="55"/>
        <v>0</v>
      </c>
      <c r="M331">
        <f t="shared" si="56"/>
        <v>0</v>
      </c>
      <c r="N331">
        <f t="shared" si="57"/>
        <v>823</v>
      </c>
    </row>
    <row r="332" spans="1:14" x14ac:dyDescent="0.35">
      <c r="A332" s="5">
        <v>6156594</v>
      </c>
      <c r="B332" s="6">
        <v>42922</v>
      </c>
      <c r="C332" s="7">
        <v>0.41142361111111109</v>
      </c>
      <c r="D332" s="8">
        <v>0.42168981481481482</v>
      </c>
      <c r="E332" s="20">
        <f t="shared" si="50"/>
        <v>1.0266203703703736E-2</v>
      </c>
      <c r="F332" t="str">
        <f t="shared" si="51"/>
        <v>stacjonarny</v>
      </c>
      <c r="G332" s="23">
        <f t="shared" si="58"/>
        <v>119353</v>
      </c>
      <c r="H332">
        <f t="shared" si="59"/>
        <v>37715</v>
      </c>
      <c r="I332">
        <f t="shared" si="52"/>
        <v>0</v>
      </c>
      <c r="J332">
        <f t="shared" si="53"/>
        <v>0</v>
      </c>
      <c r="K332">
        <f t="shared" si="54"/>
        <v>157068</v>
      </c>
      <c r="L332">
        <f t="shared" si="55"/>
        <v>0</v>
      </c>
      <c r="M332">
        <f t="shared" si="56"/>
        <v>887</v>
      </c>
      <c r="N332">
        <f t="shared" si="57"/>
        <v>0</v>
      </c>
    </row>
    <row r="333" spans="1:14" x14ac:dyDescent="0.35">
      <c r="A333" s="9">
        <v>5006675</v>
      </c>
      <c r="B333" s="10">
        <v>42922</v>
      </c>
      <c r="C333" s="11">
        <v>0.4129976851851852</v>
      </c>
      <c r="D333" s="12">
        <v>0.41953703703703704</v>
      </c>
      <c r="E333" s="20">
        <f t="shared" si="50"/>
        <v>6.5393518518518379E-3</v>
      </c>
      <c r="F333" t="str">
        <f t="shared" si="51"/>
        <v>stacjonarny</v>
      </c>
      <c r="G333" s="23">
        <f t="shared" si="58"/>
        <v>119918</v>
      </c>
      <c r="H333">
        <f t="shared" si="59"/>
        <v>37715</v>
      </c>
      <c r="I333">
        <f t="shared" si="52"/>
        <v>0</v>
      </c>
      <c r="J333">
        <f t="shared" si="53"/>
        <v>0</v>
      </c>
      <c r="K333">
        <f t="shared" si="54"/>
        <v>157633</v>
      </c>
      <c r="L333">
        <f t="shared" si="55"/>
        <v>0</v>
      </c>
      <c r="M333">
        <f t="shared" si="56"/>
        <v>565</v>
      </c>
      <c r="N333">
        <f t="shared" si="57"/>
        <v>0</v>
      </c>
    </row>
    <row r="334" spans="1:14" x14ac:dyDescent="0.35">
      <c r="A334" s="5">
        <v>2096180</v>
      </c>
      <c r="B334" s="6">
        <v>42922</v>
      </c>
      <c r="C334" s="7">
        <v>0.41351851851851851</v>
      </c>
      <c r="D334" s="8">
        <v>0.41670138888888891</v>
      </c>
      <c r="E334" s="20">
        <f t="shared" si="50"/>
        <v>3.1828703703704053E-3</v>
      </c>
      <c r="F334" t="str">
        <f t="shared" si="51"/>
        <v>stacjonarny</v>
      </c>
      <c r="G334" s="23">
        <f t="shared" si="58"/>
        <v>120193</v>
      </c>
      <c r="H334">
        <f t="shared" si="59"/>
        <v>37715</v>
      </c>
      <c r="I334">
        <f t="shared" si="52"/>
        <v>0</v>
      </c>
      <c r="J334">
        <f t="shared" si="53"/>
        <v>0</v>
      </c>
      <c r="K334">
        <f t="shared" si="54"/>
        <v>157908</v>
      </c>
      <c r="L334">
        <f t="shared" si="55"/>
        <v>0</v>
      </c>
      <c r="M334">
        <f t="shared" si="56"/>
        <v>275</v>
      </c>
      <c r="N334">
        <f t="shared" si="57"/>
        <v>0</v>
      </c>
    </row>
    <row r="335" spans="1:14" x14ac:dyDescent="0.35">
      <c r="A335" s="9">
        <v>8214927</v>
      </c>
      <c r="B335" s="10">
        <v>42922</v>
      </c>
      <c r="C335" s="11">
        <v>0.41638888888888886</v>
      </c>
      <c r="D335" s="12">
        <v>0.42116898148148146</v>
      </c>
      <c r="E335" s="20">
        <f t="shared" si="50"/>
        <v>4.7800925925925997E-3</v>
      </c>
      <c r="F335" t="str">
        <f t="shared" si="51"/>
        <v>stacjonarny</v>
      </c>
      <c r="G335" s="23">
        <f t="shared" si="58"/>
        <v>120606</v>
      </c>
      <c r="H335">
        <f t="shared" si="59"/>
        <v>37715</v>
      </c>
      <c r="I335">
        <f t="shared" si="52"/>
        <v>0</v>
      </c>
      <c r="J335">
        <f t="shared" si="53"/>
        <v>0</v>
      </c>
      <c r="K335">
        <f t="shared" si="54"/>
        <v>158321</v>
      </c>
      <c r="L335">
        <f t="shared" si="55"/>
        <v>0</v>
      </c>
      <c r="M335">
        <f t="shared" si="56"/>
        <v>413</v>
      </c>
      <c r="N335">
        <f t="shared" si="57"/>
        <v>0</v>
      </c>
    </row>
    <row r="336" spans="1:14" x14ac:dyDescent="0.35">
      <c r="A336" s="5">
        <v>5816822</v>
      </c>
      <c r="B336" s="6">
        <v>42922</v>
      </c>
      <c r="C336" s="7">
        <v>0.41684027777777777</v>
      </c>
      <c r="D336" s="8">
        <v>0.4230902777777778</v>
      </c>
      <c r="E336" s="20">
        <f t="shared" si="50"/>
        <v>6.2500000000000333E-3</v>
      </c>
      <c r="F336" t="str">
        <f t="shared" si="51"/>
        <v>stacjonarny</v>
      </c>
      <c r="G336" s="23">
        <f t="shared" si="58"/>
        <v>121146</v>
      </c>
      <c r="H336">
        <f t="shared" si="59"/>
        <v>37715</v>
      </c>
      <c r="I336">
        <f t="shared" si="52"/>
        <v>0</v>
      </c>
      <c r="J336">
        <f t="shared" si="53"/>
        <v>0</v>
      </c>
      <c r="K336">
        <f t="shared" si="54"/>
        <v>158861</v>
      </c>
      <c r="L336">
        <f t="shared" si="55"/>
        <v>0</v>
      </c>
      <c r="M336">
        <f t="shared" si="56"/>
        <v>540</v>
      </c>
      <c r="N336">
        <f t="shared" si="57"/>
        <v>0</v>
      </c>
    </row>
    <row r="337" spans="1:14" x14ac:dyDescent="0.35">
      <c r="A337" s="9">
        <v>9683894</v>
      </c>
      <c r="B337" s="10">
        <v>42922</v>
      </c>
      <c r="C337" s="11">
        <v>0.42046296296296298</v>
      </c>
      <c r="D337" s="12">
        <v>0.42086805555555556</v>
      </c>
      <c r="E337" s="20">
        <f t="shared" si="50"/>
        <v>4.050925925925819E-4</v>
      </c>
      <c r="F337" t="str">
        <f t="shared" si="51"/>
        <v>stacjonarny</v>
      </c>
      <c r="G337" s="23">
        <f t="shared" si="58"/>
        <v>121181</v>
      </c>
      <c r="H337">
        <f t="shared" si="59"/>
        <v>37715</v>
      </c>
      <c r="I337">
        <f t="shared" si="52"/>
        <v>0</v>
      </c>
      <c r="J337">
        <f t="shared" si="53"/>
        <v>0</v>
      </c>
      <c r="K337">
        <f t="shared" si="54"/>
        <v>158896</v>
      </c>
      <c r="L337">
        <f t="shared" si="55"/>
        <v>0</v>
      </c>
      <c r="M337">
        <f t="shared" si="56"/>
        <v>35</v>
      </c>
      <c r="N337">
        <f t="shared" si="57"/>
        <v>0</v>
      </c>
    </row>
    <row r="338" spans="1:14" x14ac:dyDescent="0.35">
      <c r="A338" s="5">
        <v>2808052</v>
      </c>
      <c r="B338" s="6">
        <v>42922</v>
      </c>
      <c r="C338" s="7">
        <v>0.42144675925925928</v>
      </c>
      <c r="D338" s="8">
        <v>0.43079861111111112</v>
      </c>
      <c r="E338" s="20">
        <f t="shared" si="50"/>
        <v>9.3518518518518334E-3</v>
      </c>
      <c r="F338" t="str">
        <f t="shared" si="51"/>
        <v>stacjonarny</v>
      </c>
      <c r="G338" s="23">
        <f t="shared" si="58"/>
        <v>121989</v>
      </c>
      <c r="H338">
        <f t="shared" si="59"/>
        <v>37715</v>
      </c>
      <c r="I338">
        <f t="shared" si="52"/>
        <v>0</v>
      </c>
      <c r="J338">
        <f t="shared" si="53"/>
        <v>0</v>
      </c>
      <c r="K338">
        <f t="shared" si="54"/>
        <v>159704</v>
      </c>
      <c r="L338">
        <f t="shared" si="55"/>
        <v>0</v>
      </c>
      <c r="M338">
        <f t="shared" si="56"/>
        <v>808</v>
      </c>
      <c r="N338">
        <f t="shared" si="57"/>
        <v>0</v>
      </c>
    </row>
    <row r="339" spans="1:14" x14ac:dyDescent="0.35">
      <c r="A339" s="9">
        <v>18084593</v>
      </c>
      <c r="B339" s="10">
        <v>42922</v>
      </c>
      <c r="C339" s="11">
        <v>0.42482638888888891</v>
      </c>
      <c r="D339" s="12">
        <v>0.43292824074074077</v>
      </c>
      <c r="E339" s="20">
        <f t="shared" si="50"/>
        <v>8.1018518518518601E-3</v>
      </c>
      <c r="F339" t="str">
        <f t="shared" si="51"/>
        <v>komorkowy</v>
      </c>
      <c r="G339" s="23">
        <f t="shared" si="58"/>
        <v>121989</v>
      </c>
      <c r="H339">
        <f t="shared" si="59"/>
        <v>38415</v>
      </c>
      <c r="I339">
        <f t="shared" si="52"/>
        <v>0</v>
      </c>
      <c r="J339">
        <f t="shared" si="53"/>
        <v>0</v>
      </c>
      <c r="K339">
        <f t="shared" si="54"/>
        <v>160404</v>
      </c>
      <c r="L339">
        <f t="shared" si="55"/>
        <v>0</v>
      </c>
      <c r="M339">
        <f t="shared" si="56"/>
        <v>0</v>
      </c>
      <c r="N339">
        <f t="shared" si="57"/>
        <v>700</v>
      </c>
    </row>
    <row r="340" spans="1:14" x14ac:dyDescent="0.35">
      <c r="A340" s="5">
        <v>1390402</v>
      </c>
      <c r="B340" s="6">
        <v>42922</v>
      </c>
      <c r="C340" s="7">
        <v>0.42880787037037038</v>
      </c>
      <c r="D340" s="8">
        <v>0.44034722222222222</v>
      </c>
      <c r="E340" s="20">
        <f t="shared" si="50"/>
        <v>1.1539351851851842E-2</v>
      </c>
      <c r="F340" t="str">
        <f t="shared" si="51"/>
        <v>stacjonarny</v>
      </c>
      <c r="G340" s="23">
        <f t="shared" si="58"/>
        <v>122986</v>
      </c>
      <c r="H340">
        <f t="shared" si="59"/>
        <v>38415</v>
      </c>
      <c r="I340">
        <f t="shared" si="52"/>
        <v>0</v>
      </c>
      <c r="J340">
        <f t="shared" si="53"/>
        <v>0</v>
      </c>
      <c r="K340">
        <f t="shared" si="54"/>
        <v>161401</v>
      </c>
      <c r="L340">
        <f t="shared" si="55"/>
        <v>0</v>
      </c>
      <c r="M340">
        <f t="shared" si="56"/>
        <v>997</v>
      </c>
      <c r="N340">
        <f t="shared" si="57"/>
        <v>0</v>
      </c>
    </row>
    <row r="341" spans="1:14" x14ac:dyDescent="0.35">
      <c r="A341" s="9">
        <v>44200961</v>
      </c>
      <c r="B341" s="10">
        <v>42922</v>
      </c>
      <c r="C341" s="11">
        <v>0.42920138888888887</v>
      </c>
      <c r="D341" s="12">
        <v>0.43532407407407409</v>
      </c>
      <c r="E341" s="20">
        <f t="shared" si="50"/>
        <v>6.1226851851852171E-3</v>
      </c>
      <c r="F341" t="str">
        <f t="shared" si="51"/>
        <v>komorkowy</v>
      </c>
      <c r="G341" s="23">
        <f t="shared" si="58"/>
        <v>122986</v>
      </c>
      <c r="H341">
        <f t="shared" si="59"/>
        <v>38944</v>
      </c>
      <c r="I341">
        <f t="shared" si="52"/>
        <v>0</v>
      </c>
      <c r="J341">
        <f t="shared" si="53"/>
        <v>0</v>
      </c>
      <c r="K341">
        <f t="shared" si="54"/>
        <v>161930</v>
      </c>
      <c r="L341">
        <f t="shared" si="55"/>
        <v>0</v>
      </c>
      <c r="M341">
        <f t="shared" si="56"/>
        <v>0</v>
      </c>
      <c r="N341">
        <f t="shared" si="57"/>
        <v>529</v>
      </c>
    </row>
    <row r="342" spans="1:14" x14ac:dyDescent="0.35">
      <c r="A342" s="5">
        <v>5859235</v>
      </c>
      <c r="B342" s="6">
        <v>42922</v>
      </c>
      <c r="C342" s="7">
        <v>0.43037037037037035</v>
      </c>
      <c r="D342" s="8">
        <v>0.4344675925925926</v>
      </c>
      <c r="E342" s="20">
        <f t="shared" si="50"/>
        <v>4.0972222222222521E-3</v>
      </c>
      <c r="F342" t="str">
        <f t="shared" si="51"/>
        <v>stacjonarny</v>
      </c>
      <c r="G342" s="23">
        <f t="shared" si="58"/>
        <v>123340</v>
      </c>
      <c r="H342">
        <f t="shared" si="59"/>
        <v>38944</v>
      </c>
      <c r="I342">
        <f t="shared" si="52"/>
        <v>0</v>
      </c>
      <c r="J342">
        <f t="shared" si="53"/>
        <v>0</v>
      </c>
      <c r="K342">
        <f t="shared" si="54"/>
        <v>162284</v>
      </c>
      <c r="L342">
        <f t="shared" si="55"/>
        <v>0</v>
      </c>
      <c r="M342">
        <f t="shared" si="56"/>
        <v>354</v>
      </c>
      <c r="N342">
        <f t="shared" si="57"/>
        <v>0</v>
      </c>
    </row>
    <row r="343" spans="1:14" x14ac:dyDescent="0.35">
      <c r="A343" s="9">
        <v>51855396</v>
      </c>
      <c r="B343" s="10">
        <v>42922</v>
      </c>
      <c r="C343" s="11">
        <v>0.43266203703703704</v>
      </c>
      <c r="D343" s="12">
        <v>0.44364583333333335</v>
      </c>
      <c r="E343" s="20">
        <f t="shared" si="50"/>
        <v>1.0983796296296311E-2</v>
      </c>
      <c r="F343" t="str">
        <f t="shared" si="51"/>
        <v>komorkowy</v>
      </c>
      <c r="G343" s="23">
        <f t="shared" si="58"/>
        <v>123340</v>
      </c>
      <c r="H343">
        <f t="shared" si="59"/>
        <v>39893</v>
      </c>
      <c r="I343">
        <f t="shared" si="52"/>
        <v>0</v>
      </c>
      <c r="J343">
        <f t="shared" si="53"/>
        <v>0</v>
      </c>
      <c r="K343">
        <f t="shared" si="54"/>
        <v>163233</v>
      </c>
      <c r="L343">
        <f t="shared" si="55"/>
        <v>0</v>
      </c>
      <c r="M343">
        <f t="shared" si="56"/>
        <v>0</v>
      </c>
      <c r="N343">
        <f t="shared" si="57"/>
        <v>949</v>
      </c>
    </row>
    <row r="344" spans="1:14" x14ac:dyDescent="0.35">
      <c r="A344" s="5">
        <v>8768896</v>
      </c>
      <c r="B344" s="6">
        <v>42922</v>
      </c>
      <c r="C344" s="7">
        <v>0.43590277777777775</v>
      </c>
      <c r="D344" s="8">
        <v>0.44127314814814816</v>
      </c>
      <c r="E344" s="20">
        <f t="shared" si="50"/>
        <v>5.3703703703704142E-3</v>
      </c>
      <c r="F344" t="str">
        <f t="shared" si="51"/>
        <v>stacjonarny</v>
      </c>
      <c r="G344" s="23">
        <f t="shared" si="58"/>
        <v>123804</v>
      </c>
      <c r="H344">
        <f t="shared" si="59"/>
        <v>39893</v>
      </c>
      <c r="I344">
        <f t="shared" si="52"/>
        <v>0</v>
      </c>
      <c r="J344">
        <f t="shared" si="53"/>
        <v>0</v>
      </c>
      <c r="K344">
        <f t="shared" si="54"/>
        <v>163697</v>
      </c>
      <c r="L344">
        <f t="shared" si="55"/>
        <v>0</v>
      </c>
      <c r="M344">
        <f t="shared" si="56"/>
        <v>464</v>
      </c>
      <c r="N344">
        <f t="shared" si="57"/>
        <v>0</v>
      </c>
    </row>
    <row r="345" spans="1:14" x14ac:dyDescent="0.35">
      <c r="A345" s="9">
        <v>9088045</v>
      </c>
      <c r="B345" s="10">
        <v>42922</v>
      </c>
      <c r="C345" s="11">
        <v>0.44063657407407408</v>
      </c>
      <c r="D345" s="12">
        <v>0.44285879629629632</v>
      </c>
      <c r="E345" s="20">
        <f t="shared" si="50"/>
        <v>2.2222222222222365E-3</v>
      </c>
      <c r="F345" t="str">
        <f t="shared" si="51"/>
        <v>stacjonarny</v>
      </c>
      <c r="G345" s="23">
        <f t="shared" si="58"/>
        <v>123996</v>
      </c>
      <c r="H345">
        <f t="shared" si="59"/>
        <v>39893</v>
      </c>
      <c r="I345">
        <f t="shared" si="52"/>
        <v>0</v>
      </c>
      <c r="J345">
        <f t="shared" si="53"/>
        <v>0</v>
      </c>
      <c r="K345">
        <f t="shared" si="54"/>
        <v>163889</v>
      </c>
      <c r="L345">
        <f t="shared" si="55"/>
        <v>0</v>
      </c>
      <c r="M345">
        <f t="shared" si="56"/>
        <v>192</v>
      </c>
      <c r="N345">
        <f t="shared" si="57"/>
        <v>0</v>
      </c>
    </row>
    <row r="346" spans="1:14" x14ac:dyDescent="0.35">
      <c r="A346" s="5">
        <v>9872216</v>
      </c>
      <c r="B346" s="6">
        <v>42922</v>
      </c>
      <c r="C346" s="7">
        <v>0.44200231481481483</v>
      </c>
      <c r="D346" s="8">
        <v>0.44886574074074076</v>
      </c>
      <c r="E346" s="20">
        <f t="shared" si="50"/>
        <v>6.8634259259259256E-3</v>
      </c>
      <c r="F346" t="str">
        <f t="shared" si="51"/>
        <v>stacjonarny</v>
      </c>
      <c r="G346" s="23">
        <f t="shared" si="58"/>
        <v>124589</v>
      </c>
      <c r="H346">
        <f t="shared" si="59"/>
        <v>39893</v>
      </c>
      <c r="I346">
        <f t="shared" si="52"/>
        <v>0</v>
      </c>
      <c r="J346">
        <f t="shared" si="53"/>
        <v>0</v>
      </c>
      <c r="K346">
        <f t="shared" si="54"/>
        <v>164482</v>
      </c>
      <c r="L346">
        <f t="shared" si="55"/>
        <v>0</v>
      </c>
      <c r="M346">
        <f t="shared" si="56"/>
        <v>593</v>
      </c>
      <c r="N346">
        <f t="shared" si="57"/>
        <v>0</v>
      </c>
    </row>
    <row r="347" spans="1:14" x14ac:dyDescent="0.35">
      <c r="A347" s="9">
        <v>8369815</v>
      </c>
      <c r="B347" s="10">
        <v>42922</v>
      </c>
      <c r="C347" s="11">
        <v>0.44350694444444444</v>
      </c>
      <c r="D347" s="12">
        <v>0.44528935185185187</v>
      </c>
      <c r="E347" s="20">
        <f t="shared" si="50"/>
        <v>1.782407407407427E-3</v>
      </c>
      <c r="F347" t="str">
        <f t="shared" si="51"/>
        <v>stacjonarny</v>
      </c>
      <c r="G347" s="23">
        <f t="shared" si="58"/>
        <v>124743</v>
      </c>
      <c r="H347">
        <f t="shared" si="59"/>
        <v>39893</v>
      </c>
      <c r="I347">
        <f t="shared" si="52"/>
        <v>0</v>
      </c>
      <c r="J347">
        <f t="shared" si="53"/>
        <v>0</v>
      </c>
      <c r="K347">
        <f t="shared" si="54"/>
        <v>164636</v>
      </c>
      <c r="L347">
        <f t="shared" si="55"/>
        <v>0</v>
      </c>
      <c r="M347">
        <f t="shared" si="56"/>
        <v>154</v>
      </c>
      <c r="N347">
        <f t="shared" si="57"/>
        <v>0</v>
      </c>
    </row>
    <row r="348" spans="1:14" x14ac:dyDescent="0.35">
      <c r="A348" s="5">
        <v>3370151</v>
      </c>
      <c r="B348" s="6">
        <v>42922</v>
      </c>
      <c r="C348" s="7">
        <v>0.44452546296296297</v>
      </c>
      <c r="D348" s="8">
        <v>0.44923611111111111</v>
      </c>
      <c r="E348" s="20">
        <f t="shared" si="50"/>
        <v>4.7106481481481444E-3</v>
      </c>
      <c r="F348" t="str">
        <f t="shared" si="51"/>
        <v>stacjonarny</v>
      </c>
      <c r="G348" s="23">
        <f t="shared" si="58"/>
        <v>125150</v>
      </c>
      <c r="H348">
        <f t="shared" si="59"/>
        <v>39893</v>
      </c>
      <c r="I348">
        <f t="shared" si="52"/>
        <v>0</v>
      </c>
      <c r="J348">
        <f t="shared" si="53"/>
        <v>0</v>
      </c>
      <c r="K348">
        <f t="shared" si="54"/>
        <v>165043</v>
      </c>
      <c r="L348">
        <f t="shared" si="55"/>
        <v>0</v>
      </c>
      <c r="M348">
        <f t="shared" si="56"/>
        <v>407</v>
      </c>
      <c r="N348">
        <f t="shared" si="57"/>
        <v>0</v>
      </c>
    </row>
    <row r="349" spans="1:14" x14ac:dyDescent="0.35">
      <c r="A349" s="9">
        <v>1488369</v>
      </c>
      <c r="B349" s="10">
        <v>42922</v>
      </c>
      <c r="C349" s="11">
        <v>0.44871527777777775</v>
      </c>
      <c r="D349" s="12">
        <v>0.45627314814814812</v>
      </c>
      <c r="E349" s="20">
        <f t="shared" si="50"/>
        <v>7.5578703703703676E-3</v>
      </c>
      <c r="F349" t="str">
        <f t="shared" si="51"/>
        <v>stacjonarny</v>
      </c>
      <c r="G349" s="23">
        <f t="shared" si="58"/>
        <v>125803</v>
      </c>
      <c r="H349">
        <f t="shared" si="59"/>
        <v>39893</v>
      </c>
      <c r="I349">
        <f t="shared" si="52"/>
        <v>0</v>
      </c>
      <c r="J349">
        <f t="shared" si="53"/>
        <v>0</v>
      </c>
      <c r="K349">
        <f t="shared" si="54"/>
        <v>165696</v>
      </c>
      <c r="L349">
        <f t="shared" si="55"/>
        <v>0</v>
      </c>
      <c r="M349">
        <f t="shared" si="56"/>
        <v>653</v>
      </c>
      <c r="N349">
        <f t="shared" si="57"/>
        <v>0</v>
      </c>
    </row>
    <row r="350" spans="1:14" x14ac:dyDescent="0.35">
      <c r="A350" s="5">
        <v>4132754</v>
      </c>
      <c r="B350" s="6">
        <v>42922</v>
      </c>
      <c r="C350" s="7">
        <v>0.45281250000000001</v>
      </c>
      <c r="D350" s="8">
        <v>0.45374999999999999</v>
      </c>
      <c r="E350" s="20">
        <f t="shared" si="50"/>
        <v>9.3749999999998002E-4</v>
      </c>
      <c r="F350" t="str">
        <f t="shared" si="51"/>
        <v>stacjonarny</v>
      </c>
      <c r="G350" s="23">
        <f t="shared" si="58"/>
        <v>125884</v>
      </c>
      <c r="H350">
        <f t="shared" si="59"/>
        <v>39893</v>
      </c>
      <c r="I350">
        <f t="shared" si="52"/>
        <v>0</v>
      </c>
      <c r="J350">
        <f t="shared" si="53"/>
        <v>0</v>
      </c>
      <c r="K350">
        <f t="shared" si="54"/>
        <v>165777</v>
      </c>
      <c r="L350">
        <f t="shared" si="55"/>
        <v>0</v>
      </c>
      <c r="M350">
        <f t="shared" si="56"/>
        <v>81</v>
      </c>
      <c r="N350">
        <f t="shared" si="57"/>
        <v>0</v>
      </c>
    </row>
    <row r="351" spans="1:14" x14ac:dyDescent="0.35">
      <c r="A351" s="9">
        <v>66638685</v>
      </c>
      <c r="B351" s="10">
        <v>42922</v>
      </c>
      <c r="C351" s="11">
        <v>0.45401620370370371</v>
      </c>
      <c r="D351" s="12">
        <v>0.46406249999999999</v>
      </c>
      <c r="E351" s="20">
        <f t="shared" si="50"/>
        <v>1.0046296296296275E-2</v>
      </c>
      <c r="F351" t="str">
        <f t="shared" si="51"/>
        <v>komorkowy</v>
      </c>
      <c r="G351" s="23">
        <f t="shared" si="58"/>
        <v>125884</v>
      </c>
      <c r="H351">
        <f t="shared" si="59"/>
        <v>40761</v>
      </c>
      <c r="I351">
        <f t="shared" si="52"/>
        <v>0</v>
      </c>
      <c r="J351">
        <f t="shared" si="53"/>
        <v>0</v>
      </c>
      <c r="K351">
        <f t="shared" si="54"/>
        <v>166645</v>
      </c>
      <c r="L351">
        <f t="shared" si="55"/>
        <v>0</v>
      </c>
      <c r="M351">
        <f t="shared" si="56"/>
        <v>0</v>
      </c>
      <c r="N351">
        <f t="shared" si="57"/>
        <v>868</v>
      </c>
    </row>
    <row r="352" spans="1:14" x14ac:dyDescent="0.35">
      <c r="A352" s="5">
        <v>6818507</v>
      </c>
      <c r="B352" s="6">
        <v>42922</v>
      </c>
      <c r="C352" s="7">
        <v>0.4584259259259259</v>
      </c>
      <c r="D352" s="8">
        <v>0.46380787037037036</v>
      </c>
      <c r="E352" s="20">
        <f t="shared" si="50"/>
        <v>5.3819444444444531E-3</v>
      </c>
      <c r="F352" t="str">
        <f t="shared" si="51"/>
        <v>stacjonarny</v>
      </c>
      <c r="G352" s="23">
        <f t="shared" si="58"/>
        <v>126349</v>
      </c>
      <c r="H352">
        <f t="shared" si="59"/>
        <v>40761</v>
      </c>
      <c r="I352">
        <f t="shared" si="52"/>
        <v>0</v>
      </c>
      <c r="J352">
        <f t="shared" si="53"/>
        <v>0</v>
      </c>
      <c r="K352">
        <f t="shared" si="54"/>
        <v>167110</v>
      </c>
      <c r="L352">
        <f t="shared" si="55"/>
        <v>0</v>
      </c>
      <c r="M352">
        <f t="shared" si="56"/>
        <v>465</v>
      </c>
      <c r="N352">
        <f t="shared" si="57"/>
        <v>0</v>
      </c>
    </row>
    <row r="353" spans="1:14" x14ac:dyDescent="0.35">
      <c r="A353" s="9">
        <v>93611539</v>
      </c>
      <c r="B353" s="10">
        <v>42922</v>
      </c>
      <c r="C353" s="11">
        <v>0.45853009259259259</v>
      </c>
      <c r="D353" s="12">
        <v>0.46674768518518517</v>
      </c>
      <c r="E353" s="20">
        <f t="shared" si="50"/>
        <v>8.2175925925925819E-3</v>
      </c>
      <c r="F353" t="str">
        <f t="shared" si="51"/>
        <v>komorkowy</v>
      </c>
      <c r="G353" s="23">
        <f t="shared" si="58"/>
        <v>126349</v>
      </c>
      <c r="H353">
        <f t="shared" si="59"/>
        <v>41471</v>
      </c>
      <c r="I353">
        <f t="shared" si="52"/>
        <v>0</v>
      </c>
      <c r="J353">
        <f t="shared" si="53"/>
        <v>0</v>
      </c>
      <c r="K353">
        <f t="shared" si="54"/>
        <v>167820</v>
      </c>
      <c r="L353">
        <f t="shared" si="55"/>
        <v>0</v>
      </c>
      <c r="M353">
        <f t="shared" si="56"/>
        <v>0</v>
      </c>
      <c r="N353">
        <f t="shared" si="57"/>
        <v>710</v>
      </c>
    </row>
    <row r="354" spans="1:14" x14ac:dyDescent="0.35">
      <c r="A354" s="5">
        <v>2890519255</v>
      </c>
      <c r="B354" s="6">
        <v>42922</v>
      </c>
      <c r="C354" s="7">
        <v>0.4613888888888889</v>
      </c>
      <c r="D354" s="8">
        <v>0.46836805555555555</v>
      </c>
      <c r="E354" s="20">
        <f t="shared" si="50"/>
        <v>6.9791666666666474E-3</v>
      </c>
      <c r="F354" t="str">
        <f t="shared" si="51"/>
        <v>zagraniczny</v>
      </c>
      <c r="G354" s="23">
        <f t="shared" si="58"/>
        <v>126349</v>
      </c>
      <c r="H354">
        <f t="shared" si="59"/>
        <v>41471</v>
      </c>
      <c r="I354">
        <f t="shared" si="52"/>
        <v>603</v>
      </c>
      <c r="J354">
        <f t="shared" si="53"/>
        <v>11</v>
      </c>
      <c r="K354">
        <f t="shared" si="54"/>
        <v>167820</v>
      </c>
      <c r="L354">
        <f t="shared" si="55"/>
        <v>0</v>
      </c>
      <c r="M354">
        <f t="shared" si="56"/>
        <v>0</v>
      </c>
      <c r="N354">
        <f t="shared" si="57"/>
        <v>0</v>
      </c>
    </row>
    <row r="355" spans="1:14" x14ac:dyDescent="0.35">
      <c r="A355" s="9">
        <v>66336445</v>
      </c>
      <c r="B355" s="10">
        <v>42922</v>
      </c>
      <c r="C355" s="11">
        <v>0.46322916666666669</v>
      </c>
      <c r="D355" s="12">
        <v>0.4642013888888889</v>
      </c>
      <c r="E355" s="20">
        <f t="shared" si="50"/>
        <v>9.7222222222220767E-4</v>
      </c>
      <c r="F355" t="str">
        <f t="shared" si="51"/>
        <v>komorkowy</v>
      </c>
      <c r="G355" s="23">
        <f t="shared" si="58"/>
        <v>126349</v>
      </c>
      <c r="H355">
        <f t="shared" si="59"/>
        <v>41555</v>
      </c>
      <c r="I355">
        <f t="shared" si="52"/>
        <v>0</v>
      </c>
      <c r="J355">
        <f t="shared" si="53"/>
        <v>0</v>
      </c>
      <c r="K355">
        <f t="shared" si="54"/>
        <v>167904</v>
      </c>
      <c r="L355">
        <f t="shared" si="55"/>
        <v>0</v>
      </c>
      <c r="M355">
        <f t="shared" si="56"/>
        <v>0</v>
      </c>
      <c r="N355">
        <f t="shared" si="57"/>
        <v>84</v>
      </c>
    </row>
    <row r="356" spans="1:14" x14ac:dyDescent="0.35">
      <c r="A356" s="5">
        <v>9356324</v>
      </c>
      <c r="B356" s="6">
        <v>42922</v>
      </c>
      <c r="C356" s="7">
        <v>0.46339120370370368</v>
      </c>
      <c r="D356" s="8">
        <v>0.47425925925925927</v>
      </c>
      <c r="E356" s="20">
        <f t="shared" si="50"/>
        <v>1.0868055555555589E-2</v>
      </c>
      <c r="F356" t="str">
        <f t="shared" si="51"/>
        <v>stacjonarny</v>
      </c>
      <c r="G356" s="23">
        <f t="shared" si="58"/>
        <v>127288</v>
      </c>
      <c r="H356">
        <f t="shared" si="59"/>
        <v>41555</v>
      </c>
      <c r="I356">
        <f t="shared" si="52"/>
        <v>0</v>
      </c>
      <c r="J356">
        <f t="shared" si="53"/>
        <v>0</v>
      </c>
      <c r="K356">
        <f t="shared" si="54"/>
        <v>168843</v>
      </c>
      <c r="L356">
        <f t="shared" si="55"/>
        <v>0</v>
      </c>
      <c r="M356">
        <f t="shared" si="56"/>
        <v>939</v>
      </c>
      <c r="N356">
        <f t="shared" si="57"/>
        <v>0</v>
      </c>
    </row>
    <row r="357" spans="1:14" x14ac:dyDescent="0.35">
      <c r="A357" s="9">
        <v>5111892302</v>
      </c>
      <c r="B357" s="10">
        <v>42922</v>
      </c>
      <c r="C357" s="11">
        <v>0.46871527777777777</v>
      </c>
      <c r="D357" s="12">
        <v>0.47319444444444442</v>
      </c>
      <c r="E357" s="20">
        <f t="shared" si="50"/>
        <v>4.4791666666666452E-3</v>
      </c>
      <c r="F357" t="str">
        <f t="shared" si="51"/>
        <v>zagraniczny</v>
      </c>
      <c r="G357" s="23">
        <f t="shared" si="58"/>
        <v>127288</v>
      </c>
      <c r="H357">
        <f t="shared" si="59"/>
        <v>41555</v>
      </c>
      <c r="I357">
        <f t="shared" si="52"/>
        <v>387</v>
      </c>
      <c r="J357">
        <f t="shared" si="53"/>
        <v>7</v>
      </c>
      <c r="K357">
        <f t="shared" si="54"/>
        <v>168843</v>
      </c>
      <c r="L357">
        <f t="shared" si="55"/>
        <v>0</v>
      </c>
      <c r="M357">
        <f t="shared" si="56"/>
        <v>0</v>
      </c>
      <c r="N357">
        <f t="shared" si="57"/>
        <v>0</v>
      </c>
    </row>
    <row r="358" spans="1:14" x14ac:dyDescent="0.35">
      <c r="A358" s="5">
        <v>2435007</v>
      </c>
      <c r="B358" s="6">
        <v>42922</v>
      </c>
      <c r="C358" s="7">
        <v>0.47395833333333331</v>
      </c>
      <c r="D358" s="8">
        <v>0.47423611111111114</v>
      </c>
      <c r="E358" s="20">
        <f t="shared" si="50"/>
        <v>2.777777777778212E-4</v>
      </c>
      <c r="F358" t="str">
        <f t="shared" si="51"/>
        <v>stacjonarny</v>
      </c>
      <c r="G358" s="23">
        <f t="shared" si="58"/>
        <v>127312</v>
      </c>
      <c r="H358">
        <f t="shared" si="59"/>
        <v>41555</v>
      </c>
      <c r="I358">
        <f t="shared" si="52"/>
        <v>0</v>
      </c>
      <c r="J358">
        <f t="shared" si="53"/>
        <v>0</v>
      </c>
      <c r="K358">
        <f t="shared" si="54"/>
        <v>168867</v>
      </c>
      <c r="L358">
        <f t="shared" si="55"/>
        <v>0</v>
      </c>
      <c r="M358">
        <f t="shared" si="56"/>
        <v>24</v>
      </c>
      <c r="N358">
        <f t="shared" si="57"/>
        <v>0</v>
      </c>
    </row>
    <row r="359" spans="1:14" x14ac:dyDescent="0.35">
      <c r="A359" s="9">
        <v>6694568</v>
      </c>
      <c r="B359" s="10">
        <v>42922</v>
      </c>
      <c r="C359" s="11">
        <v>0.47865740740740742</v>
      </c>
      <c r="D359" s="12">
        <v>0.48923611111111109</v>
      </c>
      <c r="E359" s="20">
        <f t="shared" si="50"/>
        <v>1.0578703703703674E-2</v>
      </c>
      <c r="F359" t="str">
        <f t="shared" si="51"/>
        <v>stacjonarny</v>
      </c>
      <c r="G359" s="23">
        <f t="shared" si="58"/>
        <v>128226</v>
      </c>
      <c r="H359">
        <f t="shared" si="59"/>
        <v>41555</v>
      </c>
      <c r="I359">
        <f t="shared" si="52"/>
        <v>0</v>
      </c>
      <c r="J359">
        <f t="shared" si="53"/>
        <v>0</v>
      </c>
      <c r="K359">
        <f t="shared" si="54"/>
        <v>169781</v>
      </c>
      <c r="L359">
        <f t="shared" si="55"/>
        <v>0</v>
      </c>
      <c r="M359">
        <f t="shared" si="56"/>
        <v>914</v>
      </c>
      <c r="N359">
        <f t="shared" si="57"/>
        <v>0</v>
      </c>
    </row>
    <row r="360" spans="1:14" x14ac:dyDescent="0.35">
      <c r="A360" s="5">
        <v>6420583</v>
      </c>
      <c r="B360" s="6">
        <v>42922</v>
      </c>
      <c r="C360" s="7">
        <v>0.48</v>
      </c>
      <c r="D360" s="8">
        <v>0.48539351851851853</v>
      </c>
      <c r="E360" s="20">
        <f t="shared" si="50"/>
        <v>5.3935185185185475E-3</v>
      </c>
      <c r="F360" t="str">
        <f t="shared" si="51"/>
        <v>stacjonarny</v>
      </c>
      <c r="G360" s="23">
        <f t="shared" si="58"/>
        <v>128692</v>
      </c>
      <c r="H360">
        <f t="shared" si="59"/>
        <v>41555</v>
      </c>
      <c r="I360">
        <f t="shared" si="52"/>
        <v>0</v>
      </c>
      <c r="J360">
        <f t="shared" si="53"/>
        <v>0</v>
      </c>
      <c r="K360">
        <f t="shared" si="54"/>
        <v>170247</v>
      </c>
      <c r="L360">
        <f t="shared" si="55"/>
        <v>0</v>
      </c>
      <c r="M360">
        <f t="shared" si="56"/>
        <v>466</v>
      </c>
      <c r="N360">
        <f t="shared" si="57"/>
        <v>0</v>
      </c>
    </row>
    <row r="361" spans="1:14" x14ac:dyDescent="0.35">
      <c r="A361" s="9">
        <v>19835498</v>
      </c>
      <c r="B361" s="10">
        <v>42922</v>
      </c>
      <c r="C361" s="11">
        <v>0.48478009259259258</v>
      </c>
      <c r="D361" s="12">
        <v>0.49233796296296295</v>
      </c>
      <c r="E361" s="20">
        <f t="shared" si="50"/>
        <v>7.5578703703703676E-3</v>
      </c>
      <c r="F361" t="str">
        <f t="shared" si="51"/>
        <v>komorkowy</v>
      </c>
      <c r="G361" s="23">
        <f t="shared" si="58"/>
        <v>128692</v>
      </c>
      <c r="H361">
        <f t="shared" si="59"/>
        <v>42208</v>
      </c>
      <c r="I361">
        <f t="shared" si="52"/>
        <v>0</v>
      </c>
      <c r="J361">
        <f t="shared" si="53"/>
        <v>0</v>
      </c>
      <c r="K361">
        <f t="shared" si="54"/>
        <v>170900</v>
      </c>
      <c r="L361">
        <f t="shared" si="55"/>
        <v>0</v>
      </c>
      <c r="M361">
        <f t="shared" si="56"/>
        <v>0</v>
      </c>
      <c r="N361">
        <f t="shared" si="57"/>
        <v>653</v>
      </c>
    </row>
    <row r="362" spans="1:14" x14ac:dyDescent="0.35">
      <c r="A362" s="5">
        <v>6663334</v>
      </c>
      <c r="B362" s="6">
        <v>42922</v>
      </c>
      <c r="C362" s="7">
        <v>0.48605324074074074</v>
      </c>
      <c r="D362" s="8">
        <v>0.49381944444444442</v>
      </c>
      <c r="E362" s="20">
        <f t="shared" si="50"/>
        <v>7.766203703703678E-3</v>
      </c>
      <c r="F362" t="str">
        <f t="shared" si="51"/>
        <v>stacjonarny</v>
      </c>
      <c r="G362" s="23">
        <f t="shared" si="58"/>
        <v>129363</v>
      </c>
      <c r="H362">
        <f t="shared" si="59"/>
        <v>42208</v>
      </c>
      <c r="I362">
        <f t="shared" si="52"/>
        <v>0</v>
      </c>
      <c r="J362">
        <f t="shared" si="53"/>
        <v>0</v>
      </c>
      <c r="K362">
        <f t="shared" si="54"/>
        <v>171571</v>
      </c>
      <c r="L362">
        <f t="shared" si="55"/>
        <v>0</v>
      </c>
      <c r="M362">
        <f t="shared" si="56"/>
        <v>671</v>
      </c>
      <c r="N362">
        <f t="shared" si="57"/>
        <v>0</v>
      </c>
    </row>
    <row r="363" spans="1:14" x14ac:dyDescent="0.35">
      <c r="A363" s="9">
        <v>44765837</v>
      </c>
      <c r="B363" s="10">
        <v>42922</v>
      </c>
      <c r="C363" s="11">
        <v>0.4887037037037037</v>
      </c>
      <c r="D363" s="12">
        <v>0.49343749999999997</v>
      </c>
      <c r="E363" s="20">
        <f t="shared" si="50"/>
        <v>4.7337962962962776E-3</v>
      </c>
      <c r="F363" t="str">
        <f t="shared" si="51"/>
        <v>komorkowy</v>
      </c>
      <c r="G363" s="23">
        <f t="shared" si="58"/>
        <v>129363</v>
      </c>
      <c r="H363">
        <f t="shared" si="59"/>
        <v>42617</v>
      </c>
      <c r="I363">
        <f t="shared" si="52"/>
        <v>0</v>
      </c>
      <c r="J363">
        <f t="shared" si="53"/>
        <v>0</v>
      </c>
      <c r="K363">
        <f t="shared" si="54"/>
        <v>171980</v>
      </c>
      <c r="L363">
        <f t="shared" si="55"/>
        <v>0</v>
      </c>
      <c r="M363">
        <f t="shared" si="56"/>
        <v>0</v>
      </c>
      <c r="N363">
        <f t="shared" si="57"/>
        <v>409</v>
      </c>
    </row>
    <row r="364" spans="1:14" x14ac:dyDescent="0.35">
      <c r="A364" s="5">
        <v>2469778</v>
      </c>
      <c r="B364" s="6">
        <v>42922</v>
      </c>
      <c r="C364" s="7">
        <v>0.49236111111111114</v>
      </c>
      <c r="D364" s="8">
        <v>0.49780092592592595</v>
      </c>
      <c r="E364" s="20">
        <f t="shared" si="50"/>
        <v>5.439814814814814E-3</v>
      </c>
      <c r="F364" t="str">
        <f t="shared" si="51"/>
        <v>stacjonarny</v>
      </c>
      <c r="G364" s="23">
        <f t="shared" si="58"/>
        <v>129833</v>
      </c>
      <c r="H364">
        <f t="shared" si="59"/>
        <v>42617</v>
      </c>
      <c r="I364">
        <f t="shared" si="52"/>
        <v>0</v>
      </c>
      <c r="J364">
        <f t="shared" si="53"/>
        <v>0</v>
      </c>
      <c r="K364">
        <f t="shared" si="54"/>
        <v>172450</v>
      </c>
      <c r="L364">
        <f t="shared" si="55"/>
        <v>0</v>
      </c>
      <c r="M364">
        <f t="shared" si="56"/>
        <v>470</v>
      </c>
      <c r="N364">
        <f t="shared" si="57"/>
        <v>0</v>
      </c>
    </row>
    <row r="365" spans="1:14" x14ac:dyDescent="0.35">
      <c r="A365" s="9">
        <v>1959826</v>
      </c>
      <c r="B365" s="10">
        <v>42922</v>
      </c>
      <c r="C365" s="11">
        <v>0.49372685185185183</v>
      </c>
      <c r="D365" s="12">
        <v>0.50436342592592598</v>
      </c>
      <c r="E365" s="20">
        <f t="shared" si="50"/>
        <v>1.0636574074074145E-2</v>
      </c>
      <c r="F365" t="str">
        <f t="shared" si="51"/>
        <v>stacjonarny</v>
      </c>
      <c r="G365" s="23">
        <f t="shared" si="58"/>
        <v>130752</v>
      </c>
      <c r="H365">
        <f t="shared" si="59"/>
        <v>42617</v>
      </c>
      <c r="I365">
        <f t="shared" si="52"/>
        <v>0</v>
      </c>
      <c r="J365">
        <f t="shared" si="53"/>
        <v>0</v>
      </c>
      <c r="K365">
        <f t="shared" si="54"/>
        <v>173369</v>
      </c>
      <c r="L365">
        <f t="shared" si="55"/>
        <v>0</v>
      </c>
      <c r="M365">
        <f t="shared" si="56"/>
        <v>919</v>
      </c>
      <c r="N365">
        <f t="shared" si="57"/>
        <v>0</v>
      </c>
    </row>
    <row r="366" spans="1:14" x14ac:dyDescent="0.35">
      <c r="A366" s="5">
        <v>37032078</v>
      </c>
      <c r="B366" s="6">
        <v>42922</v>
      </c>
      <c r="C366" s="7">
        <v>0.49387731481481484</v>
      </c>
      <c r="D366" s="8">
        <v>0.50420138888888888</v>
      </c>
      <c r="E366" s="20">
        <f t="shared" si="50"/>
        <v>1.0324074074074041E-2</v>
      </c>
      <c r="F366" t="str">
        <f t="shared" si="51"/>
        <v>komorkowy</v>
      </c>
      <c r="G366" s="23">
        <f t="shared" si="58"/>
        <v>130752</v>
      </c>
      <c r="H366">
        <f t="shared" si="59"/>
        <v>43509</v>
      </c>
      <c r="I366">
        <f t="shared" si="52"/>
        <v>0</v>
      </c>
      <c r="J366">
        <f t="shared" si="53"/>
        <v>0</v>
      </c>
      <c r="K366">
        <f t="shared" si="54"/>
        <v>174261</v>
      </c>
      <c r="L366">
        <f t="shared" si="55"/>
        <v>0</v>
      </c>
      <c r="M366">
        <f t="shared" si="56"/>
        <v>0</v>
      </c>
      <c r="N366">
        <f t="shared" si="57"/>
        <v>892</v>
      </c>
    </row>
    <row r="367" spans="1:14" x14ac:dyDescent="0.35">
      <c r="A367" s="9">
        <v>6516512</v>
      </c>
      <c r="B367" s="10">
        <v>42922</v>
      </c>
      <c r="C367" s="11">
        <v>0.49438657407407405</v>
      </c>
      <c r="D367" s="12">
        <v>0.49909722222222225</v>
      </c>
      <c r="E367" s="20">
        <f t="shared" si="50"/>
        <v>4.7106481481481999E-3</v>
      </c>
      <c r="F367" t="str">
        <f t="shared" si="51"/>
        <v>stacjonarny</v>
      </c>
      <c r="G367" s="23">
        <f t="shared" si="58"/>
        <v>131159</v>
      </c>
      <c r="H367">
        <f t="shared" si="59"/>
        <v>43509</v>
      </c>
      <c r="I367">
        <f t="shared" si="52"/>
        <v>0</v>
      </c>
      <c r="J367">
        <f t="shared" si="53"/>
        <v>0</v>
      </c>
      <c r="K367">
        <f t="shared" si="54"/>
        <v>174668</v>
      </c>
      <c r="L367">
        <f t="shared" si="55"/>
        <v>0</v>
      </c>
      <c r="M367">
        <f t="shared" si="56"/>
        <v>407</v>
      </c>
      <c r="N367">
        <f t="shared" si="57"/>
        <v>0</v>
      </c>
    </row>
    <row r="368" spans="1:14" x14ac:dyDescent="0.35">
      <c r="A368" s="5">
        <v>4726561</v>
      </c>
      <c r="B368" s="6">
        <v>42922</v>
      </c>
      <c r="C368" s="7">
        <v>0.49910879629629629</v>
      </c>
      <c r="D368" s="8">
        <v>0.5009837962962963</v>
      </c>
      <c r="E368" s="20">
        <f t="shared" si="50"/>
        <v>1.8750000000000155E-3</v>
      </c>
      <c r="F368" t="str">
        <f t="shared" si="51"/>
        <v>stacjonarny</v>
      </c>
      <c r="G368" s="23">
        <f t="shared" si="58"/>
        <v>131321</v>
      </c>
      <c r="H368">
        <f t="shared" si="59"/>
        <v>43509</v>
      </c>
      <c r="I368">
        <f t="shared" si="52"/>
        <v>0</v>
      </c>
      <c r="J368">
        <f t="shared" si="53"/>
        <v>0</v>
      </c>
      <c r="K368">
        <f t="shared" si="54"/>
        <v>174830</v>
      </c>
      <c r="L368">
        <f t="shared" si="55"/>
        <v>0</v>
      </c>
      <c r="M368">
        <f t="shared" si="56"/>
        <v>162</v>
      </c>
      <c r="N368">
        <f t="shared" si="57"/>
        <v>0</v>
      </c>
    </row>
    <row r="369" spans="1:14" x14ac:dyDescent="0.35">
      <c r="A369" s="9">
        <v>9685747</v>
      </c>
      <c r="B369" s="10">
        <v>42922</v>
      </c>
      <c r="C369" s="11">
        <v>0.50342592592592594</v>
      </c>
      <c r="D369" s="12">
        <v>0.51392361111111107</v>
      </c>
      <c r="E369" s="20">
        <f t="shared" si="50"/>
        <v>1.0497685185185124E-2</v>
      </c>
      <c r="F369" t="str">
        <f t="shared" si="51"/>
        <v>stacjonarny</v>
      </c>
      <c r="G369" s="23">
        <f t="shared" si="58"/>
        <v>132228</v>
      </c>
      <c r="H369">
        <f t="shared" si="59"/>
        <v>43509</v>
      </c>
      <c r="I369">
        <f t="shared" si="52"/>
        <v>0</v>
      </c>
      <c r="J369">
        <f t="shared" si="53"/>
        <v>0</v>
      </c>
      <c r="K369">
        <f t="shared" si="54"/>
        <v>175737</v>
      </c>
      <c r="L369">
        <f t="shared" si="55"/>
        <v>0</v>
      </c>
      <c r="M369">
        <f t="shared" si="56"/>
        <v>907</v>
      </c>
      <c r="N369">
        <f t="shared" si="57"/>
        <v>0</v>
      </c>
    </row>
    <row r="370" spans="1:14" x14ac:dyDescent="0.35">
      <c r="A370" s="5">
        <v>7507354</v>
      </c>
      <c r="B370" s="6">
        <v>42922</v>
      </c>
      <c r="C370" s="7">
        <v>0.50700231481481484</v>
      </c>
      <c r="D370" s="8">
        <v>0.51186342592592593</v>
      </c>
      <c r="E370" s="20">
        <f t="shared" si="50"/>
        <v>4.8611111111110938E-3</v>
      </c>
      <c r="F370" t="str">
        <f t="shared" si="51"/>
        <v>stacjonarny</v>
      </c>
      <c r="G370" s="23">
        <f t="shared" si="58"/>
        <v>132648</v>
      </c>
      <c r="H370">
        <f t="shared" si="59"/>
        <v>43509</v>
      </c>
      <c r="I370">
        <f t="shared" si="52"/>
        <v>0</v>
      </c>
      <c r="J370">
        <f t="shared" si="53"/>
        <v>0</v>
      </c>
      <c r="K370">
        <f t="shared" si="54"/>
        <v>176157</v>
      </c>
      <c r="L370">
        <f t="shared" si="55"/>
        <v>0</v>
      </c>
      <c r="M370">
        <f t="shared" si="56"/>
        <v>420</v>
      </c>
      <c r="N370">
        <f t="shared" si="57"/>
        <v>0</v>
      </c>
    </row>
    <row r="371" spans="1:14" x14ac:dyDescent="0.35">
      <c r="A371" s="9">
        <v>8605742</v>
      </c>
      <c r="B371" s="10">
        <v>42922</v>
      </c>
      <c r="C371" s="11">
        <v>0.5119097222222222</v>
      </c>
      <c r="D371" s="12">
        <v>0.52288194444444447</v>
      </c>
      <c r="E371" s="20">
        <f t="shared" si="50"/>
        <v>1.0972222222222272E-2</v>
      </c>
      <c r="F371" t="str">
        <f t="shared" si="51"/>
        <v>stacjonarny</v>
      </c>
      <c r="G371" s="23">
        <f t="shared" si="58"/>
        <v>133596</v>
      </c>
      <c r="H371">
        <f t="shared" si="59"/>
        <v>43509</v>
      </c>
      <c r="I371">
        <f t="shared" si="52"/>
        <v>0</v>
      </c>
      <c r="J371">
        <f t="shared" si="53"/>
        <v>0</v>
      </c>
      <c r="K371">
        <f t="shared" si="54"/>
        <v>177105</v>
      </c>
      <c r="L371">
        <f t="shared" si="55"/>
        <v>0</v>
      </c>
      <c r="M371">
        <f t="shared" si="56"/>
        <v>948</v>
      </c>
      <c r="N371">
        <f t="shared" si="57"/>
        <v>0</v>
      </c>
    </row>
    <row r="372" spans="1:14" x14ac:dyDescent="0.35">
      <c r="A372" s="5">
        <v>4681236</v>
      </c>
      <c r="B372" s="6">
        <v>42922</v>
      </c>
      <c r="C372" s="7">
        <v>0.51452546296296298</v>
      </c>
      <c r="D372" s="8">
        <v>0.51570601851851849</v>
      </c>
      <c r="E372" s="20">
        <f t="shared" si="50"/>
        <v>1.1805555555555181E-3</v>
      </c>
      <c r="F372" t="str">
        <f t="shared" si="51"/>
        <v>stacjonarny</v>
      </c>
      <c r="G372" s="23">
        <f t="shared" si="58"/>
        <v>133698</v>
      </c>
      <c r="H372">
        <f t="shared" si="59"/>
        <v>43509</v>
      </c>
      <c r="I372">
        <f t="shared" si="52"/>
        <v>0</v>
      </c>
      <c r="J372">
        <f t="shared" si="53"/>
        <v>0</v>
      </c>
      <c r="K372">
        <f t="shared" si="54"/>
        <v>177207</v>
      </c>
      <c r="L372">
        <f t="shared" si="55"/>
        <v>0</v>
      </c>
      <c r="M372">
        <f t="shared" si="56"/>
        <v>102</v>
      </c>
      <c r="N372">
        <f t="shared" si="57"/>
        <v>0</v>
      </c>
    </row>
    <row r="373" spans="1:14" x14ac:dyDescent="0.35">
      <c r="A373" s="9">
        <v>3590468</v>
      </c>
      <c r="B373" s="10">
        <v>42922</v>
      </c>
      <c r="C373" s="11">
        <v>0.51556712962962958</v>
      </c>
      <c r="D373" s="12">
        <v>0.52572916666666669</v>
      </c>
      <c r="E373" s="20">
        <f t="shared" si="50"/>
        <v>1.0162037037037108E-2</v>
      </c>
      <c r="F373" t="str">
        <f t="shared" si="51"/>
        <v>stacjonarny</v>
      </c>
      <c r="G373" s="23">
        <f t="shared" si="58"/>
        <v>134576</v>
      </c>
      <c r="H373">
        <f t="shared" si="59"/>
        <v>43509</v>
      </c>
      <c r="I373">
        <f t="shared" si="52"/>
        <v>0</v>
      </c>
      <c r="J373">
        <f t="shared" si="53"/>
        <v>0</v>
      </c>
      <c r="K373">
        <f t="shared" si="54"/>
        <v>178085</v>
      </c>
      <c r="L373">
        <f t="shared" si="55"/>
        <v>0</v>
      </c>
      <c r="M373">
        <f t="shared" si="56"/>
        <v>878</v>
      </c>
      <c r="N373">
        <f t="shared" si="57"/>
        <v>0</v>
      </c>
    </row>
    <row r="374" spans="1:14" x14ac:dyDescent="0.35">
      <c r="A374" s="5">
        <v>9878283</v>
      </c>
      <c r="B374" s="6">
        <v>42922</v>
      </c>
      <c r="C374" s="7">
        <v>0.51858796296296295</v>
      </c>
      <c r="D374" s="8">
        <v>0.52776620370370375</v>
      </c>
      <c r="E374" s="20">
        <f t="shared" si="50"/>
        <v>9.1782407407408062E-3</v>
      </c>
      <c r="F374" t="str">
        <f t="shared" si="51"/>
        <v>stacjonarny</v>
      </c>
      <c r="G374" s="23">
        <f t="shared" si="58"/>
        <v>135369</v>
      </c>
      <c r="H374">
        <f t="shared" si="59"/>
        <v>43509</v>
      </c>
      <c r="I374">
        <f t="shared" si="52"/>
        <v>0</v>
      </c>
      <c r="J374">
        <f t="shared" si="53"/>
        <v>0</v>
      </c>
      <c r="K374">
        <f t="shared" si="54"/>
        <v>178878</v>
      </c>
      <c r="L374">
        <f t="shared" si="55"/>
        <v>0</v>
      </c>
      <c r="M374">
        <f t="shared" si="56"/>
        <v>793</v>
      </c>
      <c r="N374">
        <f t="shared" si="57"/>
        <v>0</v>
      </c>
    </row>
    <row r="375" spans="1:14" x14ac:dyDescent="0.35">
      <c r="A375" s="9">
        <v>5991516</v>
      </c>
      <c r="B375" s="10">
        <v>42922</v>
      </c>
      <c r="C375" s="11">
        <v>0.52217592592592588</v>
      </c>
      <c r="D375" s="12">
        <v>0.53173611111111108</v>
      </c>
      <c r="E375" s="20">
        <f t="shared" si="50"/>
        <v>9.5601851851851993E-3</v>
      </c>
      <c r="F375" t="str">
        <f t="shared" si="51"/>
        <v>stacjonarny</v>
      </c>
      <c r="G375" s="23">
        <f t="shared" si="58"/>
        <v>136195</v>
      </c>
      <c r="H375">
        <f t="shared" si="59"/>
        <v>43509</v>
      </c>
      <c r="I375">
        <f t="shared" si="52"/>
        <v>0</v>
      </c>
      <c r="J375">
        <f t="shared" si="53"/>
        <v>0</v>
      </c>
      <c r="K375">
        <f t="shared" si="54"/>
        <v>179704</v>
      </c>
      <c r="L375">
        <f t="shared" si="55"/>
        <v>0</v>
      </c>
      <c r="M375">
        <f t="shared" si="56"/>
        <v>826</v>
      </c>
      <c r="N375">
        <f t="shared" si="57"/>
        <v>0</v>
      </c>
    </row>
    <row r="376" spans="1:14" x14ac:dyDescent="0.35">
      <c r="A376" s="5">
        <v>1240369</v>
      </c>
      <c r="B376" s="6">
        <v>42922</v>
      </c>
      <c r="C376" s="7">
        <v>0.52767361111111111</v>
      </c>
      <c r="D376" s="8">
        <v>0.52850694444444446</v>
      </c>
      <c r="E376" s="20">
        <f t="shared" si="50"/>
        <v>8.3333333333335258E-4</v>
      </c>
      <c r="F376" t="str">
        <f t="shared" si="51"/>
        <v>stacjonarny</v>
      </c>
      <c r="G376" s="23">
        <f t="shared" si="58"/>
        <v>136267</v>
      </c>
      <c r="H376">
        <f t="shared" si="59"/>
        <v>43509</v>
      </c>
      <c r="I376">
        <f t="shared" si="52"/>
        <v>0</v>
      </c>
      <c r="J376">
        <f t="shared" si="53"/>
        <v>0</v>
      </c>
      <c r="K376">
        <f t="shared" si="54"/>
        <v>179776</v>
      </c>
      <c r="L376">
        <f t="shared" si="55"/>
        <v>0</v>
      </c>
      <c r="M376">
        <f t="shared" si="56"/>
        <v>72</v>
      </c>
      <c r="N376">
        <f t="shared" si="57"/>
        <v>0</v>
      </c>
    </row>
    <row r="377" spans="1:14" x14ac:dyDescent="0.35">
      <c r="A377" s="9">
        <v>25133293</v>
      </c>
      <c r="B377" s="10">
        <v>42922</v>
      </c>
      <c r="C377" s="11">
        <v>0.528900462962963</v>
      </c>
      <c r="D377" s="12">
        <v>0.53740740740740744</v>
      </c>
      <c r="E377" s="20">
        <f t="shared" si="50"/>
        <v>8.506944444444442E-3</v>
      </c>
      <c r="F377" t="str">
        <f t="shared" si="51"/>
        <v>komorkowy</v>
      </c>
      <c r="G377" s="23">
        <f t="shared" si="58"/>
        <v>136267</v>
      </c>
      <c r="H377">
        <f t="shared" si="59"/>
        <v>44244</v>
      </c>
      <c r="I377">
        <f t="shared" si="52"/>
        <v>0</v>
      </c>
      <c r="J377">
        <f t="shared" si="53"/>
        <v>0</v>
      </c>
      <c r="K377">
        <f t="shared" si="54"/>
        <v>180511</v>
      </c>
      <c r="L377">
        <f t="shared" si="55"/>
        <v>0</v>
      </c>
      <c r="M377">
        <f t="shared" si="56"/>
        <v>0</v>
      </c>
      <c r="N377">
        <f t="shared" si="57"/>
        <v>735</v>
      </c>
    </row>
    <row r="378" spans="1:14" x14ac:dyDescent="0.35">
      <c r="A378" s="5">
        <v>5036422</v>
      </c>
      <c r="B378" s="6">
        <v>42922</v>
      </c>
      <c r="C378" s="7">
        <v>0.52986111111111112</v>
      </c>
      <c r="D378" s="8">
        <v>0.53047453703703706</v>
      </c>
      <c r="E378" s="20">
        <f t="shared" si="50"/>
        <v>6.134259259259478E-4</v>
      </c>
      <c r="F378" t="str">
        <f t="shared" si="51"/>
        <v>stacjonarny</v>
      </c>
      <c r="G378" s="23">
        <f t="shared" si="58"/>
        <v>136320</v>
      </c>
      <c r="H378">
        <f t="shared" si="59"/>
        <v>44244</v>
      </c>
      <c r="I378">
        <f t="shared" si="52"/>
        <v>0</v>
      </c>
      <c r="J378">
        <f t="shared" si="53"/>
        <v>0</v>
      </c>
      <c r="K378">
        <f t="shared" si="54"/>
        <v>180564</v>
      </c>
      <c r="L378">
        <f t="shared" si="55"/>
        <v>0</v>
      </c>
      <c r="M378">
        <f t="shared" si="56"/>
        <v>53</v>
      </c>
      <c r="N378">
        <f t="shared" si="57"/>
        <v>0</v>
      </c>
    </row>
    <row r="379" spans="1:14" x14ac:dyDescent="0.35">
      <c r="A379" s="9">
        <v>4283724</v>
      </c>
      <c r="B379" s="10">
        <v>42922</v>
      </c>
      <c r="C379" s="11">
        <v>0.53134259259259264</v>
      </c>
      <c r="D379" s="12">
        <v>0.53738425925925926</v>
      </c>
      <c r="E379" s="20">
        <f t="shared" si="50"/>
        <v>6.0416666666666119E-3</v>
      </c>
      <c r="F379" t="str">
        <f t="shared" si="51"/>
        <v>stacjonarny</v>
      </c>
      <c r="G379" s="23">
        <f t="shared" si="58"/>
        <v>136842</v>
      </c>
      <c r="H379">
        <f t="shared" si="59"/>
        <v>44244</v>
      </c>
      <c r="I379">
        <f t="shared" si="52"/>
        <v>0</v>
      </c>
      <c r="J379">
        <f t="shared" si="53"/>
        <v>0</v>
      </c>
      <c r="K379">
        <f t="shared" si="54"/>
        <v>181086</v>
      </c>
      <c r="L379">
        <f t="shared" si="55"/>
        <v>0</v>
      </c>
      <c r="M379">
        <f t="shared" si="56"/>
        <v>522</v>
      </c>
      <c r="N379">
        <f t="shared" si="57"/>
        <v>0</v>
      </c>
    </row>
    <row r="380" spans="1:14" x14ac:dyDescent="0.35">
      <c r="A380" s="5">
        <v>5856822</v>
      </c>
      <c r="B380" s="6">
        <v>42922</v>
      </c>
      <c r="C380" s="7">
        <v>0.533599537037037</v>
      </c>
      <c r="D380" s="8">
        <v>0.53469907407407402</v>
      </c>
      <c r="E380" s="20">
        <f t="shared" si="50"/>
        <v>1.0995370370370239E-3</v>
      </c>
      <c r="F380" t="str">
        <f t="shared" si="51"/>
        <v>stacjonarny</v>
      </c>
      <c r="G380" s="23">
        <f t="shared" si="58"/>
        <v>136937</v>
      </c>
      <c r="H380">
        <f t="shared" si="59"/>
        <v>44244</v>
      </c>
      <c r="I380">
        <f t="shared" si="52"/>
        <v>0</v>
      </c>
      <c r="J380">
        <f t="shared" si="53"/>
        <v>0</v>
      </c>
      <c r="K380">
        <f t="shared" si="54"/>
        <v>181181</v>
      </c>
      <c r="L380">
        <f t="shared" si="55"/>
        <v>0</v>
      </c>
      <c r="M380">
        <f t="shared" si="56"/>
        <v>95</v>
      </c>
      <c r="N380">
        <f t="shared" si="57"/>
        <v>0</v>
      </c>
    </row>
    <row r="381" spans="1:14" x14ac:dyDescent="0.35">
      <c r="A381" s="9">
        <v>7880396</v>
      </c>
      <c r="B381" s="10">
        <v>42922</v>
      </c>
      <c r="C381" s="11">
        <v>0.53796296296296298</v>
      </c>
      <c r="D381" s="12">
        <v>0.54479166666666667</v>
      </c>
      <c r="E381" s="20">
        <f t="shared" si="50"/>
        <v>6.8287037037036979E-3</v>
      </c>
      <c r="F381" t="str">
        <f t="shared" si="51"/>
        <v>stacjonarny</v>
      </c>
      <c r="G381" s="23">
        <f t="shared" si="58"/>
        <v>137527</v>
      </c>
      <c r="H381">
        <f t="shared" si="59"/>
        <v>44244</v>
      </c>
      <c r="I381">
        <f t="shared" si="52"/>
        <v>0</v>
      </c>
      <c r="J381">
        <f t="shared" si="53"/>
        <v>0</v>
      </c>
      <c r="K381">
        <f t="shared" si="54"/>
        <v>181771</v>
      </c>
      <c r="L381">
        <f t="shared" si="55"/>
        <v>0</v>
      </c>
      <c r="M381">
        <f t="shared" si="56"/>
        <v>590</v>
      </c>
      <c r="N381">
        <f t="shared" si="57"/>
        <v>0</v>
      </c>
    </row>
    <row r="382" spans="1:14" x14ac:dyDescent="0.35">
      <c r="A382" s="5">
        <v>2201085</v>
      </c>
      <c r="B382" s="6">
        <v>42922</v>
      </c>
      <c r="C382" s="7">
        <v>0.54072916666666671</v>
      </c>
      <c r="D382" s="8">
        <v>0.544525462962963</v>
      </c>
      <c r="E382" s="20">
        <f t="shared" si="50"/>
        <v>3.7962962962962976E-3</v>
      </c>
      <c r="F382" t="str">
        <f t="shared" si="51"/>
        <v>stacjonarny</v>
      </c>
      <c r="G382" s="23">
        <f t="shared" si="58"/>
        <v>137855</v>
      </c>
      <c r="H382">
        <f t="shared" si="59"/>
        <v>44244</v>
      </c>
      <c r="I382">
        <f t="shared" si="52"/>
        <v>0</v>
      </c>
      <c r="J382">
        <f t="shared" si="53"/>
        <v>0</v>
      </c>
      <c r="K382">
        <f t="shared" si="54"/>
        <v>182099</v>
      </c>
      <c r="L382">
        <f t="shared" si="55"/>
        <v>0</v>
      </c>
      <c r="M382">
        <f t="shared" si="56"/>
        <v>328</v>
      </c>
      <c r="N382">
        <f t="shared" si="57"/>
        <v>0</v>
      </c>
    </row>
    <row r="383" spans="1:14" x14ac:dyDescent="0.35">
      <c r="A383" s="9">
        <v>30893038</v>
      </c>
      <c r="B383" s="10">
        <v>42922</v>
      </c>
      <c r="C383" s="11">
        <v>0.54082175925925924</v>
      </c>
      <c r="D383" s="12">
        <v>0.54995370370370367</v>
      </c>
      <c r="E383" s="20">
        <f t="shared" si="50"/>
        <v>9.1319444444444287E-3</v>
      </c>
      <c r="F383" t="str">
        <f t="shared" si="51"/>
        <v>komorkowy</v>
      </c>
      <c r="G383" s="23">
        <f t="shared" si="58"/>
        <v>137855</v>
      </c>
      <c r="H383">
        <f t="shared" si="59"/>
        <v>45033</v>
      </c>
      <c r="I383">
        <f t="shared" si="52"/>
        <v>0</v>
      </c>
      <c r="J383">
        <f t="shared" si="53"/>
        <v>0</v>
      </c>
      <c r="K383">
        <f t="shared" si="54"/>
        <v>182888</v>
      </c>
      <c r="L383">
        <f t="shared" si="55"/>
        <v>0</v>
      </c>
      <c r="M383">
        <f t="shared" si="56"/>
        <v>0</v>
      </c>
      <c r="N383">
        <f t="shared" si="57"/>
        <v>789</v>
      </c>
    </row>
    <row r="384" spans="1:14" x14ac:dyDescent="0.35">
      <c r="A384" s="5">
        <v>9319894</v>
      </c>
      <c r="B384" s="6">
        <v>42922</v>
      </c>
      <c r="C384" s="7">
        <v>0.54207175925925921</v>
      </c>
      <c r="D384" s="8">
        <v>0.54953703703703705</v>
      </c>
      <c r="E384" s="20">
        <f t="shared" si="50"/>
        <v>7.4652777777778345E-3</v>
      </c>
      <c r="F384" t="str">
        <f t="shared" si="51"/>
        <v>stacjonarny</v>
      </c>
      <c r="G384" s="23">
        <f t="shared" si="58"/>
        <v>138500</v>
      </c>
      <c r="H384">
        <f t="shared" si="59"/>
        <v>45033</v>
      </c>
      <c r="I384">
        <f t="shared" si="52"/>
        <v>0</v>
      </c>
      <c r="J384">
        <f t="shared" si="53"/>
        <v>0</v>
      </c>
      <c r="K384">
        <f t="shared" si="54"/>
        <v>183533</v>
      </c>
      <c r="L384">
        <f t="shared" si="55"/>
        <v>0</v>
      </c>
      <c r="M384">
        <f t="shared" si="56"/>
        <v>645</v>
      </c>
      <c r="N384">
        <f t="shared" si="57"/>
        <v>0</v>
      </c>
    </row>
    <row r="385" spans="1:14" x14ac:dyDescent="0.35">
      <c r="A385" s="9">
        <v>3211876</v>
      </c>
      <c r="B385" s="10">
        <v>42922</v>
      </c>
      <c r="C385" s="11">
        <v>0.54693287037037042</v>
      </c>
      <c r="D385" s="12">
        <v>0.54781250000000004</v>
      </c>
      <c r="E385" s="20">
        <f t="shared" si="50"/>
        <v>8.796296296296191E-4</v>
      </c>
      <c r="F385" t="str">
        <f t="shared" si="51"/>
        <v>stacjonarny</v>
      </c>
      <c r="G385" s="23">
        <f t="shared" si="58"/>
        <v>138576</v>
      </c>
      <c r="H385">
        <f t="shared" si="59"/>
        <v>45033</v>
      </c>
      <c r="I385">
        <f t="shared" si="52"/>
        <v>0</v>
      </c>
      <c r="J385">
        <f t="shared" si="53"/>
        <v>0</v>
      </c>
      <c r="K385">
        <f t="shared" si="54"/>
        <v>183609</v>
      </c>
      <c r="L385">
        <f t="shared" si="55"/>
        <v>0</v>
      </c>
      <c r="M385">
        <f t="shared" si="56"/>
        <v>76</v>
      </c>
      <c r="N385">
        <f t="shared" si="57"/>
        <v>0</v>
      </c>
    </row>
    <row r="386" spans="1:14" x14ac:dyDescent="0.35">
      <c r="A386" s="5">
        <v>4736016</v>
      </c>
      <c r="B386" s="6">
        <v>42922</v>
      </c>
      <c r="C386" s="7">
        <v>0.55115740740740737</v>
      </c>
      <c r="D386" s="8">
        <v>0.55248842592592595</v>
      </c>
      <c r="E386" s="20">
        <f t="shared" si="50"/>
        <v>1.3310185185185786E-3</v>
      </c>
      <c r="F386" t="str">
        <f t="shared" si="51"/>
        <v>stacjonarny</v>
      </c>
      <c r="G386" s="23">
        <f t="shared" si="58"/>
        <v>138691</v>
      </c>
      <c r="H386">
        <f t="shared" si="59"/>
        <v>45033</v>
      </c>
      <c r="I386">
        <f t="shared" si="52"/>
        <v>0</v>
      </c>
      <c r="J386">
        <f t="shared" si="53"/>
        <v>0</v>
      </c>
      <c r="K386">
        <f t="shared" si="54"/>
        <v>183724</v>
      </c>
      <c r="L386">
        <f t="shared" si="55"/>
        <v>0</v>
      </c>
      <c r="M386">
        <f t="shared" si="56"/>
        <v>115</v>
      </c>
      <c r="N386">
        <f t="shared" si="57"/>
        <v>0</v>
      </c>
    </row>
    <row r="387" spans="1:14" x14ac:dyDescent="0.35">
      <c r="A387" s="9">
        <v>8063487</v>
      </c>
      <c r="B387" s="10">
        <v>42922</v>
      </c>
      <c r="C387" s="11">
        <v>0.55269675925925921</v>
      </c>
      <c r="D387" s="12">
        <v>0.56017361111111108</v>
      </c>
      <c r="E387" s="20">
        <f t="shared" ref="E387:E450" si="60">D387-C387</f>
        <v>7.4768518518518734E-3</v>
      </c>
      <c r="F387" t="str">
        <f t="shared" ref="F387:F450" si="61">IF(LEN(A387)=7,"stacjonarny",IF(LEN(A387)=8,"komorkowy","zagraniczny"))</f>
        <v>stacjonarny</v>
      </c>
      <c r="G387" s="23">
        <f t="shared" si="58"/>
        <v>139337</v>
      </c>
      <c r="H387">
        <f t="shared" si="59"/>
        <v>45033</v>
      </c>
      <c r="I387">
        <f t="shared" ref="I387:I450" si="62">IF(F387="zagraniczny",MINUTE(E387)*60+SECOND(E387)+HOUR(E387)*3600,0)</f>
        <v>0</v>
      </c>
      <c r="J387">
        <f t="shared" ref="J387:J450" si="63">ROUNDUP(I387/60,0)</f>
        <v>0</v>
      </c>
      <c r="K387">
        <f t="shared" ref="K387:K450" si="64">G387+H387</f>
        <v>184370</v>
      </c>
      <c r="L387">
        <f t="shared" ref="L387:L450" si="65">IF(K387&lt;=48000,1,0)</f>
        <v>0</v>
      </c>
      <c r="M387">
        <f t="shared" ref="M387:M450" si="66">IF(AND(L387=0,F387="stacjonarny"),SECOND(E387)+60*MINUTE(E387),0)</f>
        <v>646</v>
      </c>
      <c r="N387">
        <f t="shared" ref="N387:N450" si="67">IF(AND(L387=0,F387="komorkowy"),SECOND(E387)+60*MINUTE(E387),0)</f>
        <v>0</v>
      </c>
    </row>
    <row r="388" spans="1:14" x14ac:dyDescent="0.35">
      <c r="A388" s="5">
        <v>1319121</v>
      </c>
      <c r="B388" s="6">
        <v>42922</v>
      </c>
      <c r="C388" s="7">
        <v>0.55652777777777773</v>
      </c>
      <c r="D388" s="8">
        <v>0.55682870370370374</v>
      </c>
      <c r="E388" s="20">
        <f t="shared" si="60"/>
        <v>3.0092592592600997E-4</v>
      </c>
      <c r="F388" t="str">
        <f t="shared" si="61"/>
        <v>stacjonarny</v>
      </c>
      <c r="G388" s="23">
        <f t="shared" ref="G388:G451" si="68">IF(F388="stacjonarny",MINUTE(E388)*60+SECOND(E388)+G387,G387)</f>
        <v>139363</v>
      </c>
      <c r="H388">
        <f t="shared" ref="H388:H451" si="69">IF(F388="komorkowy",MINUTE(E388)*60+SECOND(E388)+H387,H387)</f>
        <v>45033</v>
      </c>
      <c r="I388">
        <f t="shared" si="62"/>
        <v>0</v>
      </c>
      <c r="J388">
        <f t="shared" si="63"/>
        <v>0</v>
      </c>
      <c r="K388">
        <f t="shared" si="64"/>
        <v>184396</v>
      </c>
      <c r="L388">
        <f t="shared" si="65"/>
        <v>0</v>
      </c>
      <c r="M388">
        <f t="shared" si="66"/>
        <v>26</v>
      </c>
      <c r="N388">
        <f t="shared" si="67"/>
        <v>0</v>
      </c>
    </row>
    <row r="389" spans="1:14" x14ac:dyDescent="0.35">
      <c r="A389" s="9">
        <v>5026277</v>
      </c>
      <c r="B389" s="10">
        <v>42922</v>
      </c>
      <c r="C389" s="11">
        <v>0.55969907407407404</v>
      </c>
      <c r="D389" s="12">
        <v>0.5655324074074074</v>
      </c>
      <c r="E389" s="20">
        <f t="shared" si="60"/>
        <v>5.833333333333357E-3</v>
      </c>
      <c r="F389" t="str">
        <f t="shared" si="61"/>
        <v>stacjonarny</v>
      </c>
      <c r="G389" s="23">
        <f t="shared" si="68"/>
        <v>139867</v>
      </c>
      <c r="H389">
        <f t="shared" si="69"/>
        <v>45033</v>
      </c>
      <c r="I389">
        <f t="shared" si="62"/>
        <v>0</v>
      </c>
      <c r="J389">
        <f t="shared" si="63"/>
        <v>0</v>
      </c>
      <c r="K389">
        <f t="shared" si="64"/>
        <v>184900</v>
      </c>
      <c r="L389">
        <f t="shared" si="65"/>
        <v>0</v>
      </c>
      <c r="M389">
        <f t="shared" si="66"/>
        <v>504</v>
      </c>
      <c r="N389">
        <f t="shared" si="67"/>
        <v>0</v>
      </c>
    </row>
    <row r="390" spans="1:14" x14ac:dyDescent="0.35">
      <c r="A390" s="5">
        <v>8768896</v>
      </c>
      <c r="B390" s="6">
        <v>42922</v>
      </c>
      <c r="C390" s="7">
        <v>0.55982638888888892</v>
      </c>
      <c r="D390" s="8">
        <v>0.57039351851851849</v>
      </c>
      <c r="E390" s="20">
        <f t="shared" si="60"/>
        <v>1.0567129629629579E-2</v>
      </c>
      <c r="F390" t="str">
        <f t="shared" si="61"/>
        <v>stacjonarny</v>
      </c>
      <c r="G390" s="23">
        <f t="shared" si="68"/>
        <v>140780</v>
      </c>
      <c r="H390">
        <f t="shared" si="69"/>
        <v>45033</v>
      </c>
      <c r="I390">
        <f t="shared" si="62"/>
        <v>0</v>
      </c>
      <c r="J390">
        <f t="shared" si="63"/>
        <v>0</v>
      </c>
      <c r="K390">
        <f t="shared" si="64"/>
        <v>185813</v>
      </c>
      <c r="L390">
        <f t="shared" si="65"/>
        <v>0</v>
      </c>
      <c r="M390">
        <f t="shared" si="66"/>
        <v>913</v>
      </c>
      <c r="N390">
        <f t="shared" si="67"/>
        <v>0</v>
      </c>
    </row>
    <row r="391" spans="1:14" x14ac:dyDescent="0.35">
      <c r="A391" s="9">
        <v>48661666</v>
      </c>
      <c r="B391" s="10">
        <v>42922</v>
      </c>
      <c r="C391" s="11">
        <v>0.56123842592592588</v>
      </c>
      <c r="D391" s="12">
        <v>0.56376157407407412</v>
      </c>
      <c r="E391" s="20">
        <f t="shared" si="60"/>
        <v>2.5231481481482465E-3</v>
      </c>
      <c r="F391" t="str">
        <f t="shared" si="61"/>
        <v>komorkowy</v>
      </c>
      <c r="G391" s="23">
        <f t="shared" si="68"/>
        <v>140780</v>
      </c>
      <c r="H391">
        <f t="shared" si="69"/>
        <v>45251</v>
      </c>
      <c r="I391">
        <f t="shared" si="62"/>
        <v>0</v>
      </c>
      <c r="J391">
        <f t="shared" si="63"/>
        <v>0</v>
      </c>
      <c r="K391">
        <f t="shared" si="64"/>
        <v>186031</v>
      </c>
      <c r="L391">
        <f t="shared" si="65"/>
        <v>0</v>
      </c>
      <c r="M391">
        <f t="shared" si="66"/>
        <v>0</v>
      </c>
      <c r="N391">
        <f t="shared" si="67"/>
        <v>218</v>
      </c>
    </row>
    <row r="392" spans="1:14" x14ac:dyDescent="0.35">
      <c r="A392" s="5">
        <v>9304830</v>
      </c>
      <c r="B392" s="6">
        <v>42922</v>
      </c>
      <c r="C392" s="7">
        <v>0.56671296296296292</v>
      </c>
      <c r="D392" s="8">
        <v>0.56832175925925921</v>
      </c>
      <c r="E392" s="20">
        <f t="shared" si="60"/>
        <v>1.6087962962962887E-3</v>
      </c>
      <c r="F392" t="str">
        <f t="shared" si="61"/>
        <v>stacjonarny</v>
      </c>
      <c r="G392" s="23">
        <f t="shared" si="68"/>
        <v>140919</v>
      </c>
      <c r="H392">
        <f t="shared" si="69"/>
        <v>45251</v>
      </c>
      <c r="I392">
        <f t="shared" si="62"/>
        <v>0</v>
      </c>
      <c r="J392">
        <f t="shared" si="63"/>
        <v>0</v>
      </c>
      <c r="K392">
        <f t="shared" si="64"/>
        <v>186170</v>
      </c>
      <c r="L392">
        <f t="shared" si="65"/>
        <v>0</v>
      </c>
      <c r="M392">
        <f t="shared" si="66"/>
        <v>139</v>
      </c>
      <c r="N392">
        <f t="shared" si="67"/>
        <v>0</v>
      </c>
    </row>
    <row r="393" spans="1:14" x14ac:dyDescent="0.35">
      <c r="A393" s="9">
        <v>3040267</v>
      </c>
      <c r="B393" s="10">
        <v>42922</v>
      </c>
      <c r="C393" s="11">
        <v>0.56738425925925928</v>
      </c>
      <c r="D393" s="12">
        <v>0.578587962962963</v>
      </c>
      <c r="E393" s="20">
        <f t="shared" si="60"/>
        <v>1.1203703703703716E-2</v>
      </c>
      <c r="F393" t="str">
        <f t="shared" si="61"/>
        <v>stacjonarny</v>
      </c>
      <c r="G393" s="23">
        <f t="shared" si="68"/>
        <v>141887</v>
      </c>
      <c r="H393">
        <f t="shared" si="69"/>
        <v>45251</v>
      </c>
      <c r="I393">
        <f t="shared" si="62"/>
        <v>0</v>
      </c>
      <c r="J393">
        <f t="shared" si="63"/>
        <v>0</v>
      </c>
      <c r="K393">
        <f t="shared" si="64"/>
        <v>187138</v>
      </c>
      <c r="L393">
        <f t="shared" si="65"/>
        <v>0</v>
      </c>
      <c r="M393">
        <f t="shared" si="66"/>
        <v>968</v>
      </c>
      <c r="N393">
        <f t="shared" si="67"/>
        <v>0</v>
      </c>
    </row>
    <row r="394" spans="1:14" x14ac:dyDescent="0.35">
      <c r="A394" s="5">
        <v>8405954</v>
      </c>
      <c r="B394" s="6">
        <v>42922</v>
      </c>
      <c r="C394" s="7">
        <v>0.57164351851851847</v>
      </c>
      <c r="D394" s="8">
        <v>0.57528935185185182</v>
      </c>
      <c r="E394" s="20">
        <f t="shared" si="60"/>
        <v>3.6458333333333481E-3</v>
      </c>
      <c r="F394" t="str">
        <f t="shared" si="61"/>
        <v>stacjonarny</v>
      </c>
      <c r="G394" s="23">
        <f t="shared" si="68"/>
        <v>142202</v>
      </c>
      <c r="H394">
        <f t="shared" si="69"/>
        <v>45251</v>
      </c>
      <c r="I394">
        <f t="shared" si="62"/>
        <v>0</v>
      </c>
      <c r="J394">
        <f t="shared" si="63"/>
        <v>0</v>
      </c>
      <c r="K394">
        <f t="shared" si="64"/>
        <v>187453</v>
      </c>
      <c r="L394">
        <f t="shared" si="65"/>
        <v>0</v>
      </c>
      <c r="M394">
        <f t="shared" si="66"/>
        <v>315</v>
      </c>
      <c r="N394">
        <f t="shared" si="67"/>
        <v>0</v>
      </c>
    </row>
    <row r="395" spans="1:14" x14ac:dyDescent="0.35">
      <c r="A395" s="9">
        <v>75873682</v>
      </c>
      <c r="B395" s="10">
        <v>42922</v>
      </c>
      <c r="C395" s="11">
        <v>0.57399305555555558</v>
      </c>
      <c r="D395" s="12">
        <v>0.58403935185185185</v>
      </c>
      <c r="E395" s="20">
        <f t="shared" si="60"/>
        <v>1.0046296296296275E-2</v>
      </c>
      <c r="F395" t="str">
        <f t="shared" si="61"/>
        <v>komorkowy</v>
      </c>
      <c r="G395" s="23">
        <f t="shared" si="68"/>
        <v>142202</v>
      </c>
      <c r="H395">
        <f t="shared" si="69"/>
        <v>46119</v>
      </c>
      <c r="I395">
        <f t="shared" si="62"/>
        <v>0</v>
      </c>
      <c r="J395">
        <f t="shared" si="63"/>
        <v>0</v>
      </c>
      <c r="K395">
        <f t="shared" si="64"/>
        <v>188321</v>
      </c>
      <c r="L395">
        <f t="shared" si="65"/>
        <v>0</v>
      </c>
      <c r="M395">
        <f t="shared" si="66"/>
        <v>0</v>
      </c>
      <c r="N395">
        <f t="shared" si="67"/>
        <v>868</v>
      </c>
    </row>
    <row r="396" spans="1:14" x14ac:dyDescent="0.35">
      <c r="A396" s="5">
        <v>5984039</v>
      </c>
      <c r="B396" s="6">
        <v>42922</v>
      </c>
      <c r="C396" s="7">
        <v>0.57586805555555554</v>
      </c>
      <c r="D396" s="8">
        <v>0.57981481481481478</v>
      </c>
      <c r="E396" s="20">
        <f t="shared" si="60"/>
        <v>3.9467592592592471E-3</v>
      </c>
      <c r="F396" t="str">
        <f t="shared" si="61"/>
        <v>stacjonarny</v>
      </c>
      <c r="G396" s="23">
        <f t="shared" si="68"/>
        <v>142543</v>
      </c>
      <c r="H396">
        <f t="shared" si="69"/>
        <v>46119</v>
      </c>
      <c r="I396">
        <f t="shared" si="62"/>
        <v>0</v>
      </c>
      <c r="J396">
        <f t="shared" si="63"/>
        <v>0</v>
      </c>
      <c r="K396">
        <f t="shared" si="64"/>
        <v>188662</v>
      </c>
      <c r="L396">
        <f t="shared" si="65"/>
        <v>0</v>
      </c>
      <c r="M396">
        <f t="shared" si="66"/>
        <v>341</v>
      </c>
      <c r="N396">
        <f t="shared" si="67"/>
        <v>0</v>
      </c>
    </row>
    <row r="397" spans="1:14" x14ac:dyDescent="0.35">
      <c r="A397" s="9">
        <v>9807682</v>
      </c>
      <c r="B397" s="10">
        <v>42922</v>
      </c>
      <c r="C397" s="11">
        <v>0.57592592592592595</v>
      </c>
      <c r="D397" s="12">
        <v>0.57924768518518521</v>
      </c>
      <c r="E397" s="20">
        <f t="shared" si="60"/>
        <v>3.3217592592592604E-3</v>
      </c>
      <c r="F397" t="str">
        <f t="shared" si="61"/>
        <v>stacjonarny</v>
      </c>
      <c r="G397" s="23">
        <f t="shared" si="68"/>
        <v>142830</v>
      </c>
      <c r="H397">
        <f t="shared" si="69"/>
        <v>46119</v>
      </c>
      <c r="I397">
        <f t="shared" si="62"/>
        <v>0</v>
      </c>
      <c r="J397">
        <f t="shared" si="63"/>
        <v>0</v>
      </c>
      <c r="K397">
        <f t="shared" si="64"/>
        <v>188949</v>
      </c>
      <c r="L397">
        <f t="shared" si="65"/>
        <v>0</v>
      </c>
      <c r="M397">
        <f t="shared" si="66"/>
        <v>287</v>
      </c>
      <c r="N397">
        <f t="shared" si="67"/>
        <v>0</v>
      </c>
    </row>
    <row r="398" spans="1:14" x14ac:dyDescent="0.35">
      <c r="A398" s="5">
        <v>3029994</v>
      </c>
      <c r="B398" s="6">
        <v>42922</v>
      </c>
      <c r="C398" s="7">
        <v>0.57737268518518514</v>
      </c>
      <c r="D398" s="8">
        <v>0.58391203703703709</v>
      </c>
      <c r="E398" s="20">
        <f t="shared" si="60"/>
        <v>6.5393518518519489E-3</v>
      </c>
      <c r="F398" t="str">
        <f t="shared" si="61"/>
        <v>stacjonarny</v>
      </c>
      <c r="G398" s="23">
        <f t="shared" si="68"/>
        <v>143395</v>
      </c>
      <c r="H398">
        <f t="shared" si="69"/>
        <v>46119</v>
      </c>
      <c r="I398">
        <f t="shared" si="62"/>
        <v>0</v>
      </c>
      <c r="J398">
        <f t="shared" si="63"/>
        <v>0</v>
      </c>
      <c r="K398">
        <f t="shared" si="64"/>
        <v>189514</v>
      </c>
      <c r="L398">
        <f t="shared" si="65"/>
        <v>0</v>
      </c>
      <c r="M398">
        <f t="shared" si="66"/>
        <v>565</v>
      </c>
      <c r="N398">
        <f t="shared" si="67"/>
        <v>0</v>
      </c>
    </row>
    <row r="399" spans="1:14" x14ac:dyDescent="0.35">
      <c r="A399" s="9">
        <v>9415767851</v>
      </c>
      <c r="B399" s="10">
        <v>42922</v>
      </c>
      <c r="C399" s="11">
        <v>0.5827430555555555</v>
      </c>
      <c r="D399" s="12">
        <v>0.58309027777777778</v>
      </c>
      <c r="E399" s="20">
        <f t="shared" si="60"/>
        <v>3.472222222222765E-4</v>
      </c>
      <c r="F399" t="str">
        <f t="shared" si="61"/>
        <v>zagraniczny</v>
      </c>
      <c r="G399" s="23">
        <f t="shared" si="68"/>
        <v>143395</v>
      </c>
      <c r="H399">
        <f t="shared" si="69"/>
        <v>46119</v>
      </c>
      <c r="I399">
        <f t="shared" si="62"/>
        <v>30</v>
      </c>
      <c r="J399">
        <f t="shared" si="63"/>
        <v>1</v>
      </c>
      <c r="K399">
        <f t="shared" si="64"/>
        <v>189514</v>
      </c>
      <c r="L399">
        <f t="shared" si="65"/>
        <v>0</v>
      </c>
      <c r="M399">
        <f t="shared" si="66"/>
        <v>0</v>
      </c>
      <c r="N399">
        <f t="shared" si="67"/>
        <v>0</v>
      </c>
    </row>
    <row r="400" spans="1:14" x14ac:dyDescent="0.35">
      <c r="A400" s="5">
        <v>2388040</v>
      </c>
      <c r="B400" s="6">
        <v>42922</v>
      </c>
      <c r="C400" s="7">
        <v>0.58496527777777774</v>
      </c>
      <c r="D400" s="8">
        <v>0.59334490740740742</v>
      </c>
      <c r="E400" s="20">
        <f t="shared" si="60"/>
        <v>8.3796296296296813E-3</v>
      </c>
      <c r="F400" t="str">
        <f t="shared" si="61"/>
        <v>stacjonarny</v>
      </c>
      <c r="G400" s="23">
        <f t="shared" si="68"/>
        <v>144119</v>
      </c>
      <c r="H400">
        <f t="shared" si="69"/>
        <v>46119</v>
      </c>
      <c r="I400">
        <f t="shared" si="62"/>
        <v>0</v>
      </c>
      <c r="J400">
        <f t="shared" si="63"/>
        <v>0</v>
      </c>
      <c r="K400">
        <f t="shared" si="64"/>
        <v>190238</v>
      </c>
      <c r="L400">
        <f t="shared" si="65"/>
        <v>0</v>
      </c>
      <c r="M400">
        <f t="shared" si="66"/>
        <v>724</v>
      </c>
      <c r="N400">
        <f t="shared" si="67"/>
        <v>0</v>
      </c>
    </row>
    <row r="401" spans="1:14" x14ac:dyDescent="0.35">
      <c r="A401" s="9">
        <v>41974998</v>
      </c>
      <c r="B401" s="10">
        <v>42922</v>
      </c>
      <c r="C401" s="11">
        <v>0.58890046296296295</v>
      </c>
      <c r="D401" s="12">
        <v>0.59614583333333337</v>
      </c>
      <c r="E401" s="20">
        <f t="shared" si="60"/>
        <v>7.2453703703704297E-3</v>
      </c>
      <c r="F401" t="str">
        <f t="shared" si="61"/>
        <v>komorkowy</v>
      </c>
      <c r="G401" s="23">
        <f t="shared" si="68"/>
        <v>144119</v>
      </c>
      <c r="H401">
        <f t="shared" si="69"/>
        <v>46745</v>
      </c>
      <c r="I401">
        <f t="shared" si="62"/>
        <v>0</v>
      </c>
      <c r="J401">
        <f t="shared" si="63"/>
        <v>0</v>
      </c>
      <c r="K401">
        <f t="shared" si="64"/>
        <v>190864</v>
      </c>
      <c r="L401">
        <f t="shared" si="65"/>
        <v>0</v>
      </c>
      <c r="M401">
        <f t="shared" si="66"/>
        <v>0</v>
      </c>
      <c r="N401">
        <f t="shared" si="67"/>
        <v>626</v>
      </c>
    </row>
    <row r="402" spans="1:14" x14ac:dyDescent="0.35">
      <c r="A402" s="5">
        <v>8400710</v>
      </c>
      <c r="B402" s="6">
        <v>42922</v>
      </c>
      <c r="C402" s="7">
        <v>0.59182870370370366</v>
      </c>
      <c r="D402" s="8">
        <v>0.59376157407407404</v>
      </c>
      <c r="E402" s="20">
        <f t="shared" si="60"/>
        <v>1.9328703703703765E-3</v>
      </c>
      <c r="F402" t="str">
        <f t="shared" si="61"/>
        <v>stacjonarny</v>
      </c>
      <c r="G402" s="23">
        <f t="shared" si="68"/>
        <v>144286</v>
      </c>
      <c r="H402">
        <f t="shared" si="69"/>
        <v>46745</v>
      </c>
      <c r="I402">
        <f t="shared" si="62"/>
        <v>0</v>
      </c>
      <c r="J402">
        <f t="shared" si="63"/>
        <v>0</v>
      </c>
      <c r="K402">
        <f t="shared" si="64"/>
        <v>191031</v>
      </c>
      <c r="L402">
        <f t="shared" si="65"/>
        <v>0</v>
      </c>
      <c r="M402">
        <f t="shared" si="66"/>
        <v>167</v>
      </c>
      <c r="N402">
        <f t="shared" si="67"/>
        <v>0</v>
      </c>
    </row>
    <row r="403" spans="1:14" x14ac:dyDescent="0.35">
      <c r="A403" s="9">
        <v>1088377750</v>
      </c>
      <c r="B403" s="10">
        <v>42922</v>
      </c>
      <c r="C403" s="11">
        <v>0.59666666666666668</v>
      </c>
      <c r="D403" s="12">
        <v>0.5975462962962963</v>
      </c>
      <c r="E403" s="20">
        <f t="shared" si="60"/>
        <v>8.796296296296191E-4</v>
      </c>
      <c r="F403" t="str">
        <f t="shared" si="61"/>
        <v>zagraniczny</v>
      </c>
      <c r="G403" s="23">
        <f t="shared" si="68"/>
        <v>144286</v>
      </c>
      <c r="H403">
        <f t="shared" si="69"/>
        <v>46745</v>
      </c>
      <c r="I403">
        <f t="shared" si="62"/>
        <v>76</v>
      </c>
      <c r="J403">
        <f t="shared" si="63"/>
        <v>2</v>
      </c>
      <c r="K403">
        <f t="shared" si="64"/>
        <v>191031</v>
      </c>
      <c r="L403">
        <f t="shared" si="65"/>
        <v>0</v>
      </c>
      <c r="M403">
        <f t="shared" si="66"/>
        <v>0</v>
      </c>
      <c r="N403">
        <f t="shared" si="67"/>
        <v>0</v>
      </c>
    </row>
    <row r="404" spans="1:14" x14ac:dyDescent="0.35">
      <c r="A404" s="5">
        <v>62016185</v>
      </c>
      <c r="B404" s="6">
        <v>42922</v>
      </c>
      <c r="C404" s="7">
        <v>0.60146990740740736</v>
      </c>
      <c r="D404" s="8">
        <v>0.60932870370370373</v>
      </c>
      <c r="E404" s="20">
        <f t="shared" si="60"/>
        <v>7.8587962962963775E-3</v>
      </c>
      <c r="F404" t="str">
        <f t="shared" si="61"/>
        <v>komorkowy</v>
      </c>
      <c r="G404" s="23">
        <f t="shared" si="68"/>
        <v>144286</v>
      </c>
      <c r="H404">
        <f t="shared" si="69"/>
        <v>47424</v>
      </c>
      <c r="I404">
        <f t="shared" si="62"/>
        <v>0</v>
      </c>
      <c r="J404">
        <f t="shared" si="63"/>
        <v>0</v>
      </c>
      <c r="K404">
        <f t="shared" si="64"/>
        <v>191710</v>
      </c>
      <c r="L404">
        <f t="shared" si="65"/>
        <v>0</v>
      </c>
      <c r="M404">
        <f t="shared" si="66"/>
        <v>0</v>
      </c>
      <c r="N404">
        <f t="shared" si="67"/>
        <v>679</v>
      </c>
    </row>
    <row r="405" spans="1:14" x14ac:dyDescent="0.35">
      <c r="A405" s="9">
        <v>4002406</v>
      </c>
      <c r="B405" s="10">
        <v>42922</v>
      </c>
      <c r="C405" s="11">
        <v>0.60247685185185185</v>
      </c>
      <c r="D405" s="12">
        <v>0.60782407407407413</v>
      </c>
      <c r="E405" s="20">
        <f t="shared" si="60"/>
        <v>5.3472222222222809E-3</v>
      </c>
      <c r="F405" t="str">
        <f t="shared" si="61"/>
        <v>stacjonarny</v>
      </c>
      <c r="G405" s="23">
        <f t="shared" si="68"/>
        <v>144748</v>
      </c>
      <c r="H405">
        <f t="shared" si="69"/>
        <v>47424</v>
      </c>
      <c r="I405">
        <f t="shared" si="62"/>
        <v>0</v>
      </c>
      <c r="J405">
        <f t="shared" si="63"/>
        <v>0</v>
      </c>
      <c r="K405">
        <f t="shared" si="64"/>
        <v>192172</v>
      </c>
      <c r="L405">
        <f t="shared" si="65"/>
        <v>0</v>
      </c>
      <c r="M405">
        <f t="shared" si="66"/>
        <v>462</v>
      </c>
      <c r="N405">
        <f t="shared" si="67"/>
        <v>0</v>
      </c>
    </row>
    <row r="406" spans="1:14" x14ac:dyDescent="0.35">
      <c r="A406" s="5">
        <v>2394144</v>
      </c>
      <c r="B406" s="6">
        <v>42922</v>
      </c>
      <c r="C406" s="7">
        <v>0.60774305555555552</v>
      </c>
      <c r="D406" s="8">
        <v>0.61297453703703708</v>
      </c>
      <c r="E406" s="20">
        <f t="shared" si="60"/>
        <v>5.2314814814815591E-3</v>
      </c>
      <c r="F406" t="str">
        <f t="shared" si="61"/>
        <v>stacjonarny</v>
      </c>
      <c r="G406" s="23">
        <f t="shared" si="68"/>
        <v>145200</v>
      </c>
      <c r="H406">
        <f t="shared" si="69"/>
        <v>47424</v>
      </c>
      <c r="I406">
        <f t="shared" si="62"/>
        <v>0</v>
      </c>
      <c r="J406">
        <f t="shared" si="63"/>
        <v>0</v>
      </c>
      <c r="K406">
        <f t="shared" si="64"/>
        <v>192624</v>
      </c>
      <c r="L406">
        <f t="shared" si="65"/>
        <v>0</v>
      </c>
      <c r="M406">
        <f t="shared" si="66"/>
        <v>452</v>
      </c>
      <c r="N406">
        <f t="shared" si="67"/>
        <v>0</v>
      </c>
    </row>
    <row r="407" spans="1:14" x14ac:dyDescent="0.35">
      <c r="A407" s="9">
        <v>9763924</v>
      </c>
      <c r="B407" s="10">
        <v>42922</v>
      </c>
      <c r="C407" s="11">
        <v>0.611724537037037</v>
      </c>
      <c r="D407" s="12">
        <v>0.62217592592592597</v>
      </c>
      <c r="E407" s="20">
        <f t="shared" si="60"/>
        <v>1.0451388888888968E-2</v>
      </c>
      <c r="F407" t="str">
        <f t="shared" si="61"/>
        <v>stacjonarny</v>
      </c>
      <c r="G407" s="23">
        <f t="shared" si="68"/>
        <v>146103</v>
      </c>
      <c r="H407">
        <f t="shared" si="69"/>
        <v>47424</v>
      </c>
      <c r="I407">
        <f t="shared" si="62"/>
        <v>0</v>
      </c>
      <c r="J407">
        <f t="shared" si="63"/>
        <v>0</v>
      </c>
      <c r="K407">
        <f t="shared" si="64"/>
        <v>193527</v>
      </c>
      <c r="L407">
        <f t="shared" si="65"/>
        <v>0</v>
      </c>
      <c r="M407">
        <f t="shared" si="66"/>
        <v>903</v>
      </c>
      <c r="N407">
        <f t="shared" si="67"/>
        <v>0</v>
      </c>
    </row>
    <row r="408" spans="1:14" x14ac:dyDescent="0.35">
      <c r="A408" s="5">
        <v>7977726</v>
      </c>
      <c r="B408" s="6">
        <v>42922</v>
      </c>
      <c r="C408" s="7">
        <v>0.6139930555555555</v>
      </c>
      <c r="D408" s="8">
        <v>0.62364583333333334</v>
      </c>
      <c r="E408" s="20">
        <f t="shared" si="60"/>
        <v>9.6527777777778434E-3</v>
      </c>
      <c r="F408" t="str">
        <f t="shared" si="61"/>
        <v>stacjonarny</v>
      </c>
      <c r="G408" s="23">
        <f t="shared" si="68"/>
        <v>146937</v>
      </c>
      <c r="H408">
        <f t="shared" si="69"/>
        <v>47424</v>
      </c>
      <c r="I408">
        <f t="shared" si="62"/>
        <v>0</v>
      </c>
      <c r="J408">
        <f t="shared" si="63"/>
        <v>0</v>
      </c>
      <c r="K408">
        <f t="shared" si="64"/>
        <v>194361</v>
      </c>
      <c r="L408">
        <f t="shared" si="65"/>
        <v>0</v>
      </c>
      <c r="M408">
        <f t="shared" si="66"/>
        <v>834</v>
      </c>
      <c r="N408">
        <f t="shared" si="67"/>
        <v>0</v>
      </c>
    </row>
    <row r="409" spans="1:14" x14ac:dyDescent="0.35">
      <c r="A409" s="9">
        <v>7219884</v>
      </c>
      <c r="B409" s="10">
        <v>42922</v>
      </c>
      <c r="C409" s="11">
        <v>0.61871527777777779</v>
      </c>
      <c r="D409" s="12">
        <v>0.62458333333333338</v>
      </c>
      <c r="E409" s="20">
        <f t="shared" si="60"/>
        <v>5.8680555555555847E-3</v>
      </c>
      <c r="F409" t="str">
        <f t="shared" si="61"/>
        <v>stacjonarny</v>
      </c>
      <c r="G409" s="23">
        <f t="shared" si="68"/>
        <v>147444</v>
      </c>
      <c r="H409">
        <f t="shared" si="69"/>
        <v>47424</v>
      </c>
      <c r="I409">
        <f t="shared" si="62"/>
        <v>0</v>
      </c>
      <c r="J409">
        <f t="shared" si="63"/>
        <v>0</v>
      </c>
      <c r="K409">
        <f t="shared" si="64"/>
        <v>194868</v>
      </c>
      <c r="L409">
        <f t="shared" si="65"/>
        <v>0</v>
      </c>
      <c r="M409">
        <f t="shared" si="66"/>
        <v>507</v>
      </c>
      <c r="N409">
        <f t="shared" si="67"/>
        <v>0</v>
      </c>
    </row>
    <row r="410" spans="1:14" x14ac:dyDescent="0.35">
      <c r="A410" s="5">
        <v>8211396842</v>
      </c>
      <c r="B410" s="6">
        <v>42922</v>
      </c>
      <c r="C410" s="7">
        <v>0.6237731481481481</v>
      </c>
      <c r="D410" s="8">
        <v>0.63299768518518518</v>
      </c>
      <c r="E410" s="20">
        <f t="shared" si="60"/>
        <v>9.2245370370370727E-3</v>
      </c>
      <c r="F410" t="str">
        <f t="shared" si="61"/>
        <v>zagraniczny</v>
      </c>
      <c r="G410" s="23">
        <f t="shared" si="68"/>
        <v>147444</v>
      </c>
      <c r="H410">
        <f t="shared" si="69"/>
        <v>47424</v>
      </c>
      <c r="I410">
        <f t="shared" si="62"/>
        <v>797</v>
      </c>
      <c r="J410">
        <f t="shared" si="63"/>
        <v>14</v>
      </c>
      <c r="K410">
        <f t="shared" si="64"/>
        <v>194868</v>
      </c>
      <c r="L410">
        <f t="shared" si="65"/>
        <v>0</v>
      </c>
      <c r="M410">
        <f t="shared" si="66"/>
        <v>0</v>
      </c>
      <c r="N410">
        <f t="shared" si="67"/>
        <v>0</v>
      </c>
    </row>
    <row r="411" spans="1:14" x14ac:dyDescent="0.35">
      <c r="A411" s="9">
        <v>4860618</v>
      </c>
      <c r="B411" s="10">
        <v>42922</v>
      </c>
      <c r="C411" s="11">
        <v>0.62396990740740743</v>
      </c>
      <c r="D411" s="12">
        <v>0.62693287037037038</v>
      </c>
      <c r="E411" s="20">
        <f t="shared" si="60"/>
        <v>2.962962962962945E-3</v>
      </c>
      <c r="F411" t="str">
        <f t="shared" si="61"/>
        <v>stacjonarny</v>
      </c>
      <c r="G411" s="23">
        <f t="shared" si="68"/>
        <v>147700</v>
      </c>
      <c r="H411">
        <f t="shared" si="69"/>
        <v>47424</v>
      </c>
      <c r="I411">
        <f t="shared" si="62"/>
        <v>0</v>
      </c>
      <c r="J411">
        <f t="shared" si="63"/>
        <v>0</v>
      </c>
      <c r="K411">
        <f t="shared" si="64"/>
        <v>195124</v>
      </c>
      <c r="L411">
        <f t="shared" si="65"/>
        <v>0</v>
      </c>
      <c r="M411">
        <f t="shared" si="66"/>
        <v>256</v>
      </c>
      <c r="N411">
        <f t="shared" si="67"/>
        <v>0</v>
      </c>
    </row>
    <row r="412" spans="1:14" x14ac:dyDescent="0.35">
      <c r="A412" s="5">
        <v>6772052</v>
      </c>
      <c r="B412" s="6">
        <v>42922</v>
      </c>
      <c r="C412" s="7">
        <v>0.62491898148148151</v>
      </c>
      <c r="D412" s="8">
        <v>0.63265046296296301</v>
      </c>
      <c r="E412" s="20">
        <f t="shared" si="60"/>
        <v>7.7314814814815058E-3</v>
      </c>
      <c r="F412" t="str">
        <f t="shared" si="61"/>
        <v>stacjonarny</v>
      </c>
      <c r="G412" s="23">
        <f t="shared" si="68"/>
        <v>148368</v>
      </c>
      <c r="H412">
        <f t="shared" si="69"/>
        <v>47424</v>
      </c>
      <c r="I412">
        <f t="shared" si="62"/>
        <v>0</v>
      </c>
      <c r="J412">
        <f t="shared" si="63"/>
        <v>0</v>
      </c>
      <c r="K412">
        <f t="shared" si="64"/>
        <v>195792</v>
      </c>
      <c r="L412">
        <f t="shared" si="65"/>
        <v>0</v>
      </c>
      <c r="M412">
        <f t="shared" si="66"/>
        <v>668</v>
      </c>
      <c r="N412">
        <f t="shared" si="67"/>
        <v>0</v>
      </c>
    </row>
    <row r="413" spans="1:14" x14ac:dyDescent="0.35">
      <c r="A413" s="9">
        <v>6290575</v>
      </c>
      <c r="B413" s="10">
        <v>42922</v>
      </c>
      <c r="C413" s="11">
        <v>0.62614583333333329</v>
      </c>
      <c r="D413" s="12">
        <v>0.6318287037037037</v>
      </c>
      <c r="E413" s="20">
        <f t="shared" si="60"/>
        <v>5.6828703703704075E-3</v>
      </c>
      <c r="F413" t="str">
        <f t="shared" si="61"/>
        <v>stacjonarny</v>
      </c>
      <c r="G413" s="23">
        <f t="shared" si="68"/>
        <v>148859</v>
      </c>
      <c r="H413">
        <f t="shared" si="69"/>
        <v>47424</v>
      </c>
      <c r="I413">
        <f t="shared" si="62"/>
        <v>0</v>
      </c>
      <c r="J413">
        <f t="shared" si="63"/>
        <v>0</v>
      </c>
      <c r="K413">
        <f t="shared" si="64"/>
        <v>196283</v>
      </c>
      <c r="L413">
        <f t="shared" si="65"/>
        <v>0</v>
      </c>
      <c r="M413">
        <f t="shared" si="66"/>
        <v>491</v>
      </c>
      <c r="N413">
        <f t="shared" si="67"/>
        <v>0</v>
      </c>
    </row>
    <row r="414" spans="1:14" x14ac:dyDescent="0.35">
      <c r="A414" s="5">
        <v>13972929</v>
      </c>
      <c r="B414" s="6">
        <v>42923</v>
      </c>
      <c r="C414" s="7">
        <v>0.33677083333333335</v>
      </c>
      <c r="D414" s="8">
        <v>0.34700231481481481</v>
      </c>
      <c r="E414" s="20">
        <f t="shared" si="60"/>
        <v>1.0231481481481453E-2</v>
      </c>
      <c r="F414" t="str">
        <f t="shared" si="61"/>
        <v>komorkowy</v>
      </c>
      <c r="G414" s="23">
        <f t="shared" si="68"/>
        <v>148859</v>
      </c>
      <c r="H414">
        <f t="shared" si="69"/>
        <v>48308</v>
      </c>
      <c r="I414">
        <f t="shared" si="62"/>
        <v>0</v>
      </c>
      <c r="J414">
        <f t="shared" si="63"/>
        <v>0</v>
      </c>
      <c r="K414">
        <f t="shared" si="64"/>
        <v>197167</v>
      </c>
      <c r="L414">
        <f t="shared" si="65"/>
        <v>0</v>
      </c>
      <c r="M414">
        <f t="shared" si="66"/>
        <v>0</v>
      </c>
      <c r="N414">
        <f t="shared" si="67"/>
        <v>884</v>
      </c>
    </row>
    <row r="415" spans="1:14" x14ac:dyDescent="0.35">
      <c r="A415" s="9">
        <v>7663988</v>
      </c>
      <c r="B415" s="10">
        <v>42923</v>
      </c>
      <c r="C415" s="11">
        <v>0.34092592592592591</v>
      </c>
      <c r="D415" s="12">
        <v>0.3448148148148148</v>
      </c>
      <c r="E415" s="20">
        <f t="shared" si="60"/>
        <v>3.8888888888888862E-3</v>
      </c>
      <c r="F415" t="str">
        <f t="shared" si="61"/>
        <v>stacjonarny</v>
      </c>
      <c r="G415" s="23">
        <f t="shared" si="68"/>
        <v>149195</v>
      </c>
      <c r="H415">
        <f t="shared" si="69"/>
        <v>48308</v>
      </c>
      <c r="I415">
        <f t="shared" si="62"/>
        <v>0</v>
      </c>
      <c r="J415">
        <f t="shared" si="63"/>
        <v>0</v>
      </c>
      <c r="K415">
        <f t="shared" si="64"/>
        <v>197503</v>
      </c>
      <c r="L415">
        <f t="shared" si="65"/>
        <v>0</v>
      </c>
      <c r="M415">
        <f t="shared" si="66"/>
        <v>336</v>
      </c>
      <c r="N415">
        <f t="shared" si="67"/>
        <v>0</v>
      </c>
    </row>
    <row r="416" spans="1:14" x14ac:dyDescent="0.35">
      <c r="A416" s="5">
        <v>90532439</v>
      </c>
      <c r="B416" s="6">
        <v>42923</v>
      </c>
      <c r="C416" s="7">
        <v>0.34288194444444442</v>
      </c>
      <c r="D416" s="8">
        <v>0.34506944444444443</v>
      </c>
      <c r="E416" s="20">
        <f t="shared" si="60"/>
        <v>2.1875000000000089E-3</v>
      </c>
      <c r="F416" t="str">
        <f t="shared" si="61"/>
        <v>komorkowy</v>
      </c>
      <c r="G416" s="23">
        <f t="shared" si="68"/>
        <v>149195</v>
      </c>
      <c r="H416">
        <f t="shared" si="69"/>
        <v>48497</v>
      </c>
      <c r="I416">
        <f t="shared" si="62"/>
        <v>0</v>
      </c>
      <c r="J416">
        <f t="shared" si="63"/>
        <v>0</v>
      </c>
      <c r="K416">
        <f t="shared" si="64"/>
        <v>197692</v>
      </c>
      <c r="L416">
        <f t="shared" si="65"/>
        <v>0</v>
      </c>
      <c r="M416">
        <f t="shared" si="66"/>
        <v>0</v>
      </c>
      <c r="N416">
        <f t="shared" si="67"/>
        <v>189</v>
      </c>
    </row>
    <row r="417" spans="1:14" x14ac:dyDescent="0.35">
      <c r="A417" s="9">
        <v>5505912</v>
      </c>
      <c r="B417" s="10">
        <v>42923</v>
      </c>
      <c r="C417" s="11">
        <v>0.34465277777777775</v>
      </c>
      <c r="D417" s="12">
        <v>0.34819444444444442</v>
      </c>
      <c r="E417" s="20">
        <f t="shared" si="60"/>
        <v>3.5416666666666652E-3</v>
      </c>
      <c r="F417" t="str">
        <f t="shared" si="61"/>
        <v>stacjonarny</v>
      </c>
      <c r="G417" s="23">
        <f t="shared" si="68"/>
        <v>149501</v>
      </c>
      <c r="H417">
        <f t="shared" si="69"/>
        <v>48497</v>
      </c>
      <c r="I417">
        <f t="shared" si="62"/>
        <v>0</v>
      </c>
      <c r="J417">
        <f t="shared" si="63"/>
        <v>0</v>
      </c>
      <c r="K417">
        <f t="shared" si="64"/>
        <v>197998</v>
      </c>
      <c r="L417">
        <f t="shared" si="65"/>
        <v>0</v>
      </c>
      <c r="M417">
        <f t="shared" si="66"/>
        <v>306</v>
      </c>
      <c r="N417">
        <f t="shared" si="67"/>
        <v>0</v>
      </c>
    </row>
    <row r="418" spans="1:14" x14ac:dyDescent="0.35">
      <c r="A418" s="5">
        <v>5505912</v>
      </c>
      <c r="B418" s="6">
        <v>42923</v>
      </c>
      <c r="C418" s="7">
        <v>0.34848379629629628</v>
      </c>
      <c r="D418" s="8">
        <v>0.35015046296296298</v>
      </c>
      <c r="E418" s="20">
        <f t="shared" si="60"/>
        <v>1.6666666666667052E-3</v>
      </c>
      <c r="F418" t="str">
        <f t="shared" si="61"/>
        <v>stacjonarny</v>
      </c>
      <c r="G418" s="23">
        <f t="shared" si="68"/>
        <v>149645</v>
      </c>
      <c r="H418">
        <f t="shared" si="69"/>
        <v>48497</v>
      </c>
      <c r="I418">
        <f t="shared" si="62"/>
        <v>0</v>
      </c>
      <c r="J418">
        <f t="shared" si="63"/>
        <v>0</v>
      </c>
      <c r="K418">
        <f t="shared" si="64"/>
        <v>198142</v>
      </c>
      <c r="L418">
        <f t="shared" si="65"/>
        <v>0</v>
      </c>
      <c r="M418">
        <f t="shared" si="66"/>
        <v>144</v>
      </c>
      <c r="N418">
        <f t="shared" si="67"/>
        <v>0</v>
      </c>
    </row>
    <row r="419" spans="1:14" x14ac:dyDescent="0.35">
      <c r="A419" s="9">
        <v>70678482</v>
      </c>
      <c r="B419" s="10">
        <v>42923</v>
      </c>
      <c r="C419" s="11">
        <v>0.35130787037037037</v>
      </c>
      <c r="D419" s="12">
        <v>0.35899305555555555</v>
      </c>
      <c r="E419" s="20">
        <f t="shared" si="60"/>
        <v>7.6851851851851838E-3</v>
      </c>
      <c r="F419" t="str">
        <f t="shared" si="61"/>
        <v>komorkowy</v>
      </c>
      <c r="G419" s="23">
        <f t="shared" si="68"/>
        <v>149645</v>
      </c>
      <c r="H419">
        <f t="shared" si="69"/>
        <v>49161</v>
      </c>
      <c r="I419">
        <f t="shared" si="62"/>
        <v>0</v>
      </c>
      <c r="J419">
        <f t="shared" si="63"/>
        <v>0</v>
      </c>
      <c r="K419">
        <f t="shared" si="64"/>
        <v>198806</v>
      </c>
      <c r="L419">
        <f t="shared" si="65"/>
        <v>0</v>
      </c>
      <c r="M419">
        <f t="shared" si="66"/>
        <v>0</v>
      </c>
      <c r="N419">
        <f t="shared" si="67"/>
        <v>664</v>
      </c>
    </row>
    <row r="420" spans="1:14" x14ac:dyDescent="0.35">
      <c r="A420" s="5">
        <v>6578914</v>
      </c>
      <c r="B420" s="6">
        <v>42923</v>
      </c>
      <c r="C420" s="7">
        <v>0.35699074074074072</v>
      </c>
      <c r="D420" s="8">
        <v>0.36546296296296299</v>
      </c>
      <c r="E420" s="20">
        <f t="shared" si="60"/>
        <v>8.4722222222222698E-3</v>
      </c>
      <c r="F420" t="str">
        <f t="shared" si="61"/>
        <v>stacjonarny</v>
      </c>
      <c r="G420" s="23">
        <f t="shared" si="68"/>
        <v>150377</v>
      </c>
      <c r="H420">
        <f t="shared" si="69"/>
        <v>49161</v>
      </c>
      <c r="I420">
        <f t="shared" si="62"/>
        <v>0</v>
      </c>
      <c r="J420">
        <f t="shared" si="63"/>
        <v>0</v>
      </c>
      <c r="K420">
        <f t="shared" si="64"/>
        <v>199538</v>
      </c>
      <c r="L420">
        <f t="shared" si="65"/>
        <v>0</v>
      </c>
      <c r="M420">
        <f t="shared" si="66"/>
        <v>732</v>
      </c>
      <c r="N420">
        <f t="shared" si="67"/>
        <v>0</v>
      </c>
    </row>
    <row r="421" spans="1:14" x14ac:dyDescent="0.35">
      <c r="A421" s="9">
        <v>3444629</v>
      </c>
      <c r="B421" s="10">
        <v>42923</v>
      </c>
      <c r="C421" s="11">
        <v>0.36015046296296294</v>
      </c>
      <c r="D421" s="12">
        <v>0.36656250000000001</v>
      </c>
      <c r="E421" s="20">
        <f t="shared" si="60"/>
        <v>6.4120370370370772E-3</v>
      </c>
      <c r="F421" t="str">
        <f t="shared" si="61"/>
        <v>stacjonarny</v>
      </c>
      <c r="G421" s="23">
        <f t="shared" si="68"/>
        <v>150931</v>
      </c>
      <c r="H421">
        <f t="shared" si="69"/>
        <v>49161</v>
      </c>
      <c r="I421">
        <f t="shared" si="62"/>
        <v>0</v>
      </c>
      <c r="J421">
        <f t="shared" si="63"/>
        <v>0</v>
      </c>
      <c r="K421">
        <f t="shared" si="64"/>
        <v>200092</v>
      </c>
      <c r="L421">
        <f t="shared" si="65"/>
        <v>0</v>
      </c>
      <c r="M421">
        <f t="shared" si="66"/>
        <v>554</v>
      </c>
      <c r="N421">
        <f t="shared" si="67"/>
        <v>0</v>
      </c>
    </row>
    <row r="422" spans="1:14" x14ac:dyDescent="0.35">
      <c r="A422" s="5">
        <v>95211263</v>
      </c>
      <c r="B422" s="6">
        <v>42923</v>
      </c>
      <c r="C422" s="7">
        <v>0.36069444444444443</v>
      </c>
      <c r="D422" s="8">
        <v>0.36572916666666666</v>
      </c>
      <c r="E422" s="20">
        <f t="shared" si="60"/>
        <v>5.0347222222222321E-3</v>
      </c>
      <c r="F422" t="str">
        <f t="shared" si="61"/>
        <v>komorkowy</v>
      </c>
      <c r="G422" s="23">
        <f t="shared" si="68"/>
        <v>150931</v>
      </c>
      <c r="H422">
        <f t="shared" si="69"/>
        <v>49596</v>
      </c>
      <c r="I422">
        <f t="shared" si="62"/>
        <v>0</v>
      </c>
      <c r="J422">
        <f t="shared" si="63"/>
        <v>0</v>
      </c>
      <c r="K422">
        <f t="shared" si="64"/>
        <v>200527</v>
      </c>
      <c r="L422">
        <f t="shared" si="65"/>
        <v>0</v>
      </c>
      <c r="M422">
        <f t="shared" si="66"/>
        <v>0</v>
      </c>
      <c r="N422">
        <f t="shared" si="67"/>
        <v>435</v>
      </c>
    </row>
    <row r="423" spans="1:14" x14ac:dyDescent="0.35">
      <c r="A423" s="9">
        <v>9468070</v>
      </c>
      <c r="B423" s="10">
        <v>42923</v>
      </c>
      <c r="C423" s="11">
        <v>0.36225694444444445</v>
      </c>
      <c r="D423" s="12">
        <v>0.36364583333333333</v>
      </c>
      <c r="E423" s="20">
        <f t="shared" si="60"/>
        <v>1.388888888888884E-3</v>
      </c>
      <c r="F423" t="str">
        <f t="shared" si="61"/>
        <v>stacjonarny</v>
      </c>
      <c r="G423" s="23">
        <f t="shared" si="68"/>
        <v>151051</v>
      </c>
      <c r="H423">
        <f t="shared" si="69"/>
        <v>49596</v>
      </c>
      <c r="I423">
        <f t="shared" si="62"/>
        <v>0</v>
      </c>
      <c r="J423">
        <f t="shared" si="63"/>
        <v>0</v>
      </c>
      <c r="K423">
        <f t="shared" si="64"/>
        <v>200647</v>
      </c>
      <c r="L423">
        <f t="shared" si="65"/>
        <v>0</v>
      </c>
      <c r="M423">
        <f t="shared" si="66"/>
        <v>120</v>
      </c>
      <c r="N423">
        <f t="shared" si="67"/>
        <v>0</v>
      </c>
    </row>
    <row r="424" spans="1:14" x14ac:dyDescent="0.35">
      <c r="A424" s="5">
        <v>31516318</v>
      </c>
      <c r="B424" s="6">
        <v>42923</v>
      </c>
      <c r="C424" s="7">
        <v>0.36267361111111113</v>
      </c>
      <c r="D424" s="8">
        <v>0.36622685185185183</v>
      </c>
      <c r="E424" s="20">
        <f t="shared" si="60"/>
        <v>3.5532407407407041E-3</v>
      </c>
      <c r="F424" t="str">
        <f t="shared" si="61"/>
        <v>komorkowy</v>
      </c>
      <c r="G424" s="23">
        <f t="shared" si="68"/>
        <v>151051</v>
      </c>
      <c r="H424">
        <f t="shared" si="69"/>
        <v>49903</v>
      </c>
      <c r="I424">
        <f t="shared" si="62"/>
        <v>0</v>
      </c>
      <c r="J424">
        <f t="shared" si="63"/>
        <v>0</v>
      </c>
      <c r="K424">
        <f t="shared" si="64"/>
        <v>200954</v>
      </c>
      <c r="L424">
        <f t="shared" si="65"/>
        <v>0</v>
      </c>
      <c r="M424">
        <f t="shared" si="66"/>
        <v>0</v>
      </c>
      <c r="N424">
        <f t="shared" si="67"/>
        <v>307</v>
      </c>
    </row>
    <row r="425" spans="1:14" x14ac:dyDescent="0.35">
      <c r="A425" s="9">
        <v>9865716</v>
      </c>
      <c r="B425" s="10">
        <v>42923</v>
      </c>
      <c r="C425" s="11">
        <v>0.36584490740740738</v>
      </c>
      <c r="D425" s="12">
        <v>0.37709490740740742</v>
      </c>
      <c r="E425" s="20">
        <f t="shared" si="60"/>
        <v>1.1250000000000038E-2</v>
      </c>
      <c r="F425" t="str">
        <f t="shared" si="61"/>
        <v>stacjonarny</v>
      </c>
      <c r="G425" s="23">
        <f t="shared" si="68"/>
        <v>152023</v>
      </c>
      <c r="H425">
        <f t="shared" si="69"/>
        <v>49903</v>
      </c>
      <c r="I425">
        <f t="shared" si="62"/>
        <v>0</v>
      </c>
      <c r="J425">
        <f t="shared" si="63"/>
        <v>0</v>
      </c>
      <c r="K425">
        <f t="shared" si="64"/>
        <v>201926</v>
      </c>
      <c r="L425">
        <f t="shared" si="65"/>
        <v>0</v>
      </c>
      <c r="M425">
        <f t="shared" si="66"/>
        <v>972</v>
      </c>
      <c r="N425">
        <f t="shared" si="67"/>
        <v>0</v>
      </c>
    </row>
    <row r="426" spans="1:14" x14ac:dyDescent="0.35">
      <c r="A426" s="5">
        <v>8163790</v>
      </c>
      <c r="B426" s="6">
        <v>42923</v>
      </c>
      <c r="C426" s="7">
        <v>0.36885416666666665</v>
      </c>
      <c r="D426" s="8">
        <v>0.36932870370370369</v>
      </c>
      <c r="E426" s="20">
        <f t="shared" si="60"/>
        <v>4.745370370370372E-4</v>
      </c>
      <c r="F426" t="str">
        <f t="shared" si="61"/>
        <v>stacjonarny</v>
      </c>
      <c r="G426" s="23">
        <f t="shared" si="68"/>
        <v>152064</v>
      </c>
      <c r="H426">
        <f t="shared" si="69"/>
        <v>49903</v>
      </c>
      <c r="I426">
        <f t="shared" si="62"/>
        <v>0</v>
      </c>
      <c r="J426">
        <f t="shared" si="63"/>
        <v>0</v>
      </c>
      <c r="K426">
        <f t="shared" si="64"/>
        <v>201967</v>
      </c>
      <c r="L426">
        <f t="shared" si="65"/>
        <v>0</v>
      </c>
      <c r="M426">
        <f t="shared" si="66"/>
        <v>41</v>
      </c>
      <c r="N426">
        <f t="shared" si="67"/>
        <v>0</v>
      </c>
    </row>
    <row r="427" spans="1:14" x14ac:dyDescent="0.35">
      <c r="A427" s="9">
        <v>18070008</v>
      </c>
      <c r="B427" s="10">
        <v>42923</v>
      </c>
      <c r="C427" s="11">
        <v>0.36996527777777777</v>
      </c>
      <c r="D427" s="12">
        <v>0.37149305555555556</v>
      </c>
      <c r="E427" s="20">
        <f t="shared" si="60"/>
        <v>1.5277777777777946E-3</v>
      </c>
      <c r="F427" t="str">
        <f t="shared" si="61"/>
        <v>komorkowy</v>
      </c>
      <c r="G427" s="23">
        <f t="shared" si="68"/>
        <v>152064</v>
      </c>
      <c r="H427">
        <f t="shared" si="69"/>
        <v>50035</v>
      </c>
      <c r="I427">
        <f t="shared" si="62"/>
        <v>0</v>
      </c>
      <c r="J427">
        <f t="shared" si="63"/>
        <v>0</v>
      </c>
      <c r="K427">
        <f t="shared" si="64"/>
        <v>202099</v>
      </c>
      <c r="L427">
        <f t="shared" si="65"/>
        <v>0</v>
      </c>
      <c r="M427">
        <f t="shared" si="66"/>
        <v>0</v>
      </c>
      <c r="N427">
        <f t="shared" si="67"/>
        <v>132</v>
      </c>
    </row>
    <row r="428" spans="1:14" x14ac:dyDescent="0.35">
      <c r="A428" s="5">
        <v>1119740</v>
      </c>
      <c r="B428" s="6">
        <v>42923</v>
      </c>
      <c r="C428" s="7">
        <v>0.37112268518518521</v>
      </c>
      <c r="D428" s="8">
        <v>0.37534722222222222</v>
      </c>
      <c r="E428" s="20">
        <f t="shared" si="60"/>
        <v>4.2245370370370128E-3</v>
      </c>
      <c r="F428" t="str">
        <f t="shared" si="61"/>
        <v>stacjonarny</v>
      </c>
      <c r="G428" s="23">
        <f t="shared" si="68"/>
        <v>152429</v>
      </c>
      <c r="H428">
        <f t="shared" si="69"/>
        <v>50035</v>
      </c>
      <c r="I428">
        <f t="shared" si="62"/>
        <v>0</v>
      </c>
      <c r="J428">
        <f t="shared" si="63"/>
        <v>0</v>
      </c>
      <c r="K428">
        <f t="shared" si="64"/>
        <v>202464</v>
      </c>
      <c r="L428">
        <f t="shared" si="65"/>
        <v>0</v>
      </c>
      <c r="M428">
        <f t="shared" si="66"/>
        <v>365</v>
      </c>
      <c r="N428">
        <f t="shared" si="67"/>
        <v>0</v>
      </c>
    </row>
    <row r="429" spans="1:14" x14ac:dyDescent="0.35">
      <c r="A429" s="9">
        <v>94634526</v>
      </c>
      <c r="B429" s="10">
        <v>42923</v>
      </c>
      <c r="C429" s="11">
        <v>0.3721990740740741</v>
      </c>
      <c r="D429" s="12">
        <v>0.37956018518518519</v>
      </c>
      <c r="E429" s="20">
        <f t="shared" si="60"/>
        <v>7.3611111111110961E-3</v>
      </c>
      <c r="F429" t="str">
        <f t="shared" si="61"/>
        <v>komorkowy</v>
      </c>
      <c r="G429" s="23">
        <f t="shared" si="68"/>
        <v>152429</v>
      </c>
      <c r="H429">
        <f t="shared" si="69"/>
        <v>50671</v>
      </c>
      <c r="I429">
        <f t="shared" si="62"/>
        <v>0</v>
      </c>
      <c r="J429">
        <f t="shared" si="63"/>
        <v>0</v>
      </c>
      <c r="K429">
        <f t="shared" si="64"/>
        <v>203100</v>
      </c>
      <c r="L429">
        <f t="shared" si="65"/>
        <v>0</v>
      </c>
      <c r="M429">
        <f t="shared" si="66"/>
        <v>0</v>
      </c>
      <c r="N429">
        <f t="shared" si="67"/>
        <v>636</v>
      </c>
    </row>
    <row r="430" spans="1:14" x14ac:dyDescent="0.35">
      <c r="A430" s="5">
        <v>67964973</v>
      </c>
      <c r="B430" s="6">
        <v>42923</v>
      </c>
      <c r="C430" s="7">
        <v>0.37445601851851851</v>
      </c>
      <c r="D430" s="8">
        <v>0.38145833333333334</v>
      </c>
      <c r="E430" s="20">
        <f t="shared" si="60"/>
        <v>7.0023148148148362E-3</v>
      </c>
      <c r="F430" t="str">
        <f t="shared" si="61"/>
        <v>komorkowy</v>
      </c>
      <c r="G430" s="23">
        <f t="shared" si="68"/>
        <v>152429</v>
      </c>
      <c r="H430">
        <f t="shared" si="69"/>
        <v>51276</v>
      </c>
      <c r="I430">
        <f t="shared" si="62"/>
        <v>0</v>
      </c>
      <c r="J430">
        <f t="shared" si="63"/>
        <v>0</v>
      </c>
      <c r="K430">
        <f t="shared" si="64"/>
        <v>203705</v>
      </c>
      <c r="L430">
        <f t="shared" si="65"/>
        <v>0</v>
      </c>
      <c r="M430">
        <f t="shared" si="66"/>
        <v>0</v>
      </c>
      <c r="N430">
        <f t="shared" si="67"/>
        <v>605</v>
      </c>
    </row>
    <row r="431" spans="1:14" x14ac:dyDescent="0.35">
      <c r="A431" s="9">
        <v>3505978</v>
      </c>
      <c r="B431" s="10">
        <v>42923</v>
      </c>
      <c r="C431" s="11">
        <v>0.3767476851851852</v>
      </c>
      <c r="D431" s="12">
        <v>0.38192129629629629</v>
      </c>
      <c r="E431" s="20">
        <f t="shared" si="60"/>
        <v>5.1736111111110872E-3</v>
      </c>
      <c r="F431" t="str">
        <f t="shared" si="61"/>
        <v>stacjonarny</v>
      </c>
      <c r="G431" s="23">
        <f t="shared" si="68"/>
        <v>152876</v>
      </c>
      <c r="H431">
        <f t="shared" si="69"/>
        <v>51276</v>
      </c>
      <c r="I431">
        <f t="shared" si="62"/>
        <v>0</v>
      </c>
      <c r="J431">
        <f t="shared" si="63"/>
        <v>0</v>
      </c>
      <c r="K431">
        <f t="shared" si="64"/>
        <v>204152</v>
      </c>
      <c r="L431">
        <f t="shared" si="65"/>
        <v>0</v>
      </c>
      <c r="M431">
        <f t="shared" si="66"/>
        <v>447</v>
      </c>
      <c r="N431">
        <f t="shared" si="67"/>
        <v>0</v>
      </c>
    </row>
    <row r="432" spans="1:14" x14ac:dyDescent="0.35">
      <c r="A432" s="5">
        <v>8685299481</v>
      </c>
      <c r="B432" s="6">
        <v>42923</v>
      </c>
      <c r="C432" s="7">
        <v>0.3778009259259259</v>
      </c>
      <c r="D432" s="8">
        <v>0.37927083333333333</v>
      </c>
      <c r="E432" s="20">
        <f t="shared" si="60"/>
        <v>1.4699074074074336E-3</v>
      </c>
      <c r="F432" t="str">
        <f t="shared" si="61"/>
        <v>zagraniczny</v>
      </c>
      <c r="G432" s="23">
        <f t="shared" si="68"/>
        <v>152876</v>
      </c>
      <c r="H432">
        <f t="shared" si="69"/>
        <v>51276</v>
      </c>
      <c r="I432">
        <f t="shared" si="62"/>
        <v>127</v>
      </c>
      <c r="J432">
        <f t="shared" si="63"/>
        <v>3</v>
      </c>
      <c r="K432">
        <f t="shared" si="64"/>
        <v>204152</v>
      </c>
      <c r="L432">
        <f t="shared" si="65"/>
        <v>0</v>
      </c>
      <c r="M432">
        <f t="shared" si="66"/>
        <v>0</v>
      </c>
      <c r="N432">
        <f t="shared" si="67"/>
        <v>0</v>
      </c>
    </row>
    <row r="433" spans="1:14" x14ac:dyDescent="0.35">
      <c r="A433" s="9">
        <v>8863988</v>
      </c>
      <c r="B433" s="10">
        <v>42923</v>
      </c>
      <c r="C433" s="11">
        <v>0.37998842592592591</v>
      </c>
      <c r="D433" s="12">
        <v>0.38434027777777779</v>
      </c>
      <c r="E433" s="20">
        <f t="shared" si="60"/>
        <v>4.3518518518518845E-3</v>
      </c>
      <c r="F433" t="str">
        <f t="shared" si="61"/>
        <v>stacjonarny</v>
      </c>
      <c r="G433" s="23">
        <f t="shared" si="68"/>
        <v>153252</v>
      </c>
      <c r="H433">
        <f t="shared" si="69"/>
        <v>51276</v>
      </c>
      <c r="I433">
        <f t="shared" si="62"/>
        <v>0</v>
      </c>
      <c r="J433">
        <f t="shared" si="63"/>
        <v>0</v>
      </c>
      <c r="K433">
        <f t="shared" si="64"/>
        <v>204528</v>
      </c>
      <c r="L433">
        <f t="shared" si="65"/>
        <v>0</v>
      </c>
      <c r="M433">
        <f t="shared" si="66"/>
        <v>376</v>
      </c>
      <c r="N433">
        <f t="shared" si="67"/>
        <v>0</v>
      </c>
    </row>
    <row r="434" spans="1:14" x14ac:dyDescent="0.35">
      <c r="A434" s="5">
        <v>29121099</v>
      </c>
      <c r="B434" s="6">
        <v>42923</v>
      </c>
      <c r="C434" s="7">
        <v>0.3835763888888889</v>
      </c>
      <c r="D434" s="8">
        <v>0.38965277777777779</v>
      </c>
      <c r="E434" s="20">
        <f t="shared" si="60"/>
        <v>6.0763888888888951E-3</v>
      </c>
      <c r="F434" t="str">
        <f t="shared" si="61"/>
        <v>komorkowy</v>
      </c>
      <c r="G434" s="23">
        <f t="shared" si="68"/>
        <v>153252</v>
      </c>
      <c r="H434">
        <f t="shared" si="69"/>
        <v>51801</v>
      </c>
      <c r="I434">
        <f t="shared" si="62"/>
        <v>0</v>
      </c>
      <c r="J434">
        <f t="shared" si="63"/>
        <v>0</v>
      </c>
      <c r="K434">
        <f t="shared" si="64"/>
        <v>205053</v>
      </c>
      <c r="L434">
        <f t="shared" si="65"/>
        <v>0</v>
      </c>
      <c r="M434">
        <f t="shared" si="66"/>
        <v>0</v>
      </c>
      <c r="N434">
        <f t="shared" si="67"/>
        <v>525</v>
      </c>
    </row>
    <row r="435" spans="1:14" x14ac:dyDescent="0.35">
      <c r="A435" s="9">
        <v>2814524</v>
      </c>
      <c r="B435" s="10">
        <v>42923</v>
      </c>
      <c r="C435" s="11">
        <v>0.38922453703703702</v>
      </c>
      <c r="D435" s="12">
        <v>0.39096064814814813</v>
      </c>
      <c r="E435" s="20">
        <f t="shared" si="60"/>
        <v>1.7361111111111049E-3</v>
      </c>
      <c r="F435" t="str">
        <f t="shared" si="61"/>
        <v>stacjonarny</v>
      </c>
      <c r="G435" s="23">
        <f t="shared" si="68"/>
        <v>153402</v>
      </c>
      <c r="H435">
        <f t="shared" si="69"/>
        <v>51801</v>
      </c>
      <c r="I435">
        <f t="shared" si="62"/>
        <v>0</v>
      </c>
      <c r="J435">
        <f t="shared" si="63"/>
        <v>0</v>
      </c>
      <c r="K435">
        <f t="shared" si="64"/>
        <v>205203</v>
      </c>
      <c r="L435">
        <f t="shared" si="65"/>
        <v>0</v>
      </c>
      <c r="M435">
        <f t="shared" si="66"/>
        <v>150</v>
      </c>
      <c r="N435">
        <f t="shared" si="67"/>
        <v>0</v>
      </c>
    </row>
    <row r="436" spans="1:14" x14ac:dyDescent="0.35">
      <c r="A436" s="5">
        <v>5341697748</v>
      </c>
      <c r="B436" s="6">
        <v>42923</v>
      </c>
      <c r="C436" s="7">
        <v>0.39091435185185186</v>
      </c>
      <c r="D436" s="8">
        <v>0.39620370370370372</v>
      </c>
      <c r="E436" s="20">
        <f t="shared" si="60"/>
        <v>5.2893518518518645E-3</v>
      </c>
      <c r="F436" t="str">
        <f t="shared" si="61"/>
        <v>zagraniczny</v>
      </c>
      <c r="G436" s="23">
        <f t="shared" si="68"/>
        <v>153402</v>
      </c>
      <c r="H436">
        <f t="shared" si="69"/>
        <v>51801</v>
      </c>
      <c r="I436">
        <f t="shared" si="62"/>
        <v>457</v>
      </c>
      <c r="J436">
        <f t="shared" si="63"/>
        <v>8</v>
      </c>
      <c r="K436">
        <f t="shared" si="64"/>
        <v>205203</v>
      </c>
      <c r="L436">
        <f t="shared" si="65"/>
        <v>0</v>
      </c>
      <c r="M436">
        <f t="shared" si="66"/>
        <v>0</v>
      </c>
      <c r="N436">
        <f t="shared" si="67"/>
        <v>0</v>
      </c>
    </row>
    <row r="437" spans="1:14" x14ac:dyDescent="0.35">
      <c r="A437" s="9">
        <v>4102482</v>
      </c>
      <c r="B437" s="10">
        <v>42923</v>
      </c>
      <c r="C437" s="11">
        <v>0.39196759259259262</v>
      </c>
      <c r="D437" s="12">
        <v>0.39486111111111111</v>
      </c>
      <c r="E437" s="20">
        <f t="shared" si="60"/>
        <v>2.8935185185184897E-3</v>
      </c>
      <c r="F437" t="str">
        <f t="shared" si="61"/>
        <v>stacjonarny</v>
      </c>
      <c r="G437" s="23">
        <f t="shared" si="68"/>
        <v>153652</v>
      </c>
      <c r="H437">
        <f t="shared" si="69"/>
        <v>51801</v>
      </c>
      <c r="I437">
        <f t="shared" si="62"/>
        <v>0</v>
      </c>
      <c r="J437">
        <f t="shared" si="63"/>
        <v>0</v>
      </c>
      <c r="K437">
        <f t="shared" si="64"/>
        <v>205453</v>
      </c>
      <c r="L437">
        <f t="shared" si="65"/>
        <v>0</v>
      </c>
      <c r="M437">
        <f t="shared" si="66"/>
        <v>250</v>
      </c>
      <c r="N437">
        <f t="shared" si="67"/>
        <v>0</v>
      </c>
    </row>
    <row r="438" spans="1:14" x14ac:dyDescent="0.35">
      <c r="A438" s="5">
        <v>5636281</v>
      </c>
      <c r="B438" s="6">
        <v>42923</v>
      </c>
      <c r="C438" s="7">
        <v>0.39731481481481479</v>
      </c>
      <c r="D438" s="8">
        <v>0.40688657407407408</v>
      </c>
      <c r="E438" s="20">
        <f t="shared" si="60"/>
        <v>9.5717592592592937E-3</v>
      </c>
      <c r="F438" t="str">
        <f t="shared" si="61"/>
        <v>stacjonarny</v>
      </c>
      <c r="G438" s="23">
        <f t="shared" si="68"/>
        <v>154479</v>
      </c>
      <c r="H438">
        <f t="shared" si="69"/>
        <v>51801</v>
      </c>
      <c r="I438">
        <f t="shared" si="62"/>
        <v>0</v>
      </c>
      <c r="J438">
        <f t="shared" si="63"/>
        <v>0</v>
      </c>
      <c r="K438">
        <f t="shared" si="64"/>
        <v>206280</v>
      </c>
      <c r="L438">
        <f t="shared" si="65"/>
        <v>0</v>
      </c>
      <c r="M438">
        <f t="shared" si="66"/>
        <v>827</v>
      </c>
      <c r="N438">
        <f t="shared" si="67"/>
        <v>0</v>
      </c>
    </row>
    <row r="439" spans="1:14" x14ac:dyDescent="0.35">
      <c r="A439" s="9">
        <v>7715424</v>
      </c>
      <c r="B439" s="10">
        <v>42923</v>
      </c>
      <c r="C439" s="11">
        <v>0.40283564814814815</v>
      </c>
      <c r="D439" s="12">
        <v>0.41091435185185188</v>
      </c>
      <c r="E439" s="20">
        <f t="shared" si="60"/>
        <v>8.0787037037037268E-3</v>
      </c>
      <c r="F439" t="str">
        <f t="shared" si="61"/>
        <v>stacjonarny</v>
      </c>
      <c r="G439" s="23">
        <f t="shared" si="68"/>
        <v>155177</v>
      </c>
      <c r="H439">
        <f t="shared" si="69"/>
        <v>51801</v>
      </c>
      <c r="I439">
        <f t="shared" si="62"/>
        <v>0</v>
      </c>
      <c r="J439">
        <f t="shared" si="63"/>
        <v>0</v>
      </c>
      <c r="K439">
        <f t="shared" si="64"/>
        <v>206978</v>
      </c>
      <c r="L439">
        <f t="shared" si="65"/>
        <v>0</v>
      </c>
      <c r="M439">
        <f t="shared" si="66"/>
        <v>698</v>
      </c>
      <c r="N439">
        <f t="shared" si="67"/>
        <v>0</v>
      </c>
    </row>
    <row r="440" spans="1:14" x14ac:dyDescent="0.35">
      <c r="A440" s="5">
        <v>3811342</v>
      </c>
      <c r="B440" s="6">
        <v>42923</v>
      </c>
      <c r="C440" s="7">
        <v>0.4039814814814815</v>
      </c>
      <c r="D440" s="8">
        <v>0.41211805555555553</v>
      </c>
      <c r="E440" s="20">
        <f t="shared" si="60"/>
        <v>8.1365740740740322E-3</v>
      </c>
      <c r="F440" t="str">
        <f t="shared" si="61"/>
        <v>stacjonarny</v>
      </c>
      <c r="G440" s="23">
        <f t="shared" si="68"/>
        <v>155880</v>
      </c>
      <c r="H440">
        <f t="shared" si="69"/>
        <v>51801</v>
      </c>
      <c r="I440">
        <f t="shared" si="62"/>
        <v>0</v>
      </c>
      <c r="J440">
        <f t="shared" si="63"/>
        <v>0</v>
      </c>
      <c r="K440">
        <f t="shared" si="64"/>
        <v>207681</v>
      </c>
      <c r="L440">
        <f t="shared" si="65"/>
        <v>0</v>
      </c>
      <c r="M440">
        <f t="shared" si="66"/>
        <v>703</v>
      </c>
      <c r="N440">
        <f t="shared" si="67"/>
        <v>0</v>
      </c>
    </row>
    <row r="441" spans="1:14" x14ac:dyDescent="0.35">
      <c r="A441" s="9">
        <v>8177683</v>
      </c>
      <c r="B441" s="10">
        <v>42923</v>
      </c>
      <c r="C441" s="11">
        <v>0.40534722222222225</v>
      </c>
      <c r="D441" s="12">
        <v>0.40887731481481482</v>
      </c>
      <c r="E441" s="20">
        <f t="shared" si="60"/>
        <v>3.5300925925925708E-3</v>
      </c>
      <c r="F441" t="str">
        <f t="shared" si="61"/>
        <v>stacjonarny</v>
      </c>
      <c r="G441" s="23">
        <f t="shared" si="68"/>
        <v>156185</v>
      </c>
      <c r="H441">
        <f t="shared" si="69"/>
        <v>51801</v>
      </c>
      <c r="I441">
        <f t="shared" si="62"/>
        <v>0</v>
      </c>
      <c r="J441">
        <f t="shared" si="63"/>
        <v>0</v>
      </c>
      <c r="K441">
        <f t="shared" si="64"/>
        <v>207986</v>
      </c>
      <c r="L441">
        <f t="shared" si="65"/>
        <v>0</v>
      </c>
      <c r="M441">
        <f t="shared" si="66"/>
        <v>305</v>
      </c>
      <c r="N441">
        <f t="shared" si="67"/>
        <v>0</v>
      </c>
    </row>
    <row r="442" spans="1:14" x14ac:dyDescent="0.35">
      <c r="A442" s="5">
        <v>51367705</v>
      </c>
      <c r="B442" s="6">
        <v>42923</v>
      </c>
      <c r="C442" s="7">
        <v>0.41025462962962961</v>
      </c>
      <c r="D442" s="8">
        <v>0.41064814814814815</v>
      </c>
      <c r="E442" s="20">
        <f t="shared" si="60"/>
        <v>3.9351851851854303E-4</v>
      </c>
      <c r="F442" t="str">
        <f t="shared" si="61"/>
        <v>komorkowy</v>
      </c>
      <c r="G442" s="23">
        <f t="shared" si="68"/>
        <v>156185</v>
      </c>
      <c r="H442">
        <f t="shared" si="69"/>
        <v>51835</v>
      </c>
      <c r="I442">
        <f t="shared" si="62"/>
        <v>0</v>
      </c>
      <c r="J442">
        <f t="shared" si="63"/>
        <v>0</v>
      </c>
      <c r="K442">
        <f t="shared" si="64"/>
        <v>208020</v>
      </c>
      <c r="L442">
        <f t="shared" si="65"/>
        <v>0</v>
      </c>
      <c r="M442">
        <f t="shared" si="66"/>
        <v>0</v>
      </c>
      <c r="N442">
        <f t="shared" si="67"/>
        <v>34</v>
      </c>
    </row>
    <row r="443" spans="1:14" x14ac:dyDescent="0.35">
      <c r="A443" s="9">
        <v>7646265</v>
      </c>
      <c r="B443" s="10">
        <v>42923</v>
      </c>
      <c r="C443" s="11">
        <v>0.4103472222222222</v>
      </c>
      <c r="D443" s="12">
        <v>0.41578703703703701</v>
      </c>
      <c r="E443" s="20">
        <f t="shared" si="60"/>
        <v>5.439814814814814E-3</v>
      </c>
      <c r="F443" t="str">
        <f t="shared" si="61"/>
        <v>stacjonarny</v>
      </c>
      <c r="G443" s="23">
        <f t="shared" si="68"/>
        <v>156655</v>
      </c>
      <c r="H443">
        <f t="shared" si="69"/>
        <v>51835</v>
      </c>
      <c r="I443">
        <f t="shared" si="62"/>
        <v>0</v>
      </c>
      <c r="J443">
        <f t="shared" si="63"/>
        <v>0</v>
      </c>
      <c r="K443">
        <f t="shared" si="64"/>
        <v>208490</v>
      </c>
      <c r="L443">
        <f t="shared" si="65"/>
        <v>0</v>
      </c>
      <c r="M443">
        <f t="shared" si="66"/>
        <v>470</v>
      </c>
      <c r="N443">
        <f t="shared" si="67"/>
        <v>0</v>
      </c>
    </row>
    <row r="444" spans="1:14" x14ac:dyDescent="0.35">
      <c r="A444" s="5">
        <v>37906881</v>
      </c>
      <c r="B444" s="6">
        <v>42923</v>
      </c>
      <c r="C444" s="7">
        <v>0.41248842592592594</v>
      </c>
      <c r="D444" s="8">
        <v>0.41328703703703706</v>
      </c>
      <c r="E444" s="20">
        <f t="shared" si="60"/>
        <v>7.9861111111112493E-4</v>
      </c>
      <c r="F444" t="str">
        <f t="shared" si="61"/>
        <v>komorkowy</v>
      </c>
      <c r="G444" s="23">
        <f t="shared" si="68"/>
        <v>156655</v>
      </c>
      <c r="H444">
        <f t="shared" si="69"/>
        <v>51904</v>
      </c>
      <c r="I444">
        <f t="shared" si="62"/>
        <v>0</v>
      </c>
      <c r="J444">
        <f t="shared" si="63"/>
        <v>0</v>
      </c>
      <c r="K444">
        <f t="shared" si="64"/>
        <v>208559</v>
      </c>
      <c r="L444">
        <f t="shared" si="65"/>
        <v>0</v>
      </c>
      <c r="M444">
        <f t="shared" si="66"/>
        <v>0</v>
      </c>
      <c r="N444">
        <f t="shared" si="67"/>
        <v>69</v>
      </c>
    </row>
    <row r="445" spans="1:14" x14ac:dyDescent="0.35">
      <c r="A445" s="9">
        <v>9740908</v>
      </c>
      <c r="B445" s="10">
        <v>42923</v>
      </c>
      <c r="C445" s="11">
        <v>0.41260416666666666</v>
      </c>
      <c r="D445" s="12">
        <v>0.41520833333333335</v>
      </c>
      <c r="E445" s="20">
        <f t="shared" si="60"/>
        <v>2.6041666666666852E-3</v>
      </c>
      <c r="F445" t="str">
        <f t="shared" si="61"/>
        <v>stacjonarny</v>
      </c>
      <c r="G445" s="23">
        <f t="shared" si="68"/>
        <v>156880</v>
      </c>
      <c r="H445">
        <f t="shared" si="69"/>
        <v>51904</v>
      </c>
      <c r="I445">
        <f t="shared" si="62"/>
        <v>0</v>
      </c>
      <c r="J445">
        <f t="shared" si="63"/>
        <v>0</v>
      </c>
      <c r="K445">
        <f t="shared" si="64"/>
        <v>208784</v>
      </c>
      <c r="L445">
        <f t="shared" si="65"/>
        <v>0</v>
      </c>
      <c r="M445">
        <f t="shared" si="66"/>
        <v>225</v>
      </c>
      <c r="N445">
        <f t="shared" si="67"/>
        <v>0</v>
      </c>
    </row>
    <row r="446" spans="1:14" x14ac:dyDescent="0.35">
      <c r="A446" s="5">
        <v>45948073</v>
      </c>
      <c r="B446" s="6">
        <v>42923</v>
      </c>
      <c r="C446" s="7">
        <v>0.41680555555555554</v>
      </c>
      <c r="D446" s="8">
        <v>0.4243865740740741</v>
      </c>
      <c r="E446" s="20">
        <f t="shared" si="60"/>
        <v>7.5810185185185563E-3</v>
      </c>
      <c r="F446" t="str">
        <f t="shared" si="61"/>
        <v>komorkowy</v>
      </c>
      <c r="G446" s="23">
        <f t="shared" si="68"/>
        <v>156880</v>
      </c>
      <c r="H446">
        <f t="shared" si="69"/>
        <v>52559</v>
      </c>
      <c r="I446">
        <f t="shared" si="62"/>
        <v>0</v>
      </c>
      <c r="J446">
        <f t="shared" si="63"/>
        <v>0</v>
      </c>
      <c r="K446">
        <f t="shared" si="64"/>
        <v>209439</v>
      </c>
      <c r="L446">
        <f t="shared" si="65"/>
        <v>0</v>
      </c>
      <c r="M446">
        <f t="shared" si="66"/>
        <v>0</v>
      </c>
      <c r="N446">
        <f t="shared" si="67"/>
        <v>655</v>
      </c>
    </row>
    <row r="447" spans="1:14" x14ac:dyDescent="0.35">
      <c r="A447" s="9">
        <v>8070345</v>
      </c>
      <c r="B447" s="10">
        <v>42923</v>
      </c>
      <c r="C447" s="11">
        <v>0.41829861111111111</v>
      </c>
      <c r="D447" s="12">
        <v>0.42706018518518518</v>
      </c>
      <c r="E447" s="20">
        <f t="shared" si="60"/>
        <v>8.7615740740740744E-3</v>
      </c>
      <c r="F447" t="str">
        <f t="shared" si="61"/>
        <v>stacjonarny</v>
      </c>
      <c r="G447" s="23">
        <f t="shared" si="68"/>
        <v>157637</v>
      </c>
      <c r="H447">
        <f t="shared" si="69"/>
        <v>52559</v>
      </c>
      <c r="I447">
        <f t="shared" si="62"/>
        <v>0</v>
      </c>
      <c r="J447">
        <f t="shared" si="63"/>
        <v>0</v>
      </c>
      <c r="K447">
        <f t="shared" si="64"/>
        <v>210196</v>
      </c>
      <c r="L447">
        <f t="shared" si="65"/>
        <v>0</v>
      </c>
      <c r="M447">
        <f t="shared" si="66"/>
        <v>757</v>
      </c>
      <c r="N447">
        <f t="shared" si="67"/>
        <v>0</v>
      </c>
    </row>
    <row r="448" spans="1:14" x14ac:dyDescent="0.35">
      <c r="A448" s="5">
        <v>52214055</v>
      </c>
      <c r="B448" s="6">
        <v>42923</v>
      </c>
      <c r="C448" s="7">
        <v>0.4199074074074074</v>
      </c>
      <c r="D448" s="8">
        <v>0.42357638888888888</v>
      </c>
      <c r="E448" s="20">
        <f t="shared" si="60"/>
        <v>3.6689814814814814E-3</v>
      </c>
      <c r="F448" t="str">
        <f t="shared" si="61"/>
        <v>komorkowy</v>
      </c>
      <c r="G448" s="23">
        <f t="shared" si="68"/>
        <v>157637</v>
      </c>
      <c r="H448">
        <f t="shared" si="69"/>
        <v>52876</v>
      </c>
      <c r="I448">
        <f t="shared" si="62"/>
        <v>0</v>
      </c>
      <c r="J448">
        <f t="shared" si="63"/>
        <v>0</v>
      </c>
      <c r="K448">
        <f t="shared" si="64"/>
        <v>210513</v>
      </c>
      <c r="L448">
        <f t="shared" si="65"/>
        <v>0</v>
      </c>
      <c r="M448">
        <f t="shared" si="66"/>
        <v>0</v>
      </c>
      <c r="N448">
        <f t="shared" si="67"/>
        <v>317</v>
      </c>
    </row>
    <row r="449" spans="1:14" x14ac:dyDescent="0.35">
      <c r="A449" s="9">
        <v>8434044</v>
      </c>
      <c r="B449" s="10">
        <v>42923</v>
      </c>
      <c r="C449" s="11">
        <v>0.42149305555555555</v>
      </c>
      <c r="D449" s="12">
        <v>0.42736111111111114</v>
      </c>
      <c r="E449" s="20">
        <f t="shared" si="60"/>
        <v>5.8680555555555847E-3</v>
      </c>
      <c r="F449" t="str">
        <f t="shared" si="61"/>
        <v>stacjonarny</v>
      </c>
      <c r="G449" s="23">
        <f t="shared" si="68"/>
        <v>158144</v>
      </c>
      <c r="H449">
        <f t="shared" si="69"/>
        <v>52876</v>
      </c>
      <c r="I449">
        <f t="shared" si="62"/>
        <v>0</v>
      </c>
      <c r="J449">
        <f t="shared" si="63"/>
        <v>0</v>
      </c>
      <c r="K449">
        <f t="shared" si="64"/>
        <v>211020</v>
      </c>
      <c r="L449">
        <f t="shared" si="65"/>
        <v>0</v>
      </c>
      <c r="M449">
        <f t="shared" si="66"/>
        <v>507</v>
      </c>
      <c r="N449">
        <f t="shared" si="67"/>
        <v>0</v>
      </c>
    </row>
    <row r="450" spans="1:14" x14ac:dyDescent="0.35">
      <c r="A450" s="5">
        <v>4702334</v>
      </c>
      <c r="B450" s="6">
        <v>42923</v>
      </c>
      <c r="C450" s="7">
        <v>0.4255902777777778</v>
      </c>
      <c r="D450" s="8">
        <v>0.43464120370370368</v>
      </c>
      <c r="E450" s="20">
        <f t="shared" si="60"/>
        <v>9.050925925925879E-3</v>
      </c>
      <c r="F450" t="str">
        <f t="shared" si="61"/>
        <v>stacjonarny</v>
      </c>
      <c r="G450" s="23">
        <f t="shared" si="68"/>
        <v>158926</v>
      </c>
      <c r="H450">
        <f t="shared" si="69"/>
        <v>52876</v>
      </c>
      <c r="I450">
        <f t="shared" si="62"/>
        <v>0</v>
      </c>
      <c r="J450">
        <f t="shared" si="63"/>
        <v>0</v>
      </c>
      <c r="K450">
        <f t="shared" si="64"/>
        <v>211802</v>
      </c>
      <c r="L450">
        <f t="shared" si="65"/>
        <v>0</v>
      </c>
      <c r="M450">
        <f t="shared" si="66"/>
        <v>782</v>
      </c>
      <c r="N450">
        <f t="shared" si="67"/>
        <v>0</v>
      </c>
    </row>
    <row r="451" spans="1:14" x14ac:dyDescent="0.35">
      <c r="A451" s="9">
        <v>1308483040</v>
      </c>
      <c r="B451" s="10">
        <v>42923</v>
      </c>
      <c r="C451" s="11">
        <v>0.43016203703703704</v>
      </c>
      <c r="D451" s="12">
        <v>0.44123842592592594</v>
      </c>
      <c r="E451" s="20">
        <f t="shared" ref="E451:E514" si="70">D451-C451</f>
        <v>1.1076388888888899E-2</v>
      </c>
      <c r="F451" t="str">
        <f t="shared" ref="F451:F514" si="71">IF(LEN(A451)=7,"stacjonarny",IF(LEN(A451)=8,"komorkowy","zagraniczny"))</f>
        <v>zagraniczny</v>
      </c>
      <c r="G451" s="23">
        <f t="shared" si="68"/>
        <v>158926</v>
      </c>
      <c r="H451">
        <f t="shared" si="69"/>
        <v>52876</v>
      </c>
      <c r="I451">
        <f t="shared" ref="I451:I514" si="72">IF(F451="zagraniczny",MINUTE(E451)*60+SECOND(E451)+HOUR(E451)*3600,0)</f>
        <v>957</v>
      </c>
      <c r="J451">
        <f t="shared" ref="J451:J514" si="73">ROUNDUP(I451/60,0)</f>
        <v>16</v>
      </c>
      <c r="K451">
        <f t="shared" ref="K451:K514" si="74">G451+H451</f>
        <v>211802</v>
      </c>
      <c r="L451">
        <f t="shared" ref="L451:L514" si="75">IF(K451&lt;=48000,1,0)</f>
        <v>0</v>
      </c>
      <c r="M451">
        <f t="shared" ref="M451:M514" si="76">IF(AND(L451=0,F451="stacjonarny"),SECOND(E451)+60*MINUTE(E451),0)</f>
        <v>0</v>
      </c>
      <c r="N451">
        <f t="shared" ref="N451:N514" si="77">IF(AND(L451=0,F451="komorkowy"),SECOND(E451)+60*MINUTE(E451),0)</f>
        <v>0</v>
      </c>
    </row>
    <row r="452" spans="1:14" x14ac:dyDescent="0.35">
      <c r="A452" s="5">
        <v>34556399</v>
      </c>
      <c r="B452" s="6">
        <v>42923</v>
      </c>
      <c r="C452" s="7">
        <v>0.43146990740740743</v>
      </c>
      <c r="D452" s="8">
        <v>0.43192129629629628</v>
      </c>
      <c r="E452" s="20">
        <f t="shared" si="70"/>
        <v>4.5138888888884843E-4</v>
      </c>
      <c r="F452" t="str">
        <f t="shared" si="71"/>
        <v>komorkowy</v>
      </c>
      <c r="G452" s="23">
        <f t="shared" ref="G452:G515" si="78">IF(F452="stacjonarny",MINUTE(E452)*60+SECOND(E452)+G451,G451)</f>
        <v>158926</v>
      </c>
      <c r="H452">
        <f t="shared" ref="H452:H515" si="79">IF(F452="komorkowy",MINUTE(E452)*60+SECOND(E452)+H451,H451)</f>
        <v>52915</v>
      </c>
      <c r="I452">
        <f t="shared" si="72"/>
        <v>0</v>
      </c>
      <c r="J452">
        <f t="shared" si="73"/>
        <v>0</v>
      </c>
      <c r="K452">
        <f t="shared" si="74"/>
        <v>211841</v>
      </c>
      <c r="L452">
        <f t="shared" si="75"/>
        <v>0</v>
      </c>
      <c r="M452">
        <f t="shared" si="76"/>
        <v>0</v>
      </c>
      <c r="N452">
        <f t="shared" si="77"/>
        <v>39</v>
      </c>
    </row>
    <row r="453" spans="1:14" x14ac:dyDescent="0.35">
      <c r="A453" s="9">
        <v>48676568</v>
      </c>
      <c r="B453" s="10">
        <v>42923</v>
      </c>
      <c r="C453" s="11">
        <v>0.43313657407407408</v>
      </c>
      <c r="D453" s="12">
        <v>0.43811342592592595</v>
      </c>
      <c r="E453" s="20">
        <f t="shared" si="70"/>
        <v>4.9768518518518712E-3</v>
      </c>
      <c r="F453" t="str">
        <f t="shared" si="71"/>
        <v>komorkowy</v>
      </c>
      <c r="G453" s="23">
        <f t="shared" si="78"/>
        <v>158926</v>
      </c>
      <c r="H453">
        <f t="shared" si="79"/>
        <v>53345</v>
      </c>
      <c r="I453">
        <f t="shared" si="72"/>
        <v>0</v>
      </c>
      <c r="J453">
        <f t="shared" si="73"/>
        <v>0</v>
      </c>
      <c r="K453">
        <f t="shared" si="74"/>
        <v>212271</v>
      </c>
      <c r="L453">
        <f t="shared" si="75"/>
        <v>0</v>
      </c>
      <c r="M453">
        <f t="shared" si="76"/>
        <v>0</v>
      </c>
      <c r="N453">
        <f t="shared" si="77"/>
        <v>430</v>
      </c>
    </row>
    <row r="454" spans="1:14" x14ac:dyDescent="0.35">
      <c r="A454" s="5">
        <v>1887758</v>
      </c>
      <c r="B454" s="6">
        <v>42923</v>
      </c>
      <c r="C454" s="7">
        <v>0.43752314814814813</v>
      </c>
      <c r="D454" s="8">
        <v>0.44806712962962963</v>
      </c>
      <c r="E454" s="20">
        <f t="shared" si="70"/>
        <v>1.0543981481481501E-2</v>
      </c>
      <c r="F454" t="str">
        <f t="shared" si="71"/>
        <v>stacjonarny</v>
      </c>
      <c r="G454" s="23">
        <f t="shared" si="78"/>
        <v>159837</v>
      </c>
      <c r="H454">
        <f t="shared" si="79"/>
        <v>53345</v>
      </c>
      <c r="I454">
        <f t="shared" si="72"/>
        <v>0</v>
      </c>
      <c r="J454">
        <f t="shared" si="73"/>
        <v>0</v>
      </c>
      <c r="K454">
        <f t="shared" si="74"/>
        <v>213182</v>
      </c>
      <c r="L454">
        <f t="shared" si="75"/>
        <v>0</v>
      </c>
      <c r="M454">
        <f t="shared" si="76"/>
        <v>911</v>
      </c>
      <c r="N454">
        <f t="shared" si="77"/>
        <v>0</v>
      </c>
    </row>
    <row r="455" spans="1:14" x14ac:dyDescent="0.35">
      <c r="A455" s="9">
        <v>3505978</v>
      </c>
      <c r="B455" s="10">
        <v>42923</v>
      </c>
      <c r="C455" s="11">
        <v>0.44184027777777779</v>
      </c>
      <c r="D455" s="12">
        <v>0.44582175925925926</v>
      </c>
      <c r="E455" s="20">
        <f t="shared" si="70"/>
        <v>3.9814814814814747E-3</v>
      </c>
      <c r="F455" t="str">
        <f t="shared" si="71"/>
        <v>stacjonarny</v>
      </c>
      <c r="G455" s="23">
        <f t="shared" si="78"/>
        <v>160181</v>
      </c>
      <c r="H455">
        <f t="shared" si="79"/>
        <v>53345</v>
      </c>
      <c r="I455">
        <f t="shared" si="72"/>
        <v>0</v>
      </c>
      <c r="J455">
        <f t="shared" si="73"/>
        <v>0</v>
      </c>
      <c r="K455">
        <f t="shared" si="74"/>
        <v>213526</v>
      </c>
      <c r="L455">
        <f t="shared" si="75"/>
        <v>0</v>
      </c>
      <c r="M455">
        <f t="shared" si="76"/>
        <v>344</v>
      </c>
      <c r="N455">
        <f t="shared" si="77"/>
        <v>0</v>
      </c>
    </row>
    <row r="456" spans="1:14" x14ac:dyDescent="0.35">
      <c r="A456" s="5">
        <v>4405604</v>
      </c>
      <c r="B456" s="6">
        <v>42923</v>
      </c>
      <c r="C456" s="7">
        <v>0.44543981481481482</v>
      </c>
      <c r="D456" s="8">
        <v>0.45271990740740742</v>
      </c>
      <c r="E456" s="20">
        <f t="shared" si="70"/>
        <v>7.2800925925926019E-3</v>
      </c>
      <c r="F456" t="str">
        <f t="shared" si="71"/>
        <v>stacjonarny</v>
      </c>
      <c r="G456" s="23">
        <f t="shared" si="78"/>
        <v>160810</v>
      </c>
      <c r="H456">
        <f t="shared" si="79"/>
        <v>53345</v>
      </c>
      <c r="I456">
        <f t="shared" si="72"/>
        <v>0</v>
      </c>
      <c r="J456">
        <f t="shared" si="73"/>
        <v>0</v>
      </c>
      <c r="K456">
        <f t="shared" si="74"/>
        <v>214155</v>
      </c>
      <c r="L456">
        <f t="shared" si="75"/>
        <v>0</v>
      </c>
      <c r="M456">
        <f t="shared" si="76"/>
        <v>629</v>
      </c>
      <c r="N456">
        <f t="shared" si="77"/>
        <v>0</v>
      </c>
    </row>
    <row r="457" spans="1:14" x14ac:dyDescent="0.35">
      <c r="A457" s="9">
        <v>2327418</v>
      </c>
      <c r="B457" s="10">
        <v>42923</v>
      </c>
      <c r="C457" s="11">
        <v>0.44775462962962964</v>
      </c>
      <c r="D457" s="12">
        <v>0.45450231481481479</v>
      </c>
      <c r="E457" s="20">
        <f t="shared" si="70"/>
        <v>6.7476851851851483E-3</v>
      </c>
      <c r="F457" t="str">
        <f t="shared" si="71"/>
        <v>stacjonarny</v>
      </c>
      <c r="G457" s="23">
        <f t="shared" si="78"/>
        <v>161393</v>
      </c>
      <c r="H457">
        <f t="shared" si="79"/>
        <v>53345</v>
      </c>
      <c r="I457">
        <f t="shared" si="72"/>
        <v>0</v>
      </c>
      <c r="J457">
        <f t="shared" si="73"/>
        <v>0</v>
      </c>
      <c r="K457">
        <f t="shared" si="74"/>
        <v>214738</v>
      </c>
      <c r="L457">
        <f t="shared" si="75"/>
        <v>0</v>
      </c>
      <c r="M457">
        <f t="shared" si="76"/>
        <v>583</v>
      </c>
      <c r="N457">
        <f t="shared" si="77"/>
        <v>0</v>
      </c>
    </row>
    <row r="458" spans="1:14" x14ac:dyDescent="0.35">
      <c r="A458" s="5">
        <v>5205087</v>
      </c>
      <c r="B458" s="6">
        <v>42923</v>
      </c>
      <c r="C458" s="7">
        <v>0.44927083333333334</v>
      </c>
      <c r="D458" s="8">
        <v>0.45666666666666667</v>
      </c>
      <c r="E458" s="20">
        <f t="shared" si="70"/>
        <v>7.3958333333333237E-3</v>
      </c>
      <c r="F458" t="str">
        <f t="shared" si="71"/>
        <v>stacjonarny</v>
      </c>
      <c r="G458" s="23">
        <f t="shared" si="78"/>
        <v>162032</v>
      </c>
      <c r="H458">
        <f t="shared" si="79"/>
        <v>53345</v>
      </c>
      <c r="I458">
        <f t="shared" si="72"/>
        <v>0</v>
      </c>
      <c r="J458">
        <f t="shared" si="73"/>
        <v>0</v>
      </c>
      <c r="K458">
        <f t="shared" si="74"/>
        <v>215377</v>
      </c>
      <c r="L458">
        <f t="shared" si="75"/>
        <v>0</v>
      </c>
      <c r="M458">
        <f t="shared" si="76"/>
        <v>639</v>
      </c>
      <c r="N458">
        <f t="shared" si="77"/>
        <v>0</v>
      </c>
    </row>
    <row r="459" spans="1:14" x14ac:dyDescent="0.35">
      <c r="A459" s="9">
        <v>1936989939</v>
      </c>
      <c r="B459" s="10">
        <v>42923</v>
      </c>
      <c r="C459" s="11">
        <v>0.45091435185185186</v>
      </c>
      <c r="D459" s="12">
        <v>0.4586574074074074</v>
      </c>
      <c r="E459" s="20">
        <f t="shared" si="70"/>
        <v>7.7430555555555447E-3</v>
      </c>
      <c r="F459" t="str">
        <f t="shared" si="71"/>
        <v>zagraniczny</v>
      </c>
      <c r="G459" s="23">
        <f t="shared" si="78"/>
        <v>162032</v>
      </c>
      <c r="H459">
        <f t="shared" si="79"/>
        <v>53345</v>
      </c>
      <c r="I459">
        <f t="shared" si="72"/>
        <v>669</v>
      </c>
      <c r="J459">
        <f t="shared" si="73"/>
        <v>12</v>
      </c>
      <c r="K459">
        <f t="shared" si="74"/>
        <v>215377</v>
      </c>
      <c r="L459">
        <f t="shared" si="75"/>
        <v>0</v>
      </c>
      <c r="M459">
        <f t="shared" si="76"/>
        <v>0</v>
      </c>
      <c r="N459">
        <f t="shared" si="77"/>
        <v>0</v>
      </c>
    </row>
    <row r="460" spans="1:14" x14ac:dyDescent="0.35">
      <c r="A460" s="5">
        <v>2722706</v>
      </c>
      <c r="B460" s="6">
        <v>42923</v>
      </c>
      <c r="C460" s="7">
        <v>0.45416666666666666</v>
      </c>
      <c r="D460" s="8">
        <v>0.46155092592592595</v>
      </c>
      <c r="E460" s="20">
        <f t="shared" si="70"/>
        <v>7.3842592592592848E-3</v>
      </c>
      <c r="F460" t="str">
        <f t="shared" si="71"/>
        <v>stacjonarny</v>
      </c>
      <c r="G460" s="23">
        <f t="shared" si="78"/>
        <v>162670</v>
      </c>
      <c r="H460">
        <f t="shared" si="79"/>
        <v>53345</v>
      </c>
      <c r="I460">
        <f t="shared" si="72"/>
        <v>0</v>
      </c>
      <c r="J460">
        <f t="shared" si="73"/>
        <v>0</v>
      </c>
      <c r="K460">
        <f t="shared" si="74"/>
        <v>216015</v>
      </c>
      <c r="L460">
        <f t="shared" si="75"/>
        <v>0</v>
      </c>
      <c r="M460">
        <f t="shared" si="76"/>
        <v>638</v>
      </c>
      <c r="N460">
        <f t="shared" si="77"/>
        <v>0</v>
      </c>
    </row>
    <row r="461" spans="1:14" x14ac:dyDescent="0.35">
      <c r="A461" s="9">
        <v>3018218</v>
      </c>
      <c r="B461" s="10">
        <v>42923</v>
      </c>
      <c r="C461" s="11">
        <v>0.45950231481481479</v>
      </c>
      <c r="D461" s="12">
        <v>0.46091435185185187</v>
      </c>
      <c r="E461" s="20">
        <f t="shared" si="70"/>
        <v>1.4120370370370727E-3</v>
      </c>
      <c r="F461" t="str">
        <f t="shared" si="71"/>
        <v>stacjonarny</v>
      </c>
      <c r="G461" s="23">
        <f t="shared" si="78"/>
        <v>162792</v>
      </c>
      <c r="H461">
        <f t="shared" si="79"/>
        <v>53345</v>
      </c>
      <c r="I461">
        <f t="shared" si="72"/>
        <v>0</v>
      </c>
      <c r="J461">
        <f t="shared" si="73"/>
        <v>0</v>
      </c>
      <c r="K461">
        <f t="shared" si="74"/>
        <v>216137</v>
      </c>
      <c r="L461">
        <f t="shared" si="75"/>
        <v>0</v>
      </c>
      <c r="M461">
        <f t="shared" si="76"/>
        <v>122</v>
      </c>
      <c r="N461">
        <f t="shared" si="77"/>
        <v>0</v>
      </c>
    </row>
    <row r="462" spans="1:14" x14ac:dyDescent="0.35">
      <c r="A462" s="5">
        <v>3765658</v>
      </c>
      <c r="B462" s="6">
        <v>42923</v>
      </c>
      <c r="C462" s="7">
        <v>0.45981481481481479</v>
      </c>
      <c r="D462" s="8">
        <v>0.46148148148148149</v>
      </c>
      <c r="E462" s="20">
        <f t="shared" si="70"/>
        <v>1.6666666666667052E-3</v>
      </c>
      <c r="F462" t="str">
        <f t="shared" si="71"/>
        <v>stacjonarny</v>
      </c>
      <c r="G462" s="23">
        <f t="shared" si="78"/>
        <v>162936</v>
      </c>
      <c r="H462">
        <f t="shared" si="79"/>
        <v>53345</v>
      </c>
      <c r="I462">
        <f t="shared" si="72"/>
        <v>0</v>
      </c>
      <c r="J462">
        <f t="shared" si="73"/>
        <v>0</v>
      </c>
      <c r="K462">
        <f t="shared" si="74"/>
        <v>216281</v>
      </c>
      <c r="L462">
        <f t="shared" si="75"/>
        <v>0</v>
      </c>
      <c r="M462">
        <f t="shared" si="76"/>
        <v>144</v>
      </c>
      <c r="N462">
        <f t="shared" si="77"/>
        <v>0</v>
      </c>
    </row>
    <row r="463" spans="1:14" x14ac:dyDescent="0.35">
      <c r="A463" s="9">
        <v>43109897</v>
      </c>
      <c r="B463" s="10">
        <v>42923</v>
      </c>
      <c r="C463" s="11">
        <v>0.46357638888888891</v>
      </c>
      <c r="D463" s="12">
        <v>0.46807870370370369</v>
      </c>
      <c r="E463" s="20">
        <f t="shared" si="70"/>
        <v>4.5023148148147785E-3</v>
      </c>
      <c r="F463" t="str">
        <f t="shared" si="71"/>
        <v>komorkowy</v>
      </c>
      <c r="G463" s="23">
        <f t="shared" si="78"/>
        <v>162936</v>
      </c>
      <c r="H463">
        <f t="shared" si="79"/>
        <v>53734</v>
      </c>
      <c r="I463">
        <f t="shared" si="72"/>
        <v>0</v>
      </c>
      <c r="J463">
        <f t="shared" si="73"/>
        <v>0</v>
      </c>
      <c r="K463">
        <f t="shared" si="74"/>
        <v>216670</v>
      </c>
      <c r="L463">
        <f t="shared" si="75"/>
        <v>0</v>
      </c>
      <c r="M463">
        <f t="shared" si="76"/>
        <v>0</v>
      </c>
      <c r="N463">
        <f t="shared" si="77"/>
        <v>389</v>
      </c>
    </row>
    <row r="464" spans="1:14" x14ac:dyDescent="0.35">
      <c r="A464" s="5">
        <v>3178616</v>
      </c>
      <c r="B464" s="6">
        <v>42923</v>
      </c>
      <c r="C464" s="7">
        <v>0.46891203703703704</v>
      </c>
      <c r="D464" s="8">
        <v>0.47209490740740739</v>
      </c>
      <c r="E464" s="20">
        <f t="shared" si="70"/>
        <v>3.1828703703703498E-3</v>
      </c>
      <c r="F464" t="str">
        <f t="shared" si="71"/>
        <v>stacjonarny</v>
      </c>
      <c r="G464" s="23">
        <f t="shared" si="78"/>
        <v>163211</v>
      </c>
      <c r="H464">
        <f t="shared" si="79"/>
        <v>53734</v>
      </c>
      <c r="I464">
        <f t="shared" si="72"/>
        <v>0</v>
      </c>
      <c r="J464">
        <f t="shared" si="73"/>
        <v>0</v>
      </c>
      <c r="K464">
        <f t="shared" si="74"/>
        <v>216945</v>
      </c>
      <c r="L464">
        <f t="shared" si="75"/>
        <v>0</v>
      </c>
      <c r="M464">
        <f t="shared" si="76"/>
        <v>275</v>
      </c>
      <c r="N464">
        <f t="shared" si="77"/>
        <v>0</v>
      </c>
    </row>
    <row r="465" spans="1:14" x14ac:dyDescent="0.35">
      <c r="A465" s="9">
        <v>71207090</v>
      </c>
      <c r="B465" s="10">
        <v>42923</v>
      </c>
      <c r="C465" s="11">
        <v>0.47127314814814814</v>
      </c>
      <c r="D465" s="12">
        <v>0.47475694444444444</v>
      </c>
      <c r="E465" s="20">
        <f t="shared" si="70"/>
        <v>3.4837962962963043E-3</v>
      </c>
      <c r="F465" t="str">
        <f t="shared" si="71"/>
        <v>komorkowy</v>
      </c>
      <c r="G465" s="23">
        <f t="shared" si="78"/>
        <v>163211</v>
      </c>
      <c r="H465">
        <f t="shared" si="79"/>
        <v>54035</v>
      </c>
      <c r="I465">
        <f t="shared" si="72"/>
        <v>0</v>
      </c>
      <c r="J465">
        <f t="shared" si="73"/>
        <v>0</v>
      </c>
      <c r="K465">
        <f t="shared" si="74"/>
        <v>217246</v>
      </c>
      <c r="L465">
        <f t="shared" si="75"/>
        <v>0</v>
      </c>
      <c r="M465">
        <f t="shared" si="76"/>
        <v>0</v>
      </c>
      <c r="N465">
        <f t="shared" si="77"/>
        <v>301</v>
      </c>
    </row>
    <row r="466" spans="1:14" x14ac:dyDescent="0.35">
      <c r="A466" s="5">
        <v>3465997</v>
      </c>
      <c r="B466" s="6">
        <v>42923</v>
      </c>
      <c r="C466" s="7">
        <v>0.47285879629629629</v>
      </c>
      <c r="D466" s="8">
        <v>0.47479166666666667</v>
      </c>
      <c r="E466" s="20">
        <f t="shared" si="70"/>
        <v>1.9328703703703765E-3</v>
      </c>
      <c r="F466" t="str">
        <f t="shared" si="71"/>
        <v>stacjonarny</v>
      </c>
      <c r="G466" s="23">
        <f t="shared" si="78"/>
        <v>163378</v>
      </c>
      <c r="H466">
        <f t="shared" si="79"/>
        <v>54035</v>
      </c>
      <c r="I466">
        <f t="shared" si="72"/>
        <v>0</v>
      </c>
      <c r="J466">
        <f t="shared" si="73"/>
        <v>0</v>
      </c>
      <c r="K466">
        <f t="shared" si="74"/>
        <v>217413</v>
      </c>
      <c r="L466">
        <f t="shared" si="75"/>
        <v>0</v>
      </c>
      <c r="M466">
        <f t="shared" si="76"/>
        <v>167</v>
      </c>
      <c r="N466">
        <f t="shared" si="77"/>
        <v>0</v>
      </c>
    </row>
    <row r="467" spans="1:14" x14ac:dyDescent="0.35">
      <c r="A467" s="9">
        <v>17490780</v>
      </c>
      <c r="B467" s="10">
        <v>42923</v>
      </c>
      <c r="C467" s="11">
        <v>0.47409722222222223</v>
      </c>
      <c r="D467" s="12">
        <v>0.48534722222222221</v>
      </c>
      <c r="E467" s="20">
        <f t="shared" si="70"/>
        <v>1.1249999999999982E-2</v>
      </c>
      <c r="F467" t="str">
        <f t="shared" si="71"/>
        <v>komorkowy</v>
      </c>
      <c r="G467" s="23">
        <f t="shared" si="78"/>
        <v>163378</v>
      </c>
      <c r="H467">
        <f t="shared" si="79"/>
        <v>55007</v>
      </c>
      <c r="I467">
        <f t="shared" si="72"/>
        <v>0</v>
      </c>
      <c r="J467">
        <f t="shared" si="73"/>
        <v>0</v>
      </c>
      <c r="K467">
        <f t="shared" si="74"/>
        <v>218385</v>
      </c>
      <c r="L467">
        <f t="shared" si="75"/>
        <v>0</v>
      </c>
      <c r="M467">
        <f t="shared" si="76"/>
        <v>0</v>
      </c>
      <c r="N467">
        <f t="shared" si="77"/>
        <v>972</v>
      </c>
    </row>
    <row r="468" spans="1:14" x14ac:dyDescent="0.35">
      <c r="A468" s="5">
        <v>9805082</v>
      </c>
      <c r="B468" s="6">
        <v>42923</v>
      </c>
      <c r="C468" s="7">
        <v>0.47561342592592593</v>
      </c>
      <c r="D468" s="8">
        <v>0.47950231481481481</v>
      </c>
      <c r="E468" s="20">
        <f t="shared" si="70"/>
        <v>3.8888888888888862E-3</v>
      </c>
      <c r="F468" t="str">
        <f t="shared" si="71"/>
        <v>stacjonarny</v>
      </c>
      <c r="G468" s="23">
        <f t="shared" si="78"/>
        <v>163714</v>
      </c>
      <c r="H468">
        <f t="shared" si="79"/>
        <v>55007</v>
      </c>
      <c r="I468">
        <f t="shared" si="72"/>
        <v>0</v>
      </c>
      <c r="J468">
        <f t="shared" si="73"/>
        <v>0</v>
      </c>
      <c r="K468">
        <f t="shared" si="74"/>
        <v>218721</v>
      </c>
      <c r="L468">
        <f t="shared" si="75"/>
        <v>0</v>
      </c>
      <c r="M468">
        <f t="shared" si="76"/>
        <v>336</v>
      </c>
      <c r="N468">
        <f t="shared" si="77"/>
        <v>0</v>
      </c>
    </row>
    <row r="469" spans="1:14" x14ac:dyDescent="0.35">
      <c r="A469" s="9">
        <v>6333547</v>
      </c>
      <c r="B469" s="10">
        <v>42923</v>
      </c>
      <c r="C469" s="11">
        <v>0.4788425925925926</v>
      </c>
      <c r="D469" s="12">
        <v>0.48685185185185187</v>
      </c>
      <c r="E469" s="20">
        <f t="shared" si="70"/>
        <v>8.0092592592592715E-3</v>
      </c>
      <c r="F469" t="str">
        <f t="shared" si="71"/>
        <v>stacjonarny</v>
      </c>
      <c r="G469" s="23">
        <f t="shared" si="78"/>
        <v>164406</v>
      </c>
      <c r="H469">
        <f t="shared" si="79"/>
        <v>55007</v>
      </c>
      <c r="I469">
        <f t="shared" si="72"/>
        <v>0</v>
      </c>
      <c r="J469">
        <f t="shared" si="73"/>
        <v>0</v>
      </c>
      <c r="K469">
        <f t="shared" si="74"/>
        <v>219413</v>
      </c>
      <c r="L469">
        <f t="shared" si="75"/>
        <v>0</v>
      </c>
      <c r="M469">
        <f t="shared" si="76"/>
        <v>692</v>
      </c>
      <c r="N469">
        <f t="shared" si="77"/>
        <v>0</v>
      </c>
    </row>
    <row r="470" spans="1:14" x14ac:dyDescent="0.35">
      <c r="A470" s="5">
        <v>8424969</v>
      </c>
      <c r="B470" s="6">
        <v>42923</v>
      </c>
      <c r="C470" s="7">
        <v>0.48380787037037037</v>
      </c>
      <c r="D470" s="8">
        <v>0.49267361111111113</v>
      </c>
      <c r="E470" s="20">
        <f t="shared" si="70"/>
        <v>8.8657407407407574E-3</v>
      </c>
      <c r="F470" t="str">
        <f t="shared" si="71"/>
        <v>stacjonarny</v>
      </c>
      <c r="G470" s="23">
        <f t="shared" si="78"/>
        <v>165172</v>
      </c>
      <c r="H470">
        <f t="shared" si="79"/>
        <v>55007</v>
      </c>
      <c r="I470">
        <f t="shared" si="72"/>
        <v>0</v>
      </c>
      <c r="J470">
        <f t="shared" si="73"/>
        <v>0</v>
      </c>
      <c r="K470">
        <f t="shared" si="74"/>
        <v>220179</v>
      </c>
      <c r="L470">
        <f t="shared" si="75"/>
        <v>0</v>
      </c>
      <c r="M470">
        <f t="shared" si="76"/>
        <v>766</v>
      </c>
      <c r="N470">
        <f t="shared" si="77"/>
        <v>0</v>
      </c>
    </row>
    <row r="471" spans="1:14" x14ac:dyDescent="0.35">
      <c r="A471" s="9">
        <v>41210751</v>
      </c>
      <c r="B471" s="10">
        <v>42923</v>
      </c>
      <c r="C471" s="11">
        <v>0.48699074074074072</v>
      </c>
      <c r="D471" s="12">
        <v>0.48884259259259261</v>
      </c>
      <c r="E471" s="20">
        <f t="shared" si="70"/>
        <v>1.8518518518518823E-3</v>
      </c>
      <c r="F471" t="str">
        <f t="shared" si="71"/>
        <v>komorkowy</v>
      </c>
      <c r="G471" s="23">
        <f t="shared" si="78"/>
        <v>165172</v>
      </c>
      <c r="H471">
        <f t="shared" si="79"/>
        <v>55167</v>
      </c>
      <c r="I471">
        <f t="shared" si="72"/>
        <v>0</v>
      </c>
      <c r="J471">
        <f t="shared" si="73"/>
        <v>0</v>
      </c>
      <c r="K471">
        <f t="shared" si="74"/>
        <v>220339</v>
      </c>
      <c r="L471">
        <f t="shared" si="75"/>
        <v>0</v>
      </c>
      <c r="M471">
        <f t="shared" si="76"/>
        <v>0</v>
      </c>
      <c r="N471">
        <f t="shared" si="77"/>
        <v>160</v>
      </c>
    </row>
    <row r="472" spans="1:14" x14ac:dyDescent="0.35">
      <c r="A472" s="5">
        <v>9321082</v>
      </c>
      <c r="B472" s="6">
        <v>42923</v>
      </c>
      <c r="C472" s="7">
        <v>0.49206018518518518</v>
      </c>
      <c r="D472" s="8">
        <v>0.50086805555555558</v>
      </c>
      <c r="E472" s="20">
        <f t="shared" si="70"/>
        <v>8.8078703703703964E-3</v>
      </c>
      <c r="F472" t="str">
        <f t="shared" si="71"/>
        <v>stacjonarny</v>
      </c>
      <c r="G472" s="23">
        <f t="shared" si="78"/>
        <v>165933</v>
      </c>
      <c r="H472">
        <f t="shared" si="79"/>
        <v>55167</v>
      </c>
      <c r="I472">
        <f t="shared" si="72"/>
        <v>0</v>
      </c>
      <c r="J472">
        <f t="shared" si="73"/>
        <v>0</v>
      </c>
      <c r="K472">
        <f t="shared" si="74"/>
        <v>221100</v>
      </c>
      <c r="L472">
        <f t="shared" si="75"/>
        <v>0</v>
      </c>
      <c r="M472">
        <f t="shared" si="76"/>
        <v>761</v>
      </c>
      <c r="N472">
        <f t="shared" si="77"/>
        <v>0</v>
      </c>
    </row>
    <row r="473" spans="1:14" x14ac:dyDescent="0.35">
      <c r="A473" s="9">
        <v>80907155</v>
      </c>
      <c r="B473" s="10">
        <v>42923</v>
      </c>
      <c r="C473" s="11">
        <v>0.49668981481481483</v>
      </c>
      <c r="D473" s="12">
        <v>0.50266203703703705</v>
      </c>
      <c r="E473" s="20">
        <f t="shared" si="70"/>
        <v>5.9722222222222121E-3</v>
      </c>
      <c r="F473" t="str">
        <f t="shared" si="71"/>
        <v>komorkowy</v>
      </c>
      <c r="G473" s="23">
        <f t="shared" si="78"/>
        <v>165933</v>
      </c>
      <c r="H473">
        <f t="shared" si="79"/>
        <v>55683</v>
      </c>
      <c r="I473">
        <f t="shared" si="72"/>
        <v>0</v>
      </c>
      <c r="J473">
        <f t="shared" si="73"/>
        <v>0</v>
      </c>
      <c r="K473">
        <f t="shared" si="74"/>
        <v>221616</v>
      </c>
      <c r="L473">
        <f t="shared" si="75"/>
        <v>0</v>
      </c>
      <c r="M473">
        <f t="shared" si="76"/>
        <v>0</v>
      </c>
      <c r="N473">
        <f t="shared" si="77"/>
        <v>516</v>
      </c>
    </row>
    <row r="474" spans="1:14" x14ac:dyDescent="0.35">
      <c r="A474" s="5">
        <v>16303399</v>
      </c>
      <c r="B474" s="6">
        <v>42923</v>
      </c>
      <c r="C474" s="7">
        <v>0.50232638888888892</v>
      </c>
      <c r="D474" s="8">
        <v>0.50351851851851848</v>
      </c>
      <c r="E474" s="20">
        <f t="shared" si="70"/>
        <v>1.1921296296295569E-3</v>
      </c>
      <c r="F474" t="str">
        <f t="shared" si="71"/>
        <v>komorkowy</v>
      </c>
      <c r="G474" s="23">
        <f t="shared" si="78"/>
        <v>165933</v>
      </c>
      <c r="H474">
        <f t="shared" si="79"/>
        <v>55786</v>
      </c>
      <c r="I474">
        <f t="shared" si="72"/>
        <v>0</v>
      </c>
      <c r="J474">
        <f t="shared" si="73"/>
        <v>0</v>
      </c>
      <c r="K474">
        <f t="shared" si="74"/>
        <v>221719</v>
      </c>
      <c r="L474">
        <f t="shared" si="75"/>
        <v>0</v>
      </c>
      <c r="M474">
        <f t="shared" si="76"/>
        <v>0</v>
      </c>
      <c r="N474">
        <f t="shared" si="77"/>
        <v>103</v>
      </c>
    </row>
    <row r="475" spans="1:14" x14ac:dyDescent="0.35">
      <c r="A475" s="9">
        <v>7841442</v>
      </c>
      <c r="B475" s="10">
        <v>42923</v>
      </c>
      <c r="C475" s="11">
        <v>0.50498842592592597</v>
      </c>
      <c r="D475" s="12">
        <v>0.50807870370370367</v>
      </c>
      <c r="E475" s="20">
        <f t="shared" si="70"/>
        <v>3.0902777777777057E-3</v>
      </c>
      <c r="F475" t="str">
        <f t="shared" si="71"/>
        <v>stacjonarny</v>
      </c>
      <c r="G475" s="23">
        <f t="shared" si="78"/>
        <v>166200</v>
      </c>
      <c r="H475">
        <f t="shared" si="79"/>
        <v>55786</v>
      </c>
      <c r="I475">
        <f t="shared" si="72"/>
        <v>0</v>
      </c>
      <c r="J475">
        <f t="shared" si="73"/>
        <v>0</v>
      </c>
      <c r="K475">
        <f t="shared" si="74"/>
        <v>221986</v>
      </c>
      <c r="L475">
        <f t="shared" si="75"/>
        <v>0</v>
      </c>
      <c r="M475">
        <f t="shared" si="76"/>
        <v>267</v>
      </c>
      <c r="N475">
        <f t="shared" si="77"/>
        <v>0</v>
      </c>
    </row>
    <row r="476" spans="1:14" x14ac:dyDescent="0.35">
      <c r="A476" s="5">
        <v>5512237</v>
      </c>
      <c r="B476" s="6">
        <v>42923</v>
      </c>
      <c r="C476" s="7">
        <v>0.50883101851851853</v>
      </c>
      <c r="D476" s="8">
        <v>0.50998842592592597</v>
      </c>
      <c r="E476" s="20">
        <f t="shared" si="70"/>
        <v>1.1574074074074403E-3</v>
      </c>
      <c r="F476" t="str">
        <f t="shared" si="71"/>
        <v>stacjonarny</v>
      </c>
      <c r="G476" s="23">
        <f t="shared" si="78"/>
        <v>166300</v>
      </c>
      <c r="H476">
        <f t="shared" si="79"/>
        <v>55786</v>
      </c>
      <c r="I476">
        <f t="shared" si="72"/>
        <v>0</v>
      </c>
      <c r="J476">
        <f t="shared" si="73"/>
        <v>0</v>
      </c>
      <c r="K476">
        <f t="shared" si="74"/>
        <v>222086</v>
      </c>
      <c r="L476">
        <f t="shared" si="75"/>
        <v>0</v>
      </c>
      <c r="M476">
        <f t="shared" si="76"/>
        <v>100</v>
      </c>
      <c r="N476">
        <f t="shared" si="77"/>
        <v>0</v>
      </c>
    </row>
    <row r="477" spans="1:14" x14ac:dyDescent="0.35">
      <c r="A477" s="9">
        <v>2557668</v>
      </c>
      <c r="B477" s="10">
        <v>42923</v>
      </c>
      <c r="C477" s="11">
        <v>0.51253472222222218</v>
      </c>
      <c r="D477" s="12">
        <v>0.51974537037037039</v>
      </c>
      <c r="E477" s="20">
        <f t="shared" si="70"/>
        <v>7.2106481481482021E-3</v>
      </c>
      <c r="F477" t="str">
        <f t="shared" si="71"/>
        <v>stacjonarny</v>
      </c>
      <c r="G477" s="23">
        <f t="shared" si="78"/>
        <v>166923</v>
      </c>
      <c r="H477">
        <f t="shared" si="79"/>
        <v>55786</v>
      </c>
      <c r="I477">
        <f t="shared" si="72"/>
        <v>0</v>
      </c>
      <c r="J477">
        <f t="shared" si="73"/>
        <v>0</v>
      </c>
      <c r="K477">
        <f t="shared" si="74"/>
        <v>222709</v>
      </c>
      <c r="L477">
        <f t="shared" si="75"/>
        <v>0</v>
      </c>
      <c r="M477">
        <f t="shared" si="76"/>
        <v>623</v>
      </c>
      <c r="N477">
        <f t="shared" si="77"/>
        <v>0</v>
      </c>
    </row>
    <row r="478" spans="1:14" x14ac:dyDescent="0.35">
      <c r="A478" s="5">
        <v>4469748</v>
      </c>
      <c r="B478" s="6">
        <v>42923</v>
      </c>
      <c r="C478" s="7">
        <v>0.51744212962962965</v>
      </c>
      <c r="D478" s="8">
        <v>0.52157407407407408</v>
      </c>
      <c r="E478" s="20">
        <f t="shared" si="70"/>
        <v>4.1319444444444242E-3</v>
      </c>
      <c r="F478" t="str">
        <f t="shared" si="71"/>
        <v>stacjonarny</v>
      </c>
      <c r="G478" s="23">
        <f t="shared" si="78"/>
        <v>167280</v>
      </c>
      <c r="H478">
        <f t="shared" si="79"/>
        <v>55786</v>
      </c>
      <c r="I478">
        <f t="shared" si="72"/>
        <v>0</v>
      </c>
      <c r="J478">
        <f t="shared" si="73"/>
        <v>0</v>
      </c>
      <c r="K478">
        <f t="shared" si="74"/>
        <v>223066</v>
      </c>
      <c r="L478">
        <f t="shared" si="75"/>
        <v>0</v>
      </c>
      <c r="M478">
        <f t="shared" si="76"/>
        <v>357</v>
      </c>
      <c r="N478">
        <f t="shared" si="77"/>
        <v>0</v>
      </c>
    </row>
    <row r="479" spans="1:14" x14ac:dyDescent="0.35">
      <c r="A479" s="9">
        <v>7773546</v>
      </c>
      <c r="B479" s="10">
        <v>42923</v>
      </c>
      <c r="C479" s="11">
        <v>0.51883101851851854</v>
      </c>
      <c r="D479" s="12">
        <v>0.52545138888888887</v>
      </c>
      <c r="E479" s="20">
        <f t="shared" si="70"/>
        <v>6.620370370370332E-3</v>
      </c>
      <c r="F479" t="str">
        <f t="shared" si="71"/>
        <v>stacjonarny</v>
      </c>
      <c r="G479" s="23">
        <f t="shared" si="78"/>
        <v>167852</v>
      </c>
      <c r="H479">
        <f t="shared" si="79"/>
        <v>55786</v>
      </c>
      <c r="I479">
        <f t="shared" si="72"/>
        <v>0</v>
      </c>
      <c r="J479">
        <f t="shared" si="73"/>
        <v>0</v>
      </c>
      <c r="K479">
        <f t="shared" si="74"/>
        <v>223638</v>
      </c>
      <c r="L479">
        <f t="shared" si="75"/>
        <v>0</v>
      </c>
      <c r="M479">
        <f t="shared" si="76"/>
        <v>572</v>
      </c>
      <c r="N479">
        <f t="shared" si="77"/>
        <v>0</v>
      </c>
    </row>
    <row r="480" spans="1:14" x14ac:dyDescent="0.35">
      <c r="A480" s="5">
        <v>9521805</v>
      </c>
      <c r="B480" s="6">
        <v>42923</v>
      </c>
      <c r="C480" s="7">
        <v>0.52357638888888891</v>
      </c>
      <c r="D480" s="8">
        <v>0.53096064814814814</v>
      </c>
      <c r="E480" s="20">
        <f t="shared" si="70"/>
        <v>7.3842592592592293E-3</v>
      </c>
      <c r="F480" t="str">
        <f t="shared" si="71"/>
        <v>stacjonarny</v>
      </c>
      <c r="G480" s="23">
        <f t="shared" si="78"/>
        <v>168490</v>
      </c>
      <c r="H480">
        <f t="shared" si="79"/>
        <v>55786</v>
      </c>
      <c r="I480">
        <f t="shared" si="72"/>
        <v>0</v>
      </c>
      <c r="J480">
        <f t="shared" si="73"/>
        <v>0</v>
      </c>
      <c r="K480">
        <f t="shared" si="74"/>
        <v>224276</v>
      </c>
      <c r="L480">
        <f t="shared" si="75"/>
        <v>0</v>
      </c>
      <c r="M480">
        <f t="shared" si="76"/>
        <v>638</v>
      </c>
      <c r="N480">
        <f t="shared" si="77"/>
        <v>0</v>
      </c>
    </row>
    <row r="481" spans="1:14" x14ac:dyDescent="0.35">
      <c r="A481" s="9">
        <v>1640140</v>
      </c>
      <c r="B481" s="10">
        <v>42923</v>
      </c>
      <c r="C481" s="11">
        <v>0.52484953703703707</v>
      </c>
      <c r="D481" s="12">
        <v>0.53331018518518514</v>
      </c>
      <c r="E481" s="20">
        <f t="shared" si="70"/>
        <v>8.4606481481480644E-3</v>
      </c>
      <c r="F481" t="str">
        <f t="shared" si="71"/>
        <v>stacjonarny</v>
      </c>
      <c r="G481" s="23">
        <f t="shared" si="78"/>
        <v>169221</v>
      </c>
      <c r="H481">
        <f t="shared" si="79"/>
        <v>55786</v>
      </c>
      <c r="I481">
        <f t="shared" si="72"/>
        <v>0</v>
      </c>
      <c r="J481">
        <f t="shared" si="73"/>
        <v>0</v>
      </c>
      <c r="K481">
        <f t="shared" si="74"/>
        <v>225007</v>
      </c>
      <c r="L481">
        <f t="shared" si="75"/>
        <v>0</v>
      </c>
      <c r="M481">
        <f t="shared" si="76"/>
        <v>731</v>
      </c>
      <c r="N481">
        <f t="shared" si="77"/>
        <v>0</v>
      </c>
    </row>
    <row r="482" spans="1:14" x14ac:dyDescent="0.35">
      <c r="A482" s="5">
        <v>5415372</v>
      </c>
      <c r="B482" s="6">
        <v>42923</v>
      </c>
      <c r="C482" s="7">
        <v>0.52690972222222221</v>
      </c>
      <c r="D482" s="8">
        <v>0.53266203703703707</v>
      </c>
      <c r="E482" s="20">
        <f t="shared" si="70"/>
        <v>5.7523148148148628E-3</v>
      </c>
      <c r="F482" t="str">
        <f t="shared" si="71"/>
        <v>stacjonarny</v>
      </c>
      <c r="G482" s="23">
        <f t="shared" si="78"/>
        <v>169718</v>
      </c>
      <c r="H482">
        <f t="shared" si="79"/>
        <v>55786</v>
      </c>
      <c r="I482">
        <f t="shared" si="72"/>
        <v>0</v>
      </c>
      <c r="J482">
        <f t="shared" si="73"/>
        <v>0</v>
      </c>
      <c r="K482">
        <f t="shared" si="74"/>
        <v>225504</v>
      </c>
      <c r="L482">
        <f t="shared" si="75"/>
        <v>0</v>
      </c>
      <c r="M482">
        <f t="shared" si="76"/>
        <v>497</v>
      </c>
      <c r="N482">
        <f t="shared" si="77"/>
        <v>0</v>
      </c>
    </row>
    <row r="483" spans="1:14" x14ac:dyDescent="0.35">
      <c r="A483" s="9">
        <v>23504109</v>
      </c>
      <c r="B483" s="10">
        <v>42923</v>
      </c>
      <c r="C483" s="11">
        <v>0.52921296296296294</v>
      </c>
      <c r="D483" s="12">
        <v>0.53706018518518517</v>
      </c>
      <c r="E483" s="20">
        <f t="shared" si="70"/>
        <v>7.8472222222222276E-3</v>
      </c>
      <c r="F483" t="str">
        <f t="shared" si="71"/>
        <v>komorkowy</v>
      </c>
      <c r="G483" s="23">
        <f t="shared" si="78"/>
        <v>169718</v>
      </c>
      <c r="H483">
        <f t="shared" si="79"/>
        <v>56464</v>
      </c>
      <c r="I483">
        <f t="shared" si="72"/>
        <v>0</v>
      </c>
      <c r="J483">
        <f t="shared" si="73"/>
        <v>0</v>
      </c>
      <c r="K483">
        <f t="shared" si="74"/>
        <v>226182</v>
      </c>
      <c r="L483">
        <f t="shared" si="75"/>
        <v>0</v>
      </c>
      <c r="M483">
        <f t="shared" si="76"/>
        <v>0</v>
      </c>
      <c r="N483">
        <f t="shared" si="77"/>
        <v>678</v>
      </c>
    </row>
    <row r="484" spans="1:14" x14ac:dyDescent="0.35">
      <c r="A484" s="5">
        <v>7914439</v>
      </c>
      <c r="B484" s="6">
        <v>42923</v>
      </c>
      <c r="C484" s="7">
        <v>0.52964120370370371</v>
      </c>
      <c r="D484" s="8">
        <v>0.53607638888888887</v>
      </c>
      <c r="E484" s="20">
        <f t="shared" si="70"/>
        <v>6.4351851851851549E-3</v>
      </c>
      <c r="F484" t="str">
        <f t="shared" si="71"/>
        <v>stacjonarny</v>
      </c>
      <c r="G484" s="23">
        <f t="shared" si="78"/>
        <v>170274</v>
      </c>
      <c r="H484">
        <f t="shared" si="79"/>
        <v>56464</v>
      </c>
      <c r="I484">
        <f t="shared" si="72"/>
        <v>0</v>
      </c>
      <c r="J484">
        <f t="shared" si="73"/>
        <v>0</v>
      </c>
      <c r="K484">
        <f t="shared" si="74"/>
        <v>226738</v>
      </c>
      <c r="L484">
        <f t="shared" si="75"/>
        <v>0</v>
      </c>
      <c r="M484">
        <f t="shared" si="76"/>
        <v>556</v>
      </c>
      <c r="N484">
        <f t="shared" si="77"/>
        <v>0</v>
      </c>
    </row>
    <row r="485" spans="1:14" x14ac:dyDescent="0.35">
      <c r="A485" s="9">
        <v>3900921</v>
      </c>
      <c r="B485" s="10">
        <v>42923</v>
      </c>
      <c r="C485" s="11">
        <v>0.52968749999999998</v>
      </c>
      <c r="D485" s="12">
        <v>0.53865740740740742</v>
      </c>
      <c r="E485" s="20">
        <f t="shared" si="70"/>
        <v>8.9699074074074403E-3</v>
      </c>
      <c r="F485" t="str">
        <f t="shared" si="71"/>
        <v>stacjonarny</v>
      </c>
      <c r="G485" s="23">
        <f t="shared" si="78"/>
        <v>171049</v>
      </c>
      <c r="H485">
        <f t="shared" si="79"/>
        <v>56464</v>
      </c>
      <c r="I485">
        <f t="shared" si="72"/>
        <v>0</v>
      </c>
      <c r="J485">
        <f t="shared" si="73"/>
        <v>0</v>
      </c>
      <c r="K485">
        <f t="shared" si="74"/>
        <v>227513</v>
      </c>
      <c r="L485">
        <f t="shared" si="75"/>
        <v>0</v>
      </c>
      <c r="M485">
        <f t="shared" si="76"/>
        <v>775</v>
      </c>
      <c r="N485">
        <f t="shared" si="77"/>
        <v>0</v>
      </c>
    </row>
    <row r="486" spans="1:14" x14ac:dyDescent="0.35">
      <c r="A486" s="5">
        <v>1081610</v>
      </c>
      <c r="B486" s="6">
        <v>42923</v>
      </c>
      <c r="C486" s="7">
        <v>0.53372685185185187</v>
      </c>
      <c r="D486" s="8">
        <v>0.54082175925925924</v>
      </c>
      <c r="E486" s="20">
        <f t="shared" si="70"/>
        <v>7.0949074074073692E-3</v>
      </c>
      <c r="F486" t="str">
        <f t="shared" si="71"/>
        <v>stacjonarny</v>
      </c>
      <c r="G486" s="23">
        <f t="shared" si="78"/>
        <v>171662</v>
      </c>
      <c r="H486">
        <f t="shared" si="79"/>
        <v>56464</v>
      </c>
      <c r="I486">
        <f t="shared" si="72"/>
        <v>0</v>
      </c>
      <c r="J486">
        <f t="shared" si="73"/>
        <v>0</v>
      </c>
      <c r="K486">
        <f t="shared" si="74"/>
        <v>228126</v>
      </c>
      <c r="L486">
        <f t="shared" si="75"/>
        <v>0</v>
      </c>
      <c r="M486">
        <f t="shared" si="76"/>
        <v>613</v>
      </c>
      <c r="N486">
        <f t="shared" si="77"/>
        <v>0</v>
      </c>
    </row>
    <row r="487" spans="1:14" x14ac:dyDescent="0.35">
      <c r="A487" s="9">
        <v>9176754</v>
      </c>
      <c r="B487" s="10">
        <v>42923</v>
      </c>
      <c r="C487" s="11">
        <v>0.5345833333333333</v>
      </c>
      <c r="D487" s="12">
        <v>0.54532407407407413</v>
      </c>
      <c r="E487" s="20">
        <f t="shared" si="70"/>
        <v>1.0740740740740828E-2</v>
      </c>
      <c r="F487" t="str">
        <f t="shared" si="71"/>
        <v>stacjonarny</v>
      </c>
      <c r="G487" s="23">
        <f t="shared" si="78"/>
        <v>172590</v>
      </c>
      <c r="H487">
        <f t="shared" si="79"/>
        <v>56464</v>
      </c>
      <c r="I487">
        <f t="shared" si="72"/>
        <v>0</v>
      </c>
      <c r="J487">
        <f t="shared" si="73"/>
        <v>0</v>
      </c>
      <c r="K487">
        <f t="shared" si="74"/>
        <v>229054</v>
      </c>
      <c r="L487">
        <f t="shared" si="75"/>
        <v>0</v>
      </c>
      <c r="M487">
        <f t="shared" si="76"/>
        <v>928</v>
      </c>
      <c r="N487">
        <f t="shared" si="77"/>
        <v>0</v>
      </c>
    </row>
    <row r="488" spans="1:14" x14ac:dyDescent="0.35">
      <c r="A488" s="5">
        <v>1814327</v>
      </c>
      <c r="B488" s="6">
        <v>42923</v>
      </c>
      <c r="C488" s="7">
        <v>0.5385416666666667</v>
      </c>
      <c r="D488" s="8">
        <v>0.53870370370370368</v>
      </c>
      <c r="E488" s="20">
        <f t="shared" si="70"/>
        <v>1.6203703703698835E-4</v>
      </c>
      <c r="F488" t="str">
        <f t="shared" si="71"/>
        <v>stacjonarny</v>
      </c>
      <c r="G488" s="23">
        <f t="shared" si="78"/>
        <v>172604</v>
      </c>
      <c r="H488">
        <f t="shared" si="79"/>
        <v>56464</v>
      </c>
      <c r="I488">
        <f t="shared" si="72"/>
        <v>0</v>
      </c>
      <c r="J488">
        <f t="shared" si="73"/>
        <v>0</v>
      </c>
      <c r="K488">
        <f t="shared" si="74"/>
        <v>229068</v>
      </c>
      <c r="L488">
        <f t="shared" si="75"/>
        <v>0</v>
      </c>
      <c r="M488">
        <f t="shared" si="76"/>
        <v>14</v>
      </c>
      <c r="N488">
        <f t="shared" si="77"/>
        <v>0</v>
      </c>
    </row>
    <row r="489" spans="1:14" x14ac:dyDescent="0.35">
      <c r="A489" s="9">
        <v>87702896</v>
      </c>
      <c r="B489" s="10">
        <v>42923</v>
      </c>
      <c r="C489" s="11">
        <v>0.54137731481481477</v>
      </c>
      <c r="D489" s="12">
        <v>0.55253472222222222</v>
      </c>
      <c r="E489" s="20">
        <f t="shared" si="70"/>
        <v>1.1157407407407449E-2</v>
      </c>
      <c r="F489" t="str">
        <f t="shared" si="71"/>
        <v>komorkowy</v>
      </c>
      <c r="G489" s="23">
        <f t="shared" si="78"/>
        <v>172604</v>
      </c>
      <c r="H489">
        <f t="shared" si="79"/>
        <v>57428</v>
      </c>
      <c r="I489">
        <f t="shared" si="72"/>
        <v>0</v>
      </c>
      <c r="J489">
        <f t="shared" si="73"/>
        <v>0</v>
      </c>
      <c r="K489">
        <f t="shared" si="74"/>
        <v>230032</v>
      </c>
      <c r="L489">
        <f t="shared" si="75"/>
        <v>0</v>
      </c>
      <c r="M489">
        <f t="shared" si="76"/>
        <v>0</v>
      </c>
      <c r="N489">
        <f t="shared" si="77"/>
        <v>964</v>
      </c>
    </row>
    <row r="490" spans="1:14" x14ac:dyDescent="0.35">
      <c r="A490" s="5">
        <v>4131448</v>
      </c>
      <c r="B490" s="6">
        <v>42923</v>
      </c>
      <c r="C490" s="7">
        <v>0.54305555555555551</v>
      </c>
      <c r="D490" s="8">
        <v>0.5444444444444444</v>
      </c>
      <c r="E490" s="20">
        <f t="shared" si="70"/>
        <v>1.388888888888884E-3</v>
      </c>
      <c r="F490" t="str">
        <f t="shared" si="71"/>
        <v>stacjonarny</v>
      </c>
      <c r="G490" s="23">
        <f t="shared" si="78"/>
        <v>172724</v>
      </c>
      <c r="H490">
        <f t="shared" si="79"/>
        <v>57428</v>
      </c>
      <c r="I490">
        <f t="shared" si="72"/>
        <v>0</v>
      </c>
      <c r="J490">
        <f t="shared" si="73"/>
        <v>0</v>
      </c>
      <c r="K490">
        <f t="shared" si="74"/>
        <v>230152</v>
      </c>
      <c r="L490">
        <f t="shared" si="75"/>
        <v>0</v>
      </c>
      <c r="M490">
        <f t="shared" si="76"/>
        <v>120</v>
      </c>
      <c r="N490">
        <f t="shared" si="77"/>
        <v>0</v>
      </c>
    </row>
    <row r="491" spans="1:14" x14ac:dyDescent="0.35">
      <c r="A491" s="9">
        <v>97798921</v>
      </c>
      <c r="B491" s="10">
        <v>42923</v>
      </c>
      <c r="C491" s="11">
        <v>0.5434606481481481</v>
      </c>
      <c r="D491" s="12">
        <v>0.55003472222222227</v>
      </c>
      <c r="E491" s="20">
        <f t="shared" si="70"/>
        <v>6.5740740740741765E-3</v>
      </c>
      <c r="F491" t="str">
        <f t="shared" si="71"/>
        <v>komorkowy</v>
      </c>
      <c r="G491" s="23">
        <f t="shared" si="78"/>
        <v>172724</v>
      </c>
      <c r="H491">
        <f t="shared" si="79"/>
        <v>57996</v>
      </c>
      <c r="I491">
        <f t="shared" si="72"/>
        <v>0</v>
      </c>
      <c r="J491">
        <f t="shared" si="73"/>
        <v>0</v>
      </c>
      <c r="K491">
        <f t="shared" si="74"/>
        <v>230720</v>
      </c>
      <c r="L491">
        <f t="shared" si="75"/>
        <v>0</v>
      </c>
      <c r="M491">
        <f t="shared" si="76"/>
        <v>0</v>
      </c>
      <c r="N491">
        <f t="shared" si="77"/>
        <v>568</v>
      </c>
    </row>
    <row r="492" spans="1:14" x14ac:dyDescent="0.35">
      <c r="A492" s="5">
        <v>97798921</v>
      </c>
      <c r="B492" s="6">
        <v>42923</v>
      </c>
      <c r="C492" s="7">
        <v>0.54372685185185188</v>
      </c>
      <c r="D492" s="8">
        <v>0.54856481481481478</v>
      </c>
      <c r="E492" s="20">
        <f t="shared" si="70"/>
        <v>4.8379629629629051E-3</v>
      </c>
      <c r="F492" t="str">
        <f t="shared" si="71"/>
        <v>komorkowy</v>
      </c>
      <c r="G492" s="23">
        <f t="shared" si="78"/>
        <v>172724</v>
      </c>
      <c r="H492">
        <f t="shared" si="79"/>
        <v>58414</v>
      </c>
      <c r="I492">
        <f t="shared" si="72"/>
        <v>0</v>
      </c>
      <c r="J492">
        <f t="shared" si="73"/>
        <v>0</v>
      </c>
      <c r="K492">
        <f t="shared" si="74"/>
        <v>231138</v>
      </c>
      <c r="L492">
        <f t="shared" si="75"/>
        <v>0</v>
      </c>
      <c r="M492">
        <f t="shared" si="76"/>
        <v>0</v>
      </c>
      <c r="N492">
        <f t="shared" si="77"/>
        <v>418</v>
      </c>
    </row>
    <row r="493" spans="1:14" x14ac:dyDescent="0.35">
      <c r="A493" s="9">
        <v>3919087</v>
      </c>
      <c r="B493" s="10">
        <v>42923</v>
      </c>
      <c r="C493" s="11">
        <v>0.54379629629629633</v>
      </c>
      <c r="D493" s="12">
        <v>0.54679398148148151</v>
      </c>
      <c r="E493" s="20">
        <f t="shared" si="70"/>
        <v>2.9976851851851727E-3</v>
      </c>
      <c r="F493" t="str">
        <f t="shared" si="71"/>
        <v>stacjonarny</v>
      </c>
      <c r="G493" s="23">
        <f t="shared" si="78"/>
        <v>172983</v>
      </c>
      <c r="H493">
        <f t="shared" si="79"/>
        <v>58414</v>
      </c>
      <c r="I493">
        <f t="shared" si="72"/>
        <v>0</v>
      </c>
      <c r="J493">
        <f t="shared" si="73"/>
        <v>0</v>
      </c>
      <c r="K493">
        <f t="shared" si="74"/>
        <v>231397</v>
      </c>
      <c r="L493">
        <f t="shared" si="75"/>
        <v>0</v>
      </c>
      <c r="M493">
        <f t="shared" si="76"/>
        <v>259</v>
      </c>
      <c r="N493">
        <f t="shared" si="77"/>
        <v>0</v>
      </c>
    </row>
    <row r="494" spans="1:14" x14ac:dyDescent="0.35">
      <c r="A494" s="5">
        <v>2619219</v>
      </c>
      <c r="B494" s="6">
        <v>42923</v>
      </c>
      <c r="C494" s="7">
        <v>0.54752314814814818</v>
      </c>
      <c r="D494" s="8">
        <v>0.5486805555555555</v>
      </c>
      <c r="E494" s="20">
        <f t="shared" si="70"/>
        <v>1.1574074074073293E-3</v>
      </c>
      <c r="F494" t="str">
        <f t="shared" si="71"/>
        <v>stacjonarny</v>
      </c>
      <c r="G494" s="23">
        <f t="shared" si="78"/>
        <v>173083</v>
      </c>
      <c r="H494">
        <f t="shared" si="79"/>
        <v>58414</v>
      </c>
      <c r="I494">
        <f t="shared" si="72"/>
        <v>0</v>
      </c>
      <c r="J494">
        <f t="shared" si="73"/>
        <v>0</v>
      </c>
      <c r="K494">
        <f t="shared" si="74"/>
        <v>231497</v>
      </c>
      <c r="L494">
        <f t="shared" si="75"/>
        <v>0</v>
      </c>
      <c r="M494">
        <f t="shared" si="76"/>
        <v>100</v>
      </c>
      <c r="N494">
        <f t="shared" si="77"/>
        <v>0</v>
      </c>
    </row>
    <row r="495" spans="1:14" x14ac:dyDescent="0.35">
      <c r="A495" s="9">
        <v>54536153</v>
      </c>
      <c r="B495" s="10">
        <v>42923</v>
      </c>
      <c r="C495" s="11">
        <v>0.54858796296296297</v>
      </c>
      <c r="D495" s="12">
        <v>0.55723379629629632</v>
      </c>
      <c r="E495" s="20">
        <f t="shared" si="70"/>
        <v>8.6458333333333526E-3</v>
      </c>
      <c r="F495" t="str">
        <f t="shared" si="71"/>
        <v>komorkowy</v>
      </c>
      <c r="G495" s="23">
        <f t="shared" si="78"/>
        <v>173083</v>
      </c>
      <c r="H495">
        <f t="shared" si="79"/>
        <v>59161</v>
      </c>
      <c r="I495">
        <f t="shared" si="72"/>
        <v>0</v>
      </c>
      <c r="J495">
        <f t="shared" si="73"/>
        <v>0</v>
      </c>
      <c r="K495">
        <f t="shared" si="74"/>
        <v>232244</v>
      </c>
      <c r="L495">
        <f t="shared" si="75"/>
        <v>0</v>
      </c>
      <c r="M495">
        <f t="shared" si="76"/>
        <v>0</v>
      </c>
      <c r="N495">
        <f t="shared" si="77"/>
        <v>747</v>
      </c>
    </row>
    <row r="496" spans="1:14" x14ac:dyDescent="0.35">
      <c r="A496" s="5">
        <v>6813775</v>
      </c>
      <c r="B496" s="6">
        <v>42923</v>
      </c>
      <c r="C496" s="7">
        <v>0.55363425925925924</v>
      </c>
      <c r="D496" s="8">
        <v>0.55819444444444444</v>
      </c>
      <c r="E496" s="20">
        <f t="shared" si="70"/>
        <v>4.5601851851851949E-3</v>
      </c>
      <c r="F496" t="str">
        <f t="shared" si="71"/>
        <v>stacjonarny</v>
      </c>
      <c r="G496" s="23">
        <f t="shared" si="78"/>
        <v>173477</v>
      </c>
      <c r="H496">
        <f t="shared" si="79"/>
        <v>59161</v>
      </c>
      <c r="I496">
        <f t="shared" si="72"/>
        <v>0</v>
      </c>
      <c r="J496">
        <f t="shared" si="73"/>
        <v>0</v>
      </c>
      <c r="K496">
        <f t="shared" si="74"/>
        <v>232638</v>
      </c>
      <c r="L496">
        <f t="shared" si="75"/>
        <v>0</v>
      </c>
      <c r="M496">
        <f t="shared" si="76"/>
        <v>394</v>
      </c>
      <c r="N496">
        <f t="shared" si="77"/>
        <v>0</v>
      </c>
    </row>
    <row r="497" spans="1:14" x14ac:dyDescent="0.35">
      <c r="A497" s="9">
        <v>72312196</v>
      </c>
      <c r="B497" s="10">
        <v>42923</v>
      </c>
      <c r="C497" s="11">
        <v>0.55532407407407403</v>
      </c>
      <c r="D497" s="12">
        <v>0.56598379629629625</v>
      </c>
      <c r="E497" s="20">
        <f t="shared" si="70"/>
        <v>1.0659722222222223E-2</v>
      </c>
      <c r="F497" t="str">
        <f t="shared" si="71"/>
        <v>komorkowy</v>
      </c>
      <c r="G497" s="23">
        <f t="shared" si="78"/>
        <v>173477</v>
      </c>
      <c r="H497">
        <f t="shared" si="79"/>
        <v>60082</v>
      </c>
      <c r="I497">
        <f t="shared" si="72"/>
        <v>0</v>
      </c>
      <c r="J497">
        <f t="shared" si="73"/>
        <v>0</v>
      </c>
      <c r="K497">
        <f t="shared" si="74"/>
        <v>233559</v>
      </c>
      <c r="L497">
        <f t="shared" si="75"/>
        <v>0</v>
      </c>
      <c r="M497">
        <f t="shared" si="76"/>
        <v>0</v>
      </c>
      <c r="N497">
        <f t="shared" si="77"/>
        <v>921</v>
      </c>
    </row>
    <row r="498" spans="1:14" x14ac:dyDescent="0.35">
      <c r="A498" s="5">
        <v>2235911</v>
      </c>
      <c r="B498" s="6">
        <v>42923</v>
      </c>
      <c r="C498" s="7">
        <v>0.56019675925925927</v>
      </c>
      <c r="D498" s="8">
        <v>0.56783564814814813</v>
      </c>
      <c r="E498" s="20">
        <f t="shared" si="70"/>
        <v>7.6388888888888618E-3</v>
      </c>
      <c r="F498" t="str">
        <f t="shared" si="71"/>
        <v>stacjonarny</v>
      </c>
      <c r="G498" s="23">
        <f t="shared" si="78"/>
        <v>174137</v>
      </c>
      <c r="H498">
        <f t="shared" si="79"/>
        <v>60082</v>
      </c>
      <c r="I498">
        <f t="shared" si="72"/>
        <v>0</v>
      </c>
      <c r="J498">
        <f t="shared" si="73"/>
        <v>0</v>
      </c>
      <c r="K498">
        <f t="shared" si="74"/>
        <v>234219</v>
      </c>
      <c r="L498">
        <f t="shared" si="75"/>
        <v>0</v>
      </c>
      <c r="M498">
        <f t="shared" si="76"/>
        <v>660</v>
      </c>
      <c r="N498">
        <f t="shared" si="77"/>
        <v>0</v>
      </c>
    </row>
    <row r="499" spans="1:14" x14ac:dyDescent="0.35">
      <c r="A499" s="9">
        <v>9532678004</v>
      </c>
      <c r="B499" s="10">
        <v>42923</v>
      </c>
      <c r="C499" s="11">
        <v>0.56347222222222226</v>
      </c>
      <c r="D499" s="12">
        <v>0.57157407407407412</v>
      </c>
      <c r="E499" s="20">
        <f t="shared" si="70"/>
        <v>8.1018518518518601E-3</v>
      </c>
      <c r="F499" t="str">
        <f t="shared" si="71"/>
        <v>zagraniczny</v>
      </c>
      <c r="G499" s="23">
        <f t="shared" si="78"/>
        <v>174137</v>
      </c>
      <c r="H499">
        <f t="shared" si="79"/>
        <v>60082</v>
      </c>
      <c r="I499">
        <f t="shared" si="72"/>
        <v>700</v>
      </c>
      <c r="J499">
        <f t="shared" si="73"/>
        <v>12</v>
      </c>
      <c r="K499">
        <f t="shared" si="74"/>
        <v>234219</v>
      </c>
      <c r="L499">
        <f t="shared" si="75"/>
        <v>0</v>
      </c>
      <c r="M499">
        <f t="shared" si="76"/>
        <v>0</v>
      </c>
      <c r="N499">
        <f t="shared" si="77"/>
        <v>0</v>
      </c>
    </row>
    <row r="500" spans="1:14" x14ac:dyDescent="0.35">
      <c r="A500" s="5">
        <v>4653709</v>
      </c>
      <c r="B500" s="6">
        <v>42923</v>
      </c>
      <c r="C500" s="7">
        <v>0.56795138888888885</v>
      </c>
      <c r="D500" s="8">
        <v>0.57596064814814818</v>
      </c>
      <c r="E500" s="20">
        <f t="shared" si="70"/>
        <v>8.009259259259327E-3</v>
      </c>
      <c r="F500" t="str">
        <f t="shared" si="71"/>
        <v>stacjonarny</v>
      </c>
      <c r="G500" s="23">
        <f t="shared" si="78"/>
        <v>174829</v>
      </c>
      <c r="H500">
        <f t="shared" si="79"/>
        <v>60082</v>
      </c>
      <c r="I500">
        <f t="shared" si="72"/>
        <v>0</v>
      </c>
      <c r="J500">
        <f t="shared" si="73"/>
        <v>0</v>
      </c>
      <c r="K500">
        <f t="shared" si="74"/>
        <v>234911</v>
      </c>
      <c r="L500">
        <f t="shared" si="75"/>
        <v>0</v>
      </c>
      <c r="M500">
        <f t="shared" si="76"/>
        <v>692</v>
      </c>
      <c r="N500">
        <f t="shared" si="77"/>
        <v>0</v>
      </c>
    </row>
    <row r="501" spans="1:14" x14ac:dyDescent="0.35">
      <c r="A501" s="9">
        <v>1734512</v>
      </c>
      <c r="B501" s="10">
        <v>42923</v>
      </c>
      <c r="C501" s="11">
        <v>0.57093749999999999</v>
      </c>
      <c r="D501" s="12">
        <v>0.5765393518518519</v>
      </c>
      <c r="E501" s="20">
        <f t="shared" si="70"/>
        <v>5.6018518518519134E-3</v>
      </c>
      <c r="F501" t="str">
        <f t="shared" si="71"/>
        <v>stacjonarny</v>
      </c>
      <c r="G501" s="23">
        <f t="shared" si="78"/>
        <v>175313</v>
      </c>
      <c r="H501">
        <f t="shared" si="79"/>
        <v>60082</v>
      </c>
      <c r="I501">
        <f t="shared" si="72"/>
        <v>0</v>
      </c>
      <c r="J501">
        <f t="shared" si="73"/>
        <v>0</v>
      </c>
      <c r="K501">
        <f t="shared" si="74"/>
        <v>235395</v>
      </c>
      <c r="L501">
        <f t="shared" si="75"/>
        <v>0</v>
      </c>
      <c r="M501">
        <f t="shared" si="76"/>
        <v>484</v>
      </c>
      <c r="N501">
        <f t="shared" si="77"/>
        <v>0</v>
      </c>
    </row>
    <row r="502" spans="1:14" x14ac:dyDescent="0.35">
      <c r="A502" s="5">
        <v>6741642</v>
      </c>
      <c r="B502" s="6">
        <v>42923</v>
      </c>
      <c r="C502" s="7">
        <v>0.57523148148148151</v>
      </c>
      <c r="D502" s="8">
        <v>0.57535879629629627</v>
      </c>
      <c r="E502" s="20">
        <f t="shared" si="70"/>
        <v>1.273148148147607E-4</v>
      </c>
      <c r="F502" t="str">
        <f t="shared" si="71"/>
        <v>stacjonarny</v>
      </c>
      <c r="G502" s="23">
        <f t="shared" si="78"/>
        <v>175324</v>
      </c>
      <c r="H502">
        <f t="shared" si="79"/>
        <v>60082</v>
      </c>
      <c r="I502">
        <f t="shared" si="72"/>
        <v>0</v>
      </c>
      <c r="J502">
        <f t="shared" si="73"/>
        <v>0</v>
      </c>
      <c r="K502">
        <f t="shared" si="74"/>
        <v>235406</v>
      </c>
      <c r="L502">
        <f t="shared" si="75"/>
        <v>0</v>
      </c>
      <c r="M502">
        <f t="shared" si="76"/>
        <v>11</v>
      </c>
      <c r="N502">
        <f t="shared" si="77"/>
        <v>0</v>
      </c>
    </row>
    <row r="503" spans="1:14" x14ac:dyDescent="0.35">
      <c r="A503" s="9">
        <v>45862784</v>
      </c>
      <c r="B503" s="10">
        <v>42923</v>
      </c>
      <c r="C503" s="11">
        <v>0.57768518518518519</v>
      </c>
      <c r="D503" s="12">
        <v>0.58636574074074077</v>
      </c>
      <c r="E503" s="20">
        <f t="shared" si="70"/>
        <v>8.6805555555555802E-3</v>
      </c>
      <c r="F503" t="str">
        <f t="shared" si="71"/>
        <v>komorkowy</v>
      </c>
      <c r="G503" s="23">
        <f t="shared" si="78"/>
        <v>175324</v>
      </c>
      <c r="H503">
        <f t="shared" si="79"/>
        <v>60832</v>
      </c>
      <c r="I503">
        <f t="shared" si="72"/>
        <v>0</v>
      </c>
      <c r="J503">
        <f t="shared" si="73"/>
        <v>0</v>
      </c>
      <c r="K503">
        <f t="shared" si="74"/>
        <v>236156</v>
      </c>
      <c r="L503">
        <f t="shared" si="75"/>
        <v>0</v>
      </c>
      <c r="M503">
        <f t="shared" si="76"/>
        <v>0</v>
      </c>
      <c r="N503">
        <f t="shared" si="77"/>
        <v>750</v>
      </c>
    </row>
    <row r="504" spans="1:14" x14ac:dyDescent="0.35">
      <c r="A504" s="5">
        <v>25147401</v>
      </c>
      <c r="B504" s="6">
        <v>42923</v>
      </c>
      <c r="C504" s="7">
        <v>0.57922453703703702</v>
      </c>
      <c r="D504" s="8">
        <v>0.58821759259259254</v>
      </c>
      <c r="E504" s="20">
        <f t="shared" si="70"/>
        <v>8.9930555555555181E-3</v>
      </c>
      <c r="F504" t="str">
        <f t="shared" si="71"/>
        <v>komorkowy</v>
      </c>
      <c r="G504" s="23">
        <f t="shared" si="78"/>
        <v>175324</v>
      </c>
      <c r="H504">
        <f t="shared" si="79"/>
        <v>61609</v>
      </c>
      <c r="I504">
        <f t="shared" si="72"/>
        <v>0</v>
      </c>
      <c r="J504">
        <f t="shared" si="73"/>
        <v>0</v>
      </c>
      <c r="K504">
        <f t="shared" si="74"/>
        <v>236933</v>
      </c>
      <c r="L504">
        <f t="shared" si="75"/>
        <v>0</v>
      </c>
      <c r="M504">
        <f t="shared" si="76"/>
        <v>0</v>
      </c>
      <c r="N504">
        <f t="shared" si="77"/>
        <v>777</v>
      </c>
    </row>
    <row r="505" spans="1:14" x14ac:dyDescent="0.35">
      <c r="A505" s="9">
        <v>4963499</v>
      </c>
      <c r="B505" s="10">
        <v>42923</v>
      </c>
      <c r="C505" s="11">
        <v>0.58484953703703701</v>
      </c>
      <c r="D505" s="12">
        <v>0.5869212962962963</v>
      </c>
      <c r="E505" s="20">
        <f t="shared" si="70"/>
        <v>2.0717592592592871E-3</v>
      </c>
      <c r="F505" t="str">
        <f t="shared" si="71"/>
        <v>stacjonarny</v>
      </c>
      <c r="G505" s="23">
        <f t="shared" si="78"/>
        <v>175503</v>
      </c>
      <c r="H505">
        <f t="shared" si="79"/>
        <v>61609</v>
      </c>
      <c r="I505">
        <f t="shared" si="72"/>
        <v>0</v>
      </c>
      <c r="J505">
        <f t="shared" si="73"/>
        <v>0</v>
      </c>
      <c r="K505">
        <f t="shared" si="74"/>
        <v>237112</v>
      </c>
      <c r="L505">
        <f t="shared" si="75"/>
        <v>0</v>
      </c>
      <c r="M505">
        <f t="shared" si="76"/>
        <v>179</v>
      </c>
      <c r="N505">
        <f t="shared" si="77"/>
        <v>0</v>
      </c>
    </row>
    <row r="506" spans="1:14" x14ac:dyDescent="0.35">
      <c r="A506" s="5">
        <v>7432767</v>
      </c>
      <c r="B506" s="6">
        <v>42923</v>
      </c>
      <c r="C506" s="7">
        <v>0.58508101851851857</v>
      </c>
      <c r="D506" s="8">
        <v>0.58635416666666662</v>
      </c>
      <c r="E506" s="20">
        <f t="shared" si="70"/>
        <v>1.2731481481480511E-3</v>
      </c>
      <c r="F506" t="str">
        <f t="shared" si="71"/>
        <v>stacjonarny</v>
      </c>
      <c r="G506" s="23">
        <f t="shared" si="78"/>
        <v>175613</v>
      </c>
      <c r="H506">
        <f t="shared" si="79"/>
        <v>61609</v>
      </c>
      <c r="I506">
        <f t="shared" si="72"/>
        <v>0</v>
      </c>
      <c r="J506">
        <f t="shared" si="73"/>
        <v>0</v>
      </c>
      <c r="K506">
        <f t="shared" si="74"/>
        <v>237222</v>
      </c>
      <c r="L506">
        <f t="shared" si="75"/>
        <v>0</v>
      </c>
      <c r="M506">
        <f t="shared" si="76"/>
        <v>110</v>
      </c>
      <c r="N506">
        <f t="shared" si="77"/>
        <v>0</v>
      </c>
    </row>
    <row r="507" spans="1:14" x14ac:dyDescent="0.35">
      <c r="A507" s="9">
        <v>3599100</v>
      </c>
      <c r="B507" s="10">
        <v>42923</v>
      </c>
      <c r="C507" s="11">
        <v>0.58832175925925922</v>
      </c>
      <c r="D507" s="12">
        <v>0.59277777777777774</v>
      </c>
      <c r="E507" s="20">
        <f t="shared" si="70"/>
        <v>4.4560185185185119E-3</v>
      </c>
      <c r="F507" t="str">
        <f t="shared" si="71"/>
        <v>stacjonarny</v>
      </c>
      <c r="G507" s="23">
        <f t="shared" si="78"/>
        <v>175998</v>
      </c>
      <c r="H507">
        <f t="shared" si="79"/>
        <v>61609</v>
      </c>
      <c r="I507">
        <f t="shared" si="72"/>
        <v>0</v>
      </c>
      <c r="J507">
        <f t="shared" si="73"/>
        <v>0</v>
      </c>
      <c r="K507">
        <f t="shared" si="74"/>
        <v>237607</v>
      </c>
      <c r="L507">
        <f t="shared" si="75"/>
        <v>0</v>
      </c>
      <c r="M507">
        <f t="shared" si="76"/>
        <v>385</v>
      </c>
      <c r="N507">
        <f t="shared" si="77"/>
        <v>0</v>
      </c>
    </row>
    <row r="508" spans="1:14" x14ac:dyDescent="0.35">
      <c r="A508" s="5">
        <v>8251878</v>
      </c>
      <c r="B508" s="6">
        <v>42923</v>
      </c>
      <c r="C508" s="7">
        <v>0.59281249999999996</v>
      </c>
      <c r="D508" s="8">
        <v>0.59375</v>
      </c>
      <c r="E508" s="20">
        <f t="shared" si="70"/>
        <v>9.3750000000003553E-4</v>
      </c>
      <c r="F508" t="str">
        <f t="shared" si="71"/>
        <v>stacjonarny</v>
      </c>
      <c r="G508" s="23">
        <f t="shared" si="78"/>
        <v>176079</v>
      </c>
      <c r="H508">
        <f t="shared" si="79"/>
        <v>61609</v>
      </c>
      <c r="I508">
        <f t="shared" si="72"/>
        <v>0</v>
      </c>
      <c r="J508">
        <f t="shared" si="73"/>
        <v>0</v>
      </c>
      <c r="K508">
        <f t="shared" si="74"/>
        <v>237688</v>
      </c>
      <c r="L508">
        <f t="shared" si="75"/>
        <v>0</v>
      </c>
      <c r="M508">
        <f t="shared" si="76"/>
        <v>81</v>
      </c>
      <c r="N508">
        <f t="shared" si="77"/>
        <v>0</v>
      </c>
    </row>
    <row r="509" spans="1:14" x14ac:dyDescent="0.35">
      <c r="A509" s="9">
        <v>2826868</v>
      </c>
      <c r="B509" s="10">
        <v>42923</v>
      </c>
      <c r="C509" s="11">
        <v>0.59672453703703698</v>
      </c>
      <c r="D509" s="12">
        <v>0.60435185185185181</v>
      </c>
      <c r="E509" s="20">
        <f t="shared" si="70"/>
        <v>7.6273148148148229E-3</v>
      </c>
      <c r="F509" t="str">
        <f t="shared" si="71"/>
        <v>stacjonarny</v>
      </c>
      <c r="G509" s="23">
        <f t="shared" si="78"/>
        <v>176738</v>
      </c>
      <c r="H509">
        <f t="shared" si="79"/>
        <v>61609</v>
      </c>
      <c r="I509">
        <f t="shared" si="72"/>
        <v>0</v>
      </c>
      <c r="J509">
        <f t="shared" si="73"/>
        <v>0</v>
      </c>
      <c r="K509">
        <f t="shared" si="74"/>
        <v>238347</v>
      </c>
      <c r="L509">
        <f t="shared" si="75"/>
        <v>0</v>
      </c>
      <c r="M509">
        <f t="shared" si="76"/>
        <v>659</v>
      </c>
      <c r="N509">
        <f t="shared" si="77"/>
        <v>0</v>
      </c>
    </row>
    <row r="510" spans="1:14" x14ac:dyDescent="0.35">
      <c r="A510" s="5">
        <v>76099906</v>
      </c>
      <c r="B510" s="6">
        <v>42923</v>
      </c>
      <c r="C510" s="7">
        <v>0.6004976851851852</v>
      </c>
      <c r="D510" s="8">
        <v>0.61106481481481478</v>
      </c>
      <c r="E510" s="20">
        <f t="shared" si="70"/>
        <v>1.0567129629629579E-2</v>
      </c>
      <c r="F510" t="str">
        <f t="shared" si="71"/>
        <v>komorkowy</v>
      </c>
      <c r="G510" s="23">
        <f t="shared" si="78"/>
        <v>176738</v>
      </c>
      <c r="H510">
        <f t="shared" si="79"/>
        <v>62522</v>
      </c>
      <c r="I510">
        <f t="shared" si="72"/>
        <v>0</v>
      </c>
      <c r="J510">
        <f t="shared" si="73"/>
        <v>0</v>
      </c>
      <c r="K510">
        <f t="shared" si="74"/>
        <v>239260</v>
      </c>
      <c r="L510">
        <f t="shared" si="75"/>
        <v>0</v>
      </c>
      <c r="M510">
        <f t="shared" si="76"/>
        <v>0</v>
      </c>
      <c r="N510">
        <f t="shared" si="77"/>
        <v>913</v>
      </c>
    </row>
    <row r="511" spans="1:14" x14ac:dyDescent="0.35">
      <c r="A511" s="9">
        <v>5147242</v>
      </c>
      <c r="B511" s="10">
        <v>42923</v>
      </c>
      <c r="C511" s="11">
        <v>0.60381944444444446</v>
      </c>
      <c r="D511" s="12">
        <v>0.60589120370370375</v>
      </c>
      <c r="E511" s="20">
        <f t="shared" si="70"/>
        <v>2.0717592592592871E-3</v>
      </c>
      <c r="F511" t="str">
        <f t="shared" si="71"/>
        <v>stacjonarny</v>
      </c>
      <c r="G511" s="23">
        <f t="shared" si="78"/>
        <v>176917</v>
      </c>
      <c r="H511">
        <f t="shared" si="79"/>
        <v>62522</v>
      </c>
      <c r="I511">
        <f t="shared" si="72"/>
        <v>0</v>
      </c>
      <c r="J511">
        <f t="shared" si="73"/>
        <v>0</v>
      </c>
      <c r="K511">
        <f t="shared" si="74"/>
        <v>239439</v>
      </c>
      <c r="L511">
        <f t="shared" si="75"/>
        <v>0</v>
      </c>
      <c r="M511">
        <f t="shared" si="76"/>
        <v>179</v>
      </c>
      <c r="N511">
        <f t="shared" si="77"/>
        <v>0</v>
      </c>
    </row>
    <row r="512" spans="1:14" x14ac:dyDescent="0.35">
      <c r="A512" s="5">
        <v>9600226</v>
      </c>
      <c r="B512" s="6">
        <v>42923</v>
      </c>
      <c r="C512" s="7">
        <v>0.60758101851851853</v>
      </c>
      <c r="D512" s="8">
        <v>0.61008101851851848</v>
      </c>
      <c r="E512" s="20">
        <f t="shared" si="70"/>
        <v>2.4999999999999467E-3</v>
      </c>
      <c r="F512" t="str">
        <f t="shared" si="71"/>
        <v>stacjonarny</v>
      </c>
      <c r="G512" s="23">
        <f t="shared" si="78"/>
        <v>177133</v>
      </c>
      <c r="H512">
        <f t="shared" si="79"/>
        <v>62522</v>
      </c>
      <c r="I512">
        <f t="shared" si="72"/>
        <v>0</v>
      </c>
      <c r="J512">
        <f t="shared" si="73"/>
        <v>0</v>
      </c>
      <c r="K512">
        <f t="shared" si="74"/>
        <v>239655</v>
      </c>
      <c r="L512">
        <f t="shared" si="75"/>
        <v>0</v>
      </c>
      <c r="M512">
        <f t="shared" si="76"/>
        <v>216</v>
      </c>
      <c r="N512">
        <f t="shared" si="77"/>
        <v>0</v>
      </c>
    </row>
    <row r="513" spans="1:14" x14ac:dyDescent="0.35">
      <c r="A513" s="9">
        <v>1337042</v>
      </c>
      <c r="B513" s="10">
        <v>42923</v>
      </c>
      <c r="C513" s="11">
        <v>0.60930555555555554</v>
      </c>
      <c r="D513" s="12">
        <v>0.62085648148148154</v>
      </c>
      <c r="E513" s="20">
        <f t="shared" si="70"/>
        <v>1.1550925925925992E-2</v>
      </c>
      <c r="F513" t="str">
        <f t="shared" si="71"/>
        <v>stacjonarny</v>
      </c>
      <c r="G513" s="23">
        <f t="shared" si="78"/>
        <v>178131</v>
      </c>
      <c r="H513">
        <f t="shared" si="79"/>
        <v>62522</v>
      </c>
      <c r="I513">
        <f t="shared" si="72"/>
        <v>0</v>
      </c>
      <c r="J513">
        <f t="shared" si="73"/>
        <v>0</v>
      </c>
      <c r="K513">
        <f t="shared" si="74"/>
        <v>240653</v>
      </c>
      <c r="L513">
        <f t="shared" si="75"/>
        <v>0</v>
      </c>
      <c r="M513">
        <f t="shared" si="76"/>
        <v>998</v>
      </c>
      <c r="N513">
        <f t="shared" si="77"/>
        <v>0</v>
      </c>
    </row>
    <row r="514" spans="1:14" x14ac:dyDescent="0.35">
      <c r="A514" s="5">
        <v>1223943</v>
      </c>
      <c r="B514" s="6">
        <v>42923</v>
      </c>
      <c r="C514" s="7">
        <v>0.61412037037037037</v>
      </c>
      <c r="D514" s="8">
        <v>0.62342592592592594</v>
      </c>
      <c r="E514" s="20">
        <f t="shared" si="70"/>
        <v>9.3055555555555669E-3</v>
      </c>
      <c r="F514" t="str">
        <f t="shared" si="71"/>
        <v>stacjonarny</v>
      </c>
      <c r="G514" s="23">
        <f t="shared" si="78"/>
        <v>178935</v>
      </c>
      <c r="H514">
        <f t="shared" si="79"/>
        <v>62522</v>
      </c>
      <c r="I514">
        <f t="shared" si="72"/>
        <v>0</v>
      </c>
      <c r="J514">
        <f t="shared" si="73"/>
        <v>0</v>
      </c>
      <c r="K514">
        <f t="shared" si="74"/>
        <v>241457</v>
      </c>
      <c r="L514">
        <f t="shared" si="75"/>
        <v>0</v>
      </c>
      <c r="M514">
        <f t="shared" si="76"/>
        <v>804</v>
      </c>
      <c r="N514">
        <f t="shared" si="77"/>
        <v>0</v>
      </c>
    </row>
    <row r="515" spans="1:14" x14ac:dyDescent="0.35">
      <c r="A515" s="9">
        <v>3525921</v>
      </c>
      <c r="B515" s="10">
        <v>42923</v>
      </c>
      <c r="C515" s="11">
        <v>0.61557870370370371</v>
      </c>
      <c r="D515" s="12">
        <v>0.61946759259259254</v>
      </c>
      <c r="E515" s="20">
        <f t="shared" ref="E515:E578" si="80">D515-C515</f>
        <v>3.8888888888888307E-3</v>
      </c>
      <c r="F515" t="str">
        <f t="shared" ref="F515:F578" si="81">IF(LEN(A515)=7,"stacjonarny",IF(LEN(A515)=8,"komorkowy","zagraniczny"))</f>
        <v>stacjonarny</v>
      </c>
      <c r="G515" s="23">
        <f t="shared" si="78"/>
        <v>179271</v>
      </c>
      <c r="H515">
        <f t="shared" si="79"/>
        <v>62522</v>
      </c>
      <c r="I515">
        <f t="shared" ref="I515:I578" si="82">IF(F515="zagraniczny",MINUTE(E515)*60+SECOND(E515)+HOUR(E515)*3600,0)</f>
        <v>0</v>
      </c>
      <c r="J515">
        <f t="shared" ref="J515:J578" si="83">ROUNDUP(I515/60,0)</f>
        <v>0</v>
      </c>
      <c r="K515">
        <f t="shared" ref="K515:K578" si="84">G515+H515</f>
        <v>241793</v>
      </c>
      <c r="L515">
        <f t="shared" ref="L515:L578" si="85">IF(K515&lt;=48000,1,0)</f>
        <v>0</v>
      </c>
      <c r="M515">
        <f t="shared" ref="M515:M578" si="86">IF(AND(L515=0,F515="stacjonarny"),SECOND(E515)+60*MINUTE(E515),0)</f>
        <v>336</v>
      </c>
      <c r="N515">
        <f t="shared" ref="N515:N578" si="87">IF(AND(L515=0,F515="komorkowy"),SECOND(E515)+60*MINUTE(E515),0)</f>
        <v>0</v>
      </c>
    </row>
    <row r="516" spans="1:14" x14ac:dyDescent="0.35">
      <c r="A516" s="5">
        <v>5094248</v>
      </c>
      <c r="B516" s="6">
        <v>42923</v>
      </c>
      <c r="C516" s="7">
        <v>0.61901620370370369</v>
      </c>
      <c r="D516" s="8">
        <v>0.62861111111111112</v>
      </c>
      <c r="E516" s="20">
        <f t="shared" si="80"/>
        <v>9.594907407407427E-3</v>
      </c>
      <c r="F516" t="str">
        <f t="shared" si="81"/>
        <v>stacjonarny</v>
      </c>
      <c r="G516" s="23">
        <f t="shared" ref="G516:G579" si="88">IF(F516="stacjonarny",MINUTE(E516)*60+SECOND(E516)+G515,G515)</f>
        <v>180100</v>
      </c>
      <c r="H516">
        <f t="shared" ref="H516:H579" si="89">IF(F516="komorkowy",MINUTE(E516)*60+SECOND(E516)+H515,H515)</f>
        <v>62522</v>
      </c>
      <c r="I516">
        <f t="shared" si="82"/>
        <v>0</v>
      </c>
      <c r="J516">
        <f t="shared" si="83"/>
        <v>0</v>
      </c>
      <c r="K516">
        <f t="shared" si="84"/>
        <v>242622</v>
      </c>
      <c r="L516">
        <f t="shared" si="85"/>
        <v>0</v>
      </c>
      <c r="M516">
        <f t="shared" si="86"/>
        <v>829</v>
      </c>
      <c r="N516">
        <f t="shared" si="87"/>
        <v>0</v>
      </c>
    </row>
    <row r="517" spans="1:14" x14ac:dyDescent="0.35">
      <c r="A517" s="9">
        <v>7275091</v>
      </c>
      <c r="B517" s="10">
        <v>42923</v>
      </c>
      <c r="C517" s="11">
        <v>0.62306712962962962</v>
      </c>
      <c r="D517" s="12">
        <v>0.63328703703703704</v>
      </c>
      <c r="E517" s="20">
        <f t="shared" si="80"/>
        <v>1.0219907407407414E-2</v>
      </c>
      <c r="F517" t="str">
        <f t="shared" si="81"/>
        <v>stacjonarny</v>
      </c>
      <c r="G517" s="23">
        <f t="shared" si="88"/>
        <v>180983</v>
      </c>
      <c r="H517">
        <f t="shared" si="89"/>
        <v>62522</v>
      </c>
      <c r="I517">
        <f t="shared" si="82"/>
        <v>0</v>
      </c>
      <c r="J517">
        <f t="shared" si="83"/>
        <v>0</v>
      </c>
      <c r="K517">
        <f t="shared" si="84"/>
        <v>243505</v>
      </c>
      <c r="L517">
        <f t="shared" si="85"/>
        <v>0</v>
      </c>
      <c r="M517">
        <f t="shared" si="86"/>
        <v>883</v>
      </c>
      <c r="N517">
        <f t="shared" si="87"/>
        <v>0</v>
      </c>
    </row>
    <row r="518" spans="1:14" x14ac:dyDescent="0.35">
      <c r="A518" s="5">
        <v>73042148</v>
      </c>
      <c r="B518" s="6">
        <v>42923</v>
      </c>
      <c r="C518" s="7">
        <v>0.62537037037037035</v>
      </c>
      <c r="D518" s="8">
        <v>0.63498842592592597</v>
      </c>
      <c r="E518" s="20">
        <f t="shared" si="80"/>
        <v>9.6180555555556158E-3</v>
      </c>
      <c r="F518" t="str">
        <f t="shared" si="81"/>
        <v>komorkowy</v>
      </c>
      <c r="G518" s="23">
        <f t="shared" si="88"/>
        <v>180983</v>
      </c>
      <c r="H518">
        <f t="shared" si="89"/>
        <v>63353</v>
      </c>
      <c r="I518">
        <f t="shared" si="82"/>
        <v>0</v>
      </c>
      <c r="J518">
        <f t="shared" si="83"/>
        <v>0</v>
      </c>
      <c r="K518">
        <f t="shared" si="84"/>
        <v>244336</v>
      </c>
      <c r="L518">
        <f t="shared" si="85"/>
        <v>0</v>
      </c>
      <c r="M518">
        <f t="shared" si="86"/>
        <v>0</v>
      </c>
      <c r="N518">
        <f t="shared" si="87"/>
        <v>831</v>
      </c>
    </row>
    <row r="519" spans="1:14" x14ac:dyDescent="0.35">
      <c r="A519" s="9">
        <v>8570276</v>
      </c>
      <c r="B519" s="10">
        <v>42926</v>
      </c>
      <c r="C519" s="11">
        <v>0.33759259259259261</v>
      </c>
      <c r="D519" s="12">
        <v>0.34880787037037037</v>
      </c>
      <c r="E519" s="20">
        <f t="shared" si="80"/>
        <v>1.1215277777777755E-2</v>
      </c>
      <c r="F519" t="str">
        <f t="shared" si="81"/>
        <v>stacjonarny</v>
      </c>
      <c r="G519" s="23">
        <f t="shared" si="88"/>
        <v>181952</v>
      </c>
      <c r="H519">
        <f t="shared" si="89"/>
        <v>63353</v>
      </c>
      <c r="I519">
        <f t="shared" si="82"/>
        <v>0</v>
      </c>
      <c r="J519">
        <f t="shared" si="83"/>
        <v>0</v>
      </c>
      <c r="K519">
        <f t="shared" si="84"/>
        <v>245305</v>
      </c>
      <c r="L519">
        <f t="shared" si="85"/>
        <v>0</v>
      </c>
      <c r="M519">
        <f t="shared" si="86"/>
        <v>969</v>
      </c>
      <c r="N519">
        <f t="shared" si="87"/>
        <v>0</v>
      </c>
    </row>
    <row r="520" spans="1:14" x14ac:dyDescent="0.35">
      <c r="A520" s="5">
        <v>1775586</v>
      </c>
      <c r="B520" s="6">
        <v>42926</v>
      </c>
      <c r="C520" s="7">
        <v>0.34016203703703701</v>
      </c>
      <c r="D520" s="8">
        <v>0.3495138888888889</v>
      </c>
      <c r="E520" s="20">
        <f t="shared" si="80"/>
        <v>9.3518518518518889E-3</v>
      </c>
      <c r="F520" t="str">
        <f t="shared" si="81"/>
        <v>stacjonarny</v>
      </c>
      <c r="G520" s="23">
        <f t="shared" si="88"/>
        <v>182760</v>
      </c>
      <c r="H520">
        <f t="shared" si="89"/>
        <v>63353</v>
      </c>
      <c r="I520">
        <f t="shared" si="82"/>
        <v>0</v>
      </c>
      <c r="J520">
        <f t="shared" si="83"/>
        <v>0</v>
      </c>
      <c r="K520">
        <f t="shared" si="84"/>
        <v>246113</v>
      </c>
      <c r="L520">
        <f t="shared" si="85"/>
        <v>0</v>
      </c>
      <c r="M520">
        <f t="shared" si="86"/>
        <v>808</v>
      </c>
      <c r="N520">
        <f t="shared" si="87"/>
        <v>0</v>
      </c>
    </row>
    <row r="521" spans="1:14" x14ac:dyDescent="0.35">
      <c r="A521" s="9">
        <v>27791497</v>
      </c>
      <c r="B521" s="10">
        <v>42926</v>
      </c>
      <c r="C521" s="11">
        <v>0.34312500000000001</v>
      </c>
      <c r="D521" s="12">
        <v>0.34373842592592591</v>
      </c>
      <c r="E521" s="20">
        <f t="shared" si="80"/>
        <v>6.1342592592589229E-4</v>
      </c>
      <c r="F521" t="str">
        <f t="shared" si="81"/>
        <v>komorkowy</v>
      </c>
      <c r="G521" s="23">
        <f t="shared" si="88"/>
        <v>182760</v>
      </c>
      <c r="H521">
        <f t="shared" si="89"/>
        <v>63406</v>
      </c>
      <c r="I521">
        <f t="shared" si="82"/>
        <v>0</v>
      </c>
      <c r="J521">
        <f t="shared" si="83"/>
        <v>0</v>
      </c>
      <c r="K521">
        <f t="shared" si="84"/>
        <v>246166</v>
      </c>
      <c r="L521">
        <f t="shared" si="85"/>
        <v>0</v>
      </c>
      <c r="M521">
        <f t="shared" si="86"/>
        <v>0</v>
      </c>
      <c r="N521">
        <f t="shared" si="87"/>
        <v>53</v>
      </c>
    </row>
    <row r="522" spans="1:14" x14ac:dyDescent="0.35">
      <c r="A522" s="5">
        <v>5162775</v>
      </c>
      <c r="B522" s="6">
        <v>42926</v>
      </c>
      <c r="C522" s="7">
        <v>0.34364583333333332</v>
      </c>
      <c r="D522" s="8">
        <v>0.3492824074074074</v>
      </c>
      <c r="E522" s="20">
        <f t="shared" si="80"/>
        <v>5.6365740740740855E-3</v>
      </c>
      <c r="F522" t="str">
        <f t="shared" si="81"/>
        <v>stacjonarny</v>
      </c>
      <c r="G522" s="23">
        <f t="shared" si="88"/>
        <v>183247</v>
      </c>
      <c r="H522">
        <f t="shared" si="89"/>
        <v>63406</v>
      </c>
      <c r="I522">
        <f t="shared" si="82"/>
        <v>0</v>
      </c>
      <c r="J522">
        <f t="shared" si="83"/>
        <v>0</v>
      </c>
      <c r="K522">
        <f t="shared" si="84"/>
        <v>246653</v>
      </c>
      <c r="L522">
        <f t="shared" si="85"/>
        <v>0</v>
      </c>
      <c r="M522">
        <f t="shared" si="86"/>
        <v>487</v>
      </c>
      <c r="N522">
        <f t="shared" si="87"/>
        <v>0</v>
      </c>
    </row>
    <row r="523" spans="1:14" x14ac:dyDescent="0.35">
      <c r="A523" s="9">
        <v>56115408</v>
      </c>
      <c r="B523" s="10">
        <v>42926</v>
      </c>
      <c r="C523" s="11">
        <v>0.34796296296296297</v>
      </c>
      <c r="D523" s="12">
        <v>0.35728009259259258</v>
      </c>
      <c r="E523" s="20">
        <f t="shared" si="80"/>
        <v>9.3171296296296058E-3</v>
      </c>
      <c r="F523" t="str">
        <f t="shared" si="81"/>
        <v>komorkowy</v>
      </c>
      <c r="G523" s="23">
        <f t="shared" si="88"/>
        <v>183247</v>
      </c>
      <c r="H523">
        <f t="shared" si="89"/>
        <v>64211</v>
      </c>
      <c r="I523">
        <f t="shared" si="82"/>
        <v>0</v>
      </c>
      <c r="J523">
        <f t="shared" si="83"/>
        <v>0</v>
      </c>
      <c r="K523">
        <f t="shared" si="84"/>
        <v>247458</v>
      </c>
      <c r="L523">
        <f t="shared" si="85"/>
        <v>0</v>
      </c>
      <c r="M523">
        <f t="shared" si="86"/>
        <v>0</v>
      </c>
      <c r="N523">
        <f t="shared" si="87"/>
        <v>805</v>
      </c>
    </row>
    <row r="524" spans="1:14" x14ac:dyDescent="0.35">
      <c r="A524" s="5">
        <v>6766881</v>
      </c>
      <c r="B524" s="6">
        <v>42926</v>
      </c>
      <c r="C524" s="7">
        <v>0.35249999999999998</v>
      </c>
      <c r="D524" s="8">
        <v>0.35278935185185184</v>
      </c>
      <c r="E524" s="20">
        <f t="shared" si="80"/>
        <v>2.8935185185186008E-4</v>
      </c>
      <c r="F524" t="str">
        <f t="shared" si="81"/>
        <v>stacjonarny</v>
      </c>
      <c r="G524" s="23">
        <f t="shared" si="88"/>
        <v>183272</v>
      </c>
      <c r="H524">
        <f t="shared" si="89"/>
        <v>64211</v>
      </c>
      <c r="I524">
        <f t="shared" si="82"/>
        <v>0</v>
      </c>
      <c r="J524">
        <f t="shared" si="83"/>
        <v>0</v>
      </c>
      <c r="K524">
        <f t="shared" si="84"/>
        <v>247483</v>
      </c>
      <c r="L524">
        <f t="shared" si="85"/>
        <v>0</v>
      </c>
      <c r="M524">
        <f t="shared" si="86"/>
        <v>25</v>
      </c>
      <c r="N524">
        <f t="shared" si="87"/>
        <v>0</v>
      </c>
    </row>
    <row r="525" spans="1:14" x14ac:dyDescent="0.35">
      <c r="A525" s="9">
        <v>9502975</v>
      </c>
      <c r="B525" s="10">
        <v>42926</v>
      </c>
      <c r="C525" s="11">
        <v>0.35483796296296294</v>
      </c>
      <c r="D525" s="12">
        <v>0.35699074074074072</v>
      </c>
      <c r="E525" s="20">
        <f t="shared" si="80"/>
        <v>2.1527777777777812E-3</v>
      </c>
      <c r="F525" t="str">
        <f t="shared" si="81"/>
        <v>stacjonarny</v>
      </c>
      <c r="G525" s="23">
        <f t="shared" si="88"/>
        <v>183458</v>
      </c>
      <c r="H525">
        <f t="shared" si="89"/>
        <v>64211</v>
      </c>
      <c r="I525">
        <f t="shared" si="82"/>
        <v>0</v>
      </c>
      <c r="J525">
        <f t="shared" si="83"/>
        <v>0</v>
      </c>
      <c r="K525">
        <f t="shared" si="84"/>
        <v>247669</v>
      </c>
      <c r="L525">
        <f t="shared" si="85"/>
        <v>0</v>
      </c>
      <c r="M525">
        <f t="shared" si="86"/>
        <v>186</v>
      </c>
      <c r="N525">
        <f t="shared" si="87"/>
        <v>0</v>
      </c>
    </row>
    <row r="526" spans="1:14" x14ac:dyDescent="0.35">
      <c r="A526" s="5">
        <v>4212838</v>
      </c>
      <c r="B526" s="6">
        <v>42926</v>
      </c>
      <c r="C526" s="7">
        <v>0.35760416666666667</v>
      </c>
      <c r="D526" s="8">
        <v>0.35951388888888891</v>
      </c>
      <c r="E526" s="20">
        <f t="shared" si="80"/>
        <v>1.9097222222222432E-3</v>
      </c>
      <c r="F526" t="str">
        <f t="shared" si="81"/>
        <v>stacjonarny</v>
      </c>
      <c r="G526" s="23">
        <f t="shared" si="88"/>
        <v>183623</v>
      </c>
      <c r="H526">
        <f t="shared" si="89"/>
        <v>64211</v>
      </c>
      <c r="I526">
        <f t="shared" si="82"/>
        <v>0</v>
      </c>
      <c r="J526">
        <f t="shared" si="83"/>
        <v>0</v>
      </c>
      <c r="K526">
        <f t="shared" si="84"/>
        <v>247834</v>
      </c>
      <c r="L526">
        <f t="shared" si="85"/>
        <v>0</v>
      </c>
      <c r="M526">
        <f t="shared" si="86"/>
        <v>165</v>
      </c>
      <c r="N526">
        <f t="shared" si="87"/>
        <v>0</v>
      </c>
    </row>
    <row r="527" spans="1:14" x14ac:dyDescent="0.35">
      <c r="A527" s="9">
        <v>6952061</v>
      </c>
      <c r="B527" s="10">
        <v>42926</v>
      </c>
      <c r="C527" s="11">
        <v>0.36282407407407408</v>
      </c>
      <c r="D527" s="12">
        <v>0.37093749999999998</v>
      </c>
      <c r="E527" s="20">
        <f t="shared" si="80"/>
        <v>8.113425925925899E-3</v>
      </c>
      <c r="F527" t="str">
        <f t="shared" si="81"/>
        <v>stacjonarny</v>
      </c>
      <c r="G527" s="23">
        <f t="shared" si="88"/>
        <v>184324</v>
      </c>
      <c r="H527">
        <f t="shared" si="89"/>
        <v>64211</v>
      </c>
      <c r="I527">
        <f t="shared" si="82"/>
        <v>0</v>
      </c>
      <c r="J527">
        <f t="shared" si="83"/>
        <v>0</v>
      </c>
      <c r="K527">
        <f t="shared" si="84"/>
        <v>248535</v>
      </c>
      <c r="L527">
        <f t="shared" si="85"/>
        <v>0</v>
      </c>
      <c r="M527">
        <f t="shared" si="86"/>
        <v>701</v>
      </c>
      <c r="N527">
        <f t="shared" si="87"/>
        <v>0</v>
      </c>
    </row>
    <row r="528" spans="1:14" x14ac:dyDescent="0.35">
      <c r="A528" s="5">
        <v>56127547</v>
      </c>
      <c r="B528" s="6">
        <v>42926</v>
      </c>
      <c r="C528" s="7">
        <v>0.36803240740740739</v>
      </c>
      <c r="D528" s="8">
        <v>0.37565972222222221</v>
      </c>
      <c r="E528" s="20">
        <f t="shared" si="80"/>
        <v>7.6273148148148229E-3</v>
      </c>
      <c r="F528" t="str">
        <f t="shared" si="81"/>
        <v>komorkowy</v>
      </c>
      <c r="G528" s="23">
        <f t="shared" si="88"/>
        <v>184324</v>
      </c>
      <c r="H528">
        <f t="shared" si="89"/>
        <v>64870</v>
      </c>
      <c r="I528">
        <f t="shared" si="82"/>
        <v>0</v>
      </c>
      <c r="J528">
        <f t="shared" si="83"/>
        <v>0</v>
      </c>
      <c r="K528">
        <f t="shared" si="84"/>
        <v>249194</v>
      </c>
      <c r="L528">
        <f t="shared" si="85"/>
        <v>0</v>
      </c>
      <c r="M528">
        <f t="shared" si="86"/>
        <v>0</v>
      </c>
      <c r="N528">
        <f t="shared" si="87"/>
        <v>659</v>
      </c>
    </row>
    <row r="529" spans="1:14" x14ac:dyDescent="0.35">
      <c r="A529" s="9">
        <v>4952685</v>
      </c>
      <c r="B529" s="10">
        <v>42926</v>
      </c>
      <c r="C529" s="11">
        <v>0.36895833333333333</v>
      </c>
      <c r="D529" s="12">
        <v>0.37655092592592593</v>
      </c>
      <c r="E529" s="20">
        <f t="shared" si="80"/>
        <v>7.5925925925925952E-3</v>
      </c>
      <c r="F529" t="str">
        <f t="shared" si="81"/>
        <v>stacjonarny</v>
      </c>
      <c r="G529" s="23">
        <f t="shared" si="88"/>
        <v>184980</v>
      </c>
      <c r="H529">
        <f t="shared" si="89"/>
        <v>64870</v>
      </c>
      <c r="I529">
        <f t="shared" si="82"/>
        <v>0</v>
      </c>
      <c r="J529">
        <f t="shared" si="83"/>
        <v>0</v>
      </c>
      <c r="K529">
        <f t="shared" si="84"/>
        <v>249850</v>
      </c>
      <c r="L529">
        <f t="shared" si="85"/>
        <v>0</v>
      </c>
      <c r="M529">
        <f t="shared" si="86"/>
        <v>656</v>
      </c>
      <c r="N529">
        <f t="shared" si="87"/>
        <v>0</v>
      </c>
    </row>
    <row r="530" spans="1:14" x14ac:dyDescent="0.35">
      <c r="A530" s="5">
        <v>8632893</v>
      </c>
      <c r="B530" s="6">
        <v>42926</v>
      </c>
      <c r="C530" s="7">
        <v>0.36996527777777777</v>
      </c>
      <c r="D530" s="8">
        <v>0.37988425925925928</v>
      </c>
      <c r="E530" s="20">
        <f t="shared" si="80"/>
        <v>9.9189814814815147E-3</v>
      </c>
      <c r="F530" t="str">
        <f t="shared" si="81"/>
        <v>stacjonarny</v>
      </c>
      <c r="G530" s="23">
        <f t="shared" si="88"/>
        <v>185837</v>
      </c>
      <c r="H530">
        <f t="shared" si="89"/>
        <v>64870</v>
      </c>
      <c r="I530">
        <f t="shared" si="82"/>
        <v>0</v>
      </c>
      <c r="J530">
        <f t="shared" si="83"/>
        <v>0</v>
      </c>
      <c r="K530">
        <f t="shared" si="84"/>
        <v>250707</v>
      </c>
      <c r="L530">
        <f t="shared" si="85"/>
        <v>0</v>
      </c>
      <c r="M530">
        <f t="shared" si="86"/>
        <v>857</v>
      </c>
      <c r="N530">
        <f t="shared" si="87"/>
        <v>0</v>
      </c>
    </row>
    <row r="531" spans="1:14" x14ac:dyDescent="0.35">
      <c r="A531" s="9">
        <v>7320123</v>
      </c>
      <c r="B531" s="10">
        <v>42926</v>
      </c>
      <c r="C531" s="11">
        <v>0.37015046296296295</v>
      </c>
      <c r="D531" s="12">
        <v>0.37528935185185186</v>
      </c>
      <c r="E531" s="20">
        <f t="shared" si="80"/>
        <v>5.138888888888915E-3</v>
      </c>
      <c r="F531" t="str">
        <f t="shared" si="81"/>
        <v>stacjonarny</v>
      </c>
      <c r="G531" s="23">
        <f t="shared" si="88"/>
        <v>186281</v>
      </c>
      <c r="H531">
        <f t="shared" si="89"/>
        <v>64870</v>
      </c>
      <c r="I531">
        <f t="shared" si="82"/>
        <v>0</v>
      </c>
      <c r="J531">
        <f t="shared" si="83"/>
        <v>0</v>
      </c>
      <c r="K531">
        <f t="shared" si="84"/>
        <v>251151</v>
      </c>
      <c r="L531">
        <f t="shared" si="85"/>
        <v>0</v>
      </c>
      <c r="M531">
        <f t="shared" si="86"/>
        <v>444</v>
      </c>
      <c r="N531">
        <f t="shared" si="87"/>
        <v>0</v>
      </c>
    </row>
    <row r="532" spans="1:14" x14ac:dyDescent="0.35">
      <c r="A532" s="5">
        <v>4600571814</v>
      </c>
      <c r="B532" s="6">
        <v>42926</v>
      </c>
      <c r="C532" s="7">
        <v>0.3706712962962963</v>
      </c>
      <c r="D532" s="8">
        <v>0.37572916666666667</v>
      </c>
      <c r="E532" s="20">
        <f t="shared" si="80"/>
        <v>5.0578703703703654E-3</v>
      </c>
      <c r="F532" t="str">
        <f t="shared" si="81"/>
        <v>zagraniczny</v>
      </c>
      <c r="G532" s="23">
        <f t="shared" si="88"/>
        <v>186281</v>
      </c>
      <c r="H532">
        <f t="shared" si="89"/>
        <v>64870</v>
      </c>
      <c r="I532">
        <f t="shared" si="82"/>
        <v>437</v>
      </c>
      <c r="J532">
        <f t="shared" si="83"/>
        <v>8</v>
      </c>
      <c r="K532">
        <f t="shared" si="84"/>
        <v>251151</v>
      </c>
      <c r="L532">
        <f t="shared" si="85"/>
        <v>0</v>
      </c>
      <c r="M532">
        <f t="shared" si="86"/>
        <v>0</v>
      </c>
      <c r="N532">
        <f t="shared" si="87"/>
        <v>0</v>
      </c>
    </row>
    <row r="533" spans="1:14" x14ac:dyDescent="0.35">
      <c r="A533" s="9">
        <v>38063903</v>
      </c>
      <c r="B533" s="10">
        <v>42926</v>
      </c>
      <c r="C533" s="11">
        <v>0.37207175925925928</v>
      </c>
      <c r="D533" s="12">
        <v>0.37332175925925926</v>
      </c>
      <c r="E533" s="20">
        <f t="shared" si="80"/>
        <v>1.2499999999999734E-3</v>
      </c>
      <c r="F533" t="str">
        <f t="shared" si="81"/>
        <v>komorkowy</v>
      </c>
      <c r="G533" s="23">
        <f t="shared" si="88"/>
        <v>186281</v>
      </c>
      <c r="H533">
        <f t="shared" si="89"/>
        <v>64978</v>
      </c>
      <c r="I533">
        <f t="shared" si="82"/>
        <v>0</v>
      </c>
      <c r="J533">
        <f t="shared" si="83"/>
        <v>0</v>
      </c>
      <c r="K533">
        <f t="shared" si="84"/>
        <v>251259</v>
      </c>
      <c r="L533">
        <f t="shared" si="85"/>
        <v>0</v>
      </c>
      <c r="M533">
        <f t="shared" si="86"/>
        <v>0</v>
      </c>
      <c r="N533">
        <f t="shared" si="87"/>
        <v>108</v>
      </c>
    </row>
    <row r="534" spans="1:14" x14ac:dyDescent="0.35">
      <c r="A534" s="5">
        <v>4901642</v>
      </c>
      <c r="B534" s="6">
        <v>42926</v>
      </c>
      <c r="C534" s="7">
        <v>0.37747685185185187</v>
      </c>
      <c r="D534" s="8">
        <v>0.38609953703703703</v>
      </c>
      <c r="E534" s="20">
        <f t="shared" si="80"/>
        <v>8.6226851851851638E-3</v>
      </c>
      <c r="F534" t="str">
        <f t="shared" si="81"/>
        <v>stacjonarny</v>
      </c>
      <c r="G534" s="23">
        <f t="shared" si="88"/>
        <v>187026</v>
      </c>
      <c r="H534">
        <f t="shared" si="89"/>
        <v>64978</v>
      </c>
      <c r="I534">
        <f t="shared" si="82"/>
        <v>0</v>
      </c>
      <c r="J534">
        <f t="shared" si="83"/>
        <v>0</v>
      </c>
      <c r="K534">
        <f t="shared" si="84"/>
        <v>252004</v>
      </c>
      <c r="L534">
        <f t="shared" si="85"/>
        <v>0</v>
      </c>
      <c r="M534">
        <f t="shared" si="86"/>
        <v>745</v>
      </c>
      <c r="N534">
        <f t="shared" si="87"/>
        <v>0</v>
      </c>
    </row>
    <row r="535" spans="1:14" x14ac:dyDescent="0.35">
      <c r="A535" s="9">
        <v>39669014</v>
      </c>
      <c r="B535" s="10">
        <v>42926</v>
      </c>
      <c r="C535" s="11">
        <v>0.37930555555555556</v>
      </c>
      <c r="D535" s="12">
        <v>0.38686342592592593</v>
      </c>
      <c r="E535" s="20">
        <f t="shared" si="80"/>
        <v>7.5578703703703676E-3</v>
      </c>
      <c r="F535" t="str">
        <f t="shared" si="81"/>
        <v>komorkowy</v>
      </c>
      <c r="G535" s="23">
        <f t="shared" si="88"/>
        <v>187026</v>
      </c>
      <c r="H535">
        <f t="shared" si="89"/>
        <v>65631</v>
      </c>
      <c r="I535">
        <f t="shared" si="82"/>
        <v>0</v>
      </c>
      <c r="J535">
        <f t="shared" si="83"/>
        <v>0</v>
      </c>
      <c r="K535">
        <f t="shared" si="84"/>
        <v>252657</v>
      </c>
      <c r="L535">
        <f t="shared" si="85"/>
        <v>0</v>
      </c>
      <c r="M535">
        <f t="shared" si="86"/>
        <v>0</v>
      </c>
      <c r="N535">
        <f t="shared" si="87"/>
        <v>653</v>
      </c>
    </row>
    <row r="536" spans="1:14" x14ac:dyDescent="0.35">
      <c r="A536" s="5">
        <v>48919339</v>
      </c>
      <c r="B536" s="6">
        <v>42926</v>
      </c>
      <c r="C536" s="7">
        <v>0.38040509259259259</v>
      </c>
      <c r="D536" s="8">
        <v>0.38484953703703706</v>
      </c>
      <c r="E536" s="20">
        <f t="shared" si="80"/>
        <v>4.4444444444444731E-3</v>
      </c>
      <c r="F536" t="str">
        <f t="shared" si="81"/>
        <v>komorkowy</v>
      </c>
      <c r="G536" s="23">
        <f t="shared" si="88"/>
        <v>187026</v>
      </c>
      <c r="H536">
        <f t="shared" si="89"/>
        <v>66015</v>
      </c>
      <c r="I536">
        <f t="shared" si="82"/>
        <v>0</v>
      </c>
      <c r="J536">
        <f t="shared" si="83"/>
        <v>0</v>
      </c>
      <c r="K536">
        <f t="shared" si="84"/>
        <v>253041</v>
      </c>
      <c r="L536">
        <f t="shared" si="85"/>
        <v>0</v>
      </c>
      <c r="M536">
        <f t="shared" si="86"/>
        <v>0</v>
      </c>
      <c r="N536">
        <f t="shared" si="87"/>
        <v>384</v>
      </c>
    </row>
    <row r="537" spans="1:14" x14ac:dyDescent="0.35">
      <c r="A537" s="9">
        <v>4960687</v>
      </c>
      <c r="B537" s="10">
        <v>42926</v>
      </c>
      <c r="C537" s="11">
        <v>0.3835648148148148</v>
      </c>
      <c r="D537" s="12">
        <v>0.3941087962962963</v>
      </c>
      <c r="E537" s="20">
        <f t="shared" si="80"/>
        <v>1.0543981481481501E-2</v>
      </c>
      <c r="F537" t="str">
        <f t="shared" si="81"/>
        <v>stacjonarny</v>
      </c>
      <c r="G537" s="23">
        <f t="shared" si="88"/>
        <v>187937</v>
      </c>
      <c r="H537">
        <f t="shared" si="89"/>
        <v>66015</v>
      </c>
      <c r="I537">
        <f t="shared" si="82"/>
        <v>0</v>
      </c>
      <c r="J537">
        <f t="shared" si="83"/>
        <v>0</v>
      </c>
      <c r="K537">
        <f t="shared" si="84"/>
        <v>253952</v>
      </c>
      <c r="L537">
        <f t="shared" si="85"/>
        <v>0</v>
      </c>
      <c r="M537">
        <f t="shared" si="86"/>
        <v>911</v>
      </c>
      <c r="N537">
        <f t="shared" si="87"/>
        <v>0</v>
      </c>
    </row>
    <row r="538" spans="1:14" x14ac:dyDescent="0.35">
      <c r="A538" s="5">
        <v>41156424</v>
      </c>
      <c r="B538" s="6">
        <v>42926</v>
      </c>
      <c r="C538" s="7">
        <v>0.38715277777777779</v>
      </c>
      <c r="D538" s="8">
        <v>0.39293981481481483</v>
      </c>
      <c r="E538" s="20">
        <f t="shared" si="80"/>
        <v>5.787037037037035E-3</v>
      </c>
      <c r="F538" t="str">
        <f t="shared" si="81"/>
        <v>komorkowy</v>
      </c>
      <c r="G538" s="23">
        <f t="shared" si="88"/>
        <v>187937</v>
      </c>
      <c r="H538">
        <f t="shared" si="89"/>
        <v>66515</v>
      </c>
      <c r="I538">
        <f t="shared" si="82"/>
        <v>0</v>
      </c>
      <c r="J538">
        <f t="shared" si="83"/>
        <v>0</v>
      </c>
      <c r="K538">
        <f t="shared" si="84"/>
        <v>254452</v>
      </c>
      <c r="L538">
        <f t="shared" si="85"/>
        <v>0</v>
      </c>
      <c r="M538">
        <f t="shared" si="86"/>
        <v>0</v>
      </c>
      <c r="N538">
        <f t="shared" si="87"/>
        <v>500</v>
      </c>
    </row>
    <row r="539" spans="1:14" x14ac:dyDescent="0.35">
      <c r="A539" s="9">
        <v>5087066</v>
      </c>
      <c r="B539" s="10">
        <v>42926</v>
      </c>
      <c r="C539" s="11">
        <v>0.3894097222222222</v>
      </c>
      <c r="D539" s="12">
        <v>0.39869212962962963</v>
      </c>
      <c r="E539" s="20">
        <f t="shared" si="80"/>
        <v>9.2824074074074336E-3</v>
      </c>
      <c r="F539" t="str">
        <f t="shared" si="81"/>
        <v>stacjonarny</v>
      </c>
      <c r="G539" s="23">
        <f t="shared" si="88"/>
        <v>188739</v>
      </c>
      <c r="H539">
        <f t="shared" si="89"/>
        <v>66515</v>
      </c>
      <c r="I539">
        <f t="shared" si="82"/>
        <v>0</v>
      </c>
      <c r="J539">
        <f t="shared" si="83"/>
        <v>0</v>
      </c>
      <c r="K539">
        <f t="shared" si="84"/>
        <v>255254</v>
      </c>
      <c r="L539">
        <f t="shared" si="85"/>
        <v>0</v>
      </c>
      <c r="M539">
        <f t="shared" si="86"/>
        <v>802</v>
      </c>
      <c r="N539">
        <f t="shared" si="87"/>
        <v>0</v>
      </c>
    </row>
    <row r="540" spans="1:14" x14ac:dyDescent="0.35">
      <c r="A540" s="5">
        <v>4636713</v>
      </c>
      <c r="B540" s="6">
        <v>42926</v>
      </c>
      <c r="C540" s="7">
        <v>0.39193287037037039</v>
      </c>
      <c r="D540" s="8">
        <v>0.39712962962962961</v>
      </c>
      <c r="E540" s="20">
        <f t="shared" si="80"/>
        <v>5.1967592592592204E-3</v>
      </c>
      <c r="F540" t="str">
        <f t="shared" si="81"/>
        <v>stacjonarny</v>
      </c>
      <c r="G540" s="23">
        <f t="shared" si="88"/>
        <v>189188</v>
      </c>
      <c r="H540">
        <f t="shared" si="89"/>
        <v>66515</v>
      </c>
      <c r="I540">
        <f t="shared" si="82"/>
        <v>0</v>
      </c>
      <c r="J540">
        <f t="shared" si="83"/>
        <v>0</v>
      </c>
      <c r="K540">
        <f t="shared" si="84"/>
        <v>255703</v>
      </c>
      <c r="L540">
        <f t="shared" si="85"/>
        <v>0</v>
      </c>
      <c r="M540">
        <f t="shared" si="86"/>
        <v>449</v>
      </c>
      <c r="N540">
        <f t="shared" si="87"/>
        <v>0</v>
      </c>
    </row>
    <row r="541" spans="1:14" x14ac:dyDescent="0.35">
      <c r="A541" s="9">
        <v>3944120</v>
      </c>
      <c r="B541" s="10">
        <v>42926</v>
      </c>
      <c r="C541" s="11">
        <v>0.39307870370370368</v>
      </c>
      <c r="D541" s="12">
        <v>0.39380787037037035</v>
      </c>
      <c r="E541" s="20">
        <f t="shared" si="80"/>
        <v>7.2916666666666963E-4</v>
      </c>
      <c r="F541" t="str">
        <f t="shared" si="81"/>
        <v>stacjonarny</v>
      </c>
      <c r="G541" s="23">
        <f t="shared" si="88"/>
        <v>189251</v>
      </c>
      <c r="H541">
        <f t="shared" si="89"/>
        <v>66515</v>
      </c>
      <c r="I541">
        <f t="shared" si="82"/>
        <v>0</v>
      </c>
      <c r="J541">
        <f t="shared" si="83"/>
        <v>0</v>
      </c>
      <c r="K541">
        <f t="shared" si="84"/>
        <v>255766</v>
      </c>
      <c r="L541">
        <f t="shared" si="85"/>
        <v>0</v>
      </c>
      <c r="M541">
        <f t="shared" si="86"/>
        <v>63</v>
      </c>
      <c r="N541">
        <f t="shared" si="87"/>
        <v>0</v>
      </c>
    </row>
    <row r="542" spans="1:14" x14ac:dyDescent="0.35">
      <c r="A542" s="5">
        <v>5960122</v>
      </c>
      <c r="B542" s="6">
        <v>42926</v>
      </c>
      <c r="C542" s="7">
        <v>0.3984375</v>
      </c>
      <c r="D542" s="8">
        <v>0.40802083333333333</v>
      </c>
      <c r="E542" s="20">
        <f t="shared" si="80"/>
        <v>9.5833333333333326E-3</v>
      </c>
      <c r="F542" t="str">
        <f t="shared" si="81"/>
        <v>stacjonarny</v>
      </c>
      <c r="G542" s="23">
        <f t="shared" si="88"/>
        <v>190079</v>
      </c>
      <c r="H542">
        <f t="shared" si="89"/>
        <v>66515</v>
      </c>
      <c r="I542">
        <f t="shared" si="82"/>
        <v>0</v>
      </c>
      <c r="J542">
        <f t="shared" si="83"/>
        <v>0</v>
      </c>
      <c r="K542">
        <f t="shared" si="84"/>
        <v>256594</v>
      </c>
      <c r="L542">
        <f t="shared" si="85"/>
        <v>0</v>
      </c>
      <c r="M542">
        <f t="shared" si="86"/>
        <v>828</v>
      </c>
      <c r="N542">
        <f t="shared" si="87"/>
        <v>0</v>
      </c>
    </row>
    <row r="543" spans="1:14" x14ac:dyDescent="0.35">
      <c r="A543" s="9">
        <v>6795454</v>
      </c>
      <c r="B543" s="10">
        <v>42926</v>
      </c>
      <c r="C543" s="11">
        <v>0.40265046296296297</v>
      </c>
      <c r="D543" s="12">
        <v>0.40284722222222225</v>
      </c>
      <c r="E543" s="20">
        <f t="shared" si="80"/>
        <v>1.9675925925927151E-4</v>
      </c>
      <c r="F543" t="str">
        <f t="shared" si="81"/>
        <v>stacjonarny</v>
      </c>
      <c r="G543" s="23">
        <f t="shared" si="88"/>
        <v>190096</v>
      </c>
      <c r="H543">
        <f t="shared" si="89"/>
        <v>66515</v>
      </c>
      <c r="I543">
        <f t="shared" si="82"/>
        <v>0</v>
      </c>
      <c r="J543">
        <f t="shared" si="83"/>
        <v>0</v>
      </c>
      <c r="K543">
        <f t="shared" si="84"/>
        <v>256611</v>
      </c>
      <c r="L543">
        <f t="shared" si="85"/>
        <v>0</v>
      </c>
      <c r="M543">
        <f t="shared" si="86"/>
        <v>17</v>
      </c>
      <c r="N543">
        <f t="shared" si="87"/>
        <v>0</v>
      </c>
    </row>
    <row r="544" spans="1:14" x14ac:dyDescent="0.35">
      <c r="A544" s="5">
        <v>5013688</v>
      </c>
      <c r="B544" s="6">
        <v>42926</v>
      </c>
      <c r="C544" s="7">
        <v>0.40662037037037035</v>
      </c>
      <c r="D544" s="8">
        <v>0.41171296296296295</v>
      </c>
      <c r="E544" s="20">
        <f t="shared" si="80"/>
        <v>5.092592592592593E-3</v>
      </c>
      <c r="F544" t="str">
        <f t="shared" si="81"/>
        <v>stacjonarny</v>
      </c>
      <c r="G544" s="23">
        <f t="shared" si="88"/>
        <v>190536</v>
      </c>
      <c r="H544">
        <f t="shared" si="89"/>
        <v>66515</v>
      </c>
      <c r="I544">
        <f t="shared" si="82"/>
        <v>0</v>
      </c>
      <c r="J544">
        <f t="shared" si="83"/>
        <v>0</v>
      </c>
      <c r="K544">
        <f t="shared" si="84"/>
        <v>257051</v>
      </c>
      <c r="L544">
        <f t="shared" si="85"/>
        <v>0</v>
      </c>
      <c r="M544">
        <f t="shared" si="86"/>
        <v>440</v>
      </c>
      <c r="N544">
        <f t="shared" si="87"/>
        <v>0</v>
      </c>
    </row>
    <row r="545" spans="1:14" x14ac:dyDescent="0.35">
      <c r="A545" s="9">
        <v>9487255</v>
      </c>
      <c r="B545" s="10">
        <v>42926</v>
      </c>
      <c r="C545" s="11">
        <v>0.40997685185185184</v>
      </c>
      <c r="D545" s="12">
        <v>0.41947916666666668</v>
      </c>
      <c r="E545" s="20">
        <f t="shared" si="80"/>
        <v>9.5023148148148384E-3</v>
      </c>
      <c r="F545" t="str">
        <f t="shared" si="81"/>
        <v>stacjonarny</v>
      </c>
      <c r="G545" s="23">
        <f t="shared" si="88"/>
        <v>191357</v>
      </c>
      <c r="H545">
        <f t="shared" si="89"/>
        <v>66515</v>
      </c>
      <c r="I545">
        <f t="shared" si="82"/>
        <v>0</v>
      </c>
      <c r="J545">
        <f t="shared" si="83"/>
        <v>0</v>
      </c>
      <c r="K545">
        <f t="shared" si="84"/>
        <v>257872</v>
      </c>
      <c r="L545">
        <f t="shared" si="85"/>
        <v>0</v>
      </c>
      <c r="M545">
        <f t="shared" si="86"/>
        <v>821</v>
      </c>
      <c r="N545">
        <f t="shared" si="87"/>
        <v>0</v>
      </c>
    </row>
    <row r="546" spans="1:14" x14ac:dyDescent="0.35">
      <c r="A546" s="5">
        <v>1592822</v>
      </c>
      <c r="B546" s="6">
        <v>42926</v>
      </c>
      <c r="C546" s="7">
        <v>0.41422453703703704</v>
      </c>
      <c r="D546" s="8">
        <v>0.42549768518518516</v>
      </c>
      <c r="E546" s="20">
        <f t="shared" si="80"/>
        <v>1.1273148148148115E-2</v>
      </c>
      <c r="F546" t="str">
        <f t="shared" si="81"/>
        <v>stacjonarny</v>
      </c>
      <c r="G546" s="23">
        <f t="shared" si="88"/>
        <v>192331</v>
      </c>
      <c r="H546">
        <f t="shared" si="89"/>
        <v>66515</v>
      </c>
      <c r="I546">
        <f t="shared" si="82"/>
        <v>0</v>
      </c>
      <c r="J546">
        <f t="shared" si="83"/>
        <v>0</v>
      </c>
      <c r="K546">
        <f t="shared" si="84"/>
        <v>258846</v>
      </c>
      <c r="L546">
        <f t="shared" si="85"/>
        <v>0</v>
      </c>
      <c r="M546">
        <f t="shared" si="86"/>
        <v>974</v>
      </c>
      <c r="N546">
        <f t="shared" si="87"/>
        <v>0</v>
      </c>
    </row>
    <row r="547" spans="1:14" x14ac:dyDescent="0.35">
      <c r="A547" s="9">
        <v>9084978</v>
      </c>
      <c r="B547" s="10">
        <v>42926</v>
      </c>
      <c r="C547" s="11">
        <v>0.41553240740740743</v>
      </c>
      <c r="D547" s="12">
        <v>0.42593750000000002</v>
      </c>
      <c r="E547" s="20">
        <f t="shared" si="80"/>
        <v>1.0405092592592591E-2</v>
      </c>
      <c r="F547" t="str">
        <f t="shared" si="81"/>
        <v>stacjonarny</v>
      </c>
      <c r="G547" s="23">
        <f t="shared" si="88"/>
        <v>193230</v>
      </c>
      <c r="H547">
        <f t="shared" si="89"/>
        <v>66515</v>
      </c>
      <c r="I547">
        <f t="shared" si="82"/>
        <v>0</v>
      </c>
      <c r="J547">
        <f t="shared" si="83"/>
        <v>0</v>
      </c>
      <c r="K547">
        <f t="shared" si="84"/>
        <v>259745</v>
      </c>
      <c r="L547">
        <f t="shared" si="85"/>
        <v>0</v>
      </c>
      <c r="M547">
        <f t="shared" si="86"/>
        <v>899</v>
      </c>
      <c r="N547">
        <f t="shared" si="87"/>
        <v>0</v>
      </c>
    </row>
    <row r="548" spans="1:14" x14ac:dyDescent="0.35">
      <c r="A548" s="5">
        <v>80038636</v>
      </c>
      <c r="B548" s="6">
        <v>42926</v>
      </c>
      <c r="C548" s="7">
        <v>0.41734953703703703</v>
      </c>
      <c r="D548" s="8">
        <v>0.42822916666666666</v>
      </c>
      <c r="E548" s="20">
        <f t="shared" si="80"/>
        <v>1.0879629629629628E-2</v>
      </c>
      <c r="F548" t="str">
        <f t="shared" si="81"/>
        <v>komorkowy</v>
      </c>
      <c r="G548" s="23">
        <f t="shared" si="88"/>
        <v>193230</v>
      </c>
      <c r="H548">
        <f t="shared" si="89"/>
        <v>67455</v>
      </c>
      <c r="I548">
        <f t="shared" si="82"/>
        <v>0</v>
      </c>
      <c r="J548">
        <f t="shared" si="83"/>
        <v>0</v>
      </c>
      <c r="K548">
        <f t="shared" si="84"/>
        <v>260685</v>
      </c>
      <c r="L548">
        <f t="shared" si="85"/>
        <v>0</v>
      </c>
      <c r="M548">
        <f t="shared" si="86"/>
        <v>0</v>
      </c>
      <c r="N548">
        <f t="shared" si="87"/>
        <v>940</v>
      </c>
    </row>
    <row r="549" spans="1:14" x14ac:dyDescent="0.35">
      <c r="A549" s="9">
        <v>2021941339</v>
      </c>
      <c r="B549" s="10">
        <v>42926</v>
      </c>
      <c r="C549" s="11">
        <v>0.41863425925925923</v>
      </c>
      <c r="D549" s="12">
        <v>0.42877314814814815</v>
      </c>
      <c r="E549" s="20">
        <f t="shared" si="80"/>
        <v>1.0138888888888919E-2</v>
      </c>
      <c r="F549" t="str">
        <f t="shared" si="81"/>
        <v>zagraniczny</v>
      </c>
      <c r="G549" s="23">
        <f t="shared" si="88"/>
        <v>193230</v>
      </c>
      <c r="H549">
        <f t="shared" si="89"/>
        <v>67455</v>
      </c>
      <c r="I549">
        <f t="shared" si="82"/>
        <v>876</v>
      </c>
      <c r="J549">
        <f t="shared" si="83"/>
        <v>15</v>
      </c>
      <c r="K549">
        <f t="shared" si="84"/>
        <v>260685</v>
      </c>
      <c r="L549">
        <f t="shared" si="85"/>
        <v>0</v>
      </c>
      <c r="M549">
        <f t="shared" si="86"/>
        <v>0</v>
      </c>
      <c r="N549">
        <f t="shared" si="87"/>
        <v>0</v>
      </c>
    </row>
    <row r="550" spans="1:14" x14ac:dyDescent="0.35">
      <c r="A550" s="5">
        <v>7718350</v>
      </c>
      <c r="B550" s="6">
        <v>42926</v>
      </c>
      <c r="C550" s="7">
        <v>0.42002314814814817</v>
      </c>
      <c r="D550" s="8">
        <v>0.42700231481481482</v>
      </c>
      <c r="E550" s="20">
        <f t="shared" si="80"/>
        <v>6.9791666666666474E-3</v>
      </c>
      <c r="F550" t="str">
        <f t="shared" si="81"/>
        <v>stacjonarny</v>
      </c>
      <c r="G550" s="23">
        <f t="shared" si="88"/>
        <v>193833</v>
      </c>
      <c r="H550">
        <f t="shared" si="89"/>
        <v>67455</v>
      </c>
      <c r="I550">
        <f t="shared" si="82"/>
        <v>0</v>
      </c>
      <c r="J550">
        <f t="shared" si="83"/>
        <v>0</v>
      </c>
      <c r="K550">
        <f t="shared" si="84"/>
        <v>261288</v>
      </c>
      <c r="L550">
        <f t="shared" si="85"/>
        <v>0</v>
      </c>
      <c r="M550">
        <f t="shared" si="86"/>
        <v>603</v>
      </c>
      <c r="N550">
        <f t="shared" si="87"/>
        <v>0</v>
      </c>
    </row>
    <row r="551" spans="1:14" x14ac:dyDescent="0.35">
      <c r="A551" s="9">
        <v>3153283</v>
      </c>
      <c r="B551" s="10">
        <v>42926</v>
      </c>
      <c r="C551" s="11">
        <v>0.42396990740740742</v>
      </c>
      <c r="D551" s="12">
        <v>0.43335648148148148</v>
      </c>
      <c r="E551" s="20">
        <f t="shared" si="80"/>
        <v>9.3865740740740611E-3</v>
      </c>
      <c r="F551" t="str">
        <f t="shared" si="81"/>
        <v>stacjonarny</v>
      </c>
      <c r="G551" s="23">
        <f t="shared" si="88"/>
        <v>194644</v>
      </c>
      <c r="H551">
        <f t="shared" si="89"/>
        <v>67455</v>
      </c>
      <c r="I551">
        <f t="shared" si="82"/>
        <v>0</v>
      </c>
      <c r="J551">
        <f t="shared" si="83"/>
        <v>0</v>
      </c>
      <c r="K551">
        <f t="shared" si="84"/>
        <v>262099</v>
      </c>
      <c r="L551">
        <f t="shared" si="85"/>
        <v>0</v>
      </c>
      <c r="M551">
        <f t="shared" si="86"/>
        <v>811</v>
      </c>
      <c r="N551">
        <f t="shared" si="87"/>
        <v>0</v>
      </c>
    </row>
    <row r="552" spans="1:14" x14ac:dyDescent="0.35">
      <c r="A552" s="5">
        <v>6341482</v>
      </c>
      <c r="B552" s="6">
        <v>42926</v>
      </c>
      <c r="C552" s="7">
        <v>0.42922453703703706</v>
      </c>
      <c r="D552" s="8">
        <v>0.43947916666666664</v>
      </c>
      <c r="E552" s="20">
        <f t="shared" si="80"/>
        <v>1.0254629629629586E-2</v>
      </c>
      <c r="F552" t="str">
        <f t="shared" si="81"/>
        <v>stacjonarny</v>
      </c>
      <c r="G552" s="23">
        <f t="shared" si="88"/>
        <v>195530</v>
      </c>
      <c r="H552">
        <f t="shared" si="89"/>
        <v>67455</v>
      </c>
      <c r="I552">
        <f t="shared" si="82"/>
        <v>0</v>
      </c>
      <c r="J552">
        <f t="shared" si="83"/>
        <v>0</v>
      </c>
      <c r="K552">
        <f t="shared" si="84"/>
        <v>262985</v>
      </c>
      <c r="L552">
        <f t="shared" si="85"/>
        <v>0</v>
      </c>
      <c r="M552">
        <f t="shared" si="86"/>
        <v>886</v>
      </c>
      <c r="N552">
        <f t="shared" si="87"/>
        <v>0</v>
      </c>
    </row>
    <row r="553" spans="1:14" x14ac:dyDescent="0.35">
      <c r="A553" s="9">
        <v>67964973</v>
      </c>
      <c r="B553" s="10">
        <v>42926</v>
      </c>
      <c r="C553" s="11">
        <v>0.43475694444444446</v>
      </c>
      <c r="D553" s="12">
        <v>0.43590277777777775</v>
      </c>
      <c r="E553" s="20">
        <f t="shared" si="80"/>
        <v>1.1458333333332904E-3</v>
      </c>
      <c r="F553" t="str">
        <f t="shared" si="81"/>
        <v>komorkowy</v>
      </c>
      <c r="G553" s="23">
        <f t="shared" si="88"/>
        <v>195530</v>
      </c>
      <c r="H553">
        <f t="shared" si="89"/>
        <v>67554</v>
      </c>
      <c r="I553">
        <f t="shared" si="82"/>
        <v>0</v>
      </c>
      <c r="J553">
        <f t="shared" si="83"/>
        <v>0</v>
      </c>
      <c r="K553">
        <f t="shared" si="84"/>
        <v>263084</v>
      </c>
      <c r="L553">
        <f t="shared" si="85"/>
        <v>0</v>
      </c>
      <c r="M553">
        <f t="shared" si="86"/>
        <v>0</v>
      </c>
      <c r="N553">
        <f t="shared" si="87"/>
        <v>99</v>
      </c>
    </row>
    <row r="554" spans="1:14" x14ac:dyDescent="0.35">
      <c r="A554" s="5">
        <v>1223943</v>
      </c>
      <c r="B554" s="6">
        <v>42926</v>
      </c>
      <c r="C554" s="7">
        <v>0.43961805555555555</v>
      </c>
      <c r="D554" s="8">
        <v>0.45087962962962963</v>
      </c>
      <c r="E554" s="20">
        <f t="shared" si="80"/>
        <v>1.1261574074074077E-2</v>
      </c>
      <c r="F554" t="str">
        <f t="shared" si="81"/>
        <v>stacjonarny</v>
      </c>
      <c r="G554" s="23">
        <f t="shared" si="88"/>
        <v>196503</v>
      </c>
      <c r="H554">
        <f t="shared" si="89"/>
        <v>67554</v>
      </c>
      <c r="I554">
        <f t="shared" si="82"/>
        <v>0</v>
      </c>
      <c r="J554">
        <f t="shared" si="83"/>
        <v>0</v>
      </c>
      <c r="K554">
        <f t="shared" si="84"/>
        <v>264057</v>
      </c>
      <c r="L554">
        <f t="shared" si="85"/>
        <v>0</v>
      </c>
      <c r="M554">
        <f t="shared" si="86"/>
        <v>973</v>
      </c>
      <c r="N554">
        <f t="shared" si="87"/>
        <v>0</v>
      </c>
    </row>
    <row r="555" spans="1:14" x14ac:dyDescent="0.35">
      <c r="A555" s="9">
        <v>8049834</v>
      </c>
      <c r="B555" s="10">
        <v>42926</v>
      </c>
      <c r="C555" s="11">
        <v>0.44210648148148146</v>
      </c>
      <c r="D555" s="12">
        <v>0.44369212962962962</v>
      </c>
      <c r="E555" s="20">
        <f t="shared" si="80"/>
        <v>1.5856481481481555E-3</v>
      </c>
      <c r="F555" t="str">
        <f t="shared" si="81"/>
        <v>stacjonarny</v>
      </c>
      <c r="G555" s="23">
        <f t="shared" si="88"/>
        <v>196640</v>
      </c>
      <c r="H555">
        <f t="shared" si="89"/>
        <v>67554</v>
      </c>
      <c r="I555">
        <f t="shared" si="82"/>
        <v>0</v>
      </c>
      <c r="J555">
        <f t="shared" si="83"/>
        <v>0</v>
      </c>
      <c r="K555">
        <f t="shared" si="84"/>
        <v>264194</v>
      </c>
      <c r="L555">
        <f t="shared" si="85"/>
        <v>0</v>
      </c>
      <c r="M555">
        <f t="shared" si="86"/>
        <v>137</v>
      </c>
      <c r="N555">
        <f t="shared" si="87"/>
        <v>0</v>
      </c>
    </row>
    <row r="556" spans="1:14" x14ac:dyDescent="0.35">
      <c r="A556" s="5">
        <v>6374704</v>
      </c>
      <c r="B556" s="6">
        <v>42926</v>
      </c>
      <c r="C556" s="7">
        <v>0.44572916666666668</v>
      </c>
      <c r="D556" s="8">
        <v>0.4548726851851852</v>
      </c>
      <c r="E556" s="20">
        <f t="shared" si="80"/>
        <v>9.143518518518523E-3</v>
      </c>
      <c r="F556" t="str">
        <f t="shared" si="81"/>
        <v>stacjonarny</v>
      </c>
      <c r="G556" s="23">
        <f t="shared" si="88"/>
        <v>197430</v>
      </c>
      <c r="H556">
        <f t="shared" si="89"/>
        <v>67554</v>
      </c>
      <c r="I556">
        <f t="shared" si="82"/>
        <v>0</v>
      </c>
      <c r="J556">
        <f t="shared" si="83"/>
        <v>0</v>
      </c>
      <c r="K556">
        <f t="shared" si="84"/>
        <v>264984</v>
      </c>
      <c r="L556">
        <f t="shared" si="85"/>
        <v>0</v>
      </c>
      <c r="M556">
        <f t="shared" si="86"/>
        <v>790</v>
      </c>
      <c r="N556">
        <f t="shared" si="87"/>
        <v>0</v>
      </c>
    </row>
    <row r="557" spans="1:14" x14ac:dyDescent="0.35">
      <c r="A557" s="9">
        <v>99625315</v>
      </c>
      <c r="B557" s="10">
        <v>42926</v>
      </c>
      <c r="C557" s="11">
        <v>0.44592592592592595</v>
      </c>
      <c r="D557" s="12">
        <v>0.45026620370370368</v>
      </c>
      <c r="E557" s="20">
        <f t="shared" si="80"/>
        <v>4.3402777777777346E-3</v>
      </c>
      <c r="F557" t="str">
        <f t="shared" si="81"/>
        <v>komorkowy</v>
      </c>
      <c r="G557" s="23">
        <f t="shared" si="88"/>
        <v>197430</v>
      </c>
      <c r="H557">
        <f t="shared" si="89"/>
        <v>67929</v>
      </c>
      <c r="I557">
        <f t="shared" si="82"/>
        <v>0</v>
      </c>
      <c r="J557">
        <f t="shared" si="83"/>
        <v>0</v>
      </c>
      <c r="K557">
        <f t="shared" si="84"/>
        <v>265359</v>
      </c>
      <c r="L557">
        <f t="shared" si="85"/>
        <v>0</v>
      </c>
      <c r="M557">
        <f t="shared" si="86"/>
        <v>0</v>
      </c>
      <c r="N557">
        <f t="shared" si="87"/>
        <v>375</v>
      </c>
    </row>
    <row r="558" spans="1:14" x14ac:dyDescent="0.35">
      <c r="A558" s="5">
        <v>9728932</v>
      </c>
      <c r="B558" s="6">
        <v>42926</v>
      </c>
      <c r="C558" s="7">
        <v>0.44641203703703702</v>
      </c>
      <c r="D558" s="8">
        <v>0.45089120370370372</v>
      </c>
      <c r="E558" s="20">
        <f t="shared" si="80"/>
        <v>4.4791666666667007E-3</v>
      </c>
      <c r="F558" t="str">
        <f t="shared" si="81"/>
        <v>stacjonarny</v>
      </c>
      <c r="G558" s="23">
        <f t="shared" si="88"/>
        <v>197817</v>
      </c>
      <c r="H558">
        <f t="shared" si="89"/>
        <v>67929</v>
      </c>
      <c r="I558">
        <f t="shared" si="82"/>
        <v>0</v>
      </c>
      <c r="J558">
        <f t="shared" si="83"/>
        <v>0</v>
      </c>
      <c r="K558">
        <f t="shared" si="84"/>
        <v>265746</v>
      </c>
      <c r="L558">
        <f t="shared" si="85"/>
        <v>0</v>
      </c>
      <c r="M558">
        <f t="shared" si="86"/>
        <v>387</v>
      </c>
      <c r="N558">
        <f t="shared" si="87"/>
        <v>0</v>
      </c>
    </row>
    <row r="559" spans="1:14" x14ac:dyDescent="0.35">
      <c r="A559" s="9">
        <v>9121149</v>
      </c>
      <c r="B559" s="10">
        <v>42926</v>
      </c>
      <c r="C559" s="11">
        <v>0.45106481481481481</v>
      </c>
      <c r="D559" s="12">
        <v>0.45603009259259258</v>
      </c>
      <c r="E559" s="20">
        <f t="shared" si="80"/>
        <v>4.9652777777777768E-3</v>
      </c>
      <c r="F559" t="str">
        <f t="shared" si="81"/>
        <v>stacjonarny</v>
      </c>
      <c r="G559" s="23">
        <f t="shared" si="88"/>
        <v>198246</v>
      </c>
      <c r="H559">
        <f t="shared" si="89"/>
        <v>67929</v>
      </c>
      <c r="I559">
        <f t="shared" si="82"/>
        <v>0</v>
      </c>
      <c r="J559">
        <f t="shared" si="83"/>
        <v>0</v>
      </c>
      <c r="K559">
        <f t="shared" si="84"/>
        <v>266175</v>
      </c>
      <c r="L559">
        <f t="shared" si="85"/>
        <v>0</v>
      </c>
      <c r="M559">
        <f t="shared" si="86"/>
        <v>429</v>
      </c>
      <c r="N559">
        <f t="shared" si="87"/>
        <v>0</v>
      </c>
    </row>
    <row r="560" spans="1:14" x14ac:dyDescent="0.35">
      <c r="A560" s="5">
        <v>2790475</v>
      </c>
      <c r="B560" s="6">
        <v>42926</v>
      </c>
      <c r="C560" s="7">
        <v>0.45663194444444444</v>
      </c>
      <c r="D560" s="8">
        <v>0.46517361111111111</v>
      </c>
      <c r="E560" s="20">
        <f t="shared" si="80"/>
        <v>8.5416666666666696E-3</v>
      </c>
      <c r="F560" t="str">
        <f t="shared" si="81"/>
        <v>stacjonarny</v>
      </c>
      <c r="G560" s="23">
        <f t="shared" si="88"/>
        <v>198984</v>
      </c>
      <c r="H560">
        <f t="shared" si="89"/>
        <v>67929</v>
      </c>
      <c r="I560">
        <f t="shared" si="82"/>
        <v>0</v>
      </c>
      <c r="J560">
        <f t="shared" si="83"/>
        <v>0</v>
      </c>
      <c r="K560">
        <f t="shared" si="84"/>
        <v>266913</v>
      </c>
      <c r="L560">
        <f t="shared" si="85"/>
        <v>0</v>
      </c>
      <c r="M560">
        <f t="shared" si="86"/>
        <v>738</v>
      </c>
      <c r="N560">
        <f t="shared" si="87"/>
        <v>0</v>
      </c>
    </row>
    <row r="561" spans="1:14" x14ac:dyDescent="0.35">
      <c r="A561" s="9">
        <v>4148520</v>
      </c>
      <c r="B561" s="10">
        <v>42926</v>
      </c>
      <c r="C561" s="11">
        <v>0.46108796296296295</v>
      </c>
      <c r="D561" s="12">
        <v>0.46989583333333335</v>
      </c>
      <c r="E561" s="20">
        <f t="shared" si="80"/>
        <v>8.8078703703703964E-3</v>
      </c>
      <c r="F561" t="str">
        <f t="shared" si="81"/>
        <v>stacjonarny</v>
      </c>
      <c r="G561" s="23">
        <f t="shared" si="88"/>
        <v>199745</v>
      </c>
      <c r="H561">
        <f t="shared" si="89"/>
        <v>67929</v>
      </c>
      <c r="I561">
        <f t="shared" si="82"/>
        <v>0</v>
      </c>
      <c r="J561">
        <f t="shared" si="83"/>
        <v>0</v>
      </c>
      <c r="K561">
        <f t="shared" si="84"/>
        <v>267674</v>
      </c>
      <c r="L561">
        <f t="shared" si="85"/>
        <v>0</v>
      </c>
      <c r="M561">
        <f t="shared" si="86"/>
        <v>761</v>
      </c>
      <c r="N561">
        <f t="shared" si="87"/>
        <v>0</v>
      </c>
    </row>
    <row r="562" spans="1:14" x14ac:dyDescent="0.35">
      <c r="A562" s="5">
        <v>55462392</v>
      </c>
      <c r="B562" s="6">
        <v>42926</v>
      </c>
      <c r="C562" s="7">
        <v>0.46597222222222223</v>
      </c>
      <c r="D562" s="8">
        <v>0.46732638888888889</v>
      </c>
      <c r="E562" s="20">
        <f t="shared" si="80"/>
        <v>1.3541666666666563E-3</v>
      </c>
      <c r="F562" t="str">
        <f t="shared" si="81"/>
        <v>komorkowy</v>
      </c>
      <c r="G562" s="23">
        <f t="shared" si="88"/>
        <v>199745</v>
      </c>
      <c r="H562">
        <f t="shared" si="89"/>
        <v>68046</v>
      </c>
      <c r="I562">
        <f t="shared" si="82"/>
        <v>0</v>
      </c>
      <c r="J562">
        <f t="shared" si="83"/>
        <v>0</v>
      </c>
      <c r="K562">
        <f t="shared" si="84"/>
        <v>267791</v>
      </c>
      <c r="L562">
        <f t="shared" si="85"/>
        <v>0</v>
      </c>
      <c r="M562">
        <f t="shared" si="86"/>
        <v>0</v>
      </c>
      <c r="N562">
        <f t="shared" si="87"/>
        <v>117</v>
      </c>
    </row>
    <row r="563" spans="1:14" x14ac:dyDescent="0.35">
      <c r="A563" s="9">
        <v>8130722</v>
      </c>
      <c r="B563" s="10">
        <v>42926</v>
      </c>
      <c r="C563" s="11">
        <v>0.46649305555555554</v>
      </c>
      <c r="D563" s="12">
        <v>0.47717592592592595</v>
      </c>
      <c r="E563" s="20">
        <f t="shared" si="80"/>
        <v>1.0682870370370412E-2</v>
      </c>
      <c r="F563" t="str">
        <f t="shared" si="81"/>
        <v>stacjonarny</v>
      </c>
      <c r="G563" s="23">
        <f t="shared" si="88"/>
        <v>200668</v>
      </c>
      <c r="H563">
        <f t="shared" si="89"/>
        <v>68046</v>
      </c>
      <c r="I563">
        <f t="shared" si="82"/>
        <v>0</v>
      </c>
      <c r="J563">
        <f t="shared" si="83"/>
        <v>0</v>
      </c>
      <c r="K563">
        <f t="shared" si="84"/>
        <v>268714</v>
      </c>
      <c r="L563">
        <f t="shared" si="85"/>
        <v>0</v>
      </c>
      <c r="M563">
        <f t="shared" si="86"/>
        <v>923</v>
      </c>
      <c r="N563">
        <f t="shared" si="87"/>
        <v>0</v>
      </c>
    </row>
    <row r="564" spans="1:14" x14ac:dyDescent="0.35">
      <c r="A564" s="5">
        <v>5448890</v>
      </c>
      <c r="B564" s="6">
        <v>42926</v>
      </c>
      <c r="C564" s="7">
        <v>0.46957175925925926</v>
      </c>
      <c r="D564" s="8">
        <v>0.47247685185185184</v>
      </c>
      <c r="E564" s="20">
        <f t="shared" si="80"/>
        <v>2.9050925925925841E-3</v>
      </c>
      <c r="F564" t="str">
        <f t="shared" si="81"/>
        <v>stacjonarny</v>
      </c>
      <c r="G564" s="23">
        <f t="shared" si="88"/>
        <v>200919</v>
      </c>
      <c r="H564">
        <f t="shared" si="89"/>
        <v>68046</v>
      </c>
      <c r="I564">
        <f t="shared" si="82"/>
        <v>0</v>
      </c>
      <c r="J564">
        <f t="shared" si="83"/>
        <v>0</v>
      </c>
      <c r="K564">
        <f t="shared" si="84"/>
        <v>268965</v>
      </c>
      <c r="L564">
        <f t="shared" si="85"/>
        <v>0</v>
      </c>
      <c r="M564">
        <f t="shared" si="86"/>
        <v>251</v>
      </c>
      <c r="N564">
        <f t="shared" si="87"/>
        <v>0</v>
      </c>
    </row>
    <row r="565" spans="1:14" x14ac:dyDescent="0.35">
      <c r="A565" s="9">
        <v>6118241</v>
      </c>
      <c r="B565" s="10">
        <v>42926</v>
      </c>
      <c r="C565" s="11">
        <v>0.47462962962962962</v>
      </c>
      <c r="D565" s="12">
        <v>0.47839120370370369</v>
      </c>
      <c r="E565" s="20">
        <f t="shared" si="80"/>
        <v>3.76157407407407E-3</v>
      </c>
      <c r="F565" t="str">
        <f t="shared" si="81"/>
        <v>stacjonarny</v>
      </c>
      <c r="G565" s="23">
        <f t="shared" si="88"/>
        <v>201244</v>
      </c>
      <c r="H565">
        <f t="shared" si="89"/>
        <v>68046</v>
      </c>
      <c r="I565">
        <f t="shared" si="82"/>
        <v>0</v>
      </c>
      <c r="J565">
        <f t="shared" si="83"/>
        <v>0</v>
      </c>
      <c r="K565">
        <f t="shared" si="84"/>
        <v>269290</v>
      </c>
      <c r="L565">
        <f t="shared" si="85"/>
        <v>0</v>
      </c>
      <c r="M565">
        <f t="shared" si="86"/>
        <v>325</v>
      </c>
      <c r="N565">
        <f t="shared" si="87"/>
        <v>0</v>
      </c>
    </row>
    <row r="566" spans="1:14" x14ac:dyDescent="0.35">
      <c r="A566" s="5">
        <v>1088377750</v>
      </c>
      <c r="B566" s="6">
        <v>42926</v>
      </c>
      <c r="C566" s="7">
        <v>0.47535879629629629</v>
      </c>
      <c r="D566" s="8">
        <v>0.48454861111111114</v>
      </c>
      <c r="E566" s="20">
        <f t="shared" si="80"/>
        <v>9.1898148148148451E-3</v>
      </c>
      <c r="F566" t="str">
        <f t="shared" si="81"/>
        <v>zagraniczny</v>
      </c>
      <c r="G566" s="23">
        <f t="shared" si="88"/>
        <v>201244</v>
      </c>
      <c r="H566">
        <f t="shared" si="89"/>
        <v>68046</v>
      </c>
      <c r="I566">
        <f t="shared" si="82"/>
        <v>794</v>
      </c>
      <c r="J566">
        <f t="shared" si="83"/>
        <v>14</v>
      </c>
      <c r="K566">
        <f t="shared" si="84"/>
        <v>269290</v>
      </c>
      <c r="L566">
        <f t="shared" si="85"/>
        <v>0</v>
      </c>
      <c r="M566">
        <f t="shared" si="86"/>
        <v>0</v>
      </c>
      <c r="N566">
        <f t="shared" si="87"/>
        <v>0</v>
      </c>
    </row>
    <row r="567" spans="1:14" x14ac:dyDescent="0.35">
      <c r="A567" s="9">
        <v>98238772</v>
      </c>
      <c r="B567" s="10">
        <v>42926</v>
      </c>
      <c r="C567" s="11">
        <v>0.47989583333333335</v>
      </c>
      <c r="D567" s="12">
        <v>0.48138888888888887</v>
      </c>
      <c r="E567" s="20">
        <f t="shared" si="80"/>
        <v>1.4930555555555114E-3</v>
      </c>
      <c r="F567" t="str">
        <f t="shared" si="81"/>
        <v>komorkowy</v>
      </c>
      <c r="G567" s="23">
        <f t="shared" si="88"/>
        <v>201244</v>
      </c>
      <c r="H567">
        <f t="shared" si="89"/>
        <v>68175</v>
      </c>
      <c r="I567">
        <f t="shared" si="82"/>
        <v>0</v>
      </c>
      <c r="J567">
        <f t="shared" si="83"/>
        <v>0</v>
      </c>
      <c r="K567">
        <f t="shared" si="84"/>
        <v>269419</v>
      </c>
      <c r="L567">
        <f t="shared" si="85"/>
        <v>0</v>
      </c>
      <c r="M567">
        <f t="shared" si="86"/>
        <v>0</v>
      </c>
      <c r="N567">
        <f t="shared" si="87"/>
        <v>129</v>
      </c>
    </row>
    <row r="568" spans="1:14" x14ac:dyDescent="0.35">
      <c r="A568" s="5">
        <v>9524588</v>
      </c>
      <c r="B568" s="6">
        <v>42926</v>
      </c>
      <c r="C568" s="7">
        <v>0.4846759259259259</v>
      </c>
      <c r="D568" s="8">
        <v>0.49550925925925926</v>
      </c>
      <c r="E568" s="20">
        <f t="shared" si="80"/>
        <v>1.0833333333333361E-2</v>
      </c>
      <c r="F568" t="str">
        <f t="shared" si="81"/>
        <v>stacjonarny</v>
      </c>
      <c r="G568" s="23">
        <f t="shared" si="88"/>
        <v>202180</v>
      </c>
      <c r="H568">
        <f t="shared" si="89"/>
        <v>68175</v>
      </c>
      <c r="I568">
        <f t="shared" si="82"/>
        <v>0</v>
      </c>
      <c r="J568">
        <f t="shared" si="83"/>
        <v>0</v>
      </c>
      <c r="K568">
        <f t="shared" si="84"/>
        <v>270355</v>
      </c>
      <c r="L568">
        <f t="shared" si="85"/>
        <v>0</v>
      </c>
      <c r="M568">
        <f t="shared" si="86"/>
        <v>936</v>
      </c>
      <c r="N568">
        <f t="shared" si="87"/>
        <v>0</v>
      </c>
    </row>
    <row r="569" spans="1:14" x14ac:dyDescent="0.35">
      <c r="A569" s="9">
        <v>96375379</v>
      </c>
      <c r="B569" s="10">
        <v>42926</v>
      </c>
      <c r="C569" s="11">
        <v>0.4881712962962963</v>
      </c>
      <c r="D569" s="12">
        <v>0.49769675925925927</v>
      </c>
      <c r="E569" s="20">
        <f t="shared" si="80"/>
        <v>9.5254629629629717E-3</v>
      </c>
      <c r="F569" t="str">
        <f t="shared" si="81"/>
        <v>komorkowy</v>
      </c>
      <c r="G569" s="23">
        <f t="shared" si="88"/>
        <v>202180</v>
      </c>
      <c r="H569">
        <f t="shared" si="89"/>
        <v>68998</v>
      </c>
      <c r="I569">
        <f t="shared" si="82"/>
        <v>0</v>
      </c>
      <c r="J569">
        <f t="shared" si="83"/>
        <v>0</v>
      </c>
      <c r="K569">
        <f t="shared" si="84"/>
        <v>271178</v>
      </c>
      <c r="L569">
        <f t="shared" si="85"/>
        <v>0</v>
      </c>
      <c r="M569">
        <f t="shared" si="86"/>
        <v>0</v>
      </c>
      <c r="N569">
        <f t="shared" si="87"/>
        <v>823</v>
      </c>
    </row>
    <row r="570" spans="1:14" x14ac:dyDescent="0.35">
      <c r="A570" s="5">
        <v>4759206</v>
      </c>
      <c r="B570" s="6">
        <v>42926</v>
      </c>
      <c r="C570" s="7">
        <v>0.49055555555555558</v>
      </c>
      <c r="D570" s="8">
        <v>0.49449074074074073</v>
      </c>
      <c r="E570" s="20">
        <f t="shared" si="80"/>
        <v>3.9351851851851527E-3</v>
      </c>
      <c r="F570" t="str">
        <f t="shared" si="81"/>
        <v>stacjonarny</v>
      </c>
      <c r="G570" s="23">
        <f t="shared" si="88"/>
        <v>202520</v>
      </c>
      <c r="H570">
        <f t="shared" si="89"/>
        <v>68998</v>
      </c>
      <c r="I570">
        <f t="shared" si="82"/>
        <v>0</v>
      </c>
      <c r="J570">
        <f t="shared" si="83"/>
        <v>0</v>
      </c>
      <c r="K570">
        <f t="shared" si="84"/>
        <v>271518</v>
      </c>
      <c r="L570">
        <f t="shared" si="85"/>
        <v>0</v>
      </c>
      <c r="M570">
        <f t="shared" si="86"/>
        <v>340</v>
      </c>
      <c r="N570">
        <f t="shared" si="87"/>
        <v>0</v>
      </c>
    </row>
    <row r="571" spans="1:14" x14ac:dyDescent="0.35">
      <c r="A571" s="9">
        <v>9197309</v>
      </c>
      <c r="B571" s="10">
        <v>42926</v>
      </c>
      <c r="C571" s="11">
        <v>0.49488425925925927</v>
      </c>
      <c r="D571" s="12">
        <v>0.50590277777777781</v>
      </c>
      <c r="E571" s="20">
        <f t="shared" si="80"/>
        <v>1.1018518518518539E-2</v>
      </c>
      <c r="F571" t="str">
        <f t="shared" si="81"/>
        <v>stacjonarny</v>
      </c>
      <c r="G571" s="23">
        <f t="shared" si="88"/>
        <v>203472</v>
      </c>
      <c r="H571">
        <f t="shared" si="89"/>
        <v>68998</v>
      </c>
      <c r="I571">
        <f t="shared" si="82"/>
        <v>0</v>
      </c>
      <c r="J571">
        <f t="shared" si="83"/>
        <v>0</v>
      </c>
      <c r="K571">
        <f t="shared" si="84"/>
        <v>272470</v>
      </c>
      <c r="L571">
        <f t="shared" si="85"/>
        <v>0</v>
      </c>
      <c r="M571">
        <f t="shared" si="86"/>
        <v>952</v>
      </c>
      <c r="N571">
        <f t="shared" si="87"/>
        <v>0</v>
      </c>
    </row>
    <row r="572" spans="1:14" x14ac:dyDescent="0.35">
      <c r="A572" s="5">
        <v>8322522</v>
      </c>
      <c r="B572" s="6">
        <v>42926</v>
      </c>
      <c r="C572" s="7">
        <v>0.49674768518518519</v>
      </c>
      <c r="D572" s="8">
        <v>0.50796296296296295</v>
      </c>
      <c r="E572" s="20">
        <f t="shared" si="80"/>
        <v>1.1215277777777755E-2</v>
      </c>
      <c r="F572" t="str">
        <f t="shared" si="81"/>
        <v>stacjonarny</v>
      </c>
      <c r="G572" s="23">
        <f t="shared" si="88"/>
        <v>204441</v>
      </c>
      <c r="H572">
        <f t="shared" si="89"/>
        <v>68998</v>
      </c>
      <c r="I572">
        <f t="shared" si="82"/>
        <v>0</v>
      </c>
      <c r="J572">
        <f t="shared" si="83"/>
        <v>0</v>
      </c>
      <c r="K572">
        <f t="shared" si="84"/>
        <v>273439</v>
      </c>
      <c r="L572">
        <f t="shared" si="85"/>
        <v>0</v>
      </c>
      <c r="M572">
        <f t="shared" si="86"/>
        <v>969</v>
      </c>
      <c r="N572">
        <f t="shared" si="87"/>
        <v>0</v>
      </c>
    </row>
    <row r="573" spans="1:14" x14ac:dyDescent="0.35">
      <c r="A573" s="9">
        <v>4264808</v>
      </c>
      <c r="B573" s="10">
        <v>42926</v>
      </c>
      <c r="C573" s="11">
        <v>0.50089120370370366</v>
      </c>
      <c r="D573" s="12">
        <v>0.50109953703703702</v>
      </c>
      <c r="E573" s="20">
        <f t="shared" si="80"/>
        <v>2.083333333333659E-4</v>
      </c>
      <c r="F573" t="str">
        <f t="shared" si="81"/>
        <v>stacjonarny</v>
      </c>
      <c r="G573" s="23">
        <f t="shared" si="88"/>
        <v>204459</v>
      </c>
      <c r="H573">
        <f t="shared" si="89"/>
        <v>68998</v>
      </c>
      <c r="I573">
        <f t="shared" si="82"/>
        <v>0</v>
      </c>
      <c r="J573">
        <f t="shared" si="83"/>
        <v>0</v>
      </c>
      <c r="K573">
        <f t="shared" si="84"/>
        <v>273457</v>
      </c>
      <c r="L573">
        <f t="shared" si="85"/>
        <v>0</v>
      </c>
      <c r="M573">
        <f t="shared" si="86"/>
        <v>18</v>
      </c>
      <c r="N573">
        <f t="shared" si="87"/>
        <v>0</v>
      </c>
    </row>
    <row r="574" spans="1:14" x14ac:dyDescent="0.35">
      <c r="A574" s="5">
        <v>3095218</v>
      </c>
      <c r="B574" s="6">
        <v>42926</v>
      </c>
      <c r="C574" s="7">
        <v>0.50635416666666666</v>
      </c>
      <c r="D574" s="8">
        <v>0.51716435185185183</v>
      </c>
      <c r="E574" s="20">
        <f t="shared" si="80"/>
        <v>1.0810185185185173E-2</v>
      </c>
      <c r="F574" t="str">
        <f t="shared" si="81"/>
        <v>stacjonarny</v>
      </c>
      <c r="G574" s="23">
        <f t="shared" si="88"/>
        <v>205393</v>
      </c>
      <c r="H574">
        <f t="shared" si="89"/>
        <v>68998</v>
      </c>
      <c r="I574">
        <f t="shared" si="82"/>
        <v>0</v>
      </c>
      <c r="J574">
        <f t="shared" si="83"/>
        <v>0</v>
      </c>
      <c r="K574">
        <f t="shared" si="84"/>
        <v>274391</v>
      </c>
      <c r="L574">
        <f t="shared" si="85"/>
        <v>0</v>
      </c>
      <c r="M574">
        <f t="shared" si="86"/>
        <v>934</v>
      </c>
      <c r="N574">
        <f t="shared" si="87"/>
        <v>0</v>
      </c>
    </row>
    <row r="575" spans="1:14" x14ac:dyDescent="0.35">
      <c r="A575" s="9">
        <v>5820632164</v>
      </c>
      <c r="B575" s="10">
        <v>42926</v>
      </c>
      <c r="C575" s="11">
        <v>0.51010416666666669</v>
      </c>
      <c r="D575" s="12">
        <v>0.51879629629629631</v>
      </c>
      <c r="E575" s="20">
        <f t="shared" si="80"/>
        <v>8.6921296296296191E-3</v>
      </c>
      <c r="F575" t="str">
        <f t="shared" si="81"/>
        <v>zagraniczny</v>
      </c>
      <c r="G575" s="23">
        <f t="shared" si="88"/>
        <v>205393</v>
      </c>
      <c r="H575">
        <f t="shared" si="89"/>
        <v>68998</v>
      </c>
      <c r="I575">
        <f t="shared" si="82"/>
        <v>751</v>
      </c>
      <c r="J575">
        <f t="shared" si="83"/>
        <v>13</v>
      </c>
      <c r="K575">
        <f t="shared" si="84"/>
        <v>274391</v>
      </c>
      <c r="L575">
        <f t="shared" si="85"/>
        <v>0</v>
      </c>
      <c r="M575">
        <f t="shared" si="86"/>
        <v>0</v>
      </c>
      <c r="N575">
        <f t="shared" si="87"/>
        <v>0</v>
      </c>
    </row>
    <row r="576" spans="1:14" x14ac:dyDescent="0.35">
      <c r="A576" s="5">
        <v>89814525</v>
      </c>
      <c r="B576" s="6">
        <v>42926</v>
      </c>
      <c r="C576" s="7">
        <v>0.51090277777777782</v>
      </c>
      <c r="D576" s="8">
        <v>0.51175925925925925</v>
      </c>
      <c r="E576" s="20">
        <f t="shared" si="80"/>
        <v>8.5648148148143033E-4</v>
      </c>
      <c r="F576" t="str">
        <f t="shared" si="81"/>
        <v>komorkowy</v>
      </c>
      <c r="G576" s="23">
        <f t="shared" si="88"/>
        <v>205393</v>
      </c>
      <c r="H576">
        <f t="shared" si="89"/>
        <v>69072</v>
      </c>
      <c r="I576">
        <f t="shared" si="82"/>
        <v>0</v>
      </c>
      <c r="J576">
        <f t="shared" si="83"/>
        <v>0</v>
      </c>
      <c r="K576">
        <f t="shared" si="84"/>
        <v>274465</v>
      </c>
      <c r="L576">
        <f t="shared" si="85"/>
        <v>0</v>
      </c>
      <c r="M576">
        <f t="shared" si="86"/>
        <v>0</v>
      </c>
      <c r="N576">
        <f t="shared" si="87"/>
        <v>74</v>
      </c>
    </row>
    <row r="577" spans="1:14" x14ac:dyDescent="0.35">
      <c r="A577" s="9">
        <v>1223816</v>
      </c>
      <c r="B577" s="10">
        <v>42926</v>
      </c>
      <c r="C577" s="11">
        <v>0.51116898148148149</v>
      </c>
      <c r="D577" s="12">
        <v>0.51718750000000002</v>
      </c>
      <c r="E577" s="20">
        <f t="shared" si="80"/>
        <v>6.0185185185185341E-3</v>
      </c>
      <c r="F577" t="str">
        <f t="shared" si="81"/>
        <v>stacjonarny</v>
      </c>
      <c r="G577" s="23">
        <f t="shared" si="88"/>
        <v>205913</v>
      </c>
      <c r="H577">
        <f t="shared" si="89"/>
        <v>69072</v>
      </c>
      <c r="I577">
        <f t="shared" si="82"/>
        <v>0</v>
      </c>
      <c r="J577">
        <f t="shared" si="83"/>
        <v>0</v>
      </c>
      <c r="K577">
        <f t="shared" si="84"/>
        <v>274985</v>
      </c>
      <c r="L577">
        <f t="shared" si="85"/>
        <v>0</v>
      </c>
      <c r="M577">
        <f t="shared" si="86"/>
        <v>520</v>
      </c>
      <c r="N577">
        <f t="shared" si="87"/>
        <v>0</v>
      </c>
    </row>
    <row r="578" spans="1:14" x14ac:dyDescent="0.35">
      <c r="A578" s="5">
        <v>18503160</v>
      </c>
      <c r="B578" s="6">
        <v>42926</v>
      </c>
      <c r="C578" s="7">
        <v>0.51157407407407407</v>
      </c>
      <c r="D578" s="8">
        <v>0.51663194444444449</v>
      </c>
      <c r="E578" s="20">
        <f t="shared" si="80"/>
        <v>5.0578703703704209E-3</v>
      </c>
      <c r="F578" t="str">
        <f t="shared" si="81"/>
        <v>komorkowy</v>
      </c>
      <c r="G578" s="23">
        <f t="shared" si="88"/>
        <v>205913</v>
      </c>
      <c r="H578">
        <f t="shared" si="89"/>
        <v>69509</v>
      </c>
      <c r="I578">
        <f t="shared" si="82"/>
        <v>0</v>
      </c>
      <c r="J578">
        <f t="shared" si="83"/>
        <v>0</v>
      </c>
      <c r="K578">
        <f t="shared" si="84"/>
        <v>275422</v>
      </c>
      <c r="L578">
        <f t="shared" si="85"/>
        <v>0</v>
      </c>
      <c r="M578">
        <f t="shared" si="86"/>
        <v>0</v>
      </c>
      <c r="N578">
        <f t="shared" si="87"/>
        <v>437</v>
      </c>
    </row>
    <row r="579" spans="1:14" x14ac:dyDescent="0.35">
      <c r="A579" s="9">
        <v>21677804</v>
      </c>
      <c r="B579" s="10">
        <v>42926</v>
      </c>
      <c r="C579" s="11">
        <v>0.51328703703703704</v>
      </c>
      <c r="D579" s="12">
        <v>0.51821759259259259</v>
      </c>
      <c r="E579" s="20">
        <f t="shared" ref="E579:E642" si="90">D579-C579</f>
        <v>4.9305555555555491E-3</v>
      </c>
      <c r="F579" t="str">
        <f t="shared" ref="F579:F642" si="91">IF(LEN(A579)=7,"stacjonarny",IF(LEN(A579)=8,"komorkowy","zagraniczny"))</f>
        <v>komorkowy</v>
      </c>
      <c r="G579" s="23">
        <f t="shared" si="88"/>
        <v>205913</v>
      </c>
      <c r="H579">
        <f t="shared" si="89"/>
        <v>69935</v>
      </c>
      <c r="I579">
        <f t="shared" ref="I579:I642" si="92">IF(F579="zagraniczny",MINUTE(E579)*60+SECOND(E579)+HOUR(E579)*3600,0)</f>
        <v>0</v>
      </c>
      <c r="J579">
        <f t="shared" ref="J579:J642" si="93">ROUNDUP(I579/60,0)</f>
        <v>0</v>
      </c>
      <c r="K579">
        <f t="shared" ref="K579:K642" si="94">G579+H579</f>
        <v>275848</v>
      </c>
      <c r="L579">
        <f t="shared" ref="L579:L642" si="95">IF(K579&lt;=48000,1,0)</f>
        <v>0</v>
      </c>
      <c r="M579">
        <f t="shared" ref="M579:M642" si="96">IF(AND(L579=0,F579="stacjonarny"),SECOND(E579)+60*MINUTE(E579),0)</f>
        <v>0</v>
      </c>
      <c r="N579">
        <f t="shared" ref="N579:N642" si="97">IF(AND(L579=0,F579="komorkowy"),SECOND(E579)+60*MINUTE(E579),0)</f>
        <v>426</v>
      </c>
    </row>
    <row r="580" spans="1:14" x14ac:dyDescent="0.35">
      <c r="A580" s="5">
        <v>5087066</v>
      </c>
      <c r="B580" s="6">
        <v>42926</v>
      </c>
      <c r="C580" s="7">
        <v>0.51603009259259258</v>
      </c>
      <c r="D580" s="8">
        <v>0.5269907407407407</v>
      </c>
      <c r="E580" s="20">
        <f t="shared" si="90"/>
        <v>1.0960648148148122E-2</v>
      </c>
      <c r="F580" t="str">
        <f t="shared" si="91"/>
        <v>stacjonarny</v>
      </c>
      <c r="G580" s="23">
        <f t="shared" ref="G580:G643" si="98">IF(F580="stacjonarny",MINUTE(E580)*60+SECOND(E580)+G579,G579)</f>
        <v>206860</v>
      </c>
      <c r="H580">
        <f t="shared" ref="H580:H643" si="99">IF(F580="komorkowy",MINUTE(E580)*60+SECOND(E580)+H579,H579)</f>
        <v>69935</v>
      </c>
      <c r="I580">
        <f t="shared" si="92"/>
        <v>0</v>
      </c>
      <c r="J580">
        <f t="shared" si="93"/>
        <v>0</v>
      </c>
      <c r="K580">
        <f t="shared" si="94"/>
        <v>276795</v>
      </c>
      <c r="L580">
        <f t="shared" si="95"/>
        <v>0</v>
      </c>
      <c r="M580">
        <f t="shared" si="96"/>
        <v>947</v>
      </c>
      <c r="N580">
        <f t="shared" si="97"/>
        <v>0</v>
      </c>
    </row>
    <row r="581" spans="1:14" x14ac:dyDescent="0.35">
      <c r="A581" s="9">
        <v>6905863</v>
      </c>
      <c r="B581" s="10">
        <v>42926</v>
      </c>
      <c r="C581" s="11">
        <v>0.52123842592592595</v>
      </c>
      <c r="D581" s="12">
        <v>0.53008101851851852</v>
      </c>
      <c r="E581" s="20">
        <f t="shared" si="90"/>
        <v>8.8425925925925686E-3</v>
      </c>
      <c r="F581" t="str">
        <f t="shared" si="91"/>
        <v>stacjonarny</v>
      </c>
      <c r="G581" s="23">
        <f t="shared" si="98"/>
        <v>207624</v>
      </c>
      <c r="H581">
        <f t="shared" si="99"/>
        <v>69935</v>
      </c>
      <c r="I581">
        <f t="shared" si="92"/>
        <v>0</v>
      </c>
      <c r="J581">
        <f t="shared" si="93"/>
        <v>0</v>
      </c>
      <c r="K581">
        <f t="shared" si="94"/>
        <v>277559</v>
      </c>
      <c r="L581">
        <f t="shared" si="95"/>
        <v>0</v>
      </c>
      <c r="M581">
        <f t="shared" si="96"/>
        <v>764</v>
      </c>
      <c r="N581">
        <f t="shared" si="97"/>
        <v>0</v>
      </c>
    </row>
    <row r="582" spans="1:14" x14ac:dyDescent="0.35">
      <c r="A582" s="5">
        <v>4144248</v>
      </c>
      <c r="B582" s="6">
        <v>42926</v>
      </c>
      <c r="C582" s="7">
        <v>0.52134259259259264</v>
      </c>
      <c r="D582" s="8">
        <v>0.53226851851851853</v>
      </c>
      <c r="E582" s="20">
        <f t="shared" si="90"/>
        <v>1.0925925925925895E-2</v>
      </c>
      <c r="F582" t="str">
        <f t="shared" si="91"/>
        <v>stacjonarny</v>
      </c>
      <c r="G582" s="23">
        <f t="shared" si="98"/>
        <v>208568</v>
      </c>
      <c r="H582">
        <f t="shared" si="99"/>
        <v>69935</v>
      </c>
      <c r="I582">
        <f t="shared" si="92"/>
        <v>0</v>
      </c>
      <c r="J582">
        <f t="shared" si="93"/>
        <v>0</v>
      </c>
      <c r="K582">
        <f t="shared" si="94"/>
        <v>278503</v>
      </c>
      <c r="L582">
        <f t="shared" si="95"/>
        <v>0</v>
      </c>
      <c r="M582">
        <f t="shared" si="96"/>
        <v>944</v>
      </c>
      <c r="N582">
        <f t="shared" si="97"/>
        <v>0</v>
      </c>
    </row>
    <row r="583" spans="1:14" x14ac:dyDescent="0.35">
      <c r="A583" s="9">
        <v>16392077</v>
      </c>
      <c r="B583" s="10">
        <v>42926</v>
      </c>
      <c r="C583" s="11">
        <v>0.52254629629629634</v>
      </c>
      <c r="D583" s="12">
        <v>0.52263888888888888</v>
      </c>
      <c r="E583" s="20">
        <f t="shared" si="90"/>
        <v>9.2592592592533052E-5</v>
      </c>
      <c r="F583" t="str">
        <f t="shared" si="91"/>
        <v>komorkowy</v>
      </c>
      <c r="G583" s="23">
        <f t="shared" si="98"/>
        <v>208568</v>
      </c>
      <c r="H583">
        <f t="shared" si="99"/>
        <v>69943</v>
      </c>
      <c r="I583">
        <f t="shared" si="92"/>
        <v>0</v>
      </c>
      <c r="J583">
        <f t="shared" si="93"/>
        <v>0</v>
      </c>
      <c r="K583">
        <f t="shared" si="94"/>
        <v>278511</v>
      </c>
      <c r="L583">
        <f t="shared" si="95"/>
        <v>0</v>
      </c>
      <c r="M583">
        <f t="shared" si="96"/>
        <v>0</v>
      </c>
      <c r="N583">
        <f t="shared" si="97"/>
        <v>8</v>
      </c>
    </row>
    <row r="584" spans="1:14" x14ac:dyDescent="0.35">
      <c r="A584" s="5">
        <v>8865092</v>
      </c>
      <c r="B584" s="6">
        <v>42926</v>
      </c>
      <c r="C584" s="7">
        <v>0.52392361111111108</v>
      </c>
      <c r="D584" s="8">
        <v>0.53378472222222217</v>
      </c>
      <c r="E584" s="20">
        <f t="shared" si="90"/>
        <v>9.8611111111110983E-3</v>
      </c>
      <c r="F584" t="str">
        <f t="shared" si="91"/>
        <v>stacjonarny</v>
      </c>
      <c r="G584" s="23">
        <f t="shared" si="98"/>
        <v>209420</v>
      </c>
      <c r="H584">
        <f t="shared" si="99"/>
        <v>69943</v>
      </c>
      <c r="I584">
        <f t="shared" si="92"/>
        <v>0</v>
      </c>
      <c r="J584">
        <f t="shared" si="93"/>
        <v>0</v>
      </c>
      <c r="K584">
        <f t="shared" si="94"/>
        <v>279363</v>
      </c>
      <c r="L584">
        <f t="shared" si="95"/>
        <v>0</v>
      </c>
      <c r="M584">
        <f t="shared" si="96"/>
        <v>852</v>
      </c>
      <c r="N584">
        <f t="shared" si="97"/>
        <v>0</v>
      </c>
    </row>
    <row r="585" spans="1:14" x14ac:dyDescent="0.35">
      <c r="A585" s="9">
        <v>92597723</v>
      </c>
      <c r="B585" s="10">
        <v>42926</v>
      </c>
      <c r="C585" s="11">
        <v>0.52837962962962959</v>
      </c>
      <c r="D585" s="12">
        <v>0.53084490740740742</v>
      </c>
      <c r="E585" s="20">
        <f t="shared" si="90"/>
        <v>2.4652777777778301E-3</v>
      </c>
      <c r="F585" t="str">
        <f t="shared" si="91"/>
        <v>komorkowy</v>
      </c>
      <c r="G585" s="23">
        <f t="shared" si="98"/>
        <v>209420</v>
      </c>
      <c r="H585">
        <f t="shared" si="99"/>
        <v>70156</v>
      </c>
      <c r="I585">
        <f t="shared" si="92"/>
        <v>0</v>
      </c>
      <c r="J585">
        <f t="shared" si="93"/>
        <v>0</v>
      </c>
      <c r="K585">
        <f t="shared" si="94"/>
        <v>279576</v>
      </c>
      <c r="L585">
        <f t="shared" si="95"/>
        <v>0</v>
      </c>
      <c r="M585">
        <f t="shared" si="96"/>
        <v>0</v>
      </c>
      <c r="N585">
        <f t="shared" si="97"/>
        <v>213</v>
      </c>
    </row>
    <row r="586" spans="1:14" x14ac:dyDescent="0.35">
      <c r="A586" s="5">
        <v>49840829</v>
      </c>
      <c r="B586" s="6">
        <v>42926</v>
      </c>
      <c r="C586" s="7">
        <v>0.53204861111111112</v>
      </c>
      <c r="D586" s="8">
        <v>0.53737268518518522</v>
      </c>
      <c r="E586" s="20">
        <f t="shared" si="90"/>
        <v>5.3240740740740922E-3</v>
      </c>
      <c r="F586" t="str">
        <f t="shared" si="91"/>
        <v>komorkowy</v>
      </c>
      <c r="G586" s="23">
        <f t="shared" si="98"/>
        <v>209420</v>
      </c>
      <c r="H586">
        <f t="shared" si="99"/>
        <v>70616</v>
      </c>
      <c r="I586">
        <f t="shared" si="92"/>
        <v>0</v>
      </c>
      <c r="J586">
        <f t="shared" si="93"/>
        <v>0</v>
      </c>
      <c r="K586">
        <f t="shared" si="94"/>
        <v>280036</v>
      </c>
      <c r="L586">
        <f t="shared" si="95"/>
        <v>0</v>
      </c>
      <c r="M586">
        <f t="shared" si="96"/>
        <v>0</v>
      </c>
      <c r="N586">
        <f t="shared" si="97"/>
        <v>460</v>
      </c>
    </row>
    <row r="587" spans="1:14" x14ac:dyDescent="0.35">
      <c r="A587" s="9">
        <v>20354301</v>
      </c>
      <c r="B587" s="10">
        <v>42926</v>
      </c>
      <c r="C587" s="11">
        <v>0.53291666666666671</v>
      </c>
      <c r="D587" s="12">
        <v>0.53758101851851847</v>
      </c>
      <c r="E587" s="20">
        <f t="shared" si="90"/>
        <v>4.6643518518517668E-3</v>
      </c>
      <c r="F587" t="str">
        <f t="shared" si="91"/>
        <v>komorkowy</v>
      </c>
      <c r="G587" s="23">
        <f t="shared" si="98"/>
        <v>209420</v>
      </c>
      <c r="H587">
        <f t="shared" si="99"/>
        <v>71019</v>
      </c>
      <c r="I587">
        <f t="shared" si="92"/>
        <v>0</v>
      </c>
      <c r="J587">
        <f t="shared" si="93"/>
        <v>0</v>
      </c>
      <c r="K587">
        <f t="shared" si="94"/>
        <v>280439</v>
      </c>
      <c r="L587">
        <f t="shared" si="95"/>
        <v>0</v>
      </c>
      <c r="M587">
        <f t="shared" si="96"/>
        <v>0</v>
      </c>
      <c r="N587">
        <f t="shared" si="97"/>
        <v>403</v>
      </c>
    </row>
    <row r="588" spans="1:14" x14ac:dyDescent="0.35">
      <c r="A588" s="5">
        <v>2731955</v>
      </c>
      <c r="B588" s="6">
        <v>42926</v>
      </c>
      <c r="C588" s="7">
        <v>0.53843750000000001</v>
      </c>
      <c r="D588" s="8">
        <v>0.54283564814814811</v>
      </c>
      <c r="E588" s="20">
        <f t="shared" si="90"/>
        <v>4.3981481481480955E-3</v>
      </c>
      <c r="F588" t="str">
        <f t="shared" si="91"/>
        <v>stacjonarny</v>
      </c>
      <c r="G588" s="23">
        <f t="shared" si="98"/>
        <v>209800</v>
      </c>
      <c r="H588">
        <f t="shared" si="99"/>
        <v>71019</v>
      </c>
      <c r="I588">
        <f t="shared" si="92"/>
        <v>0</v>
      </c>
      <c r="J588">
        <f t="shared" si="93"/>
        <v>0</v>
      </c>
      <c r="K588">
        <f t="shared" si="94"/>
        <v>280819</v>
      </c>
      <c r="L588">
        <f t="shared" si="95"/>
        <v>0</v>
      </c>
      <c r="M588">
        <f t="shared" si="96"/>
        <v>380</v>
      </c>
      <c r="N588">
        <f t="shared" si="97"/>
        <v>0</v>
      </c>
    </row>
    <row r="589" spans="1:14" x14ac:dyDescent="0.35">
      <c r="A589" s="9">
        <v>2304726</v>
      </c>
      <c r="B589" s="10">
        <v>42926</v>
      </c>
      <c r="C589" s="11">
        <v>0.54197916666666668</v>
      </c>
      <c r="D589" s="12">
        <v>0.54866898148148147</v>
      </c>
      <c r="E589" s="20">
        <f t="shared" si="90"/>
        <v>6.6898148148147873E-3</v>
      </c>
      <c r="F589" t="str">
        <f t="shared" si="91"/>
        <v>stacjonarny</v>
      </c>
      <c r="G589" s="23">
        <f t="shared" si="98"/>
        <v>210378</v>
      </c>
      <c r="H589">
        <f t="shared" si="99"/>
        <v>71019</v>
      </c>
      <c r="I589">
        <f t="shared" si="92"/>
        <v>0</v>
      </c>
      <c r="J589">
        <f t="shared" si="93"/>
        <v>0</v>
      </c>
      <c r="K589">
        <f t="shared" si="94"/>
        <v>281397</v>
      </c>
      <c r="L589">
        <f t="shared" si="95"/>
        <v>0</v>
      </c>
      <c r="M589">
        <f t="shared" si="96"/>
        <v>578</v>
      </c>
      <c r="N589">
        <f t="shared" si="97"/>
        <v>0</v>
      </c>
    </row>
    <row r="590" spans="1:14" x14ac:dyDescent="0.35">
      <c r="A590" s="5">
        <v>4653709</v>
      </c>
      <c r="B590" s="6">
        <v>42926</v>
      </c>
      <c r="C590" s="7">
        <v>0.54292824074074075</v>
      </c>
      <c r="D590" s="8">
        <v>0.5444444444444444</v>
      </c>
      <c r="E590" s="20">
        <f t="shared" si="90"/>
        <v>1.5162037037036447E-3</v>
      </c>
      <c r="F590" t="str">
        <f t="shared" si="91"/>
        <v>stacjonarny</v>
      </c>
      <c r="G590" s="23">
        <f t="shared" si="98"/>
        <v>210509</v>
      </c>
      <c r="H590">
        <f t="shared" si="99"/>
        <v>71019</v>
      </c>
      <c r="I590">
        <f t="shared" si="92"/>
        <v>0</v>
      </c>
      <c r="J590">
        <f t="shared" si="93"/>
        <v>0</v>
      </c>
      <c r="K590">
        <f t="shared" si="94"/>
        <v>281528</v>
      </c>
      <c r="L590">
        <f t="shared" si="95"/>
        <v>0</v>
      </c>
      <c r="M590">
        <f t="shared" si="96"/>
        <v>131</v>
      </c>
      <c r="N590">
        <f t="shared" si="97"/>
        <v>0</v>
      </c>
    </row>
    <row r="591" spans="1:14" x14ac:dyDescent="0.35">
      <c r="A591" s="9">
        <v>4848864</v>
      </c>
      <c r="B591" s="10">
        <v>42926</v>
      </c>
      <c r="C591" s="11">
        <v>0.54432870370370368</v>
      </c>
      <c r="D591" s="12">
        <v>0.55090277777777774</v>
      </c>
      <c r="E591" s="20">
        <f t="shared" si="90"/>
        <v>6.5740740740740655E-3</v>
      </c>
      <c r="F591" t="str">
        <f t="shared" si="91"/>
        <v>stacjonarny</v>
      </c>
      <c r="G591" s="23">
        <f t="shared" si="98"/>
        <v>211077</v>
      </c>
      <c r="H591">
        <f t="shared" si="99"/>
        <v>71019</v>
      </c>
      <c r="I591">
        <f t="shared" si="92"/>
        <v>0</v>
      </c>
      <c r="J591">
        <f t="shared" si="93"/>
        <v>0</v>
      </c>
      <c r="K591">
        <f t="shared" si="94"/>
        <v>282096</v>
      </c>
      <c r="L591">
        <f t="shared" si="95"/>
        <v>0</v>
      </c>
      <c r="M591">
        <f t="shared" si="96"/>
        <v>568</v>
      </c>
      <c r="N591">
        <f t="shared" si="97"/>
        <v>0</v>
      </c>
    </row>
    <row r="592" spans="1:14" x14ac:dyDescent="0.35">
      <c r="A592" s="5">
        <v>6709939</v>
      </c>
      <c r="B592" s="6">
        <v>42926</v>
      </c>
      <c r="C592" s="7">
        <v>0.54692129629629627</v>
      </c>
      <c r="D592" s="8">
        <v>0.55000000000000004</v>
      </c>
      <c r="E592" s="20">
        <f t="shared" si="90"/>
        <v>3.0787037037037779E-3</v>
      </c>
      <c r="F592" t="str">
        <f t="shared" si="91"/>
        <v>stacjonarny</v>
      </c>
      <c r="G592" s="23">
        <f t="shared" si="98"/>
        <v>211343</v>
      </c>
      <c r="H592">
        <f t="shared" si="99"/>
        <v>71019</v>
      </c>
      <c r="I592">
        <f t="shared" si="92"/>
        <v>0</v>
      </c>
      <c r="J592">
        <f t="shared" si="93"/>
        <v>0</v>
      </c>
      <c r="K592">
        <f t="shared" si="94"/>
        <v>282362</v>
      </c>
      <c r="L592">
        <f t="shared" si="95"/>
        <v>0</v>
      </c>
      <c r="M592">
        <f t="shared" si="96"/>
        <v>266</v>
      </c>
      <c r="N592">
        <f t="shared" si="97"/>
        <v>0</v>
      </c>
    </row>
    <row r="593" spans="1:14" x14ac:dyDescent="0.35">
      <c r="A593" s="9">
        <v>8870498</v>
      </c>
      <c r="B593" s="10">
        <v>42926</v>
      </c>
      <c r="C593" s="11">
        <v>0.55046296296296293</v>
      </c>
      <c r="D593" s="12">
        <v>0.55986111111111114</v>
      </c>
      <c r="E593" s="20">
        <f t="shared" si="90"/>
        <v>9.398148148148211E-3</v>
      </c>
      <c r="F593" t="str">
        <f t="shared" si="91"/>
        <v>stacjonarny</v>
      </c>
      <c r="G593" s="23">
        <f t="shared" si="98"/>
        <v>212155</v>
      </c>
      <c r="H593">
        <f t="shared" si="99"/>
        <v>71019</v>
      </c>
      <c r="I593">
        <f t="shared" si="92"/>
        <v>0</v>
      </c>
      <c r="J593">
        <f t="shared" si="93"/>
        <v>0</v>
      </c>
      <c r="K593">
        <f t="shared" si="94"/>
        <v>283174</v>
      </c>
      <c r="L593">
        <f t="shared" si="95"/>
        <v>0</v>
      </c>
      <c r="M593">
        <f t="shared" si="96"/>
        <v>812</v>
      </c>
      <c r="N593">
        <f t="shared" si="97"/>
        <v>0</v>
      </c>
    </row>
    <row r="594" spans="1:14" x14ac:dyDescent="0.35">
      <c r="A594" s="5">
        <v>2947889</v>
      </c>
      <c r="B594" s="6">
        <v>42926</v>
      </c>
      <c r="C594" s="7">
        <v>0.55246527777777776</v>
      </c>
      <c r="D594" s="8">
        <v>0.56334490740740739</v>
      </c>
      <c r="E594" s="20">
        <f t="shared" si="90"/>
        <v>1.0879629629629628E-2</v>
      </c>
      <c r="F594" t="str">
        <f t="shared" si="91"/>
        <v>stacjonarny</v>
      </c>
      <c r="G594" s="23">
        <f t="shared" si="98"/>
        <v>213095</v>
      </c>
      <c r="H594">
        <f t="shared" si="99"/>
        <v>71019</v>
      </c>
      <c r="I594">
        <f t="shared" si="92"/>
        <v>0</v>
      </c>
      <c r="J594">
        <f t="shared" si="93"/>
        <v>0</v>
      </c>
      <c r="K594">
        <f t="shared" si="94"/>
        <v>284114</v>
      </c>
      <c r="L594">
        <f t="shared" si="95"/>
        <v>0</v>
      </c>
      <c r="M594">
        <f t="shared" si="96"/>
        <v>940</v>
      </c>
      <c r="N594">
        <f t="shared" si="97"/>
        <v>0</v>
      </c>
    </row>
    <row r="595" spans="1:14" x14ac:dyDescent="0.35">
      <c r="A595" s="9">
        <v>8270097</v>
      </c>
      <c r="B595" s="10">
        <v>42926</v>
      </c>
      <c r="C595" s="11">
        <v>0.55650462962962965</v>
      </c>
      <c r="D595" s="12">
        <v>0.55850694444444449</v>
      </c>
      <c r="E595" s="20">
        <f t="shared" si="90"/>
        <v>2.0023148148148318E-3</v>
      </c>
      <c r="F595" t="str">
        <f t="shared" si="91"/>
        <v>stacjonarny</v>
      </c>
      <c r="G595" s="23">
        <f t="shared" si="98"/>
        <v>213268</v>
      </c>
      <c r="H595">
        <f t="shared" si="99"/>
        <v>71019</v>
      </c>
      <c r="I595">
        <f t="shared" si="92"/>
        <v>0</v>
      </c>
      <c r="J595">
        <f t="shared" si="93"/>
        <v>0</v>
      </c>
      <c r="K595">
        <f t="shared" si="94"/>
        <v>284287</v>
      </c>
      <c r="L595">
        <f t="shared" si="95"/>
        <v>0</v>
      </c>
      <c r="M595">
        <f t="shared" si="96"/>
        <v>173</v>
      </c>
      <c r="N595">
        <f t="shared" si="97"/>
        <v>0</v>
      </c>
    </row>
    <row r="596" spans="1:14" x14ac:dyDescent="0.35">
      <c r="A596" s="5">
        <v>8183468</v>
      </c>
      <c r="B596" s="6">
        <v>42926</v>
      </c>
      <c r="C596" s="7">
        <v>0.55832175925925931</v>
      </c>
      <c r="D596" s="8">
        <v>0.56265046296296295</v>
      </c>
      <c r="E596" s="20">
        <f t="shared" si="90"/>
        <v>4.3287037037036402E-3</v>
      </c>
      <c r="F596" t="str">
        <f t="shared" si="91"/>
        <v>stacjonarny</v>
      </c>
      <c r="G596" s="23">
        <f t="shared" si="98"/>
        <v>213642</v>
      </c>
      <c r="H596">
        <f t="shared" si="99"/>
        <v>71019</v>
      </c>
      <c r="I596">
        <f t="shared" si="92"/>
        <v>0</v>
      </c>
      <c r="J596">
        <f t="shared" si="93"/>
        <v>0</v>
      </c>
      <c r="K596">
        <f t="shared" si="94"/>
        <v>284661</v>
      </c>
      <c r="L596">
        <f t="shared" si="95"/>
        <v>0</v>
      </c>
      <c r="M596">
        <f t="shared" si="96"/>
        <v>374</v>
      </c>
      <c r="N596">
        <f t="shared" si="97"/>
        <v>0</v>
      </c>
    </row>
    <row r="597" spans="1:14" x14ac:dyDescent="0.35">
      <c r="A597" s="9">
        <v>3263806</v>
      </c>
      <c r="B597" s="10">
        <v>42926</v>
      </c>
      <c r="C597" s="11">
        <v>0.55864583333333329</v>
      </c>
      <c r="D597" s="12">
        <v>0.56383101851851847</v>
      </c>
      <c r="E597" s="20">
        <f t="shared" si="90"/>
        <v>5.1851851851851816E-3</v>
      </c>
      <c r="F597" t="str">
        <f t="shared" si="91"/>
        <v>stacjonarny</v>
      </c>
      <c r="G597" s="23">
        <f t="shared" si="98"/>
        <v>214090</v>
      </c>
      <c r="H597">
        <f t="shared" si="99"/>
        <v>71019</v>
      </c>
      <c r="I597">
        <f t="shared" si="92"/>
        <v>0</v>
      </c>
      <c r="J597">
        <f t="shared" si="93"/>
        <v>0</v>
      </c>
      <c r="K597">
        <f t="shared" si="94"/>
        <v>285109</v>
      </c>
      <c r="L597">
        <f t="shared" si="95"/>
        <v>0</v>
      </c>
      <c r="M597">
        <f t="shared" si="96"/>
        <v>448</v>
      </c>
      <c r="N597">
        <f t="shared" si="97"/>
        <v>0</v>
      </c>
    </row>
    <row r="598" spans="1:14" x14ac:dyDescent="0.35">
      <c r="A598" s="5">
        <v>7792980</v>
      </c>
      <c r="B598" s="6">
        <v>42926</v>
      </c>
      <c r="C598" s="7">
        <v>0.56234953703703705</v>
      </c>
      <c r="D598" s="8">
        <v>0.57378472222222221</v>
      </c>
      <c r="E598" s="20">
        <f t="shared" si="90"/>
        <v>1.1435185185185159E-2</v>
      </c>
      <c r="F598" t="str">
        <f t="shared" si="91"/>
        <v>stacjonarny</v>
      </c>
      <c r="G598" s="23">
        <f t="shared" si="98"/>
        <v>215078</v>
      </c>
      <c r="H598">
        <f t="shared" si="99"/>
        <v>71019</v>
      </c>
      <c r="I598">
        <f t="shared" si="92"/>
        <v>0</v>
      </c>
      <c r="J598">
        <f t="shared" si="93"/>
        <v>0</v>
      </c>
      <c r="K598">
        <f t="shared" si="94"/>
        <v>286097</v>
      </c>
      <c r="L598">
        <f t="shared" si="95"/>
        <v>0</v>
      </c>
      <c r="M598">
        <f t="shared" si="96"/>
        <v>988</v>
      </c>
      <c r="N598">
        <f t="shared" si="97"/>
        <v>0</v>
      </c>
    </row>
    <row r="599" spans="1:14" x14ac:dyDescent="0.35">
      <c r="A599" s="9">
        <v>88929925</v>
      </c>
      <c r="B599" s="10">
        <v>42926</v>
      </c>
      <c r="C599" s="11">
        <v>0.56688657407407406</v>
      </c>
      <c r="D599" s="12">
        <v>0.57342592592592589</v>
      </c>
      <c r="E599" s="20">
        <f t="shared" si="90"/>
        <v>6.5393518518518379E-3</v>
      </c>
      <c r="F599" t="str">
        <f t="shared" si="91"/>
        <v>komorkowy</v>
      </c>
      <c r="G599" s="23">
        <f t="shared" si="98"/>
        <v>215078</v>
      </c>
      <c r="H599">
        <f t="shared" si="99"/>
        <v>71584</v>
      </c>
      <c r="I599">
        <f t="shared" si="92"/>
        <v>0</v>
      </c>
      <c r="J599">
        <f t="shared" si="93"/>
        <v>0</v>
      </c>
      <c r="K599">
        <f t="shared" si="94"/>
        <v>286662</v>
      </c>
      <c r="L599">
        <f t="shared" si="95"/>
        <v>0</v>
      </c>
      <c r="M599">
        <f t="shared" si="96"/>
        <v>0</v>
      </c>
      <c r="N599">
        <f t="shared" si="97"/>
        <v>565</v>
      </c>
    </row>
    <row r="600" spans="1:14" x14ac:dyDescent="0.35">
      <c r="A600" s="5">
        <v>2478461</v>
      </c>
      <c r="B600" s="6">
        <v>42926</v>
      </c>
      <c r="C600" s="7">
        <v>0.56980324074074074</v>
      </c>
      <c r="D600" s="8">
        <v>0.575775462962963</v>
      </c>
      <c r="E600" s="20">
        <f t="shared" si="90"/>
        <v>5.9722222222222676E-3</v>
      </c>
      <c r="F600" t="str">
        <f t="shared" si="91"/>
        <v>stacjonarny</v>
      </c>
      <c r="G600" s="23">
        <f t="shared" si="98"/>
        <v>215594</v>
      </c>
      <c r="H600">
        <f t="shared" si="99"/>
        <v>71584</v>
      </c>
      <c r="I600">
        <f t="shared" si="92"/>
        <v>0</v>
      </c>
      <c r="J600">
        <f t="shared" si="93"/>
        <v>0</v>
      </c>
      <c r="K600">
        <f t="shared" si="94"/>
        <v>287178</v>
      </c>
      <c r="L600">
        <f t="shared" si="95"/>
        <v>0</v>
      </c>
      <c r="M600">
        <f t="shared" si="96"/>
        <v>516</v>
      </c>
      <c r="N600">
        <f t="shared" si="97"/>
        <v>0</v>
      </c>
    </row>
    <row r="601" spans="1:14" x14ac:dyDescent="0.35">
      <c r="A601" s="9">
        <v>2838216</v>
      </c>
      <c r="B601" s="10">
        <v>42926</v>
      </c>
      <c r="C601" s="11">
        <v>0.5755555555555556</v>
      </c>
      <c r="D601" s="12">
        <v>0.57737268518518514</v>
      </c>
      <c r="E601" s="20">
        <f t="shared" si="90"/>
        <v>1.8171296296295436E-3</v>
      </c>
      <c r="F601" t="str">
        <f t="shared" si="91"/>
        <v>stacjonarny</v>
      </c>
      <c r="G601" s="23">
        <f t="shared" si="98"/>
        <v>215751</v>
      </c>
      <c r="H601">
        <f t="shared" si="99"/>
        <v>71584</v>
      </c>
      <c r="I601">
        <f t="shared" si="92"/>
        <v>0</v>
      </c>
      <c r="J601">
        <f t="shared" si="93"/>
        <v>0</v>
      </c>
      <c r="K601">
        <f t="shared" si="94"/>
        <v>287335</v>
      </c>
      <c r="L601">
        <f t="shared" si="95"/>
        <v>0</v>
      </c>
      <c r="M601">
        <f t="shared" si="96"/>
        <v>157</v>
      </c>
      <c r="N601">
        <f t="shared" si="97"/>
        <v>0</v>
      </c>
    </row>
    <row r="602" spans="1:14" x14ac:dyDescent="0.35">
      <c r="A602" s="5">
        <v>4853153</v>
      </c>
      <c r="B602" s="6">
        <v>42926</v>
      </c>
      <c r="C602" s="7">
        <v>0.5803935185185185</v>
      </c>
      <c r="D602" s="8">
        <v>0.58190972222222226</v>
      </c>
      <c r="E602" s="20">
        <f t="shared" si="90"/>
        <v>1.5162037037037557E-3</v>
      </c>
      <c r="F602" t="str">
        <f t="shared" si="91"/>
        <v>stacjonarny</v>
      </c>
      <c r="G602" s="23">
        <f t="shared" si="98"/>
        <v>215882</v>
      </c>
      <c r="H602">
        <f t="shared" si="99"/>
        <v>71584</v>
      </c>
      <c r="I602">
        <f t="shared" si="92"/>
        <v>0</v>
      </c>
      <c r="J602">
        <f t="shared" si="93"/>
        <v>0</v>
      </c>
      <c r="K602">
        <f t="shared" si="94"/>
        <v>287466</v>
      </c>
      <c r="L602">
        <f t="shared" si="95"/>
        <v>0</v>
      </c>
      <c r="M602">
        <f t="shared" si="96"/>
        <v>131</v>
      </c>
      <c r="N602">
        <f t="shared" si="97"/>
        <v>0</v>
      </c>
    </row>
    <row r="603" spans="1:14" x14ac:dyDescent="0.35">
      <c r="A603" s="9">
        <v>2985743</v>
      </c>
      <c r="B603" s="10">
        <v>42926</v>
      </c>
      <c r="C603" s="11">
        <v>0.58189814814814811</v>
      </c>
      <c r="D603" s="12">
        <v>0.59070601851851856</v>
      </c>
      <c r="E603" s="20">
        <f t="shared" si="90"/>
        <v>8.807870370370452E-3</v>
      </c>
      <c r="F603" t="str">
        <f t="shared" si="91"/>
        <v>stacjonarny</v>
      </c>
      <c r="G603" s="23">
        <f t="shared" si="98"/>
        <v>216643</v>
      </c>
      <c r="H603">
        <f t="shared" si="99"/>
        <v>71584</v>
      </c>
      <c r="I603">
        <f t="shared" si="92"/>
        <v>0</v>
      </c>
      <c r="J603">
        <f t="shared" si="93"/>
        <v>0</v>
      </c>
      <c r="K603">
        <f t="shared" si="94"/>
        <v>288227</v>
      </c>
      <c r="L603">
        <f t="shared" si="95"/>
        <v>0</v>
      </c>
      <c r="M603">
        <f t="shared" si="96"/>
        <v>761</v>
      </c>
      <c r="N603">
        <f t="shared" si="97"/>
        <v>0</v>
      </c>
    </row>
    <row r="604" spans="1:14" x14ac:dyDescent="0.35">
      <c r="A604" s="5">
        <v>3434934</v>
      </c>
      <c r="B604" s="6">
        <v>42926</v>
      </c>
      <c r="C604" s="7">
        <v>0.58254629629629628</v>
      </c>
      <c r="D604" s="8">
        <v>0.58601851851851849</v>
      </c>
      <c r="E604" s="20">
        <f t="shared" si="90"/>
        <v>3.4722222222222099E-3</v>
      </c>
      <c r="F604" t="str">
        <f t="shared" si="91"/>
        <v>stacjonarny</v>
      </c>
      <c r="G604" s="23">
        <f t="shared" si="98"/>
        <v>216943</v>
      </c>
      <c r="H604">
        <f t="shared" si="99"/>
        <v>71584</v>
      </c>
      <c r="I604">
        <f t="shared" si="92"/>
        <v>0</v>
      </c>
      <c r="J604">
        <f t="shared" si="93"/>
        <v>0</v>
      </c>
      <c r="K604">
        <f t="shared" si="94"/>
        <v>288527</v>
      </c>
      <c r="L604">
        <f t="shared" si="95"/>
        <v>0</v>
      </c>
      <c r="M604">
        <f t="shared" si="96"/>
        <v>300</v>
      </c>
      <c r="N604">
        <f t="shared" si="97"/>
        <v>0</v>
      </c>
    </row>
    <row r="605" spans="1:14" x14ac:dyDescent="0.35">
      <c r="A605" s="9">
        <v>97596112</v>
      </c>
      <c r="B605" s="10">
        <v>42926</v>
      </c>
      <c r="C605" s="11">
        <v>0.58351851851851855</v>
      </c>
      <c r="D605" s="12">
        <v>0.59368055555555554</v>
      </c>
      <c r="E605" s="20">
        <f t="shared" si="90"/>
        <v>1.0162037037036997E-2</v>
      </c>
      <c r="F605" t="str">
        <f t="shared" si="91"/>
        <v>komorkowy</v>
      </c>
      <c r="G605" s="23">
        <f t="shared" si="98"/>
        <v>216943</v>
      </c>
      <c r="H605">
        <f t="shared" si="99"/>
        <v>72462</v>
      </c>
      <c r="I605">
        <f t="shared" si="92"/>
        <v>0</v>
      </c>
      <c r="J605">
        <f t="shared" si="93"/>
        <v>0</v>
      </c>
      <c r="K605">
        <f t="shared" si="94"/>
        <v>289405</v>
      </c>
      <c r="L605">
        <f t="shared" si="95"/>
        <v>0</v>
      </c>
      <c r="M605">
        <f t="shared" si="96"/>
        <v>0</v>
      </c>
      <c r="N605">
        <f t="shared" si="97"/>
        <v>878</v>
      </c>
    </row>
    <row r="606" spans="1:14" x14ac:dyDescent="0.35">
      <c r="A606" s="5">
        <v>1247125</v>
      </c>
      <c r="B606" s="6">
        <v>42926</v>
      </c>
      <c r="C606" s="7">
        <v>0.58575231481481482</v>
      </c>
      <c r="D606" s="8">
        <v>0.5935300925925926</v>
      </c>
      <c r="E606" s="20">
        <f t="shared" si="90"/>
        <v>7.7777777777777724E-3</v>
      </c>
      <c r="F606" t="str">
        <f t="shared" si="91"/>
        <v>stacjonarny</v>
      </c>
      <c r="G606" s="23">
        <f t="shared" si="98"/>
        <v>217615</v>
      </c>
      <c r="H606">
        <f t="shared" si="99"/>
        <v>72462</v>
      </c>
      <c r="I606">
        <f t="shared" si="92"/>
        <v>0</v>
      </c>
      <c r="J606">
        <f t="shared" si="93"/>
        <v>0</v>
      </c>
      <c r="K606">
        <f t="shared" si="94"/>
        <v>290077</v>
      </c>
      <c r="L606">
        <f t="shared" si="95"/>
        <v>0</v>
      </c>
      <c r="M606">
        <f t="shared" si="96"/>
        <v>672</v>
      </c>
      <c r="N606">
        <f t="shared" si="97"/>
        <v>0</v>
      </c>
    </row>
    <row r="607" spans="1:14" x14ac:dyDescent="0.35">
      <c r="A607" s="9">
        <v>6982652</v>
      </c>
      <c r="B607" s="10">
        <v>42926</v>
      </c>
      <c r="C607" s="11">
        <v>0.58677083333333335</v>
      </c>
      <c r="D607" s="12">
        <v>0.58759259259259256</v>
      </c>
      <c r="E607" s="20">
        <f t="shared" si="90"/>
        <v>8.2175925925920268E-4</v>
      </c>
      <c r="F607" t="str">
        <f t="shared" si="91"/>
        <v>stacjonarny</v>
      </c>
      <c r="G607" s="23">
        <f t="shared" si="98"/>
        <v>217686</v>
      </c>
      <c r="H607">
        <f t="shared" si="99"/>
        <v>72462</v>
      </c>
      <c r="I607">
        <f t="shared" si="92"/>
        <v>0</v>
      </c>
      <c r="J607">
        <f t="shared" si="93"/>
        <v>0</v>
      </c>
      <c r="K607">
        <f t="shared" si="94"/>
        <v>290148</v>
      </c>
      <c r="L607">
        <f t="shared" si="95"/>
        <v>0</v>
      </c>
      <c r="M607">
        <f t="shared" si="96"/>
        <v>71</v>
      </c>
      <c r="N607">
        <f t="shared" si="97"/>
        <v>0</v>
      </c>
    </row>
    <row r="608" spans="1:14" x14ac:dyDescent="0.35">
      <c r="A608" s="5">
        <v>11209967</v>
      </c>
      <c r="B608" s="6">
        <v>42926</v>
      </c>
      <c r="C608" s="7">
        <v>0.58877314814814818</v>
      </c>
      <c r="D608" s="8">
        <v>0.59027777777777779</v>
      </c>
      <c r="E608" s="20">
        <f t="shared" si="90"/>
        <v>1.5046296296296058E-3</v>
      </c>
      <c r="F608" t="str">
        <f t="shared" si="91"/>
        <v>komorkowy</v>
      </c>
      <c r="G608" s="23">
        <f t="shared" si="98"/>
        <v>217686</v>
      </c>
      <c r="H608">
        <f t="shared" si="99"/>
        <v>72592</v>
      </c>
      <c r="I608">
        <f t="shared" si="92"/>
        <v>0</v>
      </c>
      <c r="J608">
        <f t="shared" si="93"/>
        <v>0</v>
      </c>
      <c r="K608">
        <f t="shared" si="94"/>
        <v>290278</v>
      </c>
      <c r="L608">
        <f t="shared" si="95"/>
        <v>0</v>
      </c>
      <c r="M608">
        <f t="shared" si="96"/>
        <v>0</v>
      </c>
      <c r="N608">
        <f t="shared" si="97"/>
        <v>130</v>
      </c>
    </row>
    <row r="609" spans="1:14" x14ac:dyDescent="0.35">
      <c r="A609" s="9">
        <v>6251788</v>
      </c>
      <c r="B609" s="10">
        <v>42926</v>
      </c>
      <c r="C609" s="11">
        <v>0.58910879629629631</v>
      </c>
      <c r="D609" s="12">
        <v>0.59431712962962968</v>
      </c>
      <c r="E609" s="20">
        <f t="shared" si="90"/>
        <v>5.2083333333333703E-3</v>
      </c>
      <c r="F609" t="str">
        <f t="shared" si="91"/>
        <v>stacjonarny</v>
      </c>
      <c r="G609" s="23">
        <f t="shared" si="98"/>
        <v>218136</v>
      </c>
      <c r="H609">
        <f t="shared" si="99"/>
        <v>72592</v>
      </c>
      <c r="I609">
        <f t="shared" si="92"/>
        <v>0</v>
      </c>
      <c r="J609">
        <f t="shared" si="93"/>
        <v>0</v>
      </c>
      <c r="K609">
        <f t="shared" si="94"/>
        <v>290728</v>
      </c>
      <c r="L609">
        <f t="shared" si="95"/>
        <v>0</v>
      </c>
      <c r="M609">
        <f t="shared" si="96"/>
        <v>450</v>
      </c>
      <c r="N609">
        <f t="shared" si="97"/>
        <v>0</v>
      </c>
    </row>
    <row r="610" spans="1:14" x14ac:dyDescent="0.35">
      <c r="A610" s="5">
        <v>8679036</v>
      </c>
      <c r="B610" s="6">
        <v>42926</v>
      </c>
      <c r="C610" s="7">
        <v>0.58976851851851853</v>
      </c>
      <c r="D610" s="8">
        <v>0.60074074074074069</v>
      </c>
      <c r="E610" s="20">
        <f t="shared" si="90"/>
        <v>1.0972222222222161E-2</v>
      </c>
      <c r="F610" t="str">
        <f t="shared" si="91"/>
        <v>stacjonarny</v>
      </c>
      <c r="G610" s="23">
        <f t="shared" si="98"/>
        <v>219084</v>
      </c>
      <c r="H610">
        <f t="shared" si="99"/>
        <v>72592</v>
      </c>
      <c r="I610">
        <f t="shared" si="92"/>
        <v>0</v>
      </c>
      <c r="J610">
        <f t="shared" si="93"/>
        <v>0</v>
      </c>
      <c r="K610">
        <f t="shared" si="94"/>
        <v>291676</v>
      </c>
      <c r="L610">
        <f t="shared" si="95"/>
        <v>0</v>
      </c>
      <c r="M610">
        <f t="shared" si="96"/>
        <v>948</v>
      </c>
      <c r="N610">
        <f t="shared" si="97"/>
        <v>0</v>
      </c>
    </row>
    <row r="611" spans="1:14" x14ac:dyDescent="0.35">
      <c r="A611" s="9">
        <v>1288637</v>
      </c>
      <c r="B611" s="10">
        <v>42926</v>
      </c>
      <c r="C611" s="11">
        <v>0.59277777777777774</v>
      </c>
      <c r="D611" s="12">
        <v>0.59365740740740736</v>
      </c>
      <c r="E611" s="20">
        <f t="shared" si="90"/>
        <v>8.796296296296191E-4</v>
      </c>
      <c r="F611" t="str">
        <f t="shared" si="91"/>
        <v>stacjonarny</v>
      </c>
      <c r="G611" s="23">
        <f t="shared" si="98"/>
        <v>219160</v>
      </c>
      <c r="H611">
        <f t="shared" si="99"/>
        <v>72592</v>
      </c>
      <c r="I611">
        <f t="shared" si="92"/>
        <v>0</v>
      </c>
      <c r="J611">
        <f t="shared" si="93"/>
        <v>0</v>
      </c>
      <c r="K611">
        <f t="shared" si="94"/>
        <v>291752</v>
      </c>
      <c r="L611">
        <f t="shared" si="95"/>
        <v>0</v>
      </c>
      <c r="M611">
        <f t="shared" si="96"/>
        <v>76</v>
      </c>
      <c r="N611">
        <f t="shared" si="97"/>
        <v>0</v>
      </c>
    </row>
    <row r="612" spans="1:14" x14ac:dyDescent="0.35">
      <c r="A612" s="5">
        <v>4825302</v>
      </c>
      <c r="B612" s="6">
        <v>42926</v>
      </c>
      <c r="C612" s="7">
        <v>0.59670138888888891</v>
      </c>
      <c r="D612" s="8">
        <v>0.59701388888888884</v>
      </c>
      <c r="E612" s="20">
        <f t="shared" si="90"/>
        <v>3.1249999999993783E-4</v>
      </c>
      <c r="F612" t="str">
        <f t="shared" si="91"/>
        <v>stacjonarny</v>
      </c>
      <c r="G612" s="23">
        <f t="shared" si="98"/>
        <v>219187</v>
      </c>
      <c r="H612">
        <f t="shared" si="99"/>
        <v>72592</v>
      </c>
      <c r="I612">
        <f t="shared" si="92"/>
        <v>0</v>
      </c>
      <c r="J612">
        <f t="shared" si="93"/>
        <v>0</v>
      </c>
      <c r="K612">
        <f t="shared" si="94"/>
        <v>291779</v>
      </c>
      <c r="L612">
        <f t="shared" si="95"/>
        <v>0</v>
      </c>
      <c r="M612">
        <f t="shared" si="96"/>
        <v>27</v>
      </c>
      <c r="N612">
        <f t="shared" si="97"/>
        <v>0</v>
      </c>
    </row>
    <row r="613" spans="1:14" x14ac:dyDescent="0.35">
      <c r="A613" s="9">
        <v>5349562</v>
      </c>
      <c r="B613" s="10">
        <v>42926</v>
      </c>
      <c r="C613" s="11">
        <v>0.60041666666666671</v>
      </c>
      <c r="D613" s="12">
        <v>0.6095949074074074</v>
      </c>
      <c r="E613" s="20">
        <f t="shared" si="90"/>
        <v>9.1782407407406952E-3</v>
      </c>
      <c r="F613" t="str">
        <f t="shared" si="91"/>
        <v>stacjonarny</v>
      </c>
      <c r="G613" s="23">
        <f t="shared" si="98"/>
        <v>219980</v>
      </c>
      <c r="H613">
        <f t="shared" si="99"/>
        <v>72592</v>
      </c>
      <c r="I613">
        <f t="shared" si="92"/>
        <v>0</v>
      </c>
      <c r="J613">
        <f t="shared" si="93"/>
        <v>0</v>
      </c>
      <c r="K613">
        <f t="shared" si="94"/>
        <v>292572</v>
      </c>
      <c r="L613">
        <f t="shared" si="95"/>
        <v>0</v>
      </c>
      <c r="M613">
        <f t="shared" si="96"/>
        <v>793</v>
      </c>
      <c r="N613">
        <f t="shared" si="97"/>
        <v>0</v>
      </c>
    </row>
    <row r="614" spans="1:14" x14ac:dyDescent="0.35">
      <c r="A614" s="5">
        <v>5893512</v>
      </c>
      <c r="B614" s="6">
        <v>42926</v>
      </c>
      <c r="C614" s="7">
        <v>0.60517361111111112</v>
      </c>
      <c r="D614" s="8">
        <v>0.61063657407407412</v>
      </c>
      <c r="E614" s="20">
        <f t="shared" si="90"/>
        <v>5.4629629629630028E-3</v>
      </c>
      <c r="F614" t="str">
        <f t="shared" si="91"/>
        <v>stacjonarny</v>
      </c>
      <c r="G614" s="23">
        <f t="shared" si="98"/>
        <v>220452</v>
      </c>
      <c r="H614">
        <f t="shared" si="99"/>
        <v>72592</v>
      </c>
      <c r="I614">
        <f t="shared" si="92"/>
        <v>0</v>
      </c>
      <c r="J614">
        <f t="shared" si="93"/>
        <v>0</v>
      </c>
      <c r="K614">
        <f t="shared" si="94"/>
        <v>293044</v>
      </c>
      <c r="L614">
        <f t="shared" si="95"/>
        <v>0</v>
      </c>
      <c r="M614">
        <f t="shared" si="96"/>
        <v>472</v>
      </c>
      <c r="N614">
        <f t="shared" si="97"/>
        <v>0</v>
      </c>
    </row>
    <row r="615" spans="1:14" x14ac:dyDescent="0.35">
      <c r="A615" s="9">
        <v>7138804596</v>
      </c>
      <c r="B615" s="10">
        <v>42926</v>
      </c>
      <c r="C615" s="11">
        <v>0.60578703703703707</v>
      </c>
      <c r="D615" s="12">
        <v>0.61459490740740741</v>
      </c>
      <c r="E615" s="20">
        <f t="shared" si="90"/>
        <v>8.8078703703703409E-3</v>
      </c>
      <c r="F615" t="str">
        <f t="shared" si="91"/>
        <v>zagraniczny</v>
      </c>
      <c r="G615" s="23">
        <f t="shared" si="98"/>
        <v>220452</v>
      </c>
      <c r="H615">
        <f t="shared" si="99"/>
        <v>72592</v>
      </c>
      <c r="I615">
        <f t="shared" si="92"/>
        <v>761</v>
      </c>
      <c r="J615">
        <f t="shared" si="93"/>
        <v>13</v>
      </c>
      <c r="K615">
        <f t="shared" si="94"/>
        <v>293044</v>
      </c>
      <c r="L615">
        <f t="shared" si="95"/>
        <v>0</v>
      </c>
      <c r="M615">
        <f t="shared" si="96"/>
        <v>0</v>
      </c>
      <c r="N615">
        <f t="shared" si="97"/>
        <v>0</v>
      </c>
    </row>
    <row r="616" spans="1:14" x14ac:dyDescent="0.35">
      <c r="A616" s="5">
        <v>6468376</v>
      </c>
      <c r="B616" s="6">
        <v>42926</v>
      </c>
      <c r="C616" s="7">
        <v>0.61140046296296291</v>
      </c>
      <c r="D616" s="8">
        <v>0.61952546296296296</v>
      </c>
      <c r="E616" s="20">
        <f t="shared" si="90"/>
        <v>8.1250000000000488E-3</v>
      </c>
      <c r="F616" t="str">
        <f t="shared" si="91"/>
        <v>stacjonarny</v>
      </c>
      <c r="G616" s="23">
        <f t="shared" si="98"/>
        <v>221154</v>
      </c>
      <c r="H616">
        <f t="shared" si="99"/>
        <v>72592</v>
      </c>
      <c r="I616">
        <f t="shared" si="92"/>
        <v>0</v>
      </c>
      <c r="J616">
        <f t="shared" si="93"/>
        <v>0</v>
      </c>
      <c r="K616">
        <f t="shared" si="94"/>
        <v>293746</v>
      </c>
      <c r="L616">
        <f t="shared" si="95"/>
        <v>0</v>
      </c>
      <c r="M616">
        <f t="shared" si="96"/>
        <v>702</v>
      </c>
      <c r="N616">
        <f t="shared" si="97"/>
        <v>0</v>
      </c>
    </row>
    <row r="617" spans="1:14" x14ac:dyDescent="0.35">
      <c r="A617" s="9">
        <v>5076649</v>
      </c>
      <c r="B617" s="10">
        <v>42926</v>
      </c>
      <c r="C617" s="11">
        <v>0.61699074074074078</v>
      </c>
      <c r="D617" s="12">
        <v>0.62163194444444447</v>
      </c>
      <c r="E617" s="20">
        <f t="shared" si="90"/>
        <v>4.6412037037036891E-3</v>
      </c>
      <c r="F617" t="str">
        <f t="shared" si="91"/>
        <v>stacjonarny</v>
      </c>
      <c r="G617" s="23">
        <f t="shared" si="98"/>
        <v>221555</v>
      </c>
      <c r="H617">
        <f t="shared" si="99"/>
        <v>72592</v>
      </c>
      <c r="I617">
        <f t="shared" si="92"/>
        <v>0</v>
      </c>
      <c r="J617">
        <f t="shared" si="93"/>
        <v>0</v>
      </c>
      <c r="K617">
        <f t="shared" si="94"/>
        <v>294147</v>
      </c>
      <c r="L617">
        <f t="shared" si="95"/>
        <v>0</v>
      </c>
      <c r="M617">
        <f t="shared" si="96"/>
        <v>401</v>
      </c>
      <c r="N617">
        <f t="shared" si="97"/>
        <v>0</v>
      </c>
    </row>
    <row r="618" spans="1:14" x14ac:dyDescent="0.35">
      <c r="A618" s="5">
        <v>3494192</v>
      </c>
      <c r="B618" s="6">
        <v>42926</v>
      </c>
      <c r="C618" s="7">
        <v>0.62216435185185182</v>
      </c>
      <c r="D618" s="8">
        <v>0.62291666666666667</v>
      </c>
      <c r="E618" s="20">
        <f t="shared" si="90"/>
        <v>7.523148148148584E-4</v>
      </c>
      <c r="F618" t="str">
        <f t="shared" si="91"/>
        <v>stacjonarny</v>
      </c>
      <c r="G618" s="23">
        <f t="shared" si="98"/>
        <v>221620</v>
      </c>
      <c r="H618">
        <f t="shared" si="99"/>
        <v>72592</v>
      </c>
      <c r="I618">
        <f t="shared" si="92"/>
        <v>0</v>
      </c>
      <c r="J618">
        <f t="shared" si="93"/>
        <v>0</v>
      </c>
      <c r="K618">
        <f t="shared" si="94"/>
        <v>294212</v>
      </c>
      <c r="L618">
        <f t="shared" si="95"/>
        <v>0</v>
      </c>
      <c r="M618">
        <f t="shared" si="96"/>
        <v>65</v>
      </c>
      <c r="N618">
        <f t="shared" si="97"/>
        <v>0</v>
      </c>
    </row>
    <row r="619" spans="1:14" x14ac:dyDescent="0.35">
      <c r="A619" s="9">
        <v>8150086</v>
      </c>
      <c r="B619" s="10">
        <v>42926</v>
      </c>
      <c r="C619" s="11">
        <v>0.6272685185185185</v>
      </c>
      <c r="D619" s="12">
        <v>0.63475694444444442</v>
      </c>
      <c r="E619" s="20">
        <f t="shared" si="90"/>
        <v>7.4884259259259123E-3</v>
      </c>
      <c r="F619" t="str">
        <f t="shared" si="91"/>
        <v>stacjonarny</v>
      </c>
      <c r="G619" s="23">
        <f t="shared" si="98"/>
        <v>222267</v>
      </c>
      <c r="H619">
        <f t="shared" si="99"/>
        <v>72592</v>
      </c>
      <c r="I619">
        <f t="shared" si="92"/>
        <v>0</v>
      </c>
      <c r="J619">
        <f t="shared" si="93"/>
        <v>0</v>
      </c>
      <c r="K619">
        <f t="shared" si="94"/>
        <v>294859</v>
      </c>
      <c r="L619">
        <f t="shared" si="95"/>
        <v>0</v>
      </c>
      <c r="M619">
        <f t="shared" si="96"/>
        <v>647</v>
      </c>
      <c r="N619">
        <f t="shared" si="97"/>
        <v>0</v>
      </c>
    </row>
    <row r="620" spans="1:14" x14ac:dyDescent="0.35">
      <c r="A620" s="5">
        <v>3934931</v>
      </c>
      <c r="B620" s="6">
        <v>42927</v>
      </c>
      <c r="C620" s="7">
        <v>0.3349537037037037</v>
      </c>
      <c r="D620" s="8">
        <v>0.3379861111111111</v>
      </c>
      <c r="E620" s="20">
        <f t="shared" si="90"/>
        <v>3.0324074074074003E-3</v>
      </c>
      <c r="F620" t="str">
        <f t="shared" si="91"/>
        <v>stacjonarny</v>
      </c>
      <c r="G620" s="23">
        <f t="shared" si="98"/>
        <v>222529</v>
      </c>
      <c r="H620">
        <f t="shared" si="99"/>
        <v>72592</v>
      </c>
      <c r="I620">
        <f t="shared" si="92"/>
        <v>0</v>
      </c>
      <c r="J620">
        <f t="shared" si="93"/>
        <v>0</v>
      </c>
      <c r="K620">
        <f t="shared" si="94"/>
        <v>295121</v>
      </c>
      <c r="L620">
        <f t="shared" si="95"/>
        <v>0</v>
      </c>
      <c r="M620">
        <f t="shared" si="96"/>
        <v>262</v>
      </c>
      <c r="N620">
        <f t="shared" si="97"/>
        <v>0</v>
      </c>
    </row>
    <row r="621" spans="1:14" x14ac:dyDescent="0.35">
      <c r="A621" s="9">
        <v>2111996</v>
      </c>
      <c r="B621" s="10">
        <v>42927</v>
      </c>
      <c r="C621" s="11">
        <v>0.33706018518518521</v>
      </c>
      <c r="D621" s="12">
        <v>0.33875</v>
      </c>
      <c r="E621" s="20">
        <f t="shared" si="90"/>
        <v>1.6898148148147829E-3</v>
      </c>
      <c r="F621" t="str">
        <f t="shared" si="91"/>
        <v>stacjonarny</v>
      </c>
      <c r="G621" s="23">
        <f t="shared" si="98"/>
        <v>222675</v>
      </c>
      <c r="H621">
        <f t="shared" si="99"/>
        <v>72592</v>
      </c>
      <c r="I621">
        <f t="shared" si="92"/>
        <v>0</v>
      </c>
      <c r="J621">
        <f t="shared" si="93"/>
        <v>0</v>
      </c>
      <c r="K621">
        <f t="shared" si="94"/>
        <v>295267</v>
      </c>
      <c r="L621">
        <f t="shared" si="95"/>
        <v>0</v>
      </c>
      <c r="M621">
        <f t="shared" si="96"/>
        <v>146</v>
      </c>
      <c r="N621">
        <f t="shared" si="97"/>
        <v>0</v>
      </c>
    </row>
    <row r="622" spans="1:14" x14ac:dyDescent="0.35">
      <c r="A622" s="5">
        <v>6484436</v>
      </c>
      <c r="B622" s="6">
        <v>42927</v>
      </c>
      <c r="C622" s="7">
        <v>0.34006944444444442</v>
      </c>
      <c r="D622" s="8">
        <v>0.3427546296296296</v>
      </c>
      <c r="E622" s="20">
        <f t="shared" si="90"/>
        <v>2.6851851851851793E-3</v>
      </c>
      <c r="F622" t="str">
        <f t="shared" si="91"/>
        <v>stacjonarny</v>
      </c>
      <c r="G622" s="23">
        <f t="shared" si="98"/>
        <v>222907</v>
      </c>
      <c r="H622">
        <f t="shared" si="99"/>
        <v>72592</v>
      </c>
      <c r="I622">
        <f t="shared" si="92"/>
        <v>0</v>
      </c>
      <c r="J622">
        <f t="shared" si="93"/>
        <v>0</v>
      </c>
      <c r="K622">
        <f t="shared" si="94"/>
        <v>295499</v>
      </c>
      <c r="L622">
        <f t="shared" si="95"/>
        <v>0</v>
      </c>
      <c r="M622">
        <f t="shared" si="96"/>
        <v>232</v>
      </c>
      <c r="N622">
        <f t="shared" si="97"/>
        <v>0</v>
      </c>
    </row>
    <row r="623" spans="1:14" x14ac:dyDescent="0.35">
      <c r="A623" s="9">
        <v>97646706</v>
      </c>
      <c r="B623" s="10">
        <v>42927</v>
      </c>
      <c r="C623" s="11">
        <v>0.34304398148148146</v>
      </c>
      <c r="D623" s="12">
        <v>0.34310185185185182</v>
      </c>
      <c r="E623" s="20">
        <f t="shared" si="90"/>
        <v>5.7870370370360913E-5</v>
      </c>
      <c r="F623" t="str">
        <f t="shared" si="91"/>
        <v>komorkowy</v>
      </c>
      <c r="G623" s="23">
        <f t="shared" si="98"/>
        <v>222907</v>
      </c>
      <c r="H623">
        <f t="shared" si="99"/>
        <v>72597</v>
      </c>
      <c r="I623">
        <f t="shared" si="92"/>
        <v>0</v>
      </c>
      <c r="J623">
        <f t="shared" si="93"/>
        <v>0</v>
      </c>
      <c r="K623">
        <f t="shared" si="94"/>
        <v>295504</v>
      </c>
      <c r="L623">
        <f t="shared" si="95"/>
        <v>0</v>
      </c>
      <c r="M623">
        <f t="shared" si="96"/>
        <v>0</v>
      </c>
      <c r="N623">
        <f t="shared" si="97"/>
        <v>5</v>
      </c>
    </row>
    <row r="624" spans="1:14" x14ac:dyDescent="0.35">
      <c r="A624" s="5">
        <v>9932676</v>
      </c>
      <c r="B624" s="6">
        <v>42927</v>
      </c>
      <c r="C624" s="7">
        <v>0.34778935185185184</v>
      </c>
      <c r="D624" s="8">
        <v>0.35474537037037035</v>
      </c>
      <c r="E624" s="20">
        <f t="shared" si="90"/>
        <v>6.9560185185185142E-3</v>
      </c>
      <c r="F624" t="str">
        <f t="shared" si="91"/>
        <v>stacjonarny</v>
      </c>
      <c r="G624" s="23">
        <f t="shared" si="98"/>
        <v>223508</v>
      </c>
      <c r="H624">
        <f t="shared" si="99"/>
        <v>72597</v>
      </c>
      <c r="I624">
        <f t="shared" si="92"/>
        <v>0</v>
      </c>
      <c r="J624">
        <f t="shared" si="93"/>
        <v>0</v>
      </c>
      <c r="K624">
        <f t="shared" si="94"/>
        <v>296105</v>
      </c>
      <c r="L624">
        <f t="shared" si="95"/>
        <v>0</v>
      </c>
      <c r="M624">
        <f t="shared" si="96"/>
        <v>601</v>
      </c>
      <c r="N624">
        <f t="shared" si="97"/>
        <v>0</v>
      </c>
    </row>
    <row r="625" spans="1:14" x14ac:dyDescent="0.35">
      <c r="A625" s="9">
        <v>6062869</v>
      </c>
      <c r="B625" s="10">
        <v>42927</v>
      </c>
      <c r="C625" s="11">
        <v>0.3513425925925926</v>
      </c>
      <c r="D625" s="12">
        <v>0.35505787037037034</v>
      </c>
      <c r="E625" s="20">
        <f t="shared" si="90"/>
        <v>3.7152777777777479E-3</v>
      </c>
      <c r="F625" t="str">
        <f t="shared" si="91"/>
        <v>stacjonarny</v>
      </c>
      <c r="G625" s="23">
        <f t="shared" si="98"/>
        <v>223829</v>
      </c>
      <c r="H625">
        <f t="shared" si="99"/>
        <v>72597</v>
      </c>
      <c r="I625">
        <f t="shared" si="92"/>
        <v>0</v>
      </c>
      <c r="J625">
        <f t="shared" si="93"/>
        <v>0</v>
      </c>
      <c r="K625">
        <f t="shared" si="94"/>
        <v>296426</v>
      </c>
      <c r="L625">
        <f t="shared" si="95"/>
        <v>0</v>
      </c>
      <c r="M625">
        <f t="shared" si="96"/>
        <v>321</v>
      </c>
      <c r="N625">
        <f t="shared" si="97"/>
        <v>0</v>
      </c>
    </row>
    <row r="626" spans="1:14" x14ac:dyDescent="0.35">
      <c r="A626" s="5">
        <v>2828759</v>
      </c>
      <c r="B626" s="6">
        <v>42927</v>
      </c>
      <c r="C626" s="7">
        <v>0.35575231481481484</v>
      </c>
      <c r="D626" s="8">
        <v>0.35851851851851851</v>
      </c>
      <c r="E626" s="20">
        <f t="shared" si="90"/>
        <v>2.7662037037036735E-3</v>
      </c>
      <c r="F626" t="str">
        <f t="shared" si="91"/>
        <v>stacjonarny</v>
      </c>
      <c r="G626" s="23">
        <f t="shared" si="98"/>
        <v>224068</v>
      </c>
      <c r="H626">
        <f t="shared" si="99"/>
        <v>72597</v>
      </c>
      <c r="I626">
        <f t="shared" si="92"/>
        <v>0</v>
      </c>
      <c r="J626">
        <f t="shared" si="93"/>
        <v>0</v>
      </c>
      <c r="K626">
        <f t="shared" si="94"/>
        <v>296665</v>
      </c>
      <c r="L626">
        <f t="shared" si="95"/>
        <v>0</v>
      </c>
      <c r="M626">
        <f t="shared" si="96"/>
        <v>239</v>
      </c>
      <c r="N626">
        <f t="shared" si="97"/>
        <v>0</v>
      </c>
    </row>
    <row r="627" spans="1:14" x14ac:dyDescent="0.35">
      <c r="A627" s="9">
        <v>7215284</v>
      </c>
      <c r="B627" s="10">
        <v>42927</v>
      </c>
      <c r="C627" s="11">
        <v>0.3596759259259259</v>
      </c>
      <c r="D627" s="12">
        <v>0.36363425925925924</v>
      </c>
      <c r="E627" s="20">
        <f t="shared" si="90"/>
        <v>3.9583333333333415E-3</v>
      </c>
      <c r="F627" t="str">
        <f t="shared" si="91"/>
        <v>stacjonarny</v>
      </c>
      <c r="G627" s="23">
        <f t="shared" si="98"/>
        <v>224410</v>
      </c>
      <c r="H627">
        <f t="shared" si="99"/>
        <v>72597</v>
      </c>
      <c r="I627">
        <f t="shared" si="92"/>
        <v>0</v>
      </c>
      <c r="J627">
        <f t="shared" si="93"/>
        <v>0</v>
      </c>
      <c r="K627">
        <f t="shared" si="94"/>
        <v>297007</v>
      </c>
      <c r="L627">
        <f t="shared" si="95"/>
        <v>0</v>
      </c>
      <c r="M627">
        <f t="shared" si="96"/>
        <v>342</v>
      </c>
      <c r="N627">
        <f t="shared" si="97"/>
        <v>0</v>
      </c>
    </row>
    <row r="628" spans="1:14" x14ac:dyDescent="0.35">
      <c r="A628" s="5">
        <v>1384299</v>
      </c>
      <c r="B628" s="6">
        <v>42927</v>
      </c>
      <c r="C628" s="7">
        <v>0.36203703703703705</v>
      </c>
      <c r="D628" s="8">
        <v>0.37155092592592592</v>
      </c>
      <c r="E628" s="20">
        <f t="shared" si="90"/>
        <v>9.5138888888888773E-3</v>
      </c>
      <c r="F628" t="str">
        <f t="shared" si="91"/>
        <v>stacjonarny</v>
      </c>
      <c r="G628" s="23">
        <f t="shared" si="98"/>
        <v>225232</v>
      </c>
      <c r="H628">
        <f t="shared" si="99"/>
        <v>72597</v>
      </c>
      <c r="I628">
        <f t="shared" si="92"/>
        <v>0</v>
      </c>
      <c r="J628">
        <f t="shared" si="93"/>
        <v>0</v>
      </c>
      <c r="K628">
        <f t="shared" si="94"/>
        <v>297829</v>
      </c>
      <c r="L628">
        <f t="shared" si="95"/>
        <v>0</v>
      </c>
      <c r="M628">
        <f t="shared" si="96"/>
        <v>822</v>
      </c>
      <c r="N628">
        <f t="shared" si="97"/>
        <v>0</v>
      </c>
    </row>
    <row r="629" spans="1:14" x14ac:dyDescent="0.35">
      <c r="A629" s="9">
        <v>2486941</v>
      </c>
      <c r="B629" s="10">
        <v>42927</v>
      </c>
      <c r="C629" s="11">
        <v>0.36394675925925923</v>
      </c>
      <c r="D629" s="12">
        <v>0.36422453703703705</v>
      </c>
      <c r="E629" s="20">
        <f t="shared" si="90"/>
        <v>2.777777777778212E-4</v>
      </c>
      <c r="F629" t="str">
        <f t="shared" si="91"/>
        <v>stacjonarny</v>
      </c>
      <c r="G629" s="23">
        <f t="shared" si="98"/>
        <v>225256</v>
      </c>
      <c r="H629">
        <f t="shared" si="99"/>
        <v>72597</v>
      </c>
      <c r="I629">
        <f t="shared" si="92"/>
        <v>0</v>
      </c>
      <c r="J629">
        <f t="shared" si="93"/>
        <v>0</v>
      </c>
      <c r="K629">
        <f t="shared" si="94"/>
        <v>297853</v>
      </c>
      <c r="L629">
        <f t="shared" si="95"/>
        <v>0</v>
      </c>
      <c r="M629">
        <f t="shared" si="96"/>
        <v>24</v>
      </c>
      <c r="N629">
        <f t="shared" si="97"/>
        <v>0</v>
      </c>
    </row>
    <row r="630" spans="1:14" x14ac:dyDescent="0.35">
      <c r="A630" s="5">
        <v>6561564994</v>
      </c>
      <c r="B630" s="6">
        <v>42927</v>
      </c>
      <c r="C630" s="7">
        <v>0.36930555555555555</v>
      </c>
      <c r="D630" s="8">
        <v>0.37052083333333335</v>
      </c>
      <c r="E630" s="20">
        <f t="shared" si="90"/>
        <v>1.2152777777778012E-3</v>
      </c>
      <c r="F630" t="str">
        <f t="shared" si="91"/>
        <v>zagraniczny</v>
      </c>
      <c r="G630" s="23">
        <f t="shared" si="98"/>
        <v>225256</v>
      </c>
      <c r="H630">
        <f t="shared" si="99"/>
        <v>72597</v>
      </c>
      <c r="I630">
        <f t="shared" si="92"/>
        <v>105</v>
      </c>
      <c r="J630">
        <f t="shared" si="93"/>
        <v>2</v>
      </c>
      <c r="K630">
        <f t="shared" si="94"/>
        <v>297853</v>
      </c>
      <c r="L630">
        <f t="shared" si="95"/>
        <v>0</v>
      </c>
      <c r="M630">
        <f t="shared" si="96"/>
        <v>0</v>
      </c>
      <c r="N630">
        <f t="shared" si="97"/>
        <v>0</v>
      </c>
    </row>
    <row r="631" spans="1:14" x14ac:dyDescent="0.35">
      <c r="A631" s="9">
        <v>1207918</v>
      </c>
      <c r="B631" s="10">
        <v>42927</v>
      </c>
      <c r="C631" s="11">
        <v>0.37410879629629629</v>
      </c>
      <c r="D631" s="12">
        <v>0.3767361111111111</v>
      </c>
      <c r="E631" s="20">
        <f t="shared" si="90"/>
        <v>2.6273148148148184E-3</v>
      </c>
      <c r="F631" t="str">
        <f t="shared" si="91"/>
        <v>stacjonarny</v>
      </c>
      <c r="G631" s="23">
        <f t="shared" si="98"/>
        <v>225483</v>
      </c>
      <c r="H631">
        <f t="shared" si="99"/>
        <v>72597</v>
      </c>
      <c r="I631">
        <f t="shared" si="92"/>
        <v>0</v>
      </c>
      <c r="J631">
        <f t="shared" si="93"/>
        <v>0</v>
      </c>
      <c r="K631">
        <f t="shared" si="94"/>
        <v>298080</v>
      </c>
      <c r="L631">
        <f t="shared" si="95"/>
        <v>0</v>
      </c>
      <c r="M631">
        <f t="shared" si="96"/>
        <v>227</v>
      </c>
      <c r="N631">
        <f t="shared" si="97"/>
        <v>0</v>
      </c>
    </row>
    <row r="632" spans="1:14" x14ac:dyDescent="0.35">
      <c r="A632" s="5">
        <v>66800387</v>
      </c>
      <c r="B632" s="6">
        <v>42927</v>
      </c>
      <c r="C632" s="7">
        <v>0.37684027777777779</v>
      </c>
      <c r="D632" s="8">
        <v>0.38072916666666667</v>
      </c>
      <c r="E632" s="20">
        <f t="shared" si="90"/>
        <v>3.8888888888888862E-3</v>
      </c>
      <c r="F632" t="str">
        <f t="shared" si="91"/>
        <v>komorkowy</v>
      </c>
      <c r="G632" s="23">
        <f t="shared" si="98"/>
        <v>225483</v>
      </c>
      <c r="H632">
        <f t="shared" si="99"/>
        <v>72933</v>
      </c>
      <c r="I632">
        <f t="shared" si="92"/>
        <v>0</v>
      </c>
      <c r="J632">
        <f t="shared" si="93"/>
        <v>0</v>
      </c>
      <c r="K632">
        <f t="shared" si="94"/>
        <v>298416</v>
      </c>
      <c r="L632">
        <f t="shared" si="95"/>
        <v>0</v>
      </c>
      <c r="M632">
        <f t="shared" si="96"/>
        <v>0</v>
      </c>
      <c r="N632">
        <f t="shared" si="97"/>
        <v>336</v>
      </c>
    </row>
    <row r="633" spans="1:14" x14ac:dyDescent="0.35">
      <c r="A633" s="9">
        <v>49093359</v>
      </c>
      <c r="B633" s="10">
        <v>42927</v>
      </c>
      <c r="C633" s="11">
        <v>0.37695601851851851</v>
      </c>
      <c r="D633" s="12">
        <v>0.38138888888888889</v>
      </c>
      <c r="E633" s="20">
        <f t="shared" si="90"/>
        <v>4.4328703703703787E-3</v>
      </c>
      <c r="F633" t="str">
        <f t="shared" si="91"/>
        <v>komorkowy</v>
      </c>
      <c r="G633" s="23">
        <f t="shared" si="98"/>
        <v>225483</v>
      </c>
      <c r="H633">
        <f t="shared" si="99"/>
        <v>73316</v>
      </c>
      <c r="I633">
        <f t="shared" si="92"/>
        <v>0</v>
      </c>
      <c r="J633">
        <f t="shared" si="93"/>
        <v>0</v>
      </c>
      <c r="K633">
        <f t="shared" si="94"/>
        <v>298799</v>
      </c>
      <c r="L633">
        <f t="shared" si="95"/>
        <v>0</v>
      </c>
      <c r="M633">
        <f t="shared" si="96"/>
        <v>0</v>
      </c>
      <c r="N633">
        <f t="shared" si="97"/>
        <v>383</v>
      </c>
    </row>
    <row r="634" spans="1:14" x14ac:dyDescent="0.35">
      <c r="A634" s="5">
        <v>2252239</v>
      </c>
      <c r="B634" s="6">
        <v>42927</v>
      </c>
      <c r="C634" s="7">
        <v>0.38233796296296296</v>
      </c>
      <c r="D634" s="8">
        <v>0.39034722222222223</v>
      </c>
      <c r="E634" s="20">
        <f t="shared" si="90"/>
        <v>8.0092592592592715E-3</v>
      </c>
      <c r="F634" t="str">
        <f t="shared" si="91"/>
        <v>stacjonarny</v>
      </c>
      <c r="G634" s="23">
        <f t="shared" si="98"/>
        <v>226175</v>
      </c>
      <c r="H634">
        <f t="shared" si="99"/>
        <v>73316</v>
      </c>
      <c r="I634">
        <f t="shared" si="92"/>
        <v>0</v>
      </c>
      <c r="J634">
        <f t="shared" si="93"/>
        <v>0</v>
      </c>
      <c r="K634">
        <f t="shared" si="94"/>
        <v>299491</v>
      </c>
      <c r="L634">
        <f t="shared" si="95"/>
        <v>0</v>
      </c>
      <c r="M634">
        <f t="shared" si="96"/>
        <v>692</v>
      </c>
      <c r="N634">
        <f t="shared" si="97"/>
        <v>0</v>
      </c>
    </row>
    <row r="635" spans="1:14" x14ac:dyDescent="0.35">
      <c r="A635" s="9">
        <v>4925279</v>
      </c>
      <c r="B635" s="10">
        <v>42927</v>
      </c>
      <c r="C635" s="11">
        <v>0.3850925925925926</v>
      </c>
      <c r="D635" s="12">
        <v>0.38929398148148148</v>
      </c>
      <c r="E635" s="20">
        <f t="shared" si="90"/>
        <v>4.2013888888888795E-3</v>
      </c>
      <c r="F635" t="str">
        <f t="shared" si="91"/>
        <v>stacjonarny</v>
      </c>
      <c r="G635" s="23">
        <f t="shared" si="98"/>
        <v>226538</v>
      </c>
      <c r="H635">
        <f t="shared" si="99"/>
        <v>73316</v>
      </c>
      <c r="I635">
        <f t="shared" si="92"/>
        <v>0</v>
      </c>
      <c r="J635">
        <f t="shared" si="93"/>
        <v>0</v>
      </c>
      <c r="K635">
        <f t="shared" si="94"/>
        <v>299854</v>
      </c>
      <c r="L635">
        <f t="shared" si="95"/>
        <v>0</v>
      </c>
      <c r="M635">
        <f t="shared" si="96"/>
        <v>363</v>
      </c>
      <c r="N635">
        <f t="shared" si="97"/>
        <v>0</v>
      </c>
    </row>
    <row r="636" spans="1:14" x14ac:dyDescent="0.35">
      <c r="A636" s="5">
        <v>25459710</v>
      </c>
      <c r="B636" s="6">
        <v>42927</v>
      </c>
      <c r="C636" s="7">
        <v>0.38797453703703705</v>
      </c>
      <c r="D636" s="8">
        <v>0.39458333333333334</v>
      </c>
      <c r="E636" s="20">
        <f t="shared" si="90"/>
        <v>6.6087962962962932E-3</v>
      </c>
      <c r="F636" t="str">
        <f t="shared" si="91"/>
        <v>komorkowy</v>
      </c>
      <c r="G636" s="23">
        <f t="shared" si="98"/>
        <v>226538</v>
      </c>
      <c r="H636">
        <f t="shared" si="99"/>
        <v>73887</v>
      </c>
      <c r="I636">
        <f t="shared" si="92"/>
        <v>0</v>
      </c>
      <c r="J636">
        <f t="shared" si="93"/>
        <v>0</v>
      </c>
      <c r="K636">
        <f t="shared" si="94"/>
        <v>300425</v>
      </c>
      <c r="L636">
        <f t="shared" si="95"/>
        <v>0</v>
      </c>
      <c r="M636">
        <f t="shared" si="96"/>
        <v>0</v>
      </c>
      <c r="N636">
        <f t="shared" si="97"/>
        <v>571</v>
      </c>
    </row>
    <row r="637" spans="1:14" x14ac:dyDescent="0.35">
      <c r="A637" s="9">
        <v>3943994</v>
      </c>
      <c r="B637" s="10">
        <v>42927</v>
      </c>
      <c r="C637" s="11">
        <v>0.39199074074074075</v>
      </c>
      <c r="D637" s="12">
        <v>0.39934027777777775</v>
      </c>
      <c r="E637" s="20">
        <f t="shared" si="90"/>
        <v>7.3495370370370017E-3</v>
      </c>
      <c r="F637" t="str">
        <f t="shared" si="91"/>
        <v>stacjonarny</v>
      </c>
      <c r="G637" s="23">
        <f t="shared" si="98"/>
        <v>227173</v>
      </c>
      <c r="H637">
        <f t="shared" si="99"/>
        <v>73887</v>
      </c>
      <c r="I637">
        <f t="shared" si="92"/>
        <v>0</v>
      </c>
      <c r="J637">
        <f t="shared" si="93"/>
        <v>0</v>
      </c>
      <c r="K637">
        <f t="shared" si="94"/>
        <v>301060</v>
      </c>
      <c r="L637">
        <f t="shared" si="95"/>
        <v>0</v>
      </c>
      <c r="M637">
        <f t="shared" si="96"/>
        <v>635</v>
      </c>
      <c r="N637">
        <f t="shared" si="97"/>
        <v>0</v>
      </c>
    </row>
    <row r="638" spans="1:14" x14ac:dyDescent="0.35">
      <c r="A638" s="5">
        <v>2109147679</v>
      </c>
      <c r="B638" s="6">
        <v>42927</v>
      </c>
      <c r="C638" s="7">
        <v>0.39260416666666664</v>
      </c>
      <c r="D638" s="8">
        <v>0.40322916666666669</v>
      </c>
      <c r="E638" s="20">
        <f t="shared" si="90"/>
        <v>1.0625000000000051E-2</v>
      </c>
      <c r="F638" t="str">
        <f t="shared" si="91"/>
        <v>zagraniczny</v>
      </c>
      <c r="G638" s="23">
        <f t="shared" si="98"/>
        <v>227173</v>
      </c>
      <c r="H638">
        <f t="shared" si="99"/>
        <v>73887</v>
      </c>
      <c r="I638">
        <f t="shared" si="92"/>
        <v>918</v>
      </c>
      <c r="J638">
        <f t="shared" si="93"/>
        <v>16</v>
      </c>
      <c r="K638">
        <f t="shared" si="94"/>
        <v>301060</v>
      </c>
      <c r="L638">
        <f t="shared" si="95"/>
        <v>0</v>
      </c>
      <c r="M638">
        <f t="shared" si="96"/>
        <v>0</v>
      </c>
      <c r="N638">
        <f t="shared" si="97"/>
        <v>0</v>
      </c>
    </row>
    <row r="639" spans="1:14" x14ac:dyDescent="0.35">
      <c r="A639" s="9">
        <v>9967649</v>
      </c>
      <c r="B639" s="10">
        <v>42927</v>
      </c>
      <c r="C639" s="11">
        <v>0.39659722222222221</v>
      </c>
      <c r="D639" s="12">
        <v>0.4042824074074074</v>
      </c>
      <c r="E639" s="20">
        <f t="shared" si="90"/>
        <v>7.6851851851851838E-3</v>
      </c>
      <c r="F639" t="str">
        <f t="shared" si="91"/>
        <v>stacjonarny</v>
      </c>
      <c r="G639" s="23">
        <f t="shared" si="98"/>
        <v>227837</v>
      </c>
      <c r="H639">
        <f t="shared" si="99"/>
        <v>73887</v>
      </c>
      <c r="I639">
        <f t="shared" si="92"/>
        <v>0</v>
      </c>
      <c r="J639">
        <f t="shared" si="93"/>
        <v>0</v>
      </c>
      <c r="K639">
        <f t="shared" si="94"/>
        <v>301724</v>
      </c>
      <c r="L639">
        <f t="shared" si="95"/>
        <v>0</v>
      </c>
      <c r="M639">
        <f t="shared" si="96"/>
        <v>664</v>
      </c>
      <c r="N639">
        <f t="shared" si="97"/>
        <v>0</v>
      </c>
    </row>
    <row r="640" spans="1:14" x14ac:dyDescent="0.35">
      <c r="A640" s="5">
        <v>2947660</v>
      </c>
      <c r="B640" s="6">
        <v>42927</v>
      </c>
      <c r="C640" s="7">
        <v>0.39817129629629627</v>
      </c>
      <c r="D640" s="8">
        <v>0.4045023148148148</v>
      </c>
      <c r="E640" s="20">
        <f t="shared" si="90"/>
        <v>6.3310185185185275E-3</v>
      </c>
      <c r="F640" t="str">
        <f t="shared" si="91"/>
        <v>stacjonarny</v>
      </c>
      <c r="G640" s="23">
        <f t="shared" si="98"/>
        <v>228384</v>
      </c>
      <c r="H640">
        <f t="shared" si="99"/>
        <v>73887</v>
      </c>
      <c r="I640">
        <f t="shared" si="92"/>
        <v>0</v>
      </c>
      <c r="J640">
        <f t="shared" si="93"/>
        <v>0</v>
      </c>
      <c r="K640">
        <f t="shared" si="94"/>
        <v>302271</v>
      </c>
      <c r="L640">
        <f t="shared" si="95"/>
        <v>0</v>
      </c>
      <c r="M640">
        <f t="shared" si="96"/>
        <v>547</v>
      </c>
      <c r="N640">
        <f t="shared" si="97"/>
        <v>0</v>
      </c>
    </row>
    <row r="641" spans="1:14" x14ac:dyDescent="0.35">
      <c r="A641" s="9">
        <v>6492842</v>
      </c>
      <c r="B641" s="10">
        <v>42927</v>
      </c>
      <c r="C641" s="11">
        <v>0.40379629629629632</v>
      </c>
      <c r="D641" s="12">
        <v>0.4100462962962963</v>
      </c>
      <c r="E641" s="20">
        <f t="shared" si="90"/>
        <v>6.2499999999999778E-3</v>
      </c>
      <c r="F641" t="str">
        <f t="shared" si="91"/>
        <v>stacjonarny</v>
      </c>
      <c r="G641" s="23">
        <f t="shared" si="98"/>
        <v>228924</v>
      </c>
      <c r="H641">
        <f t="shared" si="99"/>
        <v>73887</v>
      </c>
      <c r="I641">
        <f t="shared" si="92"/>
        <v>0</v>
      </c>
      <c r="J641">
        <f t="shared" si="93"/>
        <v>0</v>
      </c>
      <c r="K641">
        <f t="shared" si="94"/>
        <v>302811</v>
      </c>
      <c r="L641">
        <f t="shared" si="95"/>
        <v>0</v>
      </c>
      <c r="M641">
        <f t="shared" si="96"/>
        <v>540</v>
      </c>
      <c r="N641">
        <f t="shared" si="97"/>
        <v>0</v>
      </c>
    </row>
    <row r="642" spans="1:14" x14ac:dyDescent="0.35">
      <c r="A642" s="5">
        <v>70730125</v>
      </c>
      <c r="B642" s="6">
        <v>42927</v>
      </c>
      <c r="C642" s="7">
        <v>0.40777777777777779</v>
      </c>
      <c r="D642" s="8">
        <v>0.4181597222222222</v>
      </c>
      <c r="E642" s="20">
        <f t="shared" si="90"/>
        <v>1.0381944444444402E-2</v>
      </c>
      <c r="F642" t="str">
        <f t="shared" si="91"/>
        <v>komorkowy</v>
      </c>
      <c r="G642" s="23">
        <f t="shared" si="98"/>
        <v>228924</v>
      </c>
      <c r="H642">
        <f t="shared" si="99"/>
        <v>74784</v>
      </c>
      <c r="I642">
        <f t="shared" si="92"/>
        <v>0</v>
      </c>
      <c r="J642">
        <f t="shared" si="93"/>
        <v>0</v>
      </c>
      <c r="K642">
        <f t="shared" si="94"/>
        <v>303708</v>
      </c>
      <c r="L642">
        <f t="shared" si="95"/>
        <v>0</v>
      </c>
      <c r="M642">
        <f t="shared" si="96"/>
        <v>0</v>
      </c>
      <c r="N642">
        <f t="shared" si="97"/>
        <v>897</v>
      </c>
    </row>
    <row r="643" spans="1:14" x14ac:dyDescent="0.35">
      <c r="A643" s="9">
        <v>4056361</v>
      </c>
      <c r="B643" s="10">
        <v>42927</v>
      </c>
      <c r="C643" s="11">
        <v>0.41239583333333335</v>
      </c>
      <c r="D643" s="12">
        <v>0.41844907407407406</v>
      </c>
      <c r="E643" s="20">
        <f t="shared" ref="E643:E706" si="100">D643-C643</f>
        <v>6.0532407407407063E-3</v>
      </c>
      <c r="F643" t="str">
        <f t="shared" ref="F643:F706" si="101">IF(LEN(A643)=7,"stacjonarny",IF(LEN(A643)=8,"komorkowy","zagraniczny"))</f>
        <v>stacjonarny</v>
      </c>
      <c r="G643" s="23">
        <f t="shared" si="98"/>
        <v>229447</v>
      </c>
      <c r="H643">
        <f t="shared" si="99"/>
        <v>74784</v>
      </c>
      <c r="I643">
        <f t="shared" ref="I643:I706" si="102">IF(F643="zagraniczny",MINUTE(E643)*60+SECOND(E643)+HOUR(E643)*3600,0)</f>
        <v>0</v>
      </c>
      <c r="J643">
        <f t="shared" ref="J643:J706" si="103">ROUNDUP(I643/60,0)</f>
        <v>0</v>
      </c>
      <c r="K643">
        <f t="shared" ref="K643:K706" si="104">G643+H643</f>
        <v>304231</v>
      </c>
      <c r="L643">
        <f t="shared" ref="L643:L706" si="105">IF(K643&lt;=48000,1,0)</f>
        <v>0</v>
      </c>
      <c r="M643">
        <f t="shared" ref="M643:M706" si="106">IF(AND(L643=0,F643="stacjonarny"),SECOND(E643)+60*MINUTE(E643),0)</f>
        <v>523</v>
      </c>
      <c r="N643">
        <f t="shared" ref="N643:N706" si="107">IF(AND(L643=0,F643="komorkowy"),SECOND(E643)+60*MINUTE(E643),0)</f>
        <v>0</v>
      </c>
    </row>
    <row r="644" spans="1:14" x14ac:dyDescent="0.35">
      <c r="A644" s="5">
        <v>12721215</v>
      </c>
      <c r="B644" s="6">
        <v>42927</v>
      </c>
      <c r="C644" s="7">
        <v>0.41431712962962963</v>
      </c>
      <c r="D644" s="8">
        <v>0.41986111111111113</v>
      </c>
      <c r="E644" s="20">
        <f t="shared" si="100"/>
        <v>5.5439814814814969E-3</v>
      </c>
      <c r="F644" t="str">
        <f t="shared" si="101"/>
        <v>komorkowy</v>
      </c>
      <c r="G644" s="23">
        <f t="shared" ref="G644:G707" si="108">IF(F644="stacjonarny",MINUTE(E644)*60+SECOND(E644)+G643,G643)</f>
        <v>229447</v>
      </c>
      <c r="H644">
        <f t="shared" ref="H644:H707" si="109">IF(F644="komorkowy",MINUTE(E644)*60+SECOND(E644)+H643,H643)</f>
        <v>75263</v>
      </c>
      <c r="I644">
        <f t="shared" si="102"/>
        <v>0</v>
      </c>
      <c r="J644">
        <f t="shared" si="103"/>
        <v>0</v>
      </c>
      <c r="K644">
        <f t="shared" si="104"/>
        <v>304710</v>
      </c>
      <c r="L644">
        <f t="shared" si="105"/>
        <v>0</v>
      </c>
      <c r="M644">
        <f t="shared" si="106"/>
        <v>0</v>
      </c>
      <c r="N644">
        <f t="shared" si="107"/>
        <v>479</v>
      </c>
    </row>
    <row r="645" spans="1:14" x14ac:dyDescent="0.35">
      <c r="A645" s="9">
        <v>4566750</v>
      </c>
      <c r="B645" s="10">
        <v>42927</v>
      </c>
      <c r="C645" s="11">
        <v>0.41666666666666669</v>
      </c>
      <c r="D645" s="12">
        <v>0.42190972222222223</v>
      </c>
      <c r="E645" s="20">
        <f t="shared" si="100"/>
        <v>5.2430555555555425E-3</v>
      </c>
      <c r="F645" t="str">
        <f t="shared" si="101"/>
        <v>stacjonarny</v>
      </c>
      <c r="G645" s="23">
        <f t="shared" si="108"/>
        <v>229900</v>
      </c>
      <c r="H645">
        <f t="shared" si="109"/>
        <v>75263</v>
      </c>
      <c r="I645">
        <f t="shared" si="102"/>
        <v>0</v>
      </c>
      <c r="J645">
        <f t="shared" si="103"/>
        <v>0</v>
      </c>
      <c r="K645">
        <f t="shared" si="104"/>
        <v>305163</v>
      </c>
      <c r="L645">
        <f t="shared" si="105"/>
        <v>0</v>
      </c>
      <c r="M645">
        <f t="shared" si="106"/>
        <v>453</v>
      </c>
      <c r="N645">
        <f t="shared" si="107"/>
        <v>0</v>
      </c>
    </row>
    <row r="646" spans="1:14" x14ac:dyDescent="0.35">
      <c r="A646" s="5">
        <v>7279106</v>
      </c>
      <c r="B646" s="6">
        <v>42927</v>
      </c>
      <c r="C646" s="7">
        <v>0.41935185185185186</v>
      </c>
      <c r="D646" s="8">
        <v>0.43002314814814813</v>
      </c>
      <c r="E646" s="20">
        <f t="shared" si="100"/>
        <v>1.0671296296296262E-2</v>
      </c>
      <c r="F646" t="str">
        <f t="shared" si="101"/>
        <v>stacjonarny</v>
      </c>
      <c r="G646" s="23">
        <f t="shared" si="108"/>
        <v>230822</v>
      </c>
      <c r="H646">
        <f t="shared" si="109"/>
        <v>75263</v>
      </c>
      <c r="I646">
        <f t="shared" si="102"/>
        <v>0</v>
      </c>
      <c r="J646">
        <f t="shared" si="103"/>
        <v>0</v>
      </c>
      <c r="K646">
        <f t="shared" si="104"/>
        <v>306085</v>
      </c>
      <c r="L646">
        <f t="shared" si="105"/>
        <v>0</v>
      </c>
      <c r="M646">
        <f t="shared" si="106"/>
        <v>922</v>
      </c>
      <c r="N646">
        <f t="shared" si="107"/>
        <v>0</v>
      </c>
    </row>
    <row r="647" spans="1:14" x14ac:dyDescent="0.35">
      <c r="A647" s="9">
        <v>3824660</v>
      </c>
      <c r="B647" s="10">
        <v>42927</v>
      </c>
      <c r="C647" s="11">
        <v>0.4238425925925926</v>
      </c>
      <c r="D647" s="12">
        <v>0.4321875</v>
      </c>
      <c r="E647" s="20">
        <f t="shared" si="100"/>
        <v>8.3449074074073981E-3</v>
      </c>
      <c r="F647" t="str">
        <f t="shared" si="101"/>
        <v>stacjonarny</v>
      </c>
      <c r="G647" s="23">
        <f t="shared" si="108"/>
        <v>231543</v>
      </c>
      <c r="H647">
        <f t="shared" si="109"/>
        <v>75263</v>
      </c>
      <c r="I647">
        <f t="shared" si="102"/>
        <v>0</v>
      </c>
      <c r="J647">
        <f t="shared" si="103"/>
        <v>0</v>
      </c>
      <c r="K647">
        <f t="shared" si="104"/>
        <v>306806</v>
      </c>
      <c r="L647">
        <f t="shared" si="105"/>
        <v>0</v>
      </c>
      <c r="M647">
        <f t="shared" si="106"/>
        <v>721</v>
      </c>
      <c r="N647">
        <f t="shared" si="107"/>
        <v>0</v>
      </c>
    </row>
    <row r="648" spans="1:14" x14ac:dyDescent="0.35">
      <c r="A648" s="5">
        <v>5815339</v>
      </c>
      <c r="B648" s="6">
        <v>42927</v>
      </c>
      <c r="C648" s="7">
        <v>0.42818287037037039</v>
      </c>
      <c r="D648" s="8">
        <v>0.43273148148148149</v>
      </c>
      <c r="E648" s="20">
        <f t="shared" si="100"/>
        <v>4.5486111111111005E-3</v>
      </c>
      <c r="F648" t="str">
        <f t="shared" si="101"/>
        <v>stacjonarny</v>
      </c>
      <c r="G648" s="23">
        <f t="shared" si="108"/>
        <v>231936</v>
      </c>
      <c r="H648">
        <f t="shared" si="109"/>
        <v>75263</v>
      </c>
      <c r="I648">
        <f t="shared" si="102"/>
        <v>0</v>
      </c>
      <c r="J648">
        <f t="shared" si="103"/>
        <v>0</v>
      </c>
      <c r="K648">
        <f t="shared" si="104"/>
        <v>307199</v>
      </c>
      <c r="L648">
        <f t="shared" si="105"/>
        <v>0</v>
      </c>
      <c r="M648">
        <f t="shared" si="106"/>
        <v>393</v>
      </c>
      <c r="N648">
        <f t="shared" si="107"/>
        <v>0</v>
      </c>
    </row>
    <row r="649" spans="1:14" x14ac:dyDescent="0.35">
      <c r="A649" s="9">
        <v>77946476</v>
      </c>
      <c r="B649" s="10">
        <v>42927</v>
      </c>
      <c r="C649" s="11">
        <v>0.42995370370370373</v>
      </c>
      <c r="D649" s="12">
        <v>0.43024305555555553</v>
      </c>
      <c r="E649" s="20">
        <f t="shared" si="100"/>
        <v>2.8935185185180456E-4</v>
      </c>
      <c r="F649" t="str">
        <f t="shared" si="101"/>
        <v>komorkowy</v>
      </c>
      <c r="G649" s="23">
        <f t="shared" si="108"/>
        <v>231936</v>
      </c>
      <c r="H649">
        <f t="shared" si="109"/>
        <v>75288</v>
      </c>
      <c r="I649">
        <f t="shared" si="102"/>
        <v>0</v>
      </c>
      <c r="J649">
        <f t="shared" si="103"/>
        <v>0</v>
      </c>
      <c r="K649">
        <f t="shared" si="104"/>
        <v>307224</v>
      </c>
      <c r="L649">
        <f t="shared" si="105"/>
        <v>0</v>
      </c>
      <c r="M649">
        <f t="shared" si="106"/>
        <v>0</v>
      </c>
      <c r="N649">
        <f t="shared" si="107"/>
        <v>25</v>
      </c>
    </row>
    <row r="650" spans="1:14" x14ac:dyDescent="0.35">
      <c r="A650" s="5">
        <v>84589848</v>
      </c>
      <c r="B650" s="6">
        <v>42927</v>
      </c>
      <c r="C650" s="7">
        <v>0.43539351851851854</v>
      </c>
      <c r="D650" s="8">
        <v>0.43763888888888891</v>
      </c>
      <c r="E650" s="20">
        <f t="shared" si="100"/>
        <v>2.2453703703703698E-3</v>
      </c>
      <c r="F650" t="str">
        <f t="shared" si="101"/>
        <v>komorkowy</v>
      </c>
      <c r="G650" s="23">
        <f t="shared" si="108"/>
        <v>231936</v>
      </c>
      <c r="H650">
        <f t="shared" si="109"/>
        <v>75482</v>
      </c>
      <c r="I650">
        <f t="shared" si="102"/>
        <v>0</v>
      </c>
      <c r="J650">
        <f t="shared" si="103"/>
        <v>0</v>
      </c>
      <c r="K650">
        <f t="shared" si="104"/>
        <v>307418</v>
      </c>
      <c r="L650">
        <f t="shared" si="105"/>
        <v>0</v>
      </c>
      <c r="M650">
        <f t="shared" si="106"/>
        <v>0</v>
      </c>
      <c r="N650">
        <f t="shared" si="107"/>
        <v>194</v>
      </c>
    </row>
    <row r="651" spans="1:14" x14ac:dyDescent="0.35">
      <c r="A651" s="9">
        <v>4501823</v>
      </c>
      <c r="B651" s="10">
        <v>42927</v>
      </c>
      <c r="C651" s="11">
        <v>0.44013888888888891</v>
      </c>
      <c r="D651" s="12">
        <v>0.44690972222222225</v>
      </c>
      <c r="E651" s="20">
        <f t="shared" si="100"/>
        <v>6.770833333333337E-3</v>
      </c>
      <c r="F651" t="str">
        <f t="shared" si="101"/>
        <v>stacjonarny</v>
      </c>
      <c r="G651" s="23">
        <f t="shared" si="108"/>
        <v>232521</v>
      </c>
      <c r="H651">
        <f t="shared" si="109"/>
        <v>75482</v>
      </c>
      <c r="I651">
        <f t="shared" si="102"/>
        <v>0</v>
      </c>
      <c r="J651">
        <f t="shared" si="103"/>
        <v>0</v>
      </c>
      <c r="K651">
        <f t="shared" si="104"/>
        <v>308003</v>
      </c>
      <c r="L651">
        <f t="shared" si="105"/>
        <v>0</v>
      </c>
      <c r="M651">
        <f t="shared" si="106"/>
        <v>585</v>
      </c>
      <c r="N651">
        <f t="shared" si="107"/>
        <v>0</v>
      </c>
    </row>
    <row r="652" spans="1:14" x14ac:dyDescent="0.35">
      <c r="A652" s="5">
        <v>38244568</v>
      </c>
      <c r="B652" s="6">
        <v>42927</v>
      </c>
      <c r="C652" s="7">
        <v>0.44381944444444443</v>
      </c>
      <c r="D652" s="8">
        <v>0.45199074074074075</v>
      </c>
      <c r="E652" s="20">
        <f t="shared" si="100"/>
        <v>8.1712962962963154E-3</v>
      </c>
      <c r="F652" t="str">
        <f t="shared" si="101"/>
        <v>komorkowy</v>
      </c>
      <c r="G652" s="23">
        <f t="shared" si="108"/>
        <v>232521</v>
      </c>
      <c r="H652">
        <f t="shared" si="109"/>
        <v>76188</v>
      </c>
      <c r="I652">
        <f t="shared" si="102"/>
        <v>0</v>
      </c>
      <c r="J652">
        <f t="shared" si="103"/>
        <v>0</v>
      </c>
      <c r="K652">
        <f t="shared" si="104"/>
        <v>308709</v>
      </c>
      <c r="L652">
        <f t="shared" si="105"/>
        <v>0</v>
      </c>
      <c r="M652">
        <f t="shared" si="106"/>
        <v>0</v>
      </c>
      <c r="N652">
        <f t="shared" si="107"/>
        <v>706</v>
      </c>
    </row>
    <row r="653" spans="1:14" x14ac:dyDescent="0.35">
      <c r="A653" s="9">
        <v>3613950</v>
      </c>
      <c r="B653" s="10">
        <v>42927</v>
      </c>
      <c r="C653" s="11">
        <v>0.44657407407407407</v>
      </c>
      <c r="D653" s="12">
        <v>0.44774305555555555</v>
      </c>
      <c r="E653" s="20">
        <f t="shared" si="100"/>
        <v>1.1689814814814792E-3</v>
      </c>
      <c r="F653" t="str">
        <f t="shared" si="101"/>
        <v>stacjonarny</v>
      </c>
      <c r="G653" s="23">
        <f t="shared" si="108"/>
        <v>232622</v>
      </c>
      <c r="H653">
        <f t="shared" si="109"/>
        <v>76188</v>
      </c>
      <c r="I653">
        <f t="shared" si="102"/>
        <v>0</v>
      </c>
      <c r="J653">
        <f t="shared" si="103"/>
        <v>0</v>
      </c>
      <c r="K653">
        <f t="shared" si="104"/>
        <v>308810</v>
      </c>
      <c r="L653">
        <f t="shared" si="105"/>
        <v>0</v>
      </c>
      <c r="M653">
        <f t="shared" si="106"/>
        <v>101</v>
      </c>
      <c r="N653">
        <f t="shared" si="107"/>
        <v>0</v>
      </c>
    </row>
    <row r="654" spans="1:14" x14ac:dyDescent="0.35">
      <c r="A654" s="5">
        <v>5750819</v>
      </c>
      <c r="B654" s="6">
        <v>42927</v>
      </c>
      <c r="C654" s="7">
        <v>0.44751157407407405</v>
      </c>
      <c r="D654" s="8">
        <v>0.45284722222222223</v>
      </c>
      <c r="E654" s="20">
        <f t="shared" si="100"/>
        <v>5.3356481481481866E-3</v>
      </c>
      <c r="F654" t="str">
        <f t="shared" si="101"/>
        <v>stacjonarny</v>
      </c>
      <c r="G654" s="23">
        <f t="shared" si="108"/>
        <v>233083</v>
      </c>
      <c r="H654">
        <f t="shared" si="109"/>
        <v>76188</v>
      </c>
      <c r="I654">
        <f t="shared" si="102"/>
        <v>0</v>
      </c>
      <c r="J654">
        <f t="shared" si="103"/>
        <v>0</v>
      </c>
      <c r="K654">
        <f t="shared" si="104"/>
        <v>309271</v>
      </c>
      <c r="L654">
        <f t="shared" si="105"/>
        <v>0</v>
      </c>
      <c r="M654">
        <f t="shared" si="106"/>
        <v>461</v>
      </c>
      <c r="N654">
        <f t="shared" si="107"/>
        <v>0</v>
      </c>
    </row>
    <row r="655" spans="1:14" x14ac:dyDescent="0.35">
      <c r="A655" s="9">
        <v>63291235</v>
      </c>
      <c r="B655" s="10">
        <v>42927</v>
      </c>
      <c r="C655" s="11">
        <v>0.45091435185185186</v>
      </c>
      <c r="D655" s="12">
        <v>0.45429398148148148</v>
      </c>
      <c r="E655" s="20">
        <f t="shared" si="100"/>
        <v>3.3796296296296213E-3</v>
      </c>
      <c r="F655" t="str">
        <f t="shared" si="101"/>
        <v>komorkowy</v>
      </c>
      <c r="G655" s="23">
        <f t="shared" si="108"/>
        <v>233083</v>
      </c>
      <c r="H655">
        <f t="shared" si="109"/>
        <v>76480</v>
      </c>
      <c r="I655">
        <f t="shared" si="102"/>
        <v>0</v>
      </c>
      <c r="J655">
        <f t="shared" si="103"/>
        <v>0</v>
      </c>
      <c r="K655">
        <f t="shared" si="104"/>
        <v>309563</v>
      </c>
      <c r="L655">
        <f t="shared" si="105"/>
        <v>0</v>
      </c>
      <c r="M655">
        <f t="shared" si="106"/>
        <v>0</v>
      </c>
      <c r="N655">
        <f t="shared" si="107"/>
        <v>292</v>
      </c>
    </row>
    <row r="656" spans="1:14" x14ac:dyDescent="0.35">
      <c r="A656" s="5">
        <v>3198725</v>
      </c>
      <c r="B656" s="6">
        <v>42927</v>
      </c>
      <c r="C656" s="7">
        <v>0.45157407407407407</v>
      </c>
      <c r="D656" s="8">
        <v>0.45738425925925924</v>
      </c>
      <c r="E656" s="20">
        <f t="shared" si="100"/>
        <v>5.8101851851851682E-3</v>
      </c>
      <c r="F656" t="str">
        <f t="shared" si="101"/>
        <v>stacjonarny</v>
      </c>
      <c r="G656" s="23">
        <f t="shared" si="108"/>
        <v>233585</v>
      </c>
      <c r="H656">
        <f t="shared" si="109"/>
        <v>76480</v>
      </c>
      <c r="I656">
        <f t="shared" si="102"/>
        <v>0</v>
      </c>
      <c r="J656">
        <f t="shared" si="103"/>
        <v>0</v>
      </c>
      <c r="K656">
        <f t="shared" si="104"/>
        <v>310065</v>
      </c>
      <c r="L656">
        <f t="shared" si="105"/>
        <v>0</v>
      </c>
      <c r="M656">
        <f t="shared" si="106"/>
        <v>502</v>
      </c>
      <c r="N656">
        <f t="shared" si="107"/>
        <v>0</v>
      </c>
    </row>
    <row r="657" spans="1:14" x14ac:dyDescent="0.35">
      <c r="A657" s="9">
        <v>6248157784</v>
      </c>
      <c r="B657" s="10">
        <v>42927</v>
      </c>
      <c r="C657" s="11">
        <v>0.45475694444444442</v>
      </c>
      <c r="D657" s="12">
        <v>0.4566898148148148</v>
      </c>
      <c r="E657" s="20">
        <f t="shared" si="100"/>
        <v>1.9328703703703765E-3</v>
      </c>
      <c r="F657" t="str">
        <f t="shared" si="101"/>
        <v>zagraniczny</v>
      </c>
      <c r="G657" s="23">
        <f t="shared" si="108"/>
        <v>233585</v>
      </c>
      <c r="H657">
        <f t="shared" si="109"/>
        <v>76480</v>
      </c>
      <c r="I657">
        <f t="shared" si="102"/>
        <v>167</v>
      </c>
      <c r="J657">
        <f t="shared" si="103"/>
        <v>3</v>
      </c>
      <c r="K657">
        <f t="shared" si="104"/>
        <v>310065</v>
      </c>
      <c r="L657">
        <f t="shared" si="105"/>
        <v>0</v>
      </c>
      <c r="M657">
        <f t="shared" si="106"/>
        <v>0</v>
      </c>
      <c r="N657">
        <f t="shared" si="107"/>
        <v>0</v>
      </c>
    </row>
    <row r="658" spans="1:14" x14ac:dyDescent="0.35">
      <c r="A658" s="5">
        <v>6607648</v>
      </c>
      <c r="B658" s="6">
        <v>42927</v>
      </c>
      <c r="C658" s="7">
        <v>0.45873842592592595</v>
      </c>
      <c r="D658" s="8">
        <v>0.46986111111111112</v>
      </c>
      <c r="E658" s="20">
        <f t="shared" si="100"/>
        <v>1.1122685185185166E-2</v>
      </c>
      <c r="F658" t="str">
        <f t="shared" si="101"/>
        <v>stacjonarny</v>
      </c>
      <c r="G658" s="23">
        <f t="shared" si="108"/>
        <v>234546</v>
      </c>
      <c r="H658">
        <f t="shared" si="109"/>
        <v>76480</v>
      </c>
      <c r="I658">
        <f t="shared" si="102"/>
        <v>0</v>
      </c>
      <c r="J658">
        <f t="shared" si="103"/>
        <v>0</v>
      </c>
      <c r="K658">
        <f t="shared" si="104"/>
        <v>311026</v>
      </c>
      <c r="L658">
        <f t="shared" si="105"/>
        <v>0</v>
      </c>
      <c r="M658">
        <f t="shared" si="106"/>
        <v>961</v>
      </c>
      <c r="N658">
        <f t="shared" si="107"/>
        <v>0</v>
      </c>
    </row>
    <row r="659" spans="1:14" x14ac:dyDescent="0.35">
      <c r="A659" s="9">
        <v>5340881</v>
      </c>
      <c r="B659" s="10">
        <v>42927</v>
      </c>
      <c r="C659" s="11">
        <v>0.46413194444444444</v>
      </c>
      <c r="D659" s="12">
        <v>0.46585648148148145</v>
      </c>
      <c r="E659" s="20">
        <f t="shared" si="100"/>
        <v>1.7245370370370106E-3</v>
      </c>
      <c r="F659" t="str">
        <f t="shared" si="101"/>
        <v>stacjonarny</v>
      </c>
      <c r="G659" s="23">
        <f t="shared" si="108"/>
        <v>234695</v>
      </c>
      <c r="H659">
        <f t="shared" si="109"/>
        <v>76480</v>
      </c>
      <c r="I659">
        <f t="shared" si="102"/>
        <v>0</v>
      </c>
      <c r="J659">
        <f t="shared" si="103"/>
        <v>0</v>
      </c>
      <c r="K659">
        <f t="shared" si="104"/>
        <v>311175</v>
      </c>
      <c r="L659">
        <f t="shared" si="105"/>
        <v>0</v>
      </c>
      <c r="M659">
        <f t="shared" si="106"/>
        <v>149</v>
      </c>
      <c r="N659">
        <f t="shared" si="107"/>
        <v>0</v>
      </c>
    </row>
    <row r="660" spans="1:14" x14ac:dyDescent="0.35">
      <c r="A660" s="5">
        <v>99162491</v>
      </c>
      <c r="B660" s="6">
        <v>42927</v>
      </c>
      <c r="C660" s="7">
        <v>0.46738425925925925</v>
      </c>
      <c r="D660" s="8">
        <v>0.46800925925925924</v>
      </c>
      <c r="E660" s="20">
        <f t="shared" si="100"/>
        <v>6.2499999999998668E-4</v>
      </c>
      <c r="F660" t="str">
        <f t="shared" si="101"/>
        <v>komorkowy</v>
      </c>
      <c r="G660" s="23">
        <f t="shared" si="108"/>
        <v>234695</v>
      </c>
      <c r="H660">
        <f t="shared" si="109"/>
        <v>76534</v>
      </c>
      <c r="I660">
        <f t="shared" si="102"/>
        <v>0</v>
      </c>
      <c r="J660">
        <f t="shared" si="103"/>
        <v>0</v>
      </c>
      <c r="K660">
        <f t="shared" si="104"/>
        <v>311229</v>
      </c>
      <c r="L660">
        <f t="shared" si="105"/>
        <v>0</v>
      </c>
      <c r="M660">
        <f t="shared" si="106"/>
        <v>0</v>
      </c>
      <c r="N660">
        <f t="shared" si="107"/>
        <v>54</v>
      </c>
    </row>
    <row r="661" spans="1:14" x14ac:dyDescent="0.35">
      <c r="A661" s="9">
        <v>3072421</v>
      </c>
      <c r="B661" s="10">
        <v>42927</v>
      </c>
      <c r="C661" s="11">
        <v>0.46942129629629631</v>
      </c>
      <c r="D661" s="12">
        <v>0.47766203703703702</v>
      </c>
      <c r="E661" s="20">
        <f t="shared" si="100"/>
        <v>8.2407407407407152E-3</v>
      </c>
      <c r="F661" t="str">
        <f t="shared" si="101"/>
        <v>stacjonarny</v>
      </c>
      <c r="G661" s="23">
        <f t="shared" si="108"/>
        <v>235407</v>
      </c>
      <c r="H661">
        <f t="shared" si="109"/>
        <v>76534</v>
      </c>
      <c r="I661">
        <f t="shared" si="102"/>
        <v>0</v>
      </c>
      <c r="J661">
        <f t="shared" si="103"/>
        <v>0</v>
      </c>
      <c r="K661">
        <f t="shared" si="104"/>
        <v>311941</v>
      </c>
      <c r="L661">
        <f t="shared" si="105"/>
        <v>0</v>
      </c>
      <c r="M661">
        <f t="shared" si="106"/>
        <v>712</v>
      </c>
      <c r="N661">
        <f t="shared" si="107"/>
        <v>0</v>
      </c>
    </row>
    <row r="662" spans="1:14" x14ac:dyDescent="0.35">
      <c r="A662" s="5">
        <v>1909553</v>
      </c>
      <c r="B662" s="6">
        <v>42927</v>
      </c>
      <c r="C662" s="7">
        <v>0.47193287037037035</v>
      </c>
      <c r="D662" s="8">
        <v>0.47763888888888889</v>
      </c>
      <c r="E662" s="20">
        <f t="shared" si="100"/>
        <v>5.7060185185185408E-3</v>
      </c>
      <c r="F662" t="str">
        <f t="shared" si="101"/>
        <v>stacjonarny</v>
      </c>
      <c r="G662" s="23">
        <f t="shared" si="108"/>
        <v>235900</v>
      </c>
      <c r="H662">
        <f t="shared" si="109"/>
        <v>76534</v>
      </c>
      <c r="I662">
        <f t="shared" si="102"/>
        <v>0</v>
      </c>
      <c r="J662">
        <f t="shared" si="103"/>
        <v>0</v>
      </c>
      <c r="K662">
        <f t="shared" si="104"/>
        <v>312434</v>
      </c>
      <c r="L662">
        <f t="shared" si="105"/>
        <v>0</v>
      </c>
      <c r="M662">
        <f t="shared" si="106"/>
        <v>493</v>
      </c>
      <c r="N662">
        <f t="shared" si="107"/>
        <v>0</v>
      </c>
    </row>
    <row r="663" spans="1:14" x14ac:dyDescent="0.35">
      <c r="A663" s="9">
        <v>62836073</v>
      </c>
      <c r="B663" s="10">
        <v>42927</v>
      </c>
      <c r="C663" s="11">
        <v>0.47739583333333335</v>
      </c>
      <c r="D663" s="12">
        <v>0.48168981481481482</v>
      </c>
      <c r="E663" s="20">
        <f t="shared" si="100"/>
        <v>4.2939814814814681E-3</v>
      </c>
      <c r="F663" t="str">
        <f t="shared" si="101"/>
        <v>komorkowy</v>
      </c>
      <c r="G663" s="23">
        <f t="shared" si="108"/>
        <v>235900</v>
      </c>
      <c r="H663">
        <f t="shared" si="109"/>
        <v>76905</v>
      </c>
      <c r="I663">
        <f t="shared" si="102"/>
        <v>0</v>
      </c>
      <c r="J663">
        <f t="shared" si="103"/>
        <v>0</v>
      </c>
      <c r="K663">
        <f t="shared" si="104"/>
        <v>312805</v>
      </c>
      <c r="L663">
        <f t="shared" si="105"/>
        <v>0</v>
      </c>
      <c r="M663">
        <f t="shared" si="106"/>
        <v>0</v>
      </c>
      <c r="N663">
        <f t="shared" si="107"/>
        <v>371</v>
      </c>
    </row>
    <row r="664" spans="1:14" x14ac:dyDescent="0.35">
      <c r="A664" s="5">
        <v>9566647</v>
      </c>
      <c r="B664" s="6">
        <v>42927</v>
      </c>
      <c r="C664" s="7">
        <v>0.48005787037037034</v>
      </c>
      <c r="D664" s="8">
        <v>0.48971064814814813</v>
      </c>
      <c r="E664" s="20">
        <f t="shared" si="100"/>
        <v>9.6527777777777879E-3</v>
      </c>
      <c r="F664" t="str">
        <f t="shared" si="101"/>
        <v>stacjonarny</v>
      </c>
      <c r="G664" s="23">
        <f t="shared" si="108"/>
        <v>236734</v>
      </c>
      <c r="H664">
        <f t="shared" si="109"/>
        <v>76905</v>
      </c>
      <c r="I664">
        <f t="shared" si="102"/>
        <v>0</v>
      </c>
      <c r="J664">
        <f t="shared" si="103"/>
        <v>0</v>
      </c>
      <c r="K664">
        <f t="shared" si="104"/>
        <v>313639</v>
      </c>
      <c r="L664">
        <f t="shared" si="105"/>
        <v>0</v>
      </c>
      <c r="M664">
        <f t="shared" si="106"/>
        <v>834</v>
      </c>
      <c r="N664">
        <f t="shared" si="107"/>
        <v>0</v>
      </c>
    </row>
    <row r="665" spans="1:14" x14ac:dyDescent="0.35">
      <c r="A665" s="9">
        <v>5833452</v>
      </c>
      <c r="B665" s="10">
        <v>42927</v>
      </c>
      <c r="C665" s="11">
        <v>0.48511574074074076</v>
      </c>
      <c r="D665" s="12">
        <v>0.49502314814814813</v>
      </c>
      <c r="E665" s="20">
        <f t="shared" si="100"/>
        <v>9.9074074074073648E-3</v>
      </c>
      <c r="F665" t="str">
        <f t="shared" si="101"/>
        <v>stacjonarny</v>
      </c>
      <c r="G665" s="23">
        <f t="shared" si="108"/>
        <v>237590</v>
      </c>
      <c r="H665">
        <f t="shared" si="109"/>
        <v>76905</v>
      </c>
      <c r="I665">
        <f t="shared" si="102"/>
        <v>0</v>
      </c>
      <c r="J665">
        <f t="shared" si="103"/>
        <v>0</v>
      </c>
      <c r="K665">
        <f t="shared" si="104"/>
        <v>314495</v>
      </c>
      <c r="L665">
        <f t="shared" si="105"/>
        <v>0</v>
      </c>
      <c r="M665">
        <f t="shared" si="106"/>
        <v>856</v>
      </c>
      <c r="N665">
        <f t="shared" si="107"/>
        <v>0</v>
      </c>
    </row>
    <row r="666" spans="1:14" x14ac:dyDescent="0.35">
      <c r="A666" s="5">
        <v>10760583</v>
      </c>
      <c r="B666" s="6">
        <v>42927</v>
      </c>
      <c r="C666" s="7">
        <v>0.48994212962962963</v>
      </c>
      <c r="D666" s="8">
        <v>0.4914351851851852</v>
      </c>
      <c r="E666" s="20">
        <f t="shared" si="100"/>
        <v>1.4930555555555669E-3</v>
      </c>
      <c r="F666" t="str">
        <f t="shared" si="101"/>
        <v>komorkowy</v>
      </c>
      <c r="G666" s="23">
        <f t="shared" si="108"/>
        <v>237590</v>
      </c>
      <c r="H666">
        <f t="shared" si="109"/>
        <v>77034</v>
      </c>
      <c r="I666">
        <f t="shared" si="102"/>
        <v>0</v>
      </c>
      <c r="J666">
        <f t="shared" si="103"/>
        <v>0</v>
      </c>
      <c r="K666">
        <f t="shared" si="104"/>
        <v>314624</v>
      </c>
      <c r="L666">
        <f t="shared" si="105"/>
        <v>0</v>
      </c>
      <c r="M666">
        <f t="shared" si="106"/>
        <v>0</v>
      </c>
      <c r="N666">
        <f t="shared" si="107"/>
        <v>129</v>
      </c>
    </row>
    <row r="667" spans="1:14" x14ac:dyDescent="0.35">
      <c r="A667" s="9">
        <v>39669014</v>
      </c>
      <c r="B667" s="10">
        <v>42927</v>
      </c>
      <c r="C667" s="11">
        <v>0.49035879629629631</v>
      </c>
      <c r="D667" s="12">
        <v>0.49082175925925925</v>
      </c>
      <c r="E667" s="20">
        <f t="shared" si="100"/>
        <v>4.6296296296294281E-4</v>
      </c>
      <c r="F667" t="str">
        <f t="shared" si="101"/>
        <v>komorkowy</v>
      </c>
      <c r="G667" s="23">
        <f t="shared" si="108"/>
        <v>237590</v>
      </c>
      <c r="H667">
        <f t="shared" si="109"/>
        <v>77074</v>
      </c>
      <c r="I667">
        <f t="shared" si="102"/>
        <v>0</v>
      </c>
      <c r="J667">
        <f t="shared" si="103"/>
        <v>0</v>
      </c>
      <c r="K667">
        <f t="shared" si="104"/>
        <v>314664</v>
      </c>
      <c r="L667">
        <f t="shared" si="105"/>
        <v>0</v>
      </c>
      <c r="M667">
        <f t="shared" si="106"/>
        <v>0</v>
      </c>
      <c r="N667">
        <f t="shared" si="107"/>
        <v>40</v>
      </c>
    </row>
    <row r="668" spans="1:14" x14ac:dyDescent="0.35">
      <c r="A668" s="5">
        <v>5147651</v>
      </c>
      <c r="B668" s="6">
        <v>42927</v>
      </c>
      <c r="C668" s="7">
        <v>0.49399305555555556</v>
      </c>
      <c r="D668" s="8">
        <v>0.4959027777777778</v>
      </c>
      <c r="E668" s="20">
        <f t="shared" si="100"/>
        <v>1.9097222222222432E-3</v>
      </c>
      <c r="F668" t="str">
        <f t="shared" si="101"/>
        <v>stacjonarny</v>
      </c>
      <c r="G668" s="23">
        <f t="shared" si="108"/>
        <v>237755</v>
      </c>
      <c r="H668">
        <f t="shared" si="109"/>
        <v>77074</v>
      </c>
      <c r="I668">
        <f t="shared" si="102"/>
        <v>0</v>
      </c>
      <c r="J668">
        <f t="shared" si="103"/>
        <v>0</v>
      </c>
      <c r="K668">
        <f t="shared" si="104"/>
        <v>314829</v>
      </c>
      <c r="L668">
        <f t="shared" si="105"/>
        <v>0</v>
      </c>
      <c r="M668">
        <f t="shared" si="106"/>
        <v>165</v>
      </c>
      <c r="N668">
        <f t="shared" si="107"/>
        <v>0</v>
      </c>
    </row>
    <row r="669" spans="1:14" x14ac:dyDescent="0.35">
      <c r="A669" s="9">
        <v>41144838</v>
      </c>
      <c r="B669" s="10">
        <v>42927</v>
      </c>
      <c r="C669" s="11">
        <v>0.49949074074074074</v>
      </c>
      <c r="D669" s="12">
        <v>0.50931712962962961</v>
      </c>
      <c r="E669" s="20">
        <f t="shared" si="100"/>
        <v>9.8263888888888706E-3</v>
      </c>
      <c r="F669" t="str">
        <f t="shared" si="101"/>
        <v>komorkowy</v>
      </c>
      <c r="G669" s="23">
        <f t="shared" si="108"/>
        <v>237755</v>
      </c>
      <c r="H669">
        <f t="shared" si="109"/>
        <v>77923</v>
      </c>
      <c r="I669">
        <f t="shared" si="102"/>
        <v>0</v>
      </c>
      <c r="J669">
        <f t="shared" si="103"/>
        <v>0</v>
      </c>
      <c r="K669">
        <f t="shared" si="104"/>
        <v>315678</v>
      </c>
      <c r="L669">
        <f t="shared" si="105"/>
        <v>0</v>
      </c>
      <c r="M669">
        <f t="shared" si="106"/>
        <v>0</v>
      </c>
      <c r="N669">
        <f t="shared" si="107"/>
        <v>849</v>
      </c>
    </row>
    <row r="670" spans="1:14" x14ac:dyDescent="0.35">
      <c r="A670" s="5">
        <v>1332513</v>
      </c>
      <c r="B670" s="6">
        <v>42927</v>
      </c>
      <c r="C670" s="7">
        <v>0.50326388888888884</v>
      </c>
      <c r="D670" s="8">
        <v>0.50407407407407412</v>
      </c>
      <c r="E670" s="20">
        <f t="shared" si="100"/>
        <v>8.1018518518527483E-4</v>
      </c>
      <c r="F670" t="str">
        <f t="shared" si="101"/>
        <v>stacjonarny</v>
      </c>
      <c r="G670" s="23">
        <f t="shared" si="108"/>
        <v>237825</v>
      </c>
      <c r="H670">
        <f t="shared" si="109"/>
        <v>77923</v>
      </c>
      <c r="I670">
        <f t="shared" si="102"/>
        <v>0</v>
      </c>
      <c r="J670">
        <f t="shared" si="103"/>
        <v>0</v>
      </c>
      <c r="K670">
        <f t="shared" si="104"/>
        <v>315748</v>
      </c>
      <c r="L670">
        <f t="shared" si="105"/>
        <v>0</v>
      </c>
      <c r="M670">
        <f t="shared" si="106"/>
        <v>70</v>
      </c>
      <c r="N670">
        <f t="shared" si="107"/>
        <v>0</v>
      </c>
    </row>
    <row r="671" spans="1:14" x14ac:dyDescent="0.35">
      <c r="A671" s="9">
        <v>7743548</v>
      </c>
      <c r="B671" s="10">
        <v>42927</v>
      </c>
      <c r="C671" s="11">
        <v>0.50376157407407407</v>
      </c>
      <c r="D671" s="12">
        <v>0.50907407407407412</v>
      </c>
      <c r="E671" s="20">
        <f t="shared" si="100"/>
        <v>5.3125000000000533E-3</v>
      </c>
      <c r="F671" t="str">
        <f t="shared" si="101"/>
        <v>stacjonarny</v>
      </c>
      <c r="G671" s="23">
        <f t="shared" si="108"/>
        <v>238284</v>
      </c>
      <c r="H671">
        <f t="shared" si="109"/>
        <v>77923</v>
      </c>
      <c r="I671">
        <f t="shared" si="102"/>
        <v>0</v>
      </c>
      <c r="J671">
        <f t="shared" si="103"/>
        <v>0</v>
      </c>
      <c r="K671">
        <f t="shared" si="104"/>
        <v>316207</v>
      </c>
      <c r="L671">
        <f t="shared" si="105"/>
        <v>0</v>
      </c>
      <c r="M671">
        <f t="shared" si="106"/>
        <v>459</v>
      </c>
      <c r="N671">
        <f t="shared" si="107"/>
        <v>0</v>
      </c>
    </row>
    <row r="672" spans="1:14" x14ac:dyDescent="0.35">
      <c r="A672" s="5">
        <v>7451541965</v>
      </c>
      <c r="B672" s="6">
        <v>42927</v>
      </c>
      <c r="C672" s="7">
        <v>0.50866898148148143</v>
      </c>
      <c r="D672" s="8">
        <v>0.51324074074074078</v>
      </c>
      <c r="E672" s="20">
        <f t="shared" si="100"/>
        <v>4.5717592592593448E-3</v>
      </c>
      <c r="F672" t="str">
        <f t="shared" si="101"/>
        <v>zagraniczny</v>
      </c>
      <c r="G672" s="23">
        <f t="shared" si="108"/>
        <v>238284</v>
      </c>
      <c r="H672">
        <f t="shared" si="109"/>
        <v>77923</v>
      </c>
      <c r="I672">
        <f t="shared" si="102"/>
        <v>395</v>
      </c>
      <c r="J672">
        <f t="shared" si="103"/>
        <v>7</v>
      </c>
      <c r="K672">
        <f t="shared" si="104"/>
        <v>316207</v>
      </c>
      <c r="L672">
        <f t="shared" si="105"/>
        <v>0</v>
      </c>
      <c r="M672">
        <f t="shared" si="106"/>
        <v>0</v>
      </c>
      <c r="N672">
        <f t="shared" si="107"/>
        <v>0</v>
      </c>
    </row>
    <row r="673" spans="1:14" x14ac:dyDescent="0.35">
      <c r="A673" s="9">
        <v>2109147679</v>
      </c>
      <c r="B673" s="10">
        <v>42927</v>
      </c>
      <c r="C673" s="11">
        <v>0.51282407407407404</v>
      </c>
      <c r="D673" s="12">
        <v>0.51666666666666672</v>
      </c>
      <c r="E673" s="20">
        <f t="shared" si="100"/>
        <v>3.8425925925926752E-3</v>
      </c>
      <c r="F673" t="str">
        <f t="shared" si="101"/>
        <v>zagraniczny</v>
      </c>
      <c r="G673" s="23">
        <f t="shared" si="108"/>
        <v>238284</v>
      </c>
      <c r="H673">
        <f t="shared" si="109"/>
        <v>77923</v>
      </c>
      <c r="I673">
        <f t="shared" si="102"/>
        <v>332</v>
      </c>
      <c r="J673">
        <f t="shared" si="103"/>
        <v>6</v>
      </c>
      <c r="K673">
        <f t="shared" si="104"/>
        <v>316207</v>
      </c>
      <c r="L673">
        <f t="shared" si="105"/>
        <v>0</v>
      </c>
      <c r="M673">
        <f t="shared" si="106"/>
        <v>0</v>
      </c>
      <c r="N673">
        <f t="shared" si="107"/>
        <v>0</v>
      </c>
    </row>
    <row r="674" spans="1:14" x14ac:dyDescent="0.35">
      <c r="A674" s="5">
        <v>5022247</v>
      </c>
      <c r="B674" s="6">
        <v>42927</v>
      </c>
      <c r="C674" s="7">
        <v>0.51854166666666668</v>
      </c>
      <c r="D674" s="8">
        <v>0.52810185185185188</v>
      </c>
      <c r="E674" s="20">
        <f t="shared" si="100"/>
        <v>9.5601851851851993E-3</v>
      </c>
      <c r="F674" t="str">
        <f t="shared" si="101"/>
        <v>stacjonarny</v>
      </c>
      <c r="G674" s="23">
        <f t="shared" si="108"/>
        <v>239110</v>
      </c>
      <c r="H674">
        <f t="shared" si="109"/>
        <v>77923</v>
      </c>
      <c r="I674">
        <f t="shared" si="102"/>
        <v>0</v>
      </c>
      <c r="J674">
        <f t="shared" si="103"/>
        <v>0</v>
      </c>
      <c r="K674">
        <f t="shared" si="104"/>
        <v>317033</v>
      </c>
      <c r="L674">
        <f t="shared" si="105"/>
        <v>0</v>
      </c>
      <c r="M674">
        <f t="shared" si="106"/>
        <v>826</v>
      </c>
      <c r="N674">
        <f t="shared" si="107"/>
        <v>0</v>
      </c>
    </row>
    <row r="675" spans="1:14" x14ac:dyDescent="0.35">
      <c r="A675" s="9">
        <v>2920581</v>
      </c>
      <c r="B675" s="10">
        <v>42927</v>
      </c>
      <c r="C675" s="11">
        <v>0.52399305555555553</v>
      </c>
      <c r="D675" s="12">
        <v>0.53120370370370373</v>
      </c>
      <c r="E675" s="20">
        <f t="shared" si="100"/>
        <v>7.2106481481482021E-3</v>
      </c>
      <c r="F675" t="str">
        <f t="shared" si="101"/>
        <v>stacjonarny</v>
      </c>
      <c r="G675" s="23">
        <f t="shared" si="108"/>
        <v>239733</v>
      </c>
      <c r="H675">
        <f t="shared" si="109"/>
        <v>77923</v>
      </c>
      <c r="I675">
        <f t="shared" si="102"/>
        <v>0</v>
      </c>
      <c r="J675">
        <f t="shared" si="103"/>
        <v>0</v>
      </c>
      <c r="K675">
        <f t="shared" si="104"/>
        <v>317656</v>
      </c>
      <c r="L675">
        <f t="shared" si="105"/>
        <v>0</v>
      </c>
      <c r="M675">
        <f t="shared" si="106"/>
        <v>623</v>
      </c>
      <c r="N675">
        <f t="shared" si="107"/>
        <v>0</v>
      </c>
    </row>
    <row r="676" spans="1:14" x14ac:dyDescent="0.35">
      <c r="A676" s="5">
        <v>7126980</v>
      </c>
      <c r="B676" s="6">
        <v>42927</v>
      </c>
      <c r="C676" s="7">
        <v>0.52592592592592591</v>
      </c>
      <c r="D676" s="8">
        <v>0.53515046296296298</v>
      </c>
      <c r="E676" s="20">
        <f t="shared" si="100"/>
        <v>9.2245370370370727E-3</v>
      </c>
      <c r="F676" t="str">
        <f t="shared" si="101"/>
        <v>stacjonarny</v>
      </c>
      <c r="G676" s="23">
        <f t="shared" si="108"/>
        <v>240530</v>
      </c>
      <c r="H676">
        <f t="shared" si="109"/>
        <v>77923</v>
      </c>
      <c r="I676">
        <f t="shared" si="102"/>
        <v>0</v>
      </c>
      <c r="J676">
        <f t="shared" si="103"/>
        <v>0</v>
      </c>
      <c r="K676">
        <f t="shared" si="104"/>
        <v>318453</v>
      </c>
      <c r="L676">
        <f t="shared" si="105"/>
        <v>0</v>
      </c>
      <c r="M676">
        <f t="shared" si="106"/>
        <v>797</v>
      </c>
      <c r="N676">
        <f t="shared" si="107"/>
        <v>0</v>
      </c>
    </row>
    <row r="677" spans="1:14" x14ac:dyDescent="0.35">
      <c r="A677" s="9">
        <v>54006070</v>
      </c>
      <c r="B677" s="10">
        <v>42927</v>
      </c>
      <c r="C677" s="11">
        <v>0.53164351851851854</v>
      </c>
      <c r="D677" s="12">
        <v>0.53324074074074079</v>
      </c>
      <c r="E677" s="20">
        <f t="shared" si="100"/>
        <v>1.5972222222222499E-3</v>
      </c>
      <c r="F677" t="str">
        <f t="shared" si="101"/>
        <v>komorkowy</v>
      </c>
      <c r="G677" s="23">
        <f t="shared" si="108"/>
        <v>240530</v>
      </c>
      <c r="H677">
        <f t="shared" si="109"/>
        <v>78061</v>
      </c>
      <c r="I677">
        <f t="shared" si="102"/>
        <v>0</v>
      </c>
      <c r="J677">
        <f t="shared" si="103"/>
        <v>0</v>
      </c>
      <c r="K677">
        <f t="shared" si="104"/>
        <v>318591</v>
      </c>
      <c r="L677">
        <f t="shared" si="105"/>
        <v>0</v>
      </c>
      <c r="M677">
        <f t="shared" si="106"/>
        <v>0</v>
      </c>
      <c r="N677">
        <f t="shared" si="107"/>
        <v>138</v>
      </c>
    </row>
    <row r="678" spans="1:14" x14ac:dyDescent="0.35">
      <c r="A678" s="5">
        <v>8672651</v>
      </c>
      <c r="B678" s="6">
        <v>42927</v>
      </c>
      <c r="C678" s="7">
        <v>0.53401620370370373</v>
      </c>
      <c r="D678" s="8">
        <v>0.54462962962962957</v>
      </c>
      <c r="E678" s="20">
        <f t="shared" si="100"/>
        <v>1.0613425925925846E-2</v>
      </c>
      <c r="F678" t="str">
        <f t="shared" si="101"/>
        <v>stacjonarny</v>
      </c>
      <c r="G678" s="23">
        <f t="shared" si="108"/>
        <v>241447</v>
      </c>
      <c r="H678">
        <f t="shared" si="109"/>
        <v>78061</v>
      </c>
      <c r="I678">
        <f t="shared" si="102"/>
        <v>0</v>
      </c>
      <c r="J678">
        <f t="shared" si="103"/>
        <v>0</v>
      </c>
      <c r="K678">
        <f t="shared" si="104"/>
        <v>319508</v>
      </c>
      <c r="L678">
        <f t="shared" si="105"/>
        <v>0</v>
      </c>
      <c r="M678">
        <f t="shared" si="106"/>
        <v>917</v>
      </c>
      <c r="N678">
        <f t="shared" si="107"/>
        <v>0</v>
      </c>
    </row>
    <row r="679" spans="1:14" x14ac:dyDescent="0.35">
      <c r="A679" s="9">
        <v>54136845</v>
      </c>
      <c r="B679" s="10">
        <v>42927</v>
      </c>
      <c r="C679" s="11">
        <v>0.53920138888888891</v>
      </c>
      <c r="D679" s="12">
        <v>0.54092592592592592</v>
      </c>
      <c r="E679" s="20">
        <f t="shared" si="100"/>
        <v>1.7245370370370106E-3</v>
      </c>
      <c r="F679" t="str">
        <f t="shared" si="101"/>
        <v>komorkowy</v>
      </c>
      <c r="G679" s="23">
        <f t="shared" si="108"/>
        <v>241447</v>
      </c>
      <c r="H679">
        <f t="shared" si="109"/>
        <v>78210</v>
      </c>
      <c r="I679">
        <f t="shared" si="102"/>
        <v>0</v>
      </c>
      <c r="J679">
        <f t="shared" si="103"/>
        <v>0</v>
      </c>
      <c r="K679">
        <f t="shared" si="104"/>
        <v>319657</v>
      </c>
      <c r="L679">
        <f t="shared" si="105"/>
        <v>0</v>
      </c>
      <c r="M679">
        <f t="shared" si="106"/>
        <v>0</v>
      </c>
      <c r="N679">
        <f t="shared" si="107"/>
        <v>149</v>
      </c>
    </row>
    <row r="680" spans="1:14" x14ac:dyDescent="0.35">
      <c r="A680" s="5">
        <v>5223970</v>
      </c>
      <c r="B680" s="6">
        <v>42927</v>
      </c>
      <c r="C680" s="7">
        <v>0.53920138888888891</v>
      </c>
      <c r="D680" s="8">
        <v>0.55046296296296293</v>
      </c>
      <c r="E680" s="20">
        <f t="shared" si="100"/>
        <v>1.1261574074074021E-2</v>
      </c>
      <c r="F680" t="str">
        <f t="shared" si="101"/>
        <v>stacjonarny</v>
      </c>
      <c r="G680" s="23">
        <f t="shared" si="108"/>
        <v>242420</v>
      </c>
      <c r="H680">
        <f t="shared" si="109"/>
        <v>78210</v>
      </c>
      <c r="I680">
        <f t="shared" si="102"/>
        <v>0</v>
      </c>
      <c r="J680">
        <f t="shared" si="103"/>
        <v>0</v>
      </c>
      <c r="K680">
        <f t="shared" si="104"/>
        <v>320630</v>
      </c>
      <c r="L680">
        <f t="shared" si="105"/>
        <v>0</v>
      </c>
      <c r="M680">
        <f t="shared" si="106"/>
        <v>973</v>
      </c>
      <c r="N680">
        <f t="shared" si="107"/>
        <v>0</v>
      </c>
    </row>
    <row r="681" spans="1:14" x14ac:dyDescent="0.35">
      <c r="A681" s="9">
        <v>4264808</v>
      </c>
      <c r="B681" s="10">
        <v>42927</v>
      </c>
      <c r="C681" s="11">
        <v>0.53950231481481481</v>
      </c>
      <c r="D681" s="12">
        <v>0.55071759259259256</v>
      </c>
      <c r="E681" s="20">
        <f t="shared" si="100"/>
        <v>1.1215277777777755E-2</v>
      </c>
      <c r="F681" t="str">
        <f t="shared" si="101"/>
        <v>stacjonarny</v>
      </c>
      <c r="G681" s="23">
        <f t="shared" si="108"/>
        <v>243389</v>
      </c>
      <c r="H681">
        <f t="shared" si="109"/>
        <v>78210</v>
      </c>
      <c r="I681">
        <f t="shared" si="102"/>
        <v>0</v>
      </c>
      <c r="J681">
        <f t="shared" si="103"/>
        <v>0</v>
      </c>
      <c r="K681">
        <f t="shared" si="104"/>
        <v>321599</v>
      </c>
      <c r="L681">
        <f t="shared" si="105"/>
        <v>0</v>
      </c>
      <c r="M681">
        <f t="shared" si="106"/>
        <v>969</v>
      </c>
      <c r="N681">
        <f t="shared" si="107"/>
        <v>0</v>
      </c>
    </row>
    <row r="682" spans="1:14" x14ac:dyDescent="0.35">
      <c r="A682" s="5">
        <v>5790304</v>
      </c>
      <c r="B682" s="6">
        <v>42927</v>
      </c>
      <c r="C682" s="7">
        <v>0.539525462962963</v>
      </c>
      <c r="D682" s="8">
        <v>0.54025462962962967</v>
      </c>
      <c r="E682" s="20">
        <f t="shared" si="100"/>
        <v>7.2916666666666963E-4</v>
      </c>
      <c r="F682" t="str">
        <f t="shared" si="101"/>
        <v>stacjonarny</v>
      </c>
      <c r="G682" s="23">
        <f t="shared" si="108"/>
        <v>243452</v>
      </c>
      <c r="H682">
        <f t="shared" si="109"/>
        <v>78210</v>
      </c>
      <c r="I682">
        <f t="shared" si="102"/>
        <v>0</v>
      </c>
      <c r="J682">
        <f t="shared" si="103"/>
        <v>0</v>
      </c>
      <c r="K682">
        <f t="shared" si="104"/>
        <v>321662</v>
      </c>
      <c r="L682">
        <f t="shared" si="105"/>
        <v>0</v>
      </c>
      <c r="M682">
        <f t="shared" si="106"/>
        <v>63</v>
      </c>
      <c r="N682">
        <f t="shared" si="107"/>
        <v>0</v>
      </c>
    </row>
    <row r="683" spans="1:14" x14ac:dyDescent="0.35">
      <c r="A683" s="9">
        <v>13484133</v>
      </c>
      <c r="B683" s="10">
        <v>42927</v>
      </c>
      <c r="C683" s="11">
        <v>0.54137731481481477</v>
      </c>
      <c r="D683" s="12">
        <v>0.54577546296296298</v>
      </c>
      <c r="E683" s="20">
        <f t="shared" si="100"/>
        <v>4.3981481481482065E-3</v>
      </c>
      <c r="F683" t="str">
        <f t="shared" si="101"/>
        <v>komorkowy</v>
      </c>
      <c r="G683" s="23">
        <f t="shared" si="108"/>
        <v>243452</v>
      </c>
      <c r="H683">
        <f t="shared" si="109"/>
        <v>78590</v>
      </c>
      <c r="I683">
        <f t="shared" si="102"/>
        <v>0</v>
      </c>
      <c r="J683">
        <f t="shared" si="103"/>
        <v>0</v>
      </c>
      <c r="K683">
        <f t="shared" si="104"/>
        <v>322042</v>
      </c>
      <c r="L683">
        <f t="shared" si="105"/>
        <v>0</v>
      </c>
      <c r="M683">
        <f t="shared" si="106"/>
        <v>0</v>
      </c>
      <c r="N683">
        <f t="shared" si="107"/>
        <v>380</v>
      </c>
    </row>
    <row r="684" spans="1:14" x14ac:dyDescent="0.35">
      <c r="A684" s="5">
        <v>6269166</v>
      </c>
      <c r="B684" s="6">
        <v>42927</v>
      </c>
      <c r="C684" s="7">
        <v>0.54408564814814819</v>
      </c>
      <c r="D684" s="8">
        <v>0.55355324074074075</v>
      </c>
      <c r="E684" s="20">
        <f t="shared" si="100"/>
        <v>9.4675925925925553E-3</v>
      </c>
      <c r="F684" t="str">
        <f t="shared" si="101"/>
        <v>stacjonarny</v>
      </c>
      <c r="G684" s="23">
        <f t="shared" si="108"/>
        <v>244270</v>
      </c>
      <c r="H684">
        <f t="shared" si="109"/>
        <v>78590</v>
      </c>
      <c r="I684">
        <f t="shared" si="102"/>
        <v>0</v>
      </c>
      <c r="J684">
        <f t="shared" si="103"/>
        <v>0</v>
      </c>
      <c r="K684">
        <f t="shared" si="104"/>
        <v>322860</v>
      </c>
      <c r="L684">
        <f t="shared" si="105"/>
        <v>0</v>
      </c>
      <c r="M684">
        <f t="shared" si="106"/>
        <v>818</v>
      </c>
      <c r="N684">
        <f t="shared" si="107"/>
        <v>0</v>
      </c>
    </row>
    <row r="685" spans="1:14" x14ac:dyDescent="0.35">
      <c r="A685" s="9">
        <v>5089019</v>
      </c>
      <c r="B685" s="10">
        <v>42927</v>
      </c>
      <c r="C685" s="11">
        <v>0.54431712962962964</v>
      </c>
      <c r="D685" s="12">
        <v>0.54921296296296296</v>
      </c>
      <c r="E685" s="20">
        <f t="shared" si="100"/>
        <v>4.8958333333333215E-3</v>
      </c>
      <c r="F685" t="str">
        <f t="shared" si="101"/>
        <v>stacjonarny</v>
      </c>
      <c r="G685" s="23">
        <f t="shared" si="108"/>
        <v>244693</v>
      </c>
      <c r="H685">
        <f t="shared" si="109"/>
        <v>78590</v>
      </c>
      <c r="I685">
        <f t="shared" si="102"/>
        <v>0</v>
      </c>
      <c r="J685">
        <f t="shared" si="103"/>
        <v>0</v>
      </c>
      <c r="K685">
        <f t="shared" si="104"/>
        <v>323283</v>
      </c>
      <c r="L685">
        <f t="shared" si="105"/>
        <v>0</v>
      </c>
      <c r="M685">
        <f t="shared" si="106"/>
        <v>423</v>
      </c>
      <c r="N685">
        <f t="shared" si="107"/>
        <v>0</v>
      </c>
    </row>
    <row r="686" spans="1:14" x14ac:dyDescent="0.35">
      <c r="A686" s="5">
        <v>6994188</v>
      </c>
      <c r="B686" s="6">
        <v>42927</v>
      </c>
      <c r="C686" s="7">
        <v>0.54797453703703702</v>
      </c>
      <c r="D686" s="8">
        <v>0.55550925925925931</v>
      </c>
      <c r="E686" s="20">
        <f t="shared" si="100"/>
        <v>7.5347222222222898E-3</v>
      </c>
      <c r="F686" t="str">
        <f t="shared" si="101"/>
        <v>stacjonarny</v>
      </c>
      <c r="G686" s="23">
        <f t="shared" si="108"/>
        <v>245344</v>
      </c>
      <c r="H686">
        <f t="shared" si="109"/>
        <v>78590</v>
      </c>
      <c r="I686">
        <f t="shared" si="102"/>
        <v>0</v>
      </c>
      <c r="J686">
        <f t="shared" si="103"/>
        <v>0</v>
      </c>
      <c r="K686">
        <f t="shared" si="104"/>
        <v>323934</v>
      </c>
      <c r="L686">
        <f t="shared" si="105"/>
        <v>0</v>
      </c>
      <c r="M686">
        <f t="shared" si="106"/>
        <v>651</v>
      </c>
      <c r="N686">
        <f t="shared" si="107"/>
        <v>0</v>
      </c>
    </row>
    <row r="687" spans="1:14" x14ac:dyDescent="0.35">
      <c r="A687" s="9">
        <v>16883712</v>
      </c>
      <c r="B687" s="10">
        <v>42927</v>
      </c>
      <c r="C687" s="11">
        <v>0.55070601851851853</v>
      </c>
      <c r="D687" s="12">
        <v>0.55662037037037038</v>
      </c>
      <c r="E687" s="20">
        <f t="shared" si="100"/>
        <v>5.9143518518518512E-3</v>
      </c>
      <c r="F687" t="str">
        <f t="shared" si="101"/>
        <v>komorkowy</v>
      </c>
      <c r="G687" s="23">
        <f t="shared" si="108"/>
        <v>245344</v>
      </c>
      <c r="H687">
        <f t="shared" si="109"/>
        <v>79101</v>
      </c>
      <c r="I687">
        <f t="shared" si="102"/>
        <v>0</v>
      </c>
      <c r="J687">
        <f t="shared" si="103"/>
        <v>0</v>
      </c>
      <c r="K687">
        <f t="shared" si="104"/>
        <v>324445</v>
      </c>
      <c r="L687">
        <f t="shared" si="105"/>
        <v>0</v>
      </c>
      <c r="M687">
        <f t="shared" si="106"/>
        <v>0</v>
      </c>
      <c r="N687">
        <f t="shared" si="107"/>
        <v>511</v>
      </c>
    </row>
    <row r="688" spans="1:14" x14ac:dyDescent="0.35">
      <c r="A688" s="5">
        <v>2781512</v>
      </c>
      <c r="B688" s="6">
        <v>42927</v>
      </c>
      <c r="C688" s="7">
        <v>0.55374999999999996</v>
      </c>
      <c r="D688" s="8">
        <v>0.56312499999999999</v>
      </c>
      <c r="E688" s="20">
        <f t="shared" si="100"/>
        <v>9.3750000000000222E-3</v>
      </c>
      <c r="F688" t="str">
        <f t="shared" si="101"/>
        <v>stacjonarny</v>
      </c>
      <c r="G688" s="23">
        <f t="shared" si="108"/>
        <v>246154</v>
      </c>
      <c r="H688">
        <f t="shared" si="109"/>
        <v>79101</v>
      </c>
      <c r="I688">
        <f t="shared" si="102"/>
        <v>0</v>
      </c>
      <c r="J688">
        <f t="shared" si="103"/>
        <v>0</v>
      </c>
      <c r="K688">
        <f t="shared" si="104"/>
        <v>325255</v>
      </c>
      <c r="L688">
        <f t="shared" si="105"/>
        <v>0</v>
      </c>
      <c r="M688">
        <f t="shared" si="106"/>
        <v>810</v>
      </c>
      <c r="N688">
        <f t="shared" si="107"/>
        <v>0</v>
      </c>
    </row>
    <row r="689" spans="1:14" x14ac:dyDescent="0.35">
      <c r="A689" s="9">
        <v>4273704</v>
      </c>
      <c r="B689" s="10">
        <v>42927</v>
      </c>
      <c r="C689" s="11">
        <v>0.554224537037037</v>
      </c>
      <c r="D689" s="12">
        <v>0.56221064814814814</v>
      </c>
      <c r="E689" s="20">
        <f t="shared" si="100"/>
        <v>7.9861111111111382E-3</v>
      </c>
      <c r="F689" t="str">
        <f t="shared" si="101"/>
        <v>stacjonarny</v>
      </c>
      <c r="G689" s="23">
        <f t="shared" si="108"/>
        <v>246844</v>
      </c>
      <c r="H689">
        <f t="shared" si="109"/>
        <v>79101</v>
      </c>
      <c r="I689">
        <f t="shared" si="102"/>
        <v>0</v>
      </c>
      <c r="J689">
        <f t="shared" si="103"/>
        <v>0</v>
      </c>
      <c r="K689">
        <f t="shared" si="104"/>
        <v>325945</v>
      </c>
      <c r="L689">
        <f t="shared" si="105"/>
        <v>0</v>
      </c>
      <c r="M689">
        <f t="shared" si="106"/>
        <v>690</v>
      </c>
      <c r="N689">
        <f t="shared" si="107"/>
        <v>0</v>
      </c>
    </row>
    <row r="690" spans="1:14" x14ac:dyDescent="0.35">
      <c r="A690" s="5">
        <v>3707498</v>
      </c>
      <c r="B690" s="6">
        <v>42927</v>
      </c>
      <c r="C690" s="7">
        <v>0.55982638888888892</v>
      </c>
      <c r="D690" s="8">
        <v>0.56802083333333331</v>
      </c>
      <c r="E690" s="20">
        <f t="shared" si="100"/>
        <v>8.1944444444443931E-3</v>
      </c>
      <c r="F690" t="str">
        <f t="shared" si="101"/>
        <v>stacjonarny</v>
      </c>
      <c r="G690" s="23">
        <f t="shared" si="108"/>
        <v>247552</v>
      </c>
      <c r="H690">
        <f t="shared" si="109"/>
        <v>79101</v>
      </c>
      <c r="I690">
        <f t="shared" si="102"/>
        <v>0</v>
      </c>
      <c r="J690">
        <f t="shared" si="103"/>
        <v>0</v>
      </c>
      <c r="K690">
        <f t="shared" si="104"/>
        <v>326653</v>
      </c>
      <c r="L690">
        <f t="shared" si="105"/>
        <v>0</v>
      </c>
      <c r="M690">
        <f t="shared" si="106"/>
        <v>708</v>
      </c>
      <c r="N690">
        <f t="shared" si="107"/>
        <v>0</v>
      </c>
    </row>
    <row r="691" spans="1:14" x14ac:dyDescent="0.35">
      <c r="A691" s="9">
        <v>3407358</v>
      </c>
      <c r="B691" s="10">
        <v>42927</v>
      </c>
      <c r="C691" s="11">
        <v>0.56560185185185186</v>
      </c>
      <c r="D691" s="12">
        <v>0.56677083333333333</v>
      </c>
      <c r="E691" s="20">
        <f t="shared" si="100"/>
        <v>1.1689814814814792E-3</v>
      </c>
      <c r="F691" t="str">
        <f t="shared" si="101"/>
        <v>stacjonarny</v>
      </c>
      <c r="G691" s="23">
        <f t="shared" si="108"/>
        <v>247653</v>
      </c>
      <c r="H691">
        <f t="shared" si="109"/>
        <v>79101</v>
      </c>
      <c r="I691">
        <f t="shared" si="102"/>
        <v>0</v>
      </c>
      <c r="J691">
        <f t="shared" si="103"/>
        <v>0</v>
      </c>
      <c r="K691">
        <f t="shared" si="104"/>
        <v>326754</v>
      </c>
      <c r="L691">
        <f t="shared" si="105"/>
        <v>0</v>
      </c>
      <c r="M691">
        <f t="shared" si="106"/>
        <v>101</v>
      </c>
      <c r="N691">
        <f t="shared" si="107"/>
        <v>0</v>
      </c>
    </row>
    <row r="692" spans="1:14" x14ac:dyDescent="0.35">
      <c r="A692" s="5">
        <v>5251861</v>
      </c>
      <c r="B692" s="6">
        <v>42927</v>
      </c>
      <c r="C692" s="7">
        <v>0.56940972222222219</v>
      </c>
      <c r="D692" s="8">
        <v>0.57149305555555552</v>
      </c>
      <c r="E692" s="20">
        <f t="shared" si="100"/>
        <v>2.0833333333333259E-3</v>
      </c>
      <c r="F692" t="str">
        <f t="shared" si="101"/>
        <v>stacjonarny</v>
      </c>
      <c r="G692" s="23">
        <f t="shared" si="108"/>
        <v>247833</v>
      </c>
      <c r="H692">
        <f t="shared" si="109"/>
        <v>79101</v>
      </c>
      <c r="I692">
        <f t="shared" si="102"/>
        <v>0</v>
      </c>
      <c r="J692">
        <f t="shared" si="103"/>
        <v>0</v>
      </c>
      <c r="K692">
        <f t="shared" si="104"/>
        <v>326934</v>
      </c>
      <c r="L692">
        <f t="shared" si="105"/>
        <v>0</v>
      </c>
      <c r="M692">
        <f t="shared" si="106"/>
        <v>180</v>
      </c>
      <c r="N692">
        <f t="shared" si="107"/>
        <v>0</v>
      </c>
    </row>
    <row r="693" spans="1:14" x14ac:dyDescent="0.35">
      <c r="A693" s="9">
        <v>7473070</v>
      </c>
      <c r="B693" s="10">
        <v>42927</v>
      </c>
      <c r="C693" s="11">
        <v>0.57185185185185183</v>
      </c>
      <c r="D693" s="12">
        <v>0.58304398148148151</v>
      </c>
      <c r="E693" s="20">
        <f t="shared" si="100"/>
        <v>1.1192129629629677E-2</v>
      </c>
      <c r="F693" t="str">
        <f t="shared" si="101"/>
        <v>stacjonarny</v>
      </c>
      <c r="G693" s="23">
        <f t="shared" si="108"/>
        <v>248800</v>
      </c>
      <c r="H693">
        <f t="shared" si="109"/>
        <v>79101</v>
      </c>
      <c r="I693">
        <f t="shared" si="102"/>
        <v>0</v>
      </c>
      <c r="J693">
        <f t="shared" si="103"/>
        <v>0</v>
      </c>
      <c r="K693">
        <f t="shared" si="104"/>
        <v>327901</v>
      </c>
      <c r="L693">
        <f t="shared" si="105"/>
        <v>0</v>
      </c>
      <c r="M693">
        <f t="shared" si="106"/>
        <v>967</v>
      </c>
      <c r="N693">
        <f t="shared" si="107"/>
        <v>0</v>
      </c>
    </row>
    <row r="694" spans="1:14" x14ac:dyDescent="0.35">
      <c r="A694" s="5">
        <v>3596504</v>
      </c>
      <c r="B694" s="6">
        <v>42927</v>
      </c>
      <c r="C694" s="7">
        <v>0.57592592592592595</v>
      </c>
      <c r="D694" s="8">
        <v>0.58302083333333332</v>
      </c>
      <c r="E694" s="20">
        <f t="shared" si="100"/>
        <v>7.0949074074073692E-3</v>
      </c>
      <c r="F694" t="str">
        <f t="shared" si="101"/>
        <v>stacjonarny</v>
      </c>
      <c r="G694" s="23">
        <f t="shared" si="108"/>
        <v>249413</v>
      </c>
      <c r="H694">
        <f t="shared" si="109"/>
        <v>79101</v>
      </c>
      <c r="I694">
        <f t="shared" si="102"/>
        <v>0</v>
      </c>
      <c r="J694">
        <f t="shared" si="103"/>
        <v>0</v>
      </c>
      <c r="K694">
        <f t="shared" si="104"/>
        <v>328514</v>
      </c>
      <c r="L694">
        <f t="shared" si="105"/>
        <v>0</v>
      </c>
      <c r="M694">
        <f t="shared" si="106"/>
        <v>613</v>
      </c>
      <c r="N694">
        <f t="shared" si="107"/>
        <v>0</v>
      </c>
    </row>
    <row r="695" spans="1:14" x14ac:dyDescent="0.35">
      <c r="A695" s="9">
        <v>9620982</v>
      </c>
      <c r="B695" s="10">
        <v>42927</v>
      </c>
      <c r="C695" s="11">
        <v>0.57593749999999999</v>
      </c>
      <c r="D695" s="12">
        <v>0.58310185185185182</v>
      </c>
      <c r="E695" s="20">
        <f t="shared" si="100"/>
        <v>7.1643518518518245E-3</v>
      </c>
      <c r="F695" t="str">
        <f t="shared" si="101"/>
        <v>stacjonarny</v>
      </c>
      <c r="G695" s="23">
        <f t="shared" si="108"/>
        <v>250032</v>
      </c>
      <c r="H695">
        <f t="shared" si="109"/>
        <v>79101</v>
      </c>
      <c r="I695">
        <f t="shared" si="102"/>
        <v>0</v>
      </c>
      <c r="J695">
        <f t="shared" si="103"/>
        <v>0</v>
      </c>
      <c r="K695">
        <f t="shared" si="104"/>
        <v>329133</v>
      </c>
      <c r="L695">
        <f t="shared" si="105"/>
        <v>0</v>
      </c>
      <c r="M695">
        <f t="shared" si="106"/>
        <v>619</v>
      </c>
      <c r="N695">
        <f t="shared" si="107"/>
        <v>0</v>
      </c>
    </row>
    <row r="696" spans="1:14" x14ac:dyDescent="0.35">
      <c r="A696" s="5">
        <v>93696449</v>
      </c>
      <c r="B696" s="6">
        <v>42927</v>
      </c>
      <c r="C696" s="7">
        <v>0.57939814814814816</v>
      </c>
      <c r="D696" s="8">
        <v>0.5795717592592593</v>
      </c>
      <c r="E696" s="20">
        <f t="shared" si="100"/>
        <v>1.7361111111113825E-4</v>
      </c>
      <c r="F696" t="str">
        <f t="shared" si="101"/>
        <v>komorkowy</v>
      </c>
      <c r="G696" s="23">
        <f t="shared" si="108"/>
        <v>250032</v>
      </c>
      <c r="H696">
        <f t="shared" si="109"/>
        <v>79116</v>
      </c>
      <c r="I696">
        <f t="shared" si="102"/>
        <v>0</v>
      </c>
      <c r="J696">
        <f t="shared" si="103"/>
        <v>0</v>
      </c>
      <c r="K696">
        <f t="shared" si="104"/>
        <v>329148</v>
      </c>
      <c r="L696">
        <f t="shared" si="105"/>
        <v>0</v>
      </c>
      <c r="M696">
        <f t="shared" si="106"/>
        <v>0</v>
      </c>
      <c r="N696">
        <f t="shared" si="107"/>
        <v>15</v>
      </c>
    </row>
    <row r="697" spans="1:14" x14ac:dyDescent="0.35">
      <c r="A697" s="9">
        <v>6833658</v>
      </c>
      <c r="B697" s="10">
        <v>42927</v>
      </c>
      <c r="C697" s="11">
        <v>0.5823842592592593</v>
      </c>
      <c r="D697" s="12">
        <v>0.58479166666666671</v>
      </c>
      <c r="E697" s="20">
        <f t="shared" si="100"/>
        <v>2.4074074074074137E-3</v>
      </c>
      <c r="F697" t="str">
        <f t="shared" si="101"/>
        <v>stacjonarny</v>
      </c>
      <c r="G697" s="23">
        <f t="shared" si="108"/>
        <v>250240</v>
      </c>
      <c r="H697">
        <f t="shared" si="109"/>
        <v>79116</v>
      </c>
      <c r="I697">
        <f t="shared" si="102"/>
        <v>0</v>
      </c>
      <c r="J697">
        <f t="shared" si="103"/>
        <v>0</v>
      </c>
      <c r="K697">
        <f t="shared" si="104"/>
        <v>329356</v>
      </c>
      <c r="L697">
        <f t="shared" si="105"/>
        <v>0</v>
      </c>
      <c r="M697">
        <f t="shared" si="106"/>
        <v>208</v>
      </c>
      <c r="N697">
        <f t="shared" si="107"/>
        <v>0</v>
      </c>
    </row>
    <row r="698" spans="1:14" x14ac:dyDescent="0.35">
      <c r="A698" s="5">
        <v>85422307</v>
      </c>
      <c r="B698" s="6">
        <v>42927</v>
      </c>
      <c r="C698" s="7">
        <v>0.58656249999999999</v>
      </c>
      <c r="D698" s="8">
        <v>0.59008101851851846</v>
      </c>
      <c r="E698" s="20">
        <f t="shared" si="100"/>
        <v>3.5185185185184764E-3</v>
      </c>
      <c r="F698" t="str">
        <f t="shared" si="101"/>
        <v>komorkowy</v>
      </c>
      <c r="G698" s="23">
        <f t="shared" si="108"/>
        <v>250240</v>
      </c>
      <c r="H698">
        <f t="shared" si="109"/>
        <v>79420</v>
      </c>
      <c r="I698">
        <f t="shared" si="102"/>
        <v>0</v>
      </c>
      <c r="J698">
        <f t="shared" si="103"/>
        <v>0</v>
      </c>
      <c r="K698">
        <f t="shared" si="104"/>
        <v>329660</v>
      </c>
      <c r="L698">
        <f t="shared" si="105"/>
        <v>0</v>
      </c>
      <c r="M698">
        <f t="shared" si="106"/>
        <v>0</v>
      </c>
      <c r="N698">
        <f t="shared" si="107"/>
        <v>304</v>
      </c>
    </row>
    <row r="699" spans="1:14" x14ac:dyDescent="0.35">
      <c r="A699" s="9">
        <v>6191682</v>
      </c>
      <c r="B699" s="10">
        <v>42927</v>
      </c>
      <c r="C699" s="11">
        <v>0.58711805555555552</v>
      </c>
      <c r="D699" s="12">
        <v>0.59739583333333335</v>
      </c>
      <c r="E699" s="20">
        <f t="shared" si="100"/>
        <v>1.027777777777783E-2</v>
      </c>
      <c r="F699" t="str">
        <f t="shared" si="101"/>
        <v>stacjonarny</v>
      </c>
      <c r="G699" s="23">
        <f t="shared" si="108"/>
        <v>251128</v>
      </c>
      <c r="H699">
        <f t="shared" si="109"/>
        <v>79420</v>
      </c>
      <c r="I699">
        <f t="shared" si="102"/>
        <v>0</v>
      </c>
      <c r="J699">
        <f t="shared" si="103"/>
        <v>0</v>
      </c>
      <c r="K699">
        <f t="shared" si="104"/>
        <v>330548</v>
      </c>
      <c r="L699">
        <f t="shared" si="105"/>
        <v>0</v>
      </c>
      <c r="M699">
        <f t="shared" si="106"/>
        <v>888</v>
      </c>
      <c r="N699">
        <f t="shared" si="107"/>
        <v>0</v>
      </c>
    </row>
    <row r="700" spans="1:14" x14ac:dyDescent="0.35">
      <c r="A700" s="5">
        <v>6461167</v>
      </c>
      <c r="B700" s="6">
        <v>42927</v>
      </c>
      <c r="C700" s="7">
        <v>0.5889699074074074</v>
      </c>
      <c r="D700" s="8">
        <v>0.59409722222222228</v>
      </c>
      <c r="E700" s="20">
        <f t="shared" si="100"/>
        <v>5.1273148148148762E-3</v>
      </c>
      <c r="F700" t="str">
        <f t="shared" si="101"/>
        <v>stacjonarny</v>
      </c>
      <c r="G700" s="23">
        <f t="shared" si="108"/>
        <v>251571</v>
      </c>
      <c r="H700">
        <f t="shared" si="109"/>
        <v>79420</v>
      </c>
      <c r="I700">
        <f t="shared" si="102"/>
        <v>0</v>
      </c>
      <c r="J700">
        <f t="shared" si="103"/>
        <v>0</v>
      </c>
      <c r="K700">
        <f t="shared" si="104"/>
        <v>330991</v>
      </c>
      <c r="L700">
        <f t="shared" si="105"/>
        <v>0</v>
      </c>
      <c r="M700">
        <f t="shared" si="106"/>
        <v>443</v>
      </c>
      <c r="N700">
        <f t="shared" si="107"/>
        <v>0</v>
      </c>
    </row>
    <row r="701" spans="1:14" x14ac:dyDescent="0.35">
      <c r="A701" s="9">
        <v>8270097</v>
      </c>
      <c r="B701" s="10">
        <v>42927</v>
      </c>
      <c r="C701" s="11">
        <v>0.5900347222222222</v>
      </c>
      <c r="D701" s="12">
        <v>0.59217592592592594</v>
      </c>
      <c r="E701" s="20">
        <f t="shared" si="100"/>
        <v>2.1412037037037424E-3</v>
      </c>
      <c r="F701" t="str">
        <f t="shared" si="101"/>
        <v>stacjonarny</v>
      </c>
      <c r="G701" s="23">
        <f t="shared" si="108"/>
        <v>251756</v>
      </c>
      <c r="H701">
        <f t="shared" si="109"/>
        <v>79420</v>
      </c>
      <c r="I701">
        <f t="shared" si="102"/>
        <v>0</v>
      </c>
      <c r="J701">
        <f t="shared" si="103"/>
        <v>0</v>
      </c>
      <c r="K701">
        <f t="shared" si="104"/>
        <v>331176</v>
      </c>
      <c r="L701">
        <f t="shared" si="105"/>
        <v>0</v>
      </c>
      <c r="M701">
        <f t="shared" si="106"/>
        <v>185</v>
      </c>
      <c r="N701">
        <f t="shared" si="107"/>
        <v>0</v>
      </c>
    </row>
    <row r="702" spans="1:14" x14ac:dyDescent="0.35">
      <c r="A702" s="5">
        <v>8982137</v>
      </c>
      <c r="B702" s="6">
        <v>42927</v>
      </c>
      <c r="C702" s="7">
        <v>0.59010416666666665</v>
      </c>
      <c r="D702" s="8">
        <v>0.59864583333333332</v>
      </c>
      <c r="E702" s="20">
        <f t="shared" si="100"/>
        <v>8.5416666666666696E-3</v>
      </c>
      <c r="F702" t="str">
        <f t="shared" si="101"/>
        <v>stacjonarny</v>
      </c>
      <c r="G702" s="23">
        <f t="shared" si="108"/>
        <v>252494</v>
      </c>
      <c r="H702">
        <f t="shared" si="109"/>
        <v>79420</v>
      </c>
      <c r="I702">
        <f t="shared" si="102"/>
        <v>0</v>
      </c>
      <c r="J702">
        <f t="shared" si="103"/>
        <v>0</v>
      </c>
      <c r="K702">
        <f t="shared" si="104"/>
        <v>331914</v>
      </c>
      <c r="L702">
        <f t="shared" si="105"/>
        <v>0</v>
      </c>
      <c r="M702">
        <f t="shared" si="106"/>
        <v>738</v>
      </c>
      <c r="N702">
        <f t="shared" si="107"/>
        <v>0</v>
      </c>
    </row>
    <row r="703" spans="1:14" x14ac:dyDescent="0.35">
      <c r="A703" s="9">
        <v>47677051</v>
      </c>
      <c r="B703" s="10">
        <v>42927</v>
      </c>
      <c r="C703" s="11">
        <v>0.59370370370370373</v>
      </c>
      <c r="D703" s="12">
        <v>0.60396990740740741</v>
      </c>
      <c r="E703" s="20">
        <f t="shared" si="100"/>
        <v>1.026620370370368E-2</v>
      </c>
      <c r="F703" t="str">
        <f t="shared" si="101"/>
        <v>komorkowy</v>
      </c>
      <c r="G703" s="23">
        <f t="shared" si="108"/>
        <v>252494</v>
      </c>
      <c r="H703">
        <f t="shared" si="109"/>
        <v>80307</v>
      </c>
      <c r="I703">
        <f t="shared" si="102"/>
        <v>0</v>
      </c>
      <c r="J703">
        <f t="shared" si="103"/>
        <v>0</v>
      </c>
      <c r="K703">
        <f t="shared" si="104"/>
        <v>332801</v>
      </c>
      <c r="L703">
        <f t="shared" si="105"/>
        <v>0</v>
      </c>
      <c r="M703">
        <f t="shared" si="106"/>
        <v>0</v>
      </c>
      <c r="N703">
        <f t="shared" si="107"/>
        <v>887</v>
      </c>
    </row>
    <row r="704" spans="1:14" x14ac:dyDescent="0.35">
      <c r="A704" s="5">
        <v>76139570</v>
      </c>
      <c r="B704" s="6">
        <v>42927</v>
      </c>
      <c r="C704" s="7">
        <v>0.59593750000000001</v>
      </c>
      <c r="D704" s="8">
        <v>0.6004976851851852</v>
      </c>
      <c r="E704" s="20">
        <f t="shared" si="100"/>
        <v>4.5601851851851949E-3</v>
      </c>
      <c r="F704" t="str">
        <f t="shared" si="101"/>
        <v>komorkowy</v>
      </c>
      <c r="G704" s="23">
        <f t="shared" si="108"/>
        <v>252494</v>
      </c>
      <c r="H704">
        <f t="shared" si="109"/>
        <v>80701</v>
      </c>
      <c r="I704">
        <f t="shared" si="102"/>
        <v>0</v>
      </c>
      <c r="J704">
        <f t="shared" si="103"/>
        <v>0</v>
      </c>
      <c r="K704">
        <f t="shared" si="104"/>
        <v>333195</v>
      </c>
      <c r="L704">
        <f t="shared" si="105"/>
        <v>0</v>
      </c>
      <c r="M704">
        <f t="shared" si="106"/>
        <v>0</v>
      </c>
      <c r="N704">
        <f t="shared" si="107"/>
        <v>394</v>
      </c>
    </row>
    <row r="705" spans="1:14" x14ac:dyDescent="0.35">
      <c r="A705" s="9">
        <v>62016185</v>
      </c>
      <c r="B705" s="10">
        <v>42927</v>
      </c>
      <c r="C705" s="11">
        <v>0.60037037037037033</v>
      </c>
      <c r="D705" s="12">
        <v>0.60719907407407403</v>
      </c>
      <c r="E705" s="20">
        <f t="shared" si="100"/>
        <v>6.8287037037036979E-3</v>
      </c>
      <c r="F705" t="str">
        <f t="shared" si="101"/>
        <v>komorkowy</v>
      </c>
      <c r="G705" s="23">
        <f t="shared" si="108"/>
        <v>252494</v>
      </c>
      <c r="H705">
        <f t="shared" si="109"/>
        <v>81291</v>
      </c>
      <c r="I705">
        <f t="shared" si="102"/>
        <v>0</v>
      </c>
      <c r="J705">
        <f t="shared" si="103"/>
        <v>0</v>
      </c>
      <c r="K705">
        <f t="shared" si="104"/>
        <v>333785</v>
      </c>
      <c r="L705">
        <f t="shared" si="105"/>
        <v>0</v>
      </c>
      <c r="M705">
        <f t="shared" si="106"/>
        <v>0</v>
      </c>
      <c r="N705">
        <f t="shared" si="107"/>
        <v>590</v>
      </c>
    </row>
    <row r="706" spans="1:14" x14ac:dyDescent="0.35">
      <c r="A706" s="5">
        <v>93696449</v>
      </c>
      <c r="B706" s="6">
        <v>42927</v>
      </c>
      <c r="C706" s="7">
        <v>0.60077546296296291</v>
      </c>
      <c r="D706" s="8">
        <v>0.60853009259259261</v>
      </c>
      <c r="E706" s="20">
        <f t="shared" si="100"/>
        <v>7.7546296296296946E-3</v>
      </c>
      <c r="F706" t="str">
        <f t="shared" si="101"/>
        <v>komorkowy</v>
      </c>
      <c r="G706" s="23">
        <f t="shared" si="108"/>
        <v>252494</v>
      </c>
      <c r="H706">
        <f t="shared" si="109"/>
        <v>81961</v>
      </c>
      <c r="I706">
        <f t="shared" si="102"/>
        <v>0</v>
      </c>
      <c r="J706">
        <f t="shared" si="103"/>
        <v>0</v>
      </c>
      <c r="K706">
        <f t="shared" si="104"/>
        <v>334455</v>
      </c>
      <c r="L706">
        <f t="shared" si="105"/>
        <v>0</v>
      </c>
      <c r="M706">
        <f t="shared" si="106"/>
        <v>0</v>
      </c>
      <c r="N706">
        <f t="shared" si="107"/>
        <v>670</v>
      </c>
    </row>
    <row r="707" spans="1:14" x14ac:dyDescent="0.35">
      <c r="A707" s="9">
        <v>7914439</v>
      </c>
      <c r="B707" s="10">
        <v>42927</v>
      </c>
      <c r="C707" s="11">
        <v>0.60320601851851852</v>
      </c>
      <c r="D707" s="12">
        <v>0.61459490740740741</v>
      </c>
      <c r="E707" s="20">
        <f t="shared" ref="E707:E770" si="110">D707-C707</f>
        <v>1.1388888888888893E-2</v>
      </c>
      <c r="F707" t="str">
        <f t="shared" ref="F707:F770" si="111">IF(LEN(A707)=7,"stacjonarny",IF(LEN(A707)=8,"komorkowy","zagraniczny"))</f>
        <v>stacjonarny</v>
      </c>
      <c r="G707" s="23">
        <f t="shared" si="108"/>
        <v>253478</v>
      </c>
      <c r="H707">
        <f t="shared" si="109"/>
        <v>81961</v>
      </c>
      <c r="I707">
        <f t="shared" ref="I707:I770" si="112">IF(F707="zagraniczny",MINUTE(E707)*60+SECOND(E707)+HOUR(E707)*3600,0)</f>
        <v>0</v>
      </c>
      <c r="J707">
        <f t="shared" ref="J707:J770" si="113">ROUNDUP(I707/60,0)</f>
        <v>0</v>
      </c>
      <c r="K707">
        <f t="shared" ref="K707:K770" si="114">G707+H707</f>
        <v>335439</v>
      </c>
      <c r="L707">
        <f t="shared" ref="L707:L770" si="115">IF(K707&lt;=48000,1,0)</f>
        <v>0</v>
      </c>
      <c r="M707">
        <f t="shared" ref="M707:M770" si="116">IF(AND(L707=0,F707="stacjonarny"),SECOND(E707)+60*MINUTE(E707),0)</f>
        <v>984</v>
      </c>
      <c r="N707">
        <f t="shared" ref="N707:N770" si="117">IF(AND(L707=0,F707="komorkowy"),SECOND(E707)+60*MINUTE(E707),0)</f>
        <v>0</v>
      </c>
    </row>
    <row r="708" spans="1:14" x14ac:dyDescent="0.35">
      <c r="A708" s="5">
        <v>38047574</v>
      </c>
      <c r="B708" s="6">
        <v>42927</v>
      </c>
      <c r="C708" s="7">
        <v>0.60721064814814818</v>
      </c>
      <c r="D708" s="8">
        <v>0.61490740740740746</v>
      </c>
      <c r="E708" s="20">
        <f t="shared" si="110"/>
        <v>7.6967592592592782E-3</v>
      </c>
      <c r="F708" t="str">
        <f t="shared" si="111"/>
        <v>komorkowy</v>
      </c>
      <c r="G708" s="23">
        <f t="shared" ref="G708:G771" si="118">IF(F708="stacjonarny",MINUTE(E708)*60+SECOND(E708)+G707,G707)</f>
        <v>253478</v>
      </c>
      <c r="H708">
        <f t="shared" ref="H708:H771" si="119">IF(F708="komorkowy",MINUTE(E708)*60+SECOND(E708)+H707,H707)</f>
        <v>82626</v>
      </c>
      <c r="I708">
        <f t="shared" si="112"/>
        <v>0</v>
      </c>
      <c r="J708">
        <f t="shared" si="113"/>
        <v>0</v>
      </c>
      <c r="K708">
        <f t="shared" si="114"/>
        <v>336104</v>
      </c>
      <c r="L708">
        <f t="shared" si="115"/>
        <v>0</v>
      </c>
      <c r="M708">
        <f t="shared" si="116"/>
        <v>0</v>
      </c>
      <c r="N708">
        <f t="shared" si="117"/>
        <v>665</v>
      </c>
    </row>
    <row r="709" spans="1:14" x14ac:dyDescent="0.35">
      <c r="A709" s="9">
        <v>3184339</v>
      </c>
      <c r="B709" s="10">
        <v>42927</v>
      </c>
      <c r="C709" s="11">
        <v>0.61179398148148145</v>
      </c>
      <c r="D709" s="12">
        <v>0.61260416666666662</v>
      </c>
      <c r="E709" s="20">
        <f t="shared" si="110"/>
        <v>8.101851851851638E-4</v>
      </c>
      <c r="F709" t="str">
        <f t="shared" si="111"/>
        <v>stacjonarny</v>
      </c>
      <c r="G709" s="23">
        <f t="shared" si="118"/>
        <v>253548</v>
      </c>
      <c r="H709">
        <f t="shared" si="119"/>
        <v>82626</v>
      </c>
      <c r="I709">
        <f t="shared" si="112"/>
        <v>0</v>
      </c>
      <c r="J709">
        <f t="shared" si="113"/>
        <v>0</v>
      </c>
      <c r="K709">
        <f t="shared" si="114"/>
        <v>336174</v>
      </c>
      <c r="L709">
        <f t="shared" si="115"/>
        <v>0</v>
      </c>
      <c r="M709">
        <f t="shared" si="116"/>
        <v>70</v>
      </c>
      <c r="N709">
        <f t="shared" si="117"/>
        <v>0</v>
      </c>
    </row>
    <row r="710" spans="1:14" x14ac:dyDescent="0.35">
      <c r="A710" s="5">
        <v>8126744698</v>
      </c>
      <c r="B710" s="6">
        <v>42927</v>
      </c>
      <c r="C710" s="7">
        <v>0.61664351851851851</v>
      </c>
      <c r="D710" s="8">
        <v>0.61856481481481485</v>
      </c>
      <c r="E710" s="20">
        <f t="shared" si="110"/>
        <v>1.9212962962963376E-3</v>
      </c>
      <c r="F710" t="str">
        <f t="shared" si="111"/>
        <v>zagraniczny</v>
      </c>
      <c r="G710" s="23">
        <f t="shared" si="118"/>
        <v>253548</v>
      </c>
      <c r="H710">
        <f t="shared" si="119"/>
        <v>82626</v>
      </c>
      <c r="I710">
        <f t="shared" si="112"/>
        <v>166</v>
      </c>
      <c r="J710">
        <f t="shared" si="113"/>
        <v>3</v>
      </c>
      <c r="K710">
        <f t="shared" si="114"/>
        <v>336174</v>
      </c>
      <c r="L710">
        <f t="shared" si="115"/>
        <v>0</v>
      </c>
      <c r="M710">
        <f t="shared" si="116"/>
        <v>0</v>
      </c>
      <c r="N710">
        <f t="shared" si="117"/>
        <v>0</v>
      </c>
    </row>
    <row r="711" spans="1:14" x14ac:dyDescent="0.35">
      <c r="A711" s="9">
        <v>52391912</v>
      </c>
      <c r="B711" s="10">
        <v>42927</v>
      </c>
      <c r="C711" s="11">
        <v>0.62067129629629625</v>
      </c>
      <c r="D711" s="12">
        <v>0.62475694444444441</v>
      </c>
      <c r="E711" s="20">
        <f t="shared" si="110"/>
        <v>4.0856481481481577E-3</v>
      </c>
      <c r="F711" t="str">
        <f t="shared" si="111"/>
        <v>komorkowy</v>
      </c>
      <c r="G711" s="23">
        <f t="shared" si="118"/>
        <v>253548</v>
      </c>
      <c r="H711">
        <f t="shared" si="119"/>
        <v>82979</v>
      </c>
      <c r="I711">
        <f t="shared" si="112"/>
        <v>0</v>
      </c>
      <c r="J711">
        <f t="shared" si="113"/>
        <v>0</v>
      </c>
      <c r="K711">
        <f t="shared" si="114"/>
        <v>336527</v>
      </c>
      <c r="L711">
        <f t="shared" si="115"/>
        <v>0</v>
      </c>
      <c r="M711">
        <f t="shared" si="116"/>
        <v>0</v>
      </c>
      <c r="N711">
        <f t="shared" si="117"/>
        <v>353</v>
      </c>
    </row>
    <row r="712" spans="1:14" x14ac:dyDescent="0.35">
      <c r="A712" s="5">
        <v>1223943</v>
      </c>
      <c r="B712" s="6">
        <v>42927</v>
      </c>
      <c r="C712" s="7">
        <v>0.6252199074074074</v>
      </c>
      <c r="D712" s="8">
        <v>0.63226851851851851</v>
      </c>
      <c r="E712" s="20">
        <f t="shared" si="110"/>
        <v>7.0486111111111027E-3</v>
      </c>
      <c r="F712" t="str">
        <f t="shared" si="111"/>
        <v>stacjonarny</v>
      </c>
      <c r="G712" s="23">
        <f t="shared" si="118"/>
        <v>254157</v>
      </c>
      <c r="H712">
        <f t="shared" si="119"/>
        <v>82979</v>
      </c>
      <c r="I712">
        <f t="shared" si="112"/>
        <v>0</v>
      </c>
      <c r="J712">
        <f t="shared" si="113"/>
        <v>0</v>
      </c>
      <c r="K712">
        <f t="shared" si="114"/>
        <v>337136</v>
      </c>
      <c r="L712">
        <f t="shared" si="115"/>
        <v>0</v>
      </c>
      <c r="M712">
        <f t="shared" si="116"/>
        <v>609</v>
      </c>
      <c r="N712">
        <f t="shared" si="117"/>
        <v>0</v>
      </c>
    </row>
    <row r="713" spans="1:14" x14ac:dyDescent="0.35">
      <c r="A713" s="9">
        <v>14201334</v>
      </c>
      <c r="B713" s="10">
        <v>42928</v>
      </c>
      <c r="C713" s="11">
        <v>0.33568287037037037</v>
      </c>
      <c r="D713" s="12">
        <v>0.34125</v>
      </c>
      <c r="E713" s="20">
        <f t="shared" si="110"/>
        <v>5.5671296296296302E-3</v>
      </c>
      <c r="F713" t="str">
        <f t="shared" si="111"/>
        <v>komorkowy</v>
      </c>
      <c r="G713" s="23">
        <f t="shared" si="118"/>
        <v>254157</v>
      </c>
      <c r="H713">
        <f t="shared" si="119"/>
        <v>83460</v>
      </c>
      <c r="I713">
        <f t="shared" si="112"/>
        <v>0</v>
      </c>
      <c r="J713">
        <f t="shared" si="113"/>
        <v>0</v>
      </c>
      <c r="K713">
        <f t="shared" si="114"/>
        <v>337617</v>
      </c>
      <c r="L713">
        <f t="shared" si="115"/>
        <v>0</v>
      </c>
      <c r="M713">
        <f t="shared" si="116"/>
        <v>0</v>
      </c>
      <c r="N713">
        <f t="shared" si="117"/>
        <v>481</v>
      </c>
    </row>
    <row r="714" spans="1:14" x14ac:dyDescent="0.35">
      <c r="A714" s="5">
        <v>1972250241</v>
      </c>
      <c r="B714" s="6">
        <v>42928</v>
      </c>
      <c r="C714" s="7">
        <v>0.33716435185185184</v>
      </c>
      <c r="D714" s="8">
        <v>0.33778935185185183</v>
      </c>
      <c r="E714" s="20">
        <f t="shared" si="110"/>
        <v>6.2499999999998668E-4</v>
      </c>
      <c r="F714" t="str">
        <f t="shared" si="111"/>
        <v>zagraniczny</v>
      </c>
      <c r="G714" s="23">
        <f t="shared" si="118"/>
        <v>254157</v>
      </c>
      <c r="H714">
        <f t="shared" si="119"/>
        <v>83460</v>
      </c>
      <c r="I714">
        <f t="shared" si="112"/>
        <v>54</v>
      </c>
      <c r="J714">
        <f t="shared" si="113"/>
        <v>1</v>
      </c>
      <c r="K714">
        <f t="shared" si="114"/>
        <v>337617</v>
      </c>
      <c r="L714">
        <f t="shared" si="115"/>
        <v>0</v>
      </c>
      <c r="M714">
        <f t="shared" si="116"/>
        <v>0</v>
      </c>
      <c r="N714">
        <f t="shared" si="117"/>
        <v>0</v>
      </c>
    </row>
    <row r="715" spans="1:14" x14ac:dyDescent="0.35">
      <c r="A715" s="9">
        <v>3028093</v>
      </c>
      <c r="B715" s="10">
        <v>42928</v>
      </c>
      <c r="C715" s="11">
        <v>0.34185185185185185</v>
      </c>
      <c r="D715" s="12">
        <v>0.34375</v>
      </c>
      <c r="E715" s="20">
        <f t="shared" si="110"/>
        <v>1.8981481481481488E-3</v>
      </c>
      <c r="F715" t="str">
        <f t="shared" si="111"/>
        <v>stacjonarny</v>
      </c>
      <c r="G715" s="23">
        <f t="shared" si="118"/>
        <v>254321</v>
      </c>
      <c r="H715">
        <f t="shared" si="119"/>
        <v>83460</v>
      </c>
      <c r="I715">
        <f t="shared" si="112"/>
        <v>0</v>
      </c>
      <c r="J715">
        <f t="shared" si="113"/>
        <v>0</v>
      </c>
      <c r="K715">
        <f t="shared" si="114"/>
        <v>337781</v>
      </c>
      <c r="L715">
        <f t="shared" si="115"/>
        <v>0</v>
      </c>
      <c r="M715">
        <f t="shared" si="116"/>
        <v>164</v>
      </c>
      <c r="N715">
        <f t="shared" si="117"/>
        <v>0</v>
      </c>
    </row>
    <row r="716" spans="1:14" x14ac:dyDescent="0.35">
      <c r="A716" s="5">
        <v>27487200</v>
      </c>
      <c r="B716" s="6">
        <v>42928</v>
      </c>
      <c r="C716" s="7">
        <v>0.34646990740740741</v>
      </c>
      <c r="D716" s="8">
        <v>0.3550462962962963</v>
      </c>
      <c r="E716" s="20">
        <f t="shared" si="110"/>
        <v>8.5763888888888973E-3</v>
      </c>
      <c r="F716" t="str">
        <f t="shared" si="111"/>
        <v>komorkowy</v>
      </c>
      <c r="G716" s="23">
        <f t="shared" si="118"/>
        <v>254321</v>
      </c>
      <c r="H716">
        <f t="shared" si="119"/>
        <v>84201</v>
      </c>
      <c r="I716">
        <f t="shared" si="112"/>
        <v>0</v>
      </c>
      <c r="J716">
        <f t="shared" si="113"/>
        <v>0</v>
      </c>
      <c r="K716">
        <f t="shared" si="114"/>
        <v>338522</v>
      </c>
      <c r="L716">
        <f t="shared" si="115"/>
        <v>0</v>
      </c>
      <c r="M716">
        <f t="shared" si="116"/>
        <v>0</v>
      </c>
      <c r="N716">
        <f t="shared" si="117"/>
        <v>741</v>
      </c>
    </row>
    <row r="717" spans="1:14" x14ac:dyDescent="0.35">
      <c r="A717" s="9">
        <v>7377702</v>
      </c>
      <c r="B717" s="10">
        <v>42928</v>
      </c>
      <c r="C717" s="11">
        <v>0.34722222222222221</v>
      </c>
      <c r="D717" s="12">
        <v>0.3532986111111111</v>
      </c>
      <c r="E717" s="20">
        <f t="shared" si="110"/>
        <v>6.0763888888888951E-3</v>
      </c>
      <c r="F717" t="str">
        <f t="shared" si="111"/>
        <v>stacjonarny</v>
      </c>
      <c r="G717" s="23">
        <f t="shared" si="118"/>
        <v>254846</v>
      </c>
      <c r="H717">
        <f t="shared" si="119"/>
        <v>84201</v>
      </c>
      <c r="I717">
        <f t="shared" si="112"/>
        <v>0</v>
      </c>
      <c r="J717">
        <f t="shared" si="113"/>
        <v>0</v>
      </c>
      <c r="K717">
        <f t="shared" si="114"/>
        <v>339047</v>
      </c>
      <c r="L717">
        <f t="shared" si="115"/>
        <v>0</v>
      </c>
      <c r="M717">
        <f t="shared" si="116"/>
        <v>525</v>
      </c>
      <c r="N717">
        <f t="shared" si="117"/>
        <v>0</v>
      </c>
    </row>
    <row r="718" spans="1:14" x14ac:dyDescent="0.35">
      <c r="A718" s="5">
        <v>9294571</v>
      </c>
      <c r="B718" s="6">
        <v>42928</v>
      </c>
      <c r="C718" s="7">
        <v>0.35115740740740742</v>
      </c>
      <c r="D718" s="8">
        <v>0.35447916666666668</v>
      </c>
      <c r="E718" s="20">
        <f t="shared" si="110"/>
        <v>3.3217592592592604E-3</v>
      </c>
      <c r="F718" t="str">
        <f t="shared" si="111"/>
        <v>stacjonarny</v>
      </c>
      <c r="G718" s="23">
        <f t="shared" si="118"/>
        <v>255133</v>
      </c>
      <c r="H718">
        <f t="shared" si="119"/>
        <v>84201</v>
      </c>
      <c r="I718">
        <f t="shared" si="112"/>
        <v>0</v>
      </c>
      <c r="J718">
        <f t="shared" si="113"/>
        <v>0</v>
      </c>
      <c r="K718">
        <f t="shared" si="114"/>
        <v>339334</v>
      </c>
      <c r="L718">
        <f t="shared" si="115"/>
        <v>0</v>
      </c>
      <c r="M718">
        <f t="shared" si="116"/>
        <v>287</v>
      </c>
      <c r="N718">
        <f t="shared" si="117"/>
        <v>0</v>
      </c>
    </row>
    <row r="719" spans="1:14" x14ac:dyDescent="0.35">
      <c r="A719" s="9">
        <v>6865106</v>
      </c>
      <c r="B719" s="10">
        <v>42928</v>
      </c>
      <c r="C719" s="11">
        <v>0.35636574074074073</v>
      </c>
      <c r="D719" s="12">
        <v>0.36511574074074077</v>
      </c>
      <c r="E719" s="20">
        <f t="shared" si="110"/>
        <v>8.7500000000000355E-3</v>
      </c>
      <c r="F719" t="str">
        <f t="shared" si="111"/>
        <v>stacjonarny</v>
      </c>
      <c r="G719" s="23">
        <f t="shared" si="118"/>
        <v>255889</v>
      </c>
      <c r="H719">
        <f t="shared" si="119"/>
        <v>84201</v>
      </c>
      <c r="I719">
        <f t="shared" si="112"/>
        <v>0</v>
      </c>
      <c r="J719">
        <f t="shared" si="113"/>
        <v>0</v>
      </c>
      <c r="K719">
        <f t="shared" si="114"/>
        <v>340090</v>
      </c>
      <c r="L719">
        <f t="shared" si="115"/>
        <v>0</v>
      </c>
      <c r="M719">
        <f t="shared" si="116"/>
        <v>756</v>
      </c>
      <c r="N719">
        <f t="shared" si="117"/>
        <v>0</v>
      </c>
    </row>
    <row r="720" spans="1:14" x14ac:dyDescent="0.35">
      <c r="A720" s="5">
        <v>62086163</v>
      </c>
      <c r="B720" s="6">
        <v>42928</v>
      </c>
      <c r="C720" s="7">
        <v>0.36060185185185184</v>
      </c>
      <c r="D720" s="8">
        <v>0.36312499999999998</v>
      </c>
      <c r="E720" s="20">
        <f t="shared" si="110"/>
        <v>2.5231481481481355E-3</v>
      </c>
      <c r="F720" t="str">
        <f t="shared" si="111"/>
        <v>komorkowy</v>
      </c>
      <c r="G720" s="23">
        <f t="shared" si="118"/>
        <v>255889</v>
      </c>
      <c r="H720">
        <f t="shared" si="119"/>
        <v>84419</v>
      </c>
      <c r="I720">
        <f t="shared" si="112"/>
        <v>0</v>
      </c>
      <c r="J720">
        <f t="shared" si="113"/>
        <v>0</v>
      </c>
      <c r="K720">
        <f t="shared" si="114"/>
        <v>340308</v>
      </c>
      <c r="L720">
        <f t="shared" si="115"/>
        <v>0</v>
      </c>
      <c r="M720">
        <f t="shared" si="116"/>
        <v>0</v>
      </c>
      <c r="N720">
        <f t="shared" si="117"/>
        <v>218</v>
      </c>
    </row>
    <row r="721" spans="1:14" x14ac:dyDescent="0.35">
      <c r="A721" s="9">
        <v>6367284</v>
      </c>
      <c r="B721" s="10">
        <v>42928</v>
      </c>
      <c r="C721" s="11">
        <v>0.36519675925925926</v>
      </c>
      <c r="D721" s="12">
        <v>0.36751157407407409</v>
      </c>
      <c r="E721" s="20">
        <f t="shared" si="110"/>
        <v>2.3148148148148251E-3</v>
      </c>
      <c r="F721" t="str">
        <f t="shared" si="111"/>
        <v>stacjonarny</v>
      </c>
      <c r="G721" s="23">
        <f t="shared" si="118"/>
        <v>256089</v>
      </c>
      <c r="H721">
        <f t="shared" si="119"/>
        <v>84419</v>
      </c>
      <c r="I721">
        <f t="shared" si="112"/>
        <v>0</v>
      </c>
      <c r="J721">
        <f t="shared" si="113"/>
        <v>0</v>
      </c>
      <c r="K721">
        <f t="shared" si="114"/>
        <v>340508</v>
      </c>
      <c r="L721">
        <f t="shared" si="115"/>
        <v>0</v>
      </c>
      <c r="M721">
        <f t="shared" si="116"/>
        <v>200</v>
      </c>
      <c r="N721">
        <f t="shared" si="117"/>
        <v>0</v>
      </c>
    </row>
    <row r="722" spans="1:14" x14ac:dyDescent="0.35">
      <c r="A722" s="5">
        <v>1811630</v>
      </c>
      <c r="B722" s="6">
        <v>42928</v>
      </c>
      <c r="C722" s="7">
        <v>0.36787037037037035</v>
      </c>
      <c r="D722" s="8">
        <v>0.36855324074074075</v>
      </c>
      <c r="E722" s="20">
        <f t="shared" si="110"/>
        <v>6.828703703704031E-4</v>
      </c>
      <c r="F722" t="str">
        <f t="shared" si="111"/>
        <v>stacjonarny</v>
      </c>
      <c r="G722" s="23">
        <f t="shared" si="118"/>
        <v>256148</v>
      </c>
      <c r="H722">
        <f t="shared" si="119"/>
        <v>84419</v>
      </c>
      <c r="I722">
        <f t="shared" si="112"/>
        <v>0</v>
      </c>
      <c r="J722">
        <f t="shared" si="113"/>
        <v>0</v>
      </c>
      <c r="K722">
        <f t="shared" si="114"/>
        <v>340567</v>
      </c>
      <c r="L722">
        <f t="shared" si="115"/>
        <v>0</v>
      </c>
      <c r="M722">
        <f t="shared" si="116"/>
        <v>59</v>
      </c>
      <c r="N722">
        <f t="shared" si="117"/>
        <v>0</v>
      </c>
    </row>
    <row r="723" spans="1:14" x14ac:dyDescent="0.35">
      <c r="A723" s="9">
        <v>9346036178</v>
      </c>
      <c r="B723" s="10">
        <v>42928</v>
      </c>
      <c r="C723" s="11">
        <v>0.37017361111111113</v>
      </c>
      <c r="D723" s="12">
        <v>0.38035879629629632</v>
      </c>
      <c r="E723" s="20">
        <f t="shared" si="110"/>
        <v>1.0185185185185186E-2</v>
      </c>
      <c r="F723" t="str">
        <f t="shared" si="111"/>
        <v>zagraniczny</v>
      </c>
      <c r="G723" s="23">
        <f t="shared" si="118"/>
        <v>256148</v>
      </c>
      <c r="H723">
        <f t="shared" si="119"/>
        <v>84419</v>
      </c>
      <c r="I723">
        <f t="shared" si="112"/>
        <v>880</v>
      </c>
      <c r="J723">
        <f t="shared" si="113"/>
        <v>15</v>
      </c>
      <c r="K723">
        <f t="shared" si="114"/>
        <v>340567</v>
      </c>
      <c r="L723">
        <f t="shared" si="115"/>
        <v>0</v>
      </c>
      <c r="M723">
        <f t="shared" si="116"/>
        <v>0</v>
      </c>
      <c r="N723">
        <f t="shared" si="117"/>
        <v>0</v>
      </c>
    </row>
    <row r="724" spans="1:14" x14ac:dyDescent="0.35">
      <c r="A724" s="5">
        <v>1138033</v>
      </c>
      <c r="B724" s="6">
        <v>42928</v>
      </c>
      <c r="C724" s="7">
        <v>0.37504629629629632</v>
      </c>
      <c r="D724" s="8">
        <v>0.37731481481481483</v>
      </c>
      <c r="E724" s="20">
        <f t="shared" si="110"/>
        <v>2.2685185185185031E-3</v>
      </c>
      <c r="F724" t="str">
        <f t="shared" si="111"/>
        <v>stacjonarny</v>
      </c>
      <c r="G724" s="23">
        <f t="shared" si="118"/>
        <v>256344</v>
      </c>
      <c r="H724">
        <f t="shared" si="119"/>
        <v>84419</v>
      </c>
      <c r="I724">
        <f t="shared" si="112"/>
        <v>0</v>
      </c>
      <c r="J724">
        <f t="shared" si="113"/>
        <v>0</v>
      </c>
      <c r="K724">
        <f t="shared" si="114"/>
        <v>340763</v>
      </c>
      <c r="L724">
        <f t="shared" si="115"/>
        <v>0</v>
      </c>
      <c r="M724">
        <f t="shared" si="116"/>
        <v>196</v>
      </c>
      <c r="N724">
        <f t="shared" si="117"/>
        <v>0</v>
      </c>
    </row>
    <row r="725" spans="1:14" x14ac:dyDescent="0.35">
      <c r="A725" s="9">
        <v>2114812</v>
      </c>
      <c r="B725" s="10">
        <v>42928</v>
      </c>
      <c r="C725" s="11">
        <v>0.37615740740740738</v>
      </c>
      <c r="D725" s="12">
        <v>0.38158564814814816</v>
      </c>
      <c r="E725" s="20">
        <f t="shared" si="110"/>
        <v>5.4282407407407751E-3</v>
      </c>
      <c r="F725" t="str">
        <f t="shared" si="111"/>
        <v>stacjonarny</v>
      </c>
      <c r="G725" s="23">
        <f t="shared" si="118"/>
        <v>256813</v>
      </c>
      <c r="H725">
        <f t="shared" si="119"/>
        <v>84419</v>
      </c>
      <c r="I725">
        <f t="shared" si="112"/>
        <v>0</v>
      </c>
      <c r="J725">
        <f t="shared" si="113"/>
        <v>0</v>
      </c>
      <c r="K725">
        <f t="shared" si="114"/>
        <v>341232</v>
      </c>
      <c r="L725">
        <f t="shared" si="115"/>
        <v>0</v>
      </c>
      <c r="M725">
        <f t="shared" si="116"/>
        <v>469</v>
      </c>
      <c r="N725">
        <f t="shared" si="117"/>
        <v>0</v>
      </c>
    </row>
    <row r="726" spans="1:14" x14ac:dyDescent="0.35">
      <c r="A726" s="5">
        <v>4195677</v>
      </c>
      <c r="B726" s="6">
        <v>42928</v>
      </c>
      <c r="C726" s="7">
        <v>0.37644675925925924</v>
      </c>
      <c r="D726" s="8">
        <v>0.38192129629629629</v>
      </c>
      <c r="E726" s="20">
        <f t="shared" si="110"/>
        <v>5.4745370370370416E-3</v>
      </c>
      <c r="F726" t="str">
        <f t="shared" si="111"/>
        <v>stacjonarny</v>
      </c>
      <c r="G726" s="23">
        <f t="shared" si="118"/>
        <v>257286</v>
      </c>
      <c r="H726">
        <f t="shared" si="119"/>
        <v>84419</v>
      </c>
      <c r="I726">
        <f t="shared" si="112"/>
        <v>0</v>
      </c>
      <c r="J726">
        <f t="shared" si="113"/>
        <v>0</v>
      </c>
      <c r="K726">
        <f t="shared" si="114"/>
        <v>341705</v>
      </c>
      <c r="L726">
        <f t="shared" si="115"/>
        <v>0</v>
      </c>
      <c r="M726">
        <f t="shared" si="116"/>
        <v>473</v>
      </c>
      <c r="N726">
        <f t="shared" si="117"/>
        <v>0</v>
      </c>
    </row>
    <row r="727" spans="1:14" x14ac:dyDescent="0.35">
      <c r="A727" s="9">
        <v>3493348</v>
      </c>
      <c r="B727" s="10">
        <v>42928</v>
      </c>
      <c r="C727" s="11">
        <v>0.37934027777777779</v>
      </c>
      <c r="D727" s="12">
        <v>0.38925925925925925</v>
      </c>
      <c r="E727" s="20">
        <f t="shared" si="110"/>
        <v>9.9189814814814592E-3</v>
      </c>
      <c r="F727" t="str">
        <f t="shared" si="111"/>
        <v>stacjonarny</v>
      </c>
      <c r="G727" s="23">
        <f t="shared" si="118"/>
        <v>258143</v>
      </c>
      <c r="H727">
        <f t="shared" si="119"/>
        <v>84419</v>
      </c>
      <c r="I727">
        <f t="shared" si="112"/>
        <v>0</v>
      </c>
      <c r="J727">
        <f t="shared" si="113"/>
        <v>0</v>
      </c>
      <c r="K727">
        <f t="shared" si="114"/>
        <v>342562</v>
      </c>
      <c r="L727">
        <f t="shared" si="115"/>
        <v>0</v>
      </c>
      <c r="M727">
        <f t="shared" si="116"/>
        <v>857</v>
      </c>
      <c r="N727">
        <f t="shared" si="117"/>
        <v>0</v>
      </c>
    </row>
    <row r="728" spans="1:14" x14ac:dyDescent="0.35">
      <c r="A728" s="5">
        <v>6005020</v>
      </c>
      <c r="B728" s="6">
        <v>42928</v>
      </c>
      <c r="C728" s="7">
        <v>0.38046296296296295</v>
      </c>
      <c r="D728" s="8">
        <v>0.38739583333333333</v>
      </c>
      <c r="E728" s="20">
        <f t="shared" si="110"/>
        <v>6.9328703703703809E-3</v>
      </c>
      <c r="F728" t="str">
        <f t="shared" si="111"/>
        <v>stacjonarny</v>
      </c>
      <c r="G728" s="23">
        <f t="shared" si="118"/>
        <v>258742</v>
      </c>
      <c r="H728">
        <f t="shared" si="119"/>
        <v>84419</v>
      </c>
      <c r="I728">
        <f t="shared" si="112"/>
        <v>0</v>
      </c>
      <c r="J728">
        <f t="shared" si="113"/>
        <v>0</v>
      </c>
      <c r="K728">
        <f t="shared" si="114"/>
        <v>343161</v>
      </c>
      <c r="L728">
        <f t="shared" si="115"/>
        <v>0</v>
      </c>
      <c r="M728">
        <f t="shared" si="116"/>
        <v>599</v>
      </c>
      <c r="N728">
        <f t="shared" si="117"/>
        <v>0</v>
      </c>
    </row>
    <row r="729" spans="1:14" x14ac:dyDescent="0.35">
      <c r="A729" s="9">
        <v>7421868</v>
      </c>
      <c r="B729" s="10">
        <v>42928</v>
      </c>
      <c r="C729" s="11">
        <v>0.38292824074074072</v>
      </c>
      <c r="D729" s="12">
        <v>0.38613425925925926</v>
      </c>
      <c r="E729" s="20">
        <f t="shared" si="110"/>
        <v>3.2060185185185386E-3</v>
      </c>
      <c r="F729" t="str">
        <f t="shared" si="111"/>
        <v>stacjonarny</v>
      </c>
      <c r="G729" s="23">
        <f t="shared" si="118"/>
        <v>259019</v>
      </c>
      <c r="H729">
        <f t="shared" si="119"/>
        <v>84419</v>
      </c>
      <c r="I729">
        <f t="shared" si="112"/>
        <v>0</v>
      </c>
      <c r="J729">
        <f t="shared" si="113"/>
        <v>0</v>
      </c>
      <c r="K729">
        <f t="shared" si="114"/>
        <v>343438</v>
      </c>
      <c r="L729">
        <f t="shared" si="115"/>
        <v>0</v>
      </c>
      <c r="M729">
        <f t="shared" si="116"/>
        <v>277</v>
      </c>
      <c r="N729">
        <f t="shared" si="117"/>
        <v>0</v>
      </c>
    </row>
    <row r="730" spans="1:14" x14ac:dyDescent="0.35">
      <c r="A730" s="5">
        <v>2227803</v>
      </c>
      <c r="B730" s="6">
        <v>42928</v>
      </c>
      <c r="C730" s="7">
        <v>0.38317129629629632</v>
      </c>
      <c r="D730" s="8">
        <v>0.39157407407407407</v>
      </c>
      <c r="E730" s="20">
        <f t="shared" si="110"/>
        <v>8.402777777777759E-3</v>
      </c>
      <c r="F730" t="str">
        <f t="shared" si="111"/>
        <v>stacjonarny</v>
      </c>
      <c r="G730" s="23">
        <f t="shared" si="118"/>
        <v>259745</v>
      </c>
      <c r="H730">
        <f t="shared" si="119"/>
        <v>84419</v>
      </c>
      <c r="I730">
        <f t="shared" si="112"/>
        <v>0</v>
      </c>
      <c r="J730">
        <f t="shared" si="113"/>
        <v>0</v>
      </c>
      <c r="K730">
        <f t="shared" si="114"/>
        <v>344164</v>
      </c>
      <c r="L730">
        <f t="shared" si="115"/>
        <v>0</v>
      </c>
      <c r="M730">
        <f t="shared" si="116"/>
        <v>726</v>
      </c>
      <c r="N730">
        <f t="shared" si="117"/>
        <v>0</v>
      </c>
    </row>
    <row r="731" spans="1:14" x14ac:dyDescent="0.35">
      <c r="A731" s="9">
        <v>4007464</v>
      </c>
      <c r="B731" s="10">
        <v>42928</v>
      </c>
      <c r="C731" s="11">
        <v>0.38767361111111109</v>
      </c>
      <c r="D731" s="12">
        <v>0.38848379629629631</v>
      </c>
      <c r="E731" s="20">
        <f t="shared" si="110"/>
        <v>8.1018518518521931E-4</v>
      </c>
      <c r="F731" t="str">
        <f t="shared" si="111"/>
        <v>stacjonarny</v>
      </c>
      <c r="G731" s="23">
        <f t="shared" si="118"/>
        <v>259815</v>
      </c>
      <c r="H731">
        <f t="shared" si="119"/>
        <v>84419</v>
      </c>
      <c r="I731">
        <f t="shared" si="112"/>
        <v>0</v>
      </c>
      <c r="J731">
        <f t="shared" si="113"/>
        <v>0</v>
      </c>
      <c r="K731">
        <f t="shared" si="114"/>
        <v>344234</v>
      </c>
      <c r="L731">
        <f t="shared" si="115"/>
        <v>0</v>
      </c>
      <c r="M731">
        <f t="shared" si="116"/>
        <v>70</v>
      </c>
      <c r="N731">
        <f t="shared" si="117"/>
        <v>0</v>
      </c>
    </row>
    <row r="732" spans="1:14" x14ac:dyDescent="0.35">
      <c r="A732" s="5">
        <v>54713807</v>
      </c>
      <c r="B732" s="6">
        <v>42928</v>
      </c>
      <c r="C732" s="7">
        <v>0.38968750000000002</v>
      </c>
      <c r="D732" s="8">
        <v>0.39152777777777775</v>
      </c>
      <c r="E732" s="20">
        <f t="shared" si="110"/>
        <v>1.8402777777777324E-3</v>
      </c>
      <c r="F732" t="str">
        <f t="shared" si="111"/>
        <v>komorkowy</v>
      </c>
      <c r="G732" s="23">
        <f t="shared" si="118"/>
        <v>259815</v>
      </c>
      <c r="H732">
        <f t="shared" si="119"/>
        <v>84578</v>
      </c>
      <c r="I732">
        <f t="shared" si="112"/>
        <v>0</v>
      </c>
      <c r="J732">
        <f t="shared" si="113"/>
        <v>0</v>
      </c>
      <c r="K732">
        <f t="shared" si="114"/>
        <v>344393</v>
      </c>
      <c r="L732">
        <f t="shared" si="115"/>
        <v>0</v>
      </c>
      <c r="M732">
        <f t="shared" si="116"/>
        <v>0</v>
      </c>
      <c r="N732">
        <f t="shared" si="117"/>
        <v>159</v>
      </c>
    </row>
    <row r="733" spans="1:14" x14ac:dyDescent="0.35">
      <c r="A733" s="9">
        <v>7097883</v>
      </c>
      <c r="B733" s="10">
        <v>42928</v>
      </c>
      <c r="C733" s="11">
        <v>0.39206018518518521</v>
      </c>
      <c r="D733" s="12">
        <v>0.39436342592592594</v>
      </c>
      <c r="E733" s="20">
        <f t="shared" si="110"/>
        <v>2.3032407407407307E-3</v>
      </c>
      <c r="F733" t="str">
        <f t="shared" si="111"/>
        <v>stacjonarny</v>
      </c>
      <c r="G733" s="23">
        <f t="shared" si="118"/>
        <v>260014</v>
      </c>
      <c r="H733">
        <f t="shared" si="119"/>
        <v>84578</v>
      </c>
      <c r="I733">
        <f t="shared" si="112"/>
        <v>0</v>
      </c>
      <c r="J733">
        <f t="shared" si="113"/>
        <v>0</v>
      </c>
      <c r="K733">
        <f t="shared" si="114"/>
        <v>344592</v>
      </c>
      <c r="L733">
        <f t="shared" si="115"/>
        <v>0</v>
      </c>
      <c r="M733">
        <f t="shared" si="116"/>
        <v>199</v>
      </c>
      <c r="N733">
        <f t="shared" si="117"/>
        <v>0</v>
      </c>
    </row>
    <row r="734" spans="1:14" x14ac:dyDescent="0.35">
      <c r="A734" s="5">
        <v>48630026</v>
      </c>
      <c r="B734" s="6">
        <v>42928</v>
      </c>
      <c r="C734" s="7">
        <v>0.39709490740740738</v>
      </c>
      <c r="D734" s="8">
        <v>0.40651620370370373</v>
      </c>
      <c r="E734" s="20">
        <f t="shared" si="110"/>
        <v>9.4212962962963442E-3</v>
      </c>
      <c r="F734" t="str">
        <f t="shared" si="111"/>
        <v>komorkowy</v>
      </c>
      <c r="G734" s="23">
        <f t="shared" si="118"/>
        <v>260014</v>
      </c>
      <c r="H734">
        <f t="shared" si="119"/>
        <v>85392</v>
      </c>
      <c r="I734">
        <f t="shared" si="112"/>
        <v>0</v>
      </c>
      <c r="J734">
        <f t="shared" si="113"/>
        <v>0</v>
      </c>
      <c r="K734">
        <f t="shared" si="114"/>
        <v>345406</v>
      </c>
      <c r="L734">
        <f t="shared" si="115"/>
        <v>0</v>
      </c>
      <c r="M734">
        <f t="shared" si="116"/>
        <v>0</v>
      </c>
      <c r="N734">
        <f t="shared" si="117"/>
        <v>814</v>
      </c>
    </row>
    <row r="735" spans="1:14" x14ac:dyDescent="0.35">
      <c r="A735" s="9">
        <v>1279245</v>
      </c>
      <c r="B735" s="10">
        <v>42928</v>
      </c>
      <c r="C735" s="11">
        <v>0.40247685185185184</v>
      </c>
      <c r="D735" s="12">
        <v>0.40831018518518519</v>
      </c>
      <c r="E735" s="20">
        <f t="shared" si="110"/>
        <v>5.833333333333357E-3</v>
      </c>
      <c r="F735" t="str">
        <f t="shared" si="111"/>
        <v>stacjonarny</v>
      </c>
      <c r="G735" s="23">
        <f t="shared" si="118"/>
        <v>260518</v>
      </c>
      <c r="H735">
        <f t="shared" si="119"/>
        <v>85392</v>
      </c>
      <c r="I735">
        <f t="shared" si="112"/>
        <v>0</v>
      </c>
      <c r="J735">
        <f t="shared" si="113"/>
        <v>0</v>
      </c>
      <c r="K735">
        <f t="shared" si="114"/>
        <v>345910</v>
      </c>
      <c r="L735">
        <f t="shared" si="115"/>
        <v>0</v>
      </c>
      <c r="M735">
        <f t="shared" si="116"/>
        <v>504</v>
      </c>
      <c r="N735">
        <f t="shared" si="117"/>
        <v>0</v>
      </c>
    </row>
    <row r="736" spans="1:14" x14ac:dyDescent="0.35">
      <c r="A736" s="5">
        <v>2571251</v>
      </c>
      <c r="B736" s="6">
        <v>42928</v>
      </c>
      <c r="C736" s="7">
        <v>0.40822916666666664</v>
      </c>
      <c r="D736" s="8">
        <v>0.41586805555555556</v>
      </c>
      <c r="E736" s="20">
        <f t="shared" si="110"/>
        <v>7.6388888888889173E-3</v>
      </c>
      <c r="F736" t="str">
        <f t="shared" si="111"/>
        <v>stacjonarny</v>
      </c>
      <c r="G736" s="23">
        <f t="shared" si="118"/>
        <v>261178</v>
      </c>
      <c r="H736">
        <f t="shared" si="119"/>
        <v>85392</v>
      </c>
      <c r="I736">
        <f t="shared" si="112"/>
        <v>0</v>
      </c>
      <c r="J736">
        <f t="shared" si="113"/>
        <v>0</v>
      </c>
      <c r="K736">
        <f t="shared" si="114"/>
        <v>346570</v>
      </c>
      <c r="L736">
        <f t="shared" si="115"/>
        <v>0</v>
      </c>
      <c r="M736">
        <f t="shared" si="116"/>
        <v>660</v>
      </c>
      <c r="N736">
        <f t="shared" si="117"/>
        <v>0</v>
      </c>
    </row>
    <row r="737" spans="1:14" x14ac:dyDescent="0.35">
      <c r="A737" s="9">
        <v>9566647</v>
      </c>
      <c r="B737" s="10">
        <v>42928</v>
      </c>
      <c r="C737" s="11">
        <v>0.40881944444444446</v>
      </c>
      <c r="D737" s="12">
        <v>0.40950231481481481</v>
      </c>
      <c r="E737" s="20">
        <f t="shared" si="110"/>
        <v>6.8287037037034759E-4</v>
      </c>
      <c r="F737" t="str">
        <f t="shared" si="111"/>
        <v>stacjonarny</v>
      </c>
      <c r="G737" s="23">
        <f t="shared" si="118"/>
        <v>261237</v>
      </c>
      <c r="H737">
        <f t="shared" si="119"/>
        <v>85392</v>
      </c>
      <c r="I737">
        <f t="shared" si="112"/>
        <v>0</v>
      </c>
      <c r="J737">
        <f t="shared" si="113"/>
        <v>0</v>
      </c>
      <c r="K737">
        <f t="shared" si="114"/>
        <v>346629</v>
      </c>
      <c r="L737">
        <f t="shared" si="115"/>
        <v>0</v>
      </c>
      <c r="M737">
        <f t="shared" si="116"/>
        <v>59</v>
      </c>
      <c r="N737">
        <f t="shared" si="117"/>
        <v>0</v>
      </c>
    </row>
    <row r="738" spans="1:14" x14ac:dyDescent="0.35">
      <c r="A738" s="5">
        <v>1454555</v>
      </c>
      <c r="B738" s="6">
        <v>42928</v>
      </c>
      <c r="C738" s="7">
        <v>0.41078703703703706</v>
      </c>
      <c r="D738" s="8">
        <v>0.41078703703703706</v>
      </c>
      <c r="E738" s="20">
        <f t="shared" si="110"/>
        <v>0</v>
      </c>
      <c r="F738" t="str">
        <f t="shared" si="111"/>
        <v>stacjonarny</v>
      </c>
      <c r="G738" s="23">
        <f t="shared" si="118"/>
        <v>261237</v>
      </c>
      <c r="H738">
        <f t="shared" si="119"/>
        <v>85392</v>
      </c>
      <c r="I738">
        <f t="shared" si="112"/>
        <v>0</v>
      </c>
      <c r="J738">
        <f t="shared" si="113"/>
        <v>0</v>
      </c>
      <c r="K738">
        <f t="shared" si="114"/>
        <v>346629</v>
      </c>
      <c r="L738">
        <f t="shared" si="115"/>
        <v>0</v>
      </c>
      <c r="M738">
        <f t="shared" si="116"/>
        <v>0</v>
      </c>
      <c r="N738">
        <f t="shared" si="117"/>
        <v>0</v>
      </c>
    </row>
    <row r="739" spans="1:14" x14ac:dyDescent="0.35">
      <c r="A739" s="9">
        <v>21996267</v>
      </c>
      <c r="B739" s="10">
        <v>42928</v>
      </c>
      <c r="C739" s="11">
        <v>0.41218749999999998</v>
      </c>
      <c r="D739" s="12">
        <v>0.41280092592592593</v>
      </c>
      <c r="E739" s="20">
        <f t="shared" si="110"/>
        <v>6.134259259259478E-4</v>
      </c>
      <c r="F739" t="str">
        <f t="shared" si="111"/>
        <v>komorkowy</v>
      </c>
      <c r="G739" s="23">
        <f t="shared" si="118"/>
        <v>261237</v>
      </c>
      <c r="H739">
        <f t="shared" si="119"/>
        <v>85445</v>
      </c>
      <c r="I739">
        <f t="shared" si="112"/>
        <v>0</v>
      </c>
      <c r="J739">
        <f t="shared" si="113"/>
        <v>0</v>
      </c>
      <c r="K739">
        <f t="shared" si="114"/>
        <v>346682</v>
      </c>
      <c r="L739">
        <f t="shared" si="115"/>
        <v>0</v>
      </c>
      <c r="M739">
        <f t="shared" si="116"/>
        <v>0</v>
      </c>
      <c r="N739">
        <f t="shared" si="117"/>
        <v>53</v>
      </c>
    </row>
    <row r="740" spans="1:14" x14ac:dyDescent="0.35">
      <c r="A740" s="5">
        <v>8429072</v>
      </c>
      <c r="B740" s="6">
        <v>42928</v>
      </c>
      <c r="C740" s="7">
        <v>0.41414351851851849</v>
      </c>
      <c r="D740" s="8">
        <v>0.42015046296296299</v>
      </c>
      <c r="E740" s="20">
        <f t="shared" si="110"/>
        <v>6.0069444444444953E-3</v>
      </c>
      <c r="F740" t="str">
        <f t="shared" si="111"/>
        <v>stacjonarny</v>
      </c>
      <c r="G740" s="23">
        <f t="shared" si="118"/>
        <v>261756</v>
      </c>
      <c r="H740">
        <f t="shared" si="119"/>
        <v>85445</v>
      </c>
      <c r="I740">
        <f t="shared" si="112"/>
        <v>0</v>
      </c>
      <c r="J740">
        <f t="shared" si="113"/>
        <v>0</v>
      </c>
      <c r="K740">
        <f t="shared" si="114"/>
        <v>347201</v>
      </c>
      <c r="L740">
        <f t="shared" si="115"/>
        <v>0</v>
      </c>
      <c r="M740">
        <f t="shared" si="116"/>
        <v>519</v>
      </c>
      <c r="N740">
        <f t="shared" si="117"/>
        <v>0</v>
      </c>
    </row>
    <row r="741" spans="1:14" x14ac:dyDescent="0.35">
      <c r="A741" s="9">
        <v>9815754</v>
      </c>
      <c r="B741" s="10">
        <v>42928</v>
      </c>
      <c r="C741" s="11">
        <v>0.41853009259259261</v>
      </c>
      <c r="D741" s="12">
        <v>0.42037037037037039</v>
      </c>
      <c r="E741" s="20">
        <f t="shared" si="110"/>
        <v>1.8402777777777879E-3</v>
      </c>
      <c r="F741" t="str">
        <f t="shared" si="111"/>
        <v>stacjonarny</v>
      </c>
      <c r="G741" s="23">
        <f t="shared" si="118"/>
        <v>261915</v>
      </c>
      <c r="H741">
        <f t="shared" si="119"/>
        <v>85445</v>
      </c>
      <c r="I741">
        <f t="shared" si="112"/>
        <v>0</v>
      </c>
      <c r="J741">
        <f t="shared" si="113"/>
        <v>0</v>
      </c>
      <c r="K741">
        <f t="shared" si="114"/>
        <v>347360</v>
      </c>
      <c r="L741">
        <f t="shared" si="115"/>
        <v>0</v>
      </c>
      <c r="M741">
        <f t="shared" si="116"/>
        <v>159</v>
      </c>
      <c r="N741">
        <f t="shared" si="117"/>
        <v>0</v>
      </c>
    </row>
    <row r="742" spans="1:14" x14ac:dyDescent="0.35">
      <c r="A742" s="5">
        <v>2434652</v>
      </c>
      <c r="B742" s="6">
        <v>42928</v>
      </c>
      <c r="C742" s="7">
        <v>0.42370370370370369</v>
      </c>
      <c r="D742" s="8">
        <v>0.43412037037037038</v>
      </c>
      <c r="E742" s="20">
        <f t="shared" si="110"/>
        <v>1.0416666666666685E-2</v>
      </c>
      <c r="F742" t="str">
        <f t="shared" si="111"/>
        <v>stacjonarny</v>
      </c>
      <c r="G742" s="23">
        <f t="shared" si="118"/>
        <v>262815</v>
      </c>
      <c r="H742">
        <f t="shared" si="119"/>
        <v>85445</v>
      </c>
      <c r="I742">
        <f t="shared" si="112"/>
        <v>0</v>
      </c>
      <c r="J742">
        <f t="shared" si="113"/>
        <v>0</v>
      </c>
      <c r="K742">
        <f t="shared" si="114"/>
        <v>348260</v>
      </c>
      <c r="L742">
        <f t="shared" si="115"/>
        <v>0</v>
      </c>
      <c r="M742">
        <f t="shared" si="116"/>
        <v>900</v>
      </c>
      <c r="N742">
        <f t="shared" si="117"/>
        <v>0</v>
      </c>
    </row>
    <row r="743" spans="1:14" x14ac:dyDescent="0.35">
      <c r="A743" s="9">
        <v>4939683</v>
      </c>
      <c r="B743" s="10">
        <v>42928</v>
      </c>
      <c r="C743" s="11">
        <v>0.42650462962962965</v>
      </c>
      <c r="D743" s="12">
        <v>0.43417824074074074</v>
      </c>
      <c r="E743" s="20">
        <f t="shared" si="110"/>
        <v>7.6736111111110894E-3</v>
      </c>
      <c r="F743" t="str">
        <f t="shared" si="111"/>
        <v>stacjonarny</v>
      </c>
      <c r="G743" s="23">
        <f t="shared" si="118"/>
        <v>263478</v>
      </c>
      <c r="H743">
        <f t="shared" si="119"/>
        <v>85445</v>
      </c>
      <c r="I743">
        <f t="shared" si="112"/>
        <v>0</v>
      </c>
      <c r="J743">
        <f t="shared" si="113"/>
        <v>0</v>
      </c>
      <c r="K743">
        <f t="shared" si="114"/>
        <v>348923</v>
      </c>
      <c r="L743">
        <f t="shared" si="115"/>
        <v>0</v>
      </c>
      <c r="M743">
        <f t="shared" si="116"/>
        <v>663</v>
      </c>
      <c r="N743">
        <f t="shared" si="117"/>
        <v>0</v>
      </c>
    </row>
    <row r="744" spans="1:14" x14ac:dyDescent="0.35">
      <c r="A744" s="5">
        <v>6821027</v>
      </c>
      <c r="B744" s="6">
        <v>42928</v>
      </c>
      <c r="C744" s="7">
        <v>0.42766203703703703</v>
      </c>
      <c r="D744" s="8">
        <v>0.43533564814814812</v>
      </c>
      <c r="E744" s="20">
        <f t="shared" si="110"/>
        <v>7.6736111111110894E-3</v>
      </c>
      <c r="F744" t="str">
        <f t="shared" si="111"/>
        <v>stacjonarny</v>
      </c>
      <c r="G744" s="23">
        <f t="shared" si="118"/>
        <v>264141</v>
      </c>
      <c r="H744">
        <f t="shared" si="119"/>
        <v>85445</v>
      </c>
      <c r="I744">
        <f t="shared" si="112"/>
        <v>0</v>
      </c>
      <c r="J744">
        <f t="shared" si="113"/>
        <v>0</v>
      </c>
      <c r="K744">
        <f t="shared" si="114"/>
        <v>349586</v>
      </c>
      <c r="L744">
        <f t="shared" si="115"/>
        <v>0</v>
      </c>
      <c r="M744">
        <f t="shared" si="116"/>
        <v>663</v>
      </c>
      <c r="N744">
        <f t="shared" si="117"/>
        <v>0</v>
      </c>
    </row>
    <row r="745" spans="1:14" x14ac:dyDescent="0.35">
      <c r="A745" s="9">
        <v>3253368</v>
      </c>
      <c r="B745" s="10">
        <v>42928</v>
      </c>
      <c r="C745" s="11">
        <v>0.43041666666666667</v>
      </c>
      <c r="D745" s="12">
        <v>0.43164351851851851</v>
      </c>
      <c r="E745" s="20">
        <f t="shared" si="110"/>
        <v>1.2268518518518401E-3</v>
      </c>
      <c r="F745" t="str">
        <f t="shared" si="111"/>
        <v>stacjonarny</v>
      </c>
      <c r="G745" s="23">
        <f t="shared" si="118"/>
        <v>264247</v>
      </c>
      <c r="H745">
        <f t="shared" si="119"/>
        <v>85445</v>
      </c>
      <c r="I745">
        <f t="shared" si="112"/>
        <v>0</v>
      </c>
      <c r="J745">
        <f t="shared" si="113"/>
        <v>0</v>
      </c>
      <c r="K745">
        <f t="shared" si="114"/>
        <v>349692</v>
      </c>
      <c r="L745">
        <f t="shared" si="115"/>
        <v>0</v>
      </c>
      <c r="M745">
        <f t="shared" si="116"/>
        <v>106</v>
      </c>
      <c r="N745">
        <f t="shared" si="117"/>
        <v>0</v>
      </c>
    </row>
    <row r="746" spans="1:14" x14ac:dyDescent="0.35">
      <c r="A746" s="5">
        <v>3505978</v>
      </c>
      <c r="B746" s="6">
        <v>42928</v>
      </c>
      <c r="C746" s="7">
        <v>0.43381944444444442</v>
      </c>
      <c r="D746" s="8">
        <v>0.44515046296296296</v>
      </c>
      <c r="E746" s="20">
        <f t="shared" si="110"/>
        <v>1.1331018518518532E-2</v>
      </c>
      <c r="F746" t="str">
        <f t="shared" si="111"/>
        <v>stacjonarny</v>
      </c>
      <c r="G746" s="23">
        <f t="shared" si="118"/>
        <v>265226</v>
      </c>
      <c r="H746">
        <f t="shared" si="119"/>
        <v>85445</v>
      </c>
      <c r="I746">
        <f t="shared" si="112"/>
        <v>0</v>
      </c>
      <c r="J746">
        <f t="shared" si="113"/>
        <v>0</v>
      </c>
      <c r="K746">
        <f t="shared" si="114"/>
        <v>350671</v>
      </c>
      <c r="L746">
        <f t="shared" si="115"/>
        <v>0</v>
      </c>
      <c r="M746">
        <f t="shared" si="116"/>
        <v>979</v>
      </c>
      <c r="N746">
        <f t="shared" si="117"/>
        <v>0</v>
      </c>
    </row>
    <row r="747" spans="1:14" x14ac:dyDescent="0.35">
      <c r="A747" s="9">
        <v>91743317</v>
      </c>
      <c r="B747" s="10">
        <v>42928</v>
      </c>
      <c r="C747" s="11">
        <v>0.43717592592592591</v>
      </c>
      <c r="D747" s="12">
        <v>0.44695601851851852</v>
      </c>
      <c r="E747" s="20">
        <f t="shared" si="110"/>
        <v>9.7800925925926041E-3</v>
      </c>
      <c r="F747" t="str">
        <f t="shared" si="111"/>
        <v>komorkowy</v>
      </c>
      <c r="G747" s="23">
        <f t="shared" si="118"/>
        <v>265226</v>
      </c>
      <c r="H747">
        <f t="shared" si="119"/>
        <v>86290</v>
      </c>
      <c r="I747">
        <f t="shared" si="112"/>
        <v>0</v>
      </c>
      <c r="J747">
        <f t="shared" si="113"/>
        <v>0</v>
      </c>
      <c r="K747">
        <f t="shared" si="114"/>
        <v>351516</v>
      </c>
      <c r="L747">
        <f t="shared" si="115"/>
        <v>0</v>
      </c>
      <c r="M747">
        <f t="shared" si="116"/>
        <v>0</v>
      </c>
      <c r="N747">
        <f t="shared" si="117"/>
        <v>845</v>
      </c>
    </row>
    <row r="748" spans="1:14" x14ac:dyDescent="0.35">
      <c r="A748" s="5">
        <v>5104536</v>
      </c>
      <c r="B748" s="6">
        <v>42928</v>
      </c>
      <c r="C748" s="7">
        <v>0.44146990740740738</v>
      </c>
      <c r="D748" s="8">
        <v>0.44412037037037039</v>
      </c>
      <c r="E748" s="20">
        <f t="shared" si="110"/>
        <v>2.6504629629630072E-3</v>
      </c>
      <c r="F748" t="str">
        <f t="shared" si="111"/>
        <v>stacjonarny</v>
      </c>
      <c r="G748" s="23">
        <f t="shared" si="118"/>
        <v>265455</v>
      </c>
      <c r="H748">
        <f t="shared" si="119"/>
        <v>86290</v>
      </c>
      <c r="I748">
        <f t="shared" si="112"/>
        <v>0</v>
      </c>
      <c r="J748">
        <f t="shared" si="113"/>
        <v>0</v>
      </c>
      <c r="K748">
        <f t="shared" si="114"/>
        <v>351745</v>
      </c>
      <c r="L748">
        <f t="shared" si="115"/>
        <v>0</v>
      </c>
      <c r="M748">
        <f t="shared" si="116"/>
        <v>229</v>
      </c>
      <c r="N748">
        <f t="shared" si="117"/>
        <v>0</v>
      </c>
    </row>
    <row r="749" spans="1:14" x14ac:dyDescent="0.35">
      <c r="A749" s="9">
        <v>7353916</v>
      </c>
      <c r="B749" s="10">
        <v>42928</v>
      </c>
      <c r="C749" s="11">
        <v>0.44663194444444443</v>
      </c>
      <c r="D749" s="12">
        <v>0.45378472222222221</v>
      </c>
      <c r="E749" s="20">
        <f t="shared" si="110"/>
        <v>7.1527777777777857E-3</v>
      </c>
      <c r="F749" t="str">
        <f t="shared" si="111"/>
        <v>stacjonarny</v>
      </c>
      <c r="G749" s="23">
        <f t="shared" si="118"/>
        <v>266073</v>
      </c>
      <c r="H749">
        <f t="shared" si="119"/>
        <v>86290</v>
      </c>
      <c r="I749">
        <f t="shared" si="112"/>
        <v>0</v>
      </c>
      <c r="J749">
        <f t="shared" si="113"/>
        <v>0</v>
      </c>
      <c r="K749">
        <f t="shared" si="114"/>
        <v>352363</v>
      </c>
      <c r="L749">
        <f t="shared" si="115"/>
        <v>0</v>
      </c>
      <c r="M749">
        <f t="shared" si="116"/>
        <v>618</v>
      </c>
      <c r="N749">
        <f t="shared" si="117"/>
        <v>0</v>
      </c>
    </row>
    <row r="750" spans="1:14" x14ac:dyDescent="0.35">
      <c r="A750" s="5">
        <v>4412771</v>
      </c>
      <c r="B750" s="6">
        <v>42928</v>
      </c>
      <c r="C750" s="7">
        <v>0.44809027777777777</v>
      </c>
      <c r="D750" s="8">
        <v>0.45256944444444447</v>
      </c>
      <c r="E750" s="20">
        <f t="shared" si="110"/>
        <v>4.4791666666667007E-3</v>
      </c>
      <c r="F750" t="str">
        <f t="shared" si="111"/>
        <v>stacjonarny</v>
      </c>
      <c r="G750" s="23">
        <f t="shared" si="118"/>
        <v>266460</v>
      </c>
      <c r="H750">
        <f t="shared" si="119"/>
        <v>86290</v>
      </c>
      <c r="I750">
        <f t="shared" si="112"/>
        <v>0</v>
      </c>
      <c r="J750">
        <f t="shared" si="113"/>
        <v>0</v>
      </c>
      <c r="K750">
        <f t="shared" si="114"/>
        <v>352750</v>
      </c>
      <c r="L750">
        <f t="shared" si="115"/>
        <v>0</v>
      </c>
      <c r="M750">
        <f t="shared" si="116"/>
        <v>387</v>
      </c>
      <c r="N750">
        <f t="shared" si="117"/>
        <v>0</v>
      </c>
    </row>
    <row r="751" spans="1:14" x14ac:dyDescent="0.35">
      <c r="A751" s="9">
        <v>6709939</v>
      </c>
      <c r="B751" s="10">
        <v>42928</v>
      </c>
      <c r="C751" s="11">
        <v>0.44817129629629632</v>
      </c>
      <c r="D751" s="12">
        <v>0.4506134259259259</v>
      </c>
      <c r="E751" s="20">
        <f t="shared" si="110"/>
        <v>2.4421296296295858E-3</v>
      </c>
      <c r="F751" t="str">
        <f t="shared" si="111"/>
        <v>stacjonarny</v>
      </c>
      <c r="G751" s="23">
        <f t="shared" si="118"/>
        <v>266671</v>
      </c>
      <c r="H751">
        <f t="shared" si="119"/>
        <v>86290</v>
      </c>
      <c r="I751">
        <f t="shared" si="112"/>
        <v>0</v>
      </c>
      <c r="J751">
        <f t="shared" si="113"/>
        <v>0</v>
      </c>
      <c r="K751">
        <f t="shared" si="114"/>
        <v>352961</v>
      </c>
      <c r="L751">
        <f t="shared" si="115"/>
        <v>0</v>
      </c>
      <c r="M751">
        <f t="shared" si="116"/>
        <v>211</v>
      </c>
      <c r="N751">
        <f t="shared" si="117"/>
        <v>0</v>
      </c>
    </row>
    <row r="752" spans="1:14" x14ac:dyDescent="0.35">
      <c r="A752" s="5">
        <v>7891185</v>
      </c>
      <c r="B752" s="6">
        <v>42928</v>
      </c>
      <c r="C752" s="7">
        <v>0.45010416666666669</v>
      </c>
      <c r="D752" s="8">
        <v>0.46153935185185185</v>
      </c>
      <c r="E752" s="20">
        <f t="shared" si="110"/>
        <v>1.1435185185185159E-2</v>
      </c>
      <c r="F752" t="str">
        <f t="shared" si="111"/>
        <v>stacjonarny</v>
      </c>
      <c r="G752" s="23">
        <f t="shared" si="118"/>
        <v>267659</v>
      </c>
      <c r="H752">
        <f t="shared" si="119"/>
        <v>86290</v>
      </c>
      <c r="I752">
        <f t="shared" si="112"/>
        <v>0</v>
      </c>
      <c r="J752">
        <f t="shared" si="113"/>
        <v>0</v>
      </c>
      <c r="K752">
        <f t="shared" si="114"/>
        <v>353949</v>
      </c>
      <c r="L752">
        <f t="shared" si="115"/>
        <v>0</v>
      </c>
      <c r="M752">
        <f t="shared" si="116"/>
        <v>988</v>
      </c>
      <c r="N752">
        <f t="shared" si="117"/>
        <v>0</v>
      </c>
    </row>
    <row r="753" spans="1:14" x14ac:dyDescent="0.35">
      <c r="A753" s="9">
        <v>90417363</v>
      </c>
      <c r="B753" s="10">
        <v>42928</v>
      </c>
      <c r="C753" s="11">
        <v>0.45504629629629628</v>
      </c>
      <c r="D753" s="12">
        <v>0.4607175925925926</v>
      </c>
      <c r="E753" s="20">
        <f t="shared" si="110"/>
        <v>5.6712962962963132E-3</v>
      </c>
      <c r="F753" t="str">
        <f t="shared" si="111"/>
        <v>komorkowy</v>
      </c>
      <c r="G753" s="23">
        <f t="shared" si="118"/>
        <v>267659</v>
      </c>
      <c r="H753">
        <f t="shared" si="119"/>
        <v>86780</v>
      </c>
      <c r="I753">
        <f t="shared" si="112"/>
        <v>0</v>
      </c>
      <c r="J753">
        <f t="shared" si="113"/>
        <v>0</v>
      </c>
      <c r="K753">
        <f t="shared" si="114"/>
        <v>354439</v>
      </c>
      <c r="L753">
        <f t="shared" si="115"/>
        <v>0</v>
      </c>
      <c r="M753">
        <f t="shared" si="116"/>
        <v>0</v>
      </c>
      <c r="N753">
        <f t="shared" si="117"/>
        <v>490</v>
      </c>
    </row>
    <row r="754" spans="1:14" x14ac:dyDescent="0.35">
      <c r="A754" s="5">
        <v>4929499</v>
      </c>
      <c r="B754" s="6">
        <v>42928</v>
      </c>
      <c r="C754" s="7">
        <v>0.45673611111111112</v>
      </c>
      <c r="D754" s="8">
        <v>0.4586574074074074</v>
      </c>
      <c r="E754" s="20">
        <f t="shared" si="110"/>
        <v>1.9212962962962821E-3</v>
      </c>
      <c r="F754" t="str">
        <f t="shared" si="111"/>
        <v>stacjonarny</v>
      </c>
      <c r="G754" s="23">
        <f t="shared" si="118"/>
        <v>267825</v>
      </c>
      <c r="H754">
        <f t="shared" si="119"/>
        <v>86780</v>
      </c>
      <c r="I754">
        <f t="shared" si="112"/>
        <v>0</v>
      </c>
      <c r="J754">
        <f t="shared" si="113"/>
        <v>0</v>
      </c>
      <c r="K754">
        <f t="shared" si="114"/>
        <v>354605</v>
      </c>
      <c r="L754">
        <f t="shared" si="115"/>
        <v>0</v>
      </c>
      <c r="M754">
        <f t="shared" si="116"/>
        <v>166</v>
      </c>
      <c r="N754">
        <f t="shared" si="117"/>
        <v>0</v>
      </c>
    </row>
    <row r="755" spans="1:14" x14ac:dyDescent="0.35">
      <c r="A755" s="9">
        <v>3824371</v>
      </c>
      <c r="B755" s="10">
        <v>42928</v>
      </c>
      <c r="C755" s="11">
        <v>0.46217592592592593</v>
      </c>
      <c r="D755" s="12">
        <v>0.47150462962962963</v>
      </c>
      <c r="E755" s="20">
        <f t="shared" si="110"/>
        <v>9.3287037037037002E-3</v>
      </c>
      <c r="F755" t="str">
        <f t="shared" si="111"/>
        <v>stacjonarny</v>
      </c>
      <c r="G755" s="23">
        <f t="shared" si="118"/>
        <v>268631</v>
      </c>
      <c r="H755">
        <f t="shared" si="119"/>
        <v>86780</v>
      </c>
      <c r="I755">
        <f t="shared" si="112"/>
        <v>0</v>
      </c>
      <c r="J755">
        <f t="shared" si="113"/>
        <v>0</v>
      </c>
      <c r="K755">
        <f t="shared" si="114"/>
        <v>355411</v>
      </c>
      <c r="L755">
        <f t="shared" si="115"/>
        <v>0</v>
      </c>
      <c r="M755">
        <f t="shared" si="116"/>
        <v>806</v>
      </c>
      <c r="N755">
        <f t="shared" si="117"/>
        <v>0</v>
      </c>
    </row>
    <row r="756" spans="1:14" x14ac:dyDescent="0.35">
      <c r="A756" s="5">
        <v>1119740</v>
      </c>
      <c r="B756" s="6">
        <v>42928</v>
      </c>
      <c r="C756" s="7">
        <v>0.46663194444444445</v>
      </c>
      <c r="D756" s="8">
        <v>0.47532407407407407</v>
      </c>
      <c r="E756" s="20">
        <f t="shared" si="110"/>
        <v>8.6921296296296191E-3</v>
      </c>
      <c r="F756" t="str">
        <f t="shared" si="111"/>
        <v>stacjonarny</v>
      </c>
      <c r="G756" s="23">
        <f t="shared" si="118"/>
        <v>269382</v>
      </c>
      <c r="H756">
        <f t="shared" si="119"/>
        <v>86780</v>
      </c>
      <c r="I756">
        <f t="shared" si="112"/>
        <v>0</v>
      </c>
      <c r="J756">
        <f t="shared" si="113"/>
        <v>0</v>
      </c>
      <c r="K756">
        <f t="shared" si="114"/>
        <v>356162</v>
      </c>
      <c r="L756">
        <f t="shared" si="115"/>
        <v>0</v>
      </c>
      <c r="M756">
        <f t="shared" si="116"/>
        <v>751</v>
      </c>
      <c r="N756">
        <f t="shared" si="117"/>
        <v>0</v>
      </c>
    </row>
    <row r="757" spans="1:14" x14ac:dyDescent="0.35">
      <c r="A757" s="9">
        <v>1219073</v>
      </c>
      <c r="B757" s="10">
        <v>42928</v>
      </c>
      <c r="C757" s="11">
        <v>0.46870370370370368</v>
      </c>
      <c r="D757" s="12">
        <v>0.47320601851851851</v>
      </c>
      <c r="E757" s="20">
        <f t="shared" si="110"/>
        <v>4.502314814814834E-3</v>
      </c>
      <c r="F757" t="str">
        <f t="shared" si="111"/>
        <v>stacjonarny</v>
      </c>
      <c r="G757" s="23">
        <f t="shared" si="118"/>
        <v>269771</v>
      </c>
      <c r="H757">
        <f t="shared" si="119"/>
        <v>86780</v>
      </c>
      <c r="I757">
        <f t="shared" si="112"/>
        <v>0</v>
      </c>
      <c r="J757">
        <f t="shared" si="113"/>
        <v>0</v>
      </c>
      <c r="K757">
        <f t="shared" si="114"/>
        <v>356551</v>
      </c>
      <c r="L757">
        <f t="shared" si="115"/>
        <v>0</v>
      </c>
      <c r="M757">
        <f t="shared" si="116"/>
        <v>389</v>
      </c>
      <c r="N757">
        <f t="shared" si="117"/>
        <v>0</v>
      </c>
    </row>
    <row r="758" spans="1:14" x14ac:dyDescent="0.35">
      <c r="A758" s="5">
        <v>87702896</v>
      </c>
      <c r="B758" s="6">
        <v>42928</v>
      </c>
      <c r="C758" s="7">
        <v>0.47358796296296296</v>
      </c>
      <c r="D758" s="8">
        <v>0.47878472222222224</v>
      </c>
      <c r="E758" s="20">
        <f t="shared" si="110"/>
        <v>5.196759259259276E-3</v>
      </c>
      <c r="F758" t="str">
        <f t="shared" si="111"/>
        <v>komorkowy</v>
      </c>
      <c r="G758" s="23">
        <f t="shared" si="118"/>
        <v>269771</v>
      </c>
      <c r="H758">
        <f t="shared" si="119"/>
        <v>87229</v>
      </c>
      <c r="I758">
        <f t="shared" si="112"/>
        <v>0</v>
      </c>
      <c r="J758">
        <f t="shared" si="113"/>
        <v>0</v>
      </c>
      <c r="K758">
        <f t="shared" si="114"/>
        <v>357000</v>
      </c>
      <c r="L758">
        <f t="shared" si="115"/>
        <v>0</v>
      </c>
      <c r="M758">
        <f t="shared" si="116"/>
        <v>0</v>
      </c>
      <c r="N758">
        <f t="shared" si="117"/>
        <v>449</v>
      </c>
    </row>
    <row r="759" spans="1:14" x14ac:dyDescent="0.35">
      <c r="A759" s="9">
        <v>94197168</v>
      </c>
      <c r="B759" s="10">
        <v>42928</v>
      </c>
      <c r="C759" s="11">
        <v>0.47819444444444442</v>
      </c>
      <c r="D759" s="12">
        <v>0.48442129629629632</v>
      </c>
      <c r="E759" s="20">
        <f t="shared" si="110"/>
        <v>6.2268518518519E-3</v>
      </c>
      <c r="F759" t="str">
        <f t="shared" si="111"/>
        <v>komorkowy</v>
      </c>
      <c r="G759" s="23">
        <f t="shared" si="118"/>
        <v>269771</v>
      </c>
      <c r="H759">
        <f t="shared" si="119"/>
        <v>87767</v>
      </c>
      <c r="I759">
        <f t="shared" si="112"/>
        <v>0</v>
      </c>
      <c r="J759">
        <f t="shared" si="113"/>
        <v>0</v>
      </c>
      <c r="K759">
        <f t="shared" si="114"/>
        <v>357538</v>
      </c>
      <c r="L759">
        <f t="shared" si="115"/>
        <v>0</v>
      </c>
      <c r="M759">
        <f t="shared" si="116"/>
        <v>0</v>
      </c>
      <c r="N759">
        <f t="shared" si="117"/>
        <v>538</v>
      </c>
    </row>
    <row r="760" spans="1:14" x14ac:dyDescent="0.35">
      <c r="A760" s="5">
        <v>8655825</v>
      </c>
      <c r="B760" s="6">
        <v>42928</v>
      </c>
      <c r="C760" s="7">
        <v>0.48251157407407408</v>
      </c>
      <c r="D760" s="8">
        <v>0.48732638888888891</v>
      </c>
      <c r="E760" s="20">
        <f t="shared" si="110"/>
        <v>4.8148148148148273E-3</v>
      </c>
      <c r="F760" t="str">
        <f t="shared" si="111"/>
        <v>stacjonarny</v>
      </c>
      <c r="G760" s="23">
        <f t="shared" si="118"/>
        <v>270187</v>
      </c>
      <c r="H760">
        <f t="shared" si="119"/>
        <v>87767</v>
      </c>
      <c r="I760">
        <f t="shared" si="112"/>
        <v>0</v>
      </c>
      <c r="J760">
        <f t="shared" si="113"/>
        <v>0</v>
      </c>
      <c r="K760">
        <f t="shared" si="114"/>
        <v>357954</v>
      </c>
      <c r="L760">
        <f t="shared" si="115"/>
        <v>0</v>
      </c>
      <c r="M760">
        <f t="shared" si="116"/>
        <v>416</v>
      </c>
      <c r="N760">
        <f t="shared" si="117"/>
        <v>0</v>
      </c>
    </row>
    <row r="761" spans="1:14" x14ac:dyDescent="0.35">
      <c r="A761" s="9">
        <v>47707639</v>
      </c>
      <c r="B761" s="10">
        <v>42928</v>
      </c>
      <c r="C761" s="11">
        <v>0.48827546296296298</v>
      </c>
      <c r="D761" s="12">
        <v>0.49432870370370369</v>
      </c>
      <c r="E761" s="20">
        <f t="shared" si="110"/>
        <v>6.0532407407407063E-3</v>
      </c>
      <c r="F761" t="str">
        <f t="shared" si="111"/>
        <v>komorkowy</v>
      </c>
      <c r="G761" s="23">
        <f t="shared" si="118"/>
        <v>270187</v>
      </c>
      <c r="H761">
        <f t="shared" si="119"/>
        <v>88290</v>
      </c>
      <c r="I761">
        <f t="shared" si="112"/>
        <v>0</v>
      </c>
      <c r="J761">
        <f t="shared" si="113"/>
        <v>0</v>
      </c>
      <c r="K761">
        <f t="shared" si="114"/>
        <v>358477</v>
      </c>
      <c r="L761">
        <f t="shared" si="115"/>
        <v>0</v>
      </c>
      <c r="M761">
        <f t="shared" si="116"/>
        <v>0</v>
      </c>
      <c r="N761">
        <f t="shared" si="117"/>
        <v>523</v>
      </c>
    </row>
    <row r="762" spans="1:14" x14ac:dyDescent="0.35">
      <c r="A762" s="5">
        <v>5029329</v>
      </c>
      <c r="B762" s="6">
        <v>42928</v>
      </c>
      <c r="C762" s="7">
        <v>0.49062499999999998</v>
      </c>
      <c r="D762" s="8">
        <v>0.49535879629629631</v>
      </c>
      <c r="E762" s="20">
        <f t="shared" si="110"/>
        <v>4.7337962962963331E-3</v>
      </c>
      <c r="F762" t="str">
        <f t="shared" si="111"/>
        <v>stacjonarny</v>
      </c>
      <c r="G762" s="23">
        <f t="shared" si="118"/>
        <v>270596</v>
      </c>
      <c r="H762">
        <f t="shared" si="119"/>
        <v>88290</v>
      </c>
      <c r="I762">
        <f t="shared" si="112"/>
        <v>0</v>
      </c>
      <c r="J762">
        <f t="shared" si="113"/>
        <v>0</v>
      </c>
      <c r="K762">
        <f t="shared" si="114"/>
        <v>358886</v>
      </c>
      <c r="L762">
        <f t="shared" si="115"/>
        <v>0</v>
      </c>
      <c r="M762">
        <f t="shared" si="116"/>
        <v>409</v>
      </c>
      <c r="N762">
        <f t="shared" si="117"/>
        <v>0</v>
      </c>
    </row>
    <row r="763" spans="1:14" x14ac:dyDescent="0.35">
      <c r="A763" s="9">
        <v>8825868</v>
      </c>
      <c r="B763" s="10">
        <v>42928</v>
      </c>
      <c r="C763" s="11">
        <v>0.49552083333333335</v>
      </c>
      <c r="D763" s="12">
        <v>0.50263888888888886</v>
      </c>
      <c r="E763" s="20">
        <f t="shared" si="110"/>
        <v>7.1180555555555025E-3</v>
      </c>
      <c r="F763" t="str">
        <f t="shared" si="111"/>
        <v>stacjonarny</v>
      </c>
      <c r="G763" s="23">
        <f t="shared" si="118"/>
        <v>271211</v>
      </c>
      <c r="H763">
        <f t="shared" si="119"/>
        <v>88290</v>
      </c>
      <c r="I763">
        <f t="shared" si="112"/>
        <v>0</v>
      </c>
      <c r="J763">
        <f t="shared" si="113"/>
        <v>0</v>
      </c>
      <c r="K763">
        <f t="shared" si="114"/>
        <v>359501</v>
      </c>
      <c r="L763">
        <f t="shared" si="115"/>
        <v>0</v>
      </c>
      <c r="M763">
        <f t="shared" si="116"/>
        <v>615</v>
      </c>
      <c r="N763">
        <f t="shared" si="117"/>
        <v>0</v>
      </c>
    </row>
    <row r="764" spans="1:14" x14ac:dyDescent="0.35">
      <c r="A764" s="5">
        <v>8461631</v>
      </c>
      <c r="B764" s="6">
        <v>42928</v>
      </c>
      <c r="C764" s="7">
        <v>0.50025462962962963</v>
      </c>
      <c r="D764" s="8">
        <v>0.50344907407407402</v>
      </c>
      <c r="E764" s="20">
        <f t="shared" si="110"/>
        <v>3.1944444444443887E-3</v>
      </c>
      <c r="F764" t="str">
        <f t="shared" si="111"/>
        <v>stacjonarny</v>
      </c>
      <c r="G764" s="23">
        <f t="shared" si="118"/>
        <v>271487</v>
      </c>
      <c r="H764">
        <f t="shared" si="119"/>
        <v>88290</v>
      </c>
      <c r="I764">
        <f t="shared" si="112"/>
        <v>0</v>
      </c>
      <c r="J764">
        <f t="shared" si="113"/>
        <v>0</v>
      </c>
      <c r="K764">
        <f t="shared" si="114"/>
        <v>359777</v>
      </c>
      <c r="L764">
        <f t="shared" si="115"/>
        <v>0</v>
      </c>
      <c r="M764">
        <f t="shared" si="116"/>
        <v>276</v>
      </c>
      <c r="N764">
        <f t="shared" si="117"/>
        <v>0</v>
      </c>
    </row>
    <row r="765" spans="1:14" x14ac:dyDescent="0.35">
      <c r="A765" s="9">
        <v>76777492</v>
      </c>
      <c r="B765" s="10">
        <v>42928</v>
      </c>
      <c r="C765" s="11">
        <v>0.50071759259259263</v>
      </c>
      <c r="D765" s="12">
        <v>0.5085763888888889</v>
      </c>
      <c r="E765" s="20">
        <f t="shared" si="110"/>
        <v>7.8587962962962665E-3</v>
      </c>
      <c r="F765" t="str">
        <f t="shared" si="111"/>
        <v>komorkowy</v>
      </c>
      <c r="G765" s="23">
        <f t="shared" si="118"/>
        <v>271487</v>
      </c>
      <c r="H765">
        <f t="shared" si="119"/>
        <v>88969</v>
      </c>
      <c r="I765">
        <f t="shared" si="112"/>
        <v>0</v>
      </c>
      <c r="J765">
        <f t="shared" si="113"/>
        <v>0</v>
      </c>
      <c r="K765">
        <f t="shared" si="114"/>
        <v>360456</v>
      </c>
      <c r="L765">
        <f t="shared" si="115"/>
        <v>0</v>
      </c>
      <c r="M765">
        <f t="shared" si="116"/>
        <v>0</v>
      </c>
      <c r="N765">
        <f t="shared" si="117"/>
        <v>679</v>
      </c>
    </row>
    <row r="766" spans="1:14" x14ac:dyDescent="0.35">
      <c r="A766" s="5">
        <v>71036125</v>
      </c>
      <c r="B766" s="6">
        <v>42928</v>
      </c>
      <c r="C766" s="7">
        <v>0.50597222222222227</v>
      </c>
      <c r="D766" s="8">
        <v>0.51633101851851848</v>
      </c>
      <c r="E766" s="20">
        <f t="shared" si="110"/>
        <v>1.0358796296296213E-2</v>
      </c>
      <c r="F766" t="str">
        <f t="shared" si="111"/>
        <v>komorkowy</v>
      </c>
      <c r="G766" s="23">
        <f t="shared" si="118"/>
        <v>271487</v>
      </c>
      <c r="H766">
        <f t="shared" si="119"/>
        <v>89864</v>
      </c>
      <c r="I766">
        <f t="shared" si="112"/>
        <v>0</v>
      </c>
      <c r="J766">
        <f t="shared" si="113"/>
        <v>0</v>
      </c>
      <c r="K766">
        <f t="shared" si="114"/>
        <v>361351</v>
      </c>
      <c r="L766">
        <f t="shared" si="115"/>
        <v>0</v>
      </c>
      <c r="M766">
        <f t="shared" si="116"/>
        <v>0</v>
      </c>
      <c r="N766">
        <f t="shared" si="117"/>
        <v>895</v>
      </c>
    </row>
    <row r="767" spans="1:14" x14ac:dyDescent="0.35">
      <c r="A767" s="9">
        <v>2989192</v>
      </c>
      <c r="B767" s="10">
        <v>42928</v>
      </c>
      <c r="C767" s="11">
        <v>0.5087962962962963</v>
      </c>
      <c r="D767" s="12">
        <v>0.51349537037037041</v>
      </c>
      <c r="E767" s="20">
        <f t="shared" si="110"/>
        <v>4.6990740740741055E-3</v>
      </c>
      <c r="F767" t="str">
        <f t="shared" si="111"/>
        <v>stacjonarny</v>
      </c>
      <c r="G767" s="23">
        <f t="shared" si="118"/>
        <v>271893</v>
      </c>
      <c r="H767">
        <f t="shared" si="119"/>
        <v>89864</v>
      </c>
      <c r="I767">
        <f t="shared" si="112"/>
        <v>0</v>
      </c>
      <c r="J767">
        <f t="shared" si="113"/>
        <v>0</v>
      </c>
      <c r="K767">
        <f t="shared" si="114"/>
        <v>361757</v>
      </c>
      <c r="L767">
        <f t="shared" si="115"/>
        <v>0</v>
      </c>
      <c r="M767">
        <f t="shared" si="116"/>
        <v>406</v>
      </c>
      <c r="N767">
        <f t="shared" si="117"/>
        <v>0</v>
      </c>
    </row>
    <row r="768" spans="1:14" x14ac:dyDescent="0.35">
      <c r="A768" s="5">
        <v>5131341</v>
      </c>
      <c r="B768" s="6">
        <v>42928</v>
      </c>
      <c r="C768" s="7">
        <v>0.50974537037037038</v>
      </c>
      <c r="D768" s="8">
        <v>0.51072916666666668</v>
      </c>
      <c r="E768" s="20">
        <f t="shared" si="110"/>
        <v>9.8379629629630205E-4</v>
      </c>
      <c r="F768" t="str">
        <f t="shared" si="111"/>
        <v>stacjonarny</v>
      </c>
      <c r="G768" s="23">
        <f t="shared" si="118"/>
        <v>271978</v>
      </c>
      <c r="H768">
        <f t="shared" si="119"/>
        <v>89864</v>
      </c>
      <c r="I768">
        <f t="shared" si="112"/>
        <v>0</v>
      </c>
      <c r="J768">
        <f t="shared" si="113"/>
        <v>0</v>
      </c>
      <c r="K768">
        <f t="shared" si="114"/>
        <v>361842</v>
      </c>
      <c r="L768">
        <f t="shared" si="115"/>
        <v>0</v>
      </c>
      <c r="M768">
        <f t="shared" si="116"/>
        <v>85</v>
      </c>
      <c r="N768">
        <f t="shared" si="117"/>
        <v>0</v>
      </c>
    </row>
    <row r="769" spans="1:14" x14ac:dyDescent="0.35">
      <c r="A769" s="9">
        <v>2826868</v>
      </c>
      <c r="B769" s="10">
        <v>42928</v>
      </c>
      <c r="C769" s="11">
        <v>0.51549768518518524</v>
      </c>
      <c r="D769" s="12">
        <v>0.51550925925925928</v>
      </c>
      <c r="E769" s="20">
        <f t="shared" si="110"/>
        <v>1.1574074074038876E-5</v>
      </c>
      <c r="F769" t="str">
        <f t="shared" si="111"/>
        <v>stacjonarny</v>
      </c>
      <c r="G769" s="23">
        <f t="shared" si="118"/>
        <v>271979</v>
      </c>
      <c r="H769">
        <f t="shared" si="119"/>
        <v>89864</v>
      </c>
      <c r="I769">
        <f t="shared" si="112"/>
        <v>0</v>
      </c>
      <c r="J769">
        <f t="shared" si="113"/>
        <v>0</v>
      </c>
      <c r="K769">
        <f t="shared" si="114"/>
        <v>361843</v>
      </c>
      <c r="L769">
        <f t="shared" si="115"/>
        <v>0</v>
      </c>
      <c r="M769">
        <f t="shared" si="116"/>
        <v>1</v>
      </c>
      <c r="N769">
        <f t="shared" si="117"/>
        <v>0</v>
      </c>
    </row>
    <row r="770" spans="1:14" x14ac:dyDescent="0.35">
      <c r="A770" s="5">
        <v>9849071</v>
      </c>
      <c r="B770" s="6">
        <v>42928</v>
      </c>
      <c r="C770" s="7">
        <v>0.51561342592592596</v>
      </c>
      <c r="D770" s="8">
        <v>0.52171296296296299</v>
      </c>
      <c r="E770" s="20">
        <f t="shared" si="110"/>
        <v>6.0995370370370283E-3</v>
      </c>
      <c r="F770" t="str">
        <f t="shared" si="111"/>
        <v>stacjonarny</v>
      </c>
      <c r="G770" s="23">
        <f t="shared" si="118"/>
        <v>272506</v>
      </c>
      <c r="H770">
        <f t="shared" si="119"/>
        <v>89864</v>
      </c>
      <c r="I770">
        <f t="shared" si="112"/>
        <v>0</v>
      </c>
      <c r="J770">
        <f t="shared" si="113"/>
        <v>0</v>
      </c>
      <c r="K770">
        <f t="shared" si="114"/>
        <v>362370</v>
      </c>
      <c r="L770">
        <f t="shared" si="115"/>
        <v>0</v>
      </c>
      <c r="M770">
        <f t="shared" si="116"/>
        <v>527</v>
      </c>
      <c r="N770">
        <f t="shared" si="117"/>
        <v>0</v>
      </c>
    </row>
    <row r="771" spans="1:14" x14ac:dyDescent="0.35">
      <c r="A771" s="9">
        <v>47025160</v>
      </c>
      <c r="B771" s="10">
        <v>42928</v>
      </c>
      <c r="C771" s="11">
        <v>0.52009259259259255</v>
      </c>
      <c r="D771" s="12">
        <v>0.52987268518518515</v>
      </c>
      <c r="E771" s="20">
        <f t="shared" ref="E771:E834" si="120">D771-C771</f>
        <v>9.7800925925926041E-3</v>
      </c>
      <c r="F771" t="str">
        <f t="shared" ref="F771:F834" si="121">IF(LEN(A771)=7,"stacjonarny",IF(LEN(A771)=8,"komorkowy","zagraniczny"))</f>
        <v>komorkowy</v>
      </c>
      <c r="G771" s="23">
        <f t="shared" si="118"/>
        <v>272506</v>
      </c>
      <c r="H771">
        <f t="shared" si="119"/>
        <v>90709</v>
      </c>
      <c r="I771">
        <f t="shared" ref="I771:I834" si="122">IF(F771="zagraniczny",MINUTE(E771)*60+SECOND(E771)+HOUR(E771)*3600,0)</f>
        <v>0</v>
      </c>
      <c r="J771">
        <f t="shared" ref="J771:J834" si="123">ROUNDUP(I771/60,0)</f>
        <v>0</v>
      </c>
      <c r="K771">
        <f t="shared" ref="K771:K834" si="124">G771+H771</f>
        <v>363215</v>
      </c>
      <c r="L771">
        <f t="shared" ref="L771:L834" si="125">IF(K771&lt;=48000,1,0)</f>
        <v>0</v>
      </c>
      <c r="M771">
        <f t="shared" ref="M771:M834" si="126">IF(AND(L771=0,F771="stacjonarny"),SECOND(E771)+60*MINUTE(E771),0)</f>
        <v>0</v>
      </c>
      <c r="N771">
        <f t="shared" ref="N771:N834" si="127">IF(AND(L771=0,F771="komorkowy"),SECOND(E771)+60*MINUTE(E771),0)</f>
        <v>845</v>
      </c>
    </row>
    <row r="772" spans="1:14" x14ac:dyDescent="0.35">
      <c r="A772" s="5">
        <v>97798921</v>
      </c>
      <c r="B772" s="6">
        <v>42928</v>
      </c>
      <c r="C772" s="7">
        <v>0.52172453703703703</v>
      </c>
      <c r="D772" s="8">
        <v>0.52606481481481482</v>
      </c>
      <c r="E772" s="20">
        <f t="shared" si="120"/>
        <v>4.3402777777777901E-3</v>
      </c>
      <c r="F772" t="str">
        <f t="shared" si="121"/>
        <v>komorkowy</v>
      </c>
      <c r="G772" s="23">
        <f t="shared" ref="G772:G835" si="128">IF(F772="stacjonarny",MINUTE(E772)*60+SECOND(E772)+G771,G771)</f>
        <v>272506</v>
      </c>
      <c r="H772">
        <f t="shared" ref="H772:H835" si="129">IF(F772="komorkowy",MINUTE(E772)*60+SECOND(E772)+H771,H771)</f>
        <v>91084</v>
      </c>
      <c r="I772">
        <f t="shared" si="122"/>
        <v>0</v>
      </c>
      <c r="J772">
        <f t="shared" si="123"/>
        <v>0</v>
      </c>
      <c r="K772">
        <f t="shared" si="124"/>
        <v>363590</v>
      </c>
      <c r="L772">
        <f t="shared" si="125"/>
        <v>0</v>
      </c>
      <c r="M772">
        <f t="shared" si="126"/>
        <v>0</v>
      </c>
      <c r="N772">
        <f t="shared" si="127"/>
        <v>375</v>
      </c>
    </row>
    <row r="773" spans="1:14" x14ac:dyDescent="0.35">
      <c r="A773" s="9">
        <v>2248131</v>
      </c>
      <c r="B773" s="10">
        <v>42928</v>
      </c>
      <c r="C773" s="11">
        <v>0.52298611111111115</v>
      </c>
      <c r="D773" s="12">
        <v>0.53249999999999997</v>
      </c>
      <c r="E773" s="20">
        <f t="shared" si="120"/>
        <v>9.5138888888888218E-3</v>
      </c>
      <c r="F773" t="str">
        <f t="shared" si="121"/>
        <v>stacjonarny</v>
      </c>
      <c r="G773" s="23">
        <f t="shared" si="128"/>
        <v>273328</v>
      </c>
      <c r="H773">
        <f t="shared" si="129"/>
        <v>91084</v>
      </c>
      <c r="I773">
        <f t="shared" si="122"/>
        <v>0</v>
      </c>
      <c r="J773">
        <f t="shared" si="123"/>
        <v>0</v>
      </c>
      <c r="K773">
        <f t="shared" si="124"/>
        <v>364412</v>
      </c>
      <c r="L773">
        <f t="shared" si="125"/>
        <v>0</v>
      </c>
      <c r="M773">
        <f t="shared" si="126"/>
        <v>822</v>
      </c>
      <c r="N773">
        <f t="shared" si="127"/>
        <v>0</v>
      </c>
    </row>
    <row r="774" spans="1:14" x14ac:dyDescent="0.35">
      <c r="A774" s="5">
        <v>1973826522</v>
      </c>
      <c r="B774" s="6">
        <v>42928</v>
      </c>
      <c r="C774" s="7">
        <v>0.52342592592592596</v>
      </c>
      <c r="D774" s="8">
        <v>0.52350694444444446</v>
      </c>
      <c r="E774" s="20">
        <f t="shared" si="120"/>
        <v>8.1018518518494176E-5</v>
      </c>
      <c r="F774" t="str">
        <f t="shared" si="121"/>
        <v>zagraniczny</v>
      </c>
      <c r="G774" s="23">
        <f t="shared" si="128"/>
        <v>273328</v>
      </c>
      <c r="H774">
        <f t="shared" si="129"/>
        <v>91084</v>
      </c>
      <c r="I774">
        <f t="shared" si="122"/>
        <v>7</v>
      </c>
      <c r="J774">
        <f t="shared" si="123"/>
        <v>1</v>
      </c>
      <c r="K774">
        <f t="shared" si="124"/>
        <v>364412</v>
      </c>
      <c r="L774">
        <f t="shared" si="125"/>
        <v>0</v>
      </c>
      <c r="M774">
        <f t="shared" si="126"/>
        <v>0</v>
      </c>
      <c r="N774">
        <f t="shared" si="127"/>
        <v>0</v>
      </c>
    </row>
    <row r="775" spans="1:14" x14ac:dyDescent="0.35">
      <c r="A775" s="9">
        <v>6293367175</v>
      </c>
      <c r="B775" s="10">
        <v>42928</v>
      </c>
      <c r="C775" s="11">
        <v>0.52649305555555559</v>
      </c>
      <c r="D775" s="12">
        <v>0.53123842592592596</v>
      </c>
      <c r="E775" s="20">
        <f t="shared" si="120"/>
        <v>4.745370370370372E-3</v>
      </c>
      <c r="F775" t="str">
        <f t="shared" si="121"/>
        <v>zagraniczny</v>
      </c>
      <c r="G775" s="23">
        <f t="shared" si="128"/>
        <v>273328</v>
      </c>
      <c r="H775">
        <f t="shared" si="129"/>
        <v>91084</v>
      </c>
      <c r="I775">
        <f t="shared" si="122"/>
        <v>410</v>
      </c>
      <c r="J775">
        <f t="shared" si="123"/>
        <v>7</v>
      </c>
      <c r="K775">
        <f t="shared" si="124"/>
        <v>364412</v>
      </c>
      <c r="L775">
        <f t="shared" si="125"/>
        <v>0</v>
      </c>
      <c r="M775">
        <f t="shared" si="126"/>
        <v>0</v>
      </c>
      <c r="N775">
        <f t="shared" si="127"/>
        <v>0</v>
      </c>
    </row>
    <row r="776" spans="1:14" x14ac:dyDescent="0.35">
      <c r="A776" s="5">
        <v>5092577</v>
      </c>
      <c r="B776" s="6">
        <v>42928</v>
      </c>
      <c r="C776" s="7">
        <v>0.52834490740740736</v>
      </c>
      <c r="D776" s="8">
        <v>0.53267361111111111</v>
      </c>
      <c r="E776" s="20">
        <f t="shared" si="120"/>
        <v>4.3287037037037512E-3</v>
      </c>
      <c r="F776" t="str">
        <f t="shared" si="121"/>
        <v>stacjonarny</v>
      </c>
      <c r="G776" s="23">
        <f t="shared" si="128"/>
        <v>273702</v>
      </c>
      <c r="H776">
        <f t="shared" si="129"/>
        <v>91084</v>
      </c>
      <c r="I776">
        <f t="shared" si="122"/>
        <v>0</v>
      </c>
      <c r="J776">
        <f t="shared" si="123"/>
        <v>0</v>
      </c>
      <c r="K776">
        <f t="shared" si="124"/>
        <v>364786</v>
      </c>
      <c r="L776">
        <f t="shared" si="125"/>
        <v>0</v>
      </c>
      <c r="M776">
        <f t="shared" si="126"/>
        <v>374</v>
      </c>
      <c r="N776">
        <f t="shared" si="127"/>
        <v>0</v>
      </c>
    </row>
    <row r="777" spans="1:14" x14ac:dyDescent="0.35">
      <c r="A777" s="9">
        <v>62086163</v>
      </c>
      <c r="B777" s="10">
        <v>42928</v>
      </c>
      <c r="C777" s="11">
        <v>0.53126157407407404</v>
      </c>
      <c r="D777" s="12">
        <v>0.5326157407407407</v>
      </c>
      <c r="E777" s="20">
        <f t="shared" si="120"/>
        <v>1.3541666666666563E-3</v>
      </c>
      <c r="F777" t="str">
        <f t="shared" si="121"/>
        <v>komorkowy</v>
      </c>
      <c r="G777" s="23">
        <f t="shared" si="128"/>
        <v>273702</v>
      </c>
      <c r="H777">
        <f t="shared" si="129"/>
        <v>91201</v>
      </c>
      <c r="I777">
        <f t="shared" si="122"/>
        <v>0</v>
      </c>
      <c r="J777">
        <f t="shared" si="123"/>
        <v>0</v>
      </c>
      <c r="K777">
        <f t="shared" si="124"/>
        <v>364903</v>
      </c>
      <c r="L777">
        <f t="shared" si="125"/>
        <v>0</v>
      </c>
      <c r="M777">
        <f t="shared" si="126"/>
        <v>0</v>
      </c>
      <c r="N777">
        <f t="shared" si="127"/>
        <v>117</v>
      </c>
    </row>
    <row r="778" spans="1:14" x14ac:dyDescent="0.35">
      <c r="A778" s="5">
        <v>4657345</v>
      </c>
      <c r="B778" s="6">
        <v>42928</v>
      </c>
      <c r="C778" s="7">
        <v>0.53608796296296302</v>
      </c>
      <c r="D778" s="8">
        <v>0.53631944444444446</v>
      </c>
      <c r="E778" s="20">
        <f t="shared" si="120"/>
        <v>2.3148148148144365E-4</v>
      </c>
      <c r="F778" t="str">
        <f t="shared" si="121"/>
        <v>stacjonarny</v>
      </c>
      <c r="G778" s="23">
        <f t="shared" si="128"/>
        <v>273722</v>
      </c>
      <c r="H778">
        <f t="shared" si="129"/>
        <v>91201</v>
      </c>
      <c r="I778">
        <f t="shared" si="122"/>
        <v>0</v>
      </c>
      <c r="J778">
        <f t="shared" si="123"/>
        <v>0</v>
      </c>
      <c r="K778">
        <f t="shared" si="124"/>
        <v>364923</v>
      </c>
      <c r="L778">
        <f t="shared" si="125"/>
        <v>0</v>
      </c>
      <c r="M778">
        <f t="shared" si="126"/>
        <v>20</v>
      </c>
      <c r="N778">
        <f t="shared" si="127"/>
        <v>0</v>
      </c>
    </row>
    <row r="779" spans="1:14" x14ac:dyDescent="0.35">
      <c r="A779" s="9">
        <v>7937998</v>
      </c>
      <c r="B779" s="10">
        <v>42928</v>
      </c>
      <c r="C779" s="11">
        <v>0.53798611111111116</v>
      </c>
      <c r="D779" s="12">
        <v>0.54011574074074076</v>
      </c>
      <c r="E779" s="20">
        <f t="shared" si="120"/>
        <v>2.1296296296295925E-3</v>
      </c>
      <c r="F779" t="str">
        <f t="shared" si="121"/>
        <v>stacjonarny</v>
      </c>
      <c r="G779" s="23">
        <f t="shared" si="128"/>
        <v>273906</v>
      </c>
      <c r="H779">
        <f t="shared" si="129"/>
        <v>91201</v>
      </c>
      <c r="I779">
        <f t="shared" si="122"/>
        <v>0</v>
      </c>
      <c r="J779">
        <f t="shared" si="123"/>
        <v>0</v>
      </c>
      <c r="K779">
        <f t="shared" si="124"/>
        <v>365107</v>
      </c>
      <c r="L779">
        <f t="shared" si="125"/>
        <v>0</v>
      </c>
      <c r="M779">
        <f t="shared" si="126"/>
        <v>184</v>
      </c>
      <c r="N779">
        <f t="shared" si="127"/>
        <v>0</v>
      </c>
    </row>
    <row r="780" spans="1:14" x14ac:dyDescent="0.35">
      <c r="A780" s="5">
        <v>7269536</v>
      </c>
      <c r="B780" s="6">
        <v>42928</v>
      </c>
      <c r="C780" s="7">
        <v>0.53827546296296291</v>
      </c>
      <c r="D780" s="8">
        <v>0.54309027777777774</v>
      </c>
      <c r="E780" s="20">
        <f t="shared" si="120"/>
        <v>4.8148148148148273E-3</v>
      </c>
      <c r="F780" t="str">
        <f t="shared" si="121"/>
        <v>stacjonarny</v>
      </c>
      <c r="G780" s="23">
        <f t="shared" si="128"/>
        <v>274322</v>
      </c>
      <c r="H780">
        <f t="shared" si="129"/>
        <v>91201</v>
      </c>
      <c r="I780">
        <f t="shared" si="122"/>
        <v>0</v>
      </c>
      <c r="J780">
        <f t="shared" si="123"/>
        <v>0</v>
      </c>
      <c r="K780">
        <f t="shared" si="124"/>
        <v>365523</v>
      </c>
      <c r="L780">
        <f t="shared" si="125"/>
        <v>0</v>
      </c>
      <c r="M780">
        <f t="shared" si="126"/>
        <v>416</v>
      </c>
      <c r="N780">
        <f t="shared" si="127"/>
        <v>0</v>
      </c>
    </row>
    <row r="781" spans="1:14" x14ac:dyDescent="0.35">
      <c r="A781" s="9">
        <v>98939809</v>
      </c>
      <c r="B781" s="10">
        <v>42928</v>
      </c>
      <c r="C781" s="11">
        <v>0.53873842592592591</v>
      </c>
      <c r="D781" s="12">
        <v>0.54084490740740743</v>
      </c>
      <c r="E781" s="20">
        <f t="shared" si="120"/>
        <v>2.1064814814815147E-3</v>
      </c>
      <c r="F781" t="str">
        <f t="shared" si="121"/>
        <v>komorkowy</v>
      </c>
      <c r="G781" s="23">
        <f t="shared" si="128"/>
        <v>274322</v>
      </c>
      <c r="H781">
        <f t="shared" si="129"/>
        <v>91383</v>
      </c>
      <c r="I781">
        <f t="shared" si="122"/>
        <v>0</v>
      </c>
      <c r="J781">
        <f t="shared" si="123"/>
        <v>0</v>
      </c>
      <c r="K781">
        <f t="shared" si="124"/>
        <v>365705</v>
      </c>
      <c r="L781">
        <f t="shared" si="125"/>
        <v>0</v>
      </c>
      <c r="M781">
        <f t="shared" si="126"/>
        <v>0</v>
      </c>
      <c r="N781">
        <f t="shared" si="127"/>
        <v>182</v>
      </c>
    </row>
    <row r="782" spans="1:14" x14ac:dyDescent="0.35">
      <c r="A782" s="5">
        <v>7766265</v>
      </c>
      <c r="B782" s="6">
        <v>42928</v>
      </c>
      <c r="C782" s="7">
        <v>0.54391203703703705</v>
      </c>
      <c r="D782" s="8">
        <v>0.54538194444444443</v>
      </c>
      <c r="E782" s="20">
        <f t="shared" si="120"/>
        <v>1.4699074074073781E-3</v>
      </c>
      <c r="F782" t="str">
        <f t="shared" si="121"/>
        <v>stacjonarny</v>
      </c>
      <c r="G782" s="23">
        <f t="shared" si="128"/>
        <v>274449</v>
      </c>
      <c r="H782">
        <f t="shared" si="129"/>
        <v>91383</v>
      </c>
      <c r="I782">
        <f t="shared" si="122"/>
        <v>0</v>
      </c>
      <c r="J782">
        <f t="shared" si="123"/>
        <v>0</v>
      </c>
      <c r="K782">
        <f t="shared" si="124"/>
        <v>365832</v>
      </c>
      <c r="L782">
        <f t="shared" si="125"/>
        <v>0</v>
      </c>
      <c r="M782">
        <f t="shared" si="126"/>
        <v>127</v>
      </c>
      <c r="N782">
        <f t="shared" si="127"/>
        <v>0</v>
      </c>
    </row>
    <row r="783" spans="1:14" x14ac:dyDescent="0.35">
      <c r="A783" s="9">
        <v>7377702</v>
      </c>
      <c r="B783" s="10">
        <v>42928</v>
      </c>
      <c r="C783" s="11">
        <v>0.54689814814814819</v>
      </c>
      <c r="D783" s="12">
        <v>0.54949074074074078</v>
      </c>
      <c r="E783" s="20">
        <f t="shared" si="120"/>
        <v>2.5925925925925908E-3</v>
      </c>
      <c r="F783" t="str">
        <f t="shared" si="121"/>
        <v>stacjonarny</v>
      </c>
      <c r="G783" s="23">
        <f t="shared" si="128"/>
        <v>274673</v>
      </c>
      <c r="H783">
        <f t="shared" si="129"/>
        <v>91383</v>
      </c>
      <c r="I783">
        <f t="shared" si="122"/>
        <v>0</v>
      </c>
      <c r="J783">
        <f t="shared" si="123"/>
        <v>0</v>
      </c>
      <c r="K783">
        <f t="shared" si="124"/>
        <v>366056</v>
      </c>
      <c r="L783">
        <f t="shared" si="125"/>
        <v>0</v>
      </c>
      <c r="M783">
        <f t="shared" si="126"/>
        <v>224</v>
      </c>
      <c r="N783">
        <f t="shared" si="127"/>
        <v>0</v>
      </c>
    </row>
    <row r="784" spans="1:14" x14ac:dyDescent="0.35">
      <c r="A784" s="5">
        <v>38244568</v>
      </c>
      <c r="B784" s="6">
        <v>42928</v>
      </c>
      <c r="C784" s="7">
        <v>0.54826388888888888</v>
      </c>
      <c r="D784" s="8">
        <v>0.54920138888888892</v>
      </c>
      <c r="E784" s="20">
        <f t="shared" si="120"/>
        <v>9.3750000000003553E-4</v>
      </c>
      <c r="F784" t="str">
        <f t="shared" si="121"/>
        <v>komorkowy</v>
      </c>
      <c r="G784" s="23">
        <f t="shared" si="128"/>
        <v>274673</v>
      </c>
      <c r="H784">
        <f t="shared" si="129"/>
        <v>91464</v>
      </c>
      <c r="I784">
        <f t="shared" si="122"/>
        <v>0</v>
      </c>
      <c r="J784">
        <f t="shared" si="123"/>
        <v>0</v>
      </c>
      <c r="K784">
        <f t="shared" si="124"/>
        <v>366137</v>
      </c>
      <c r="L784">
        <f t="shared" si="125"/>
        <v>0</v>
      </c>
      <c r="M784">
        <f t="shared" si="126"/>
        <v>0</v>
      </c>
      <c r="N784">
        <f t="shared" si="127"/>
        <v>81</v>
      </c>
    </row>
    <row r="785" spans="1:14" x14ac:dyDescent="0.35">
      <c r="A785" s="9">
        <v>5094248</v>
      </c>
      <c r="B785" s="10">
        <v>42928</v>
      </c>
      <c r="C785" s="11">
        <v>0.55118055555555556</v>
      </c>
      <c r="D785" s="12">
        <v>0.56003472222222217</v>
      </c>
      <c r="E785" s="20">
        <f t="shared" si="120"/>
        <v>8.8541666666666075E-3</v>
      </c>
      <c r="F785" t="str">
        <f t="shared" si="121"/>
        <v>stacjonarny</v>
      </c>
      <c r="G785" s="23">
        <f t="shared" si="128"/>
        <v>275438</v>
      </c>
      <c r="H785">
        <f t="shared" si="129"/>
        <v>91464</v>
      </c>
      <c r="I785">
        <f t="shared" si="122"/>
        <v>0</v>
      </c>
      <c r="J785">
        <f t="shared" si="123"/>
        <v>0</v>
      </c>
      <c r="K785">
        <f t="shared" si="124"/>
        <v>366902</v>
      </c>
      <c r="L785">
        <f t="shared" si="125"/>
        <v>0</v>
      </c>
      <c r="M785">
        <f t="shared" si="126"/>
        <v>765</v>
      </c>
      <c r="N785">
        <f t="shared" si="127"/>
        <v>0</v>
      </c>
    </row>
    <row r="786" spans="1:14" x14ac:dyDescent="0.35">
      <c r="A786" s="5">
        <v>1233459</v>
      </c>
      <c r="B786" s="6">
        <v>42928</v>
      </c>
      <c r="C786" s="7">
        <v>0.55565972222222226</v>
      </c>
      <c r="D786" s="8">
        <v>0.55674768518518514</v>
      </c>
      <c r="E786" s="20">
        <f t="shared" si="120"/>
        <v>1.087962962962874E-3</v>
      </c>
      <c r="F786" t="str">
        <f t="shared" si="121"/>
        <v>stacjonarny</v>
      </c>
      <c r="G786" s="23">
        <f t="shared" si="128"/>
        <v>275532</v>
      </c>
      <c r="H786">
        <f t="shared" si="129"/>
        <v>91464</v>
      </c>
      <c r="I786">
        <f t="shared" si="122"/>
        <v>0</v>
      </c>
      <c r="J786">
        <f t="shared" si="123"/>
        <v>0</v>
      </c>
      <c r="K786">
        <f t="shared" si="124"/>
        <v>366996</v>
      </c>
      <c r="L786">
        <f t="shared" si="125"/>
        <v>0</v>
      </c>
      <c r="M786">
        <f t="shared" si="126"/>
        <v>94</v>
      </c>
      <c r="N786">
        <f t="shared" si="127"/>
        <v>0</v>
      </c>
    </row>
    <row r="787" spans="1:14" x14ac:dyDescent="0.35">
      <c r="A787" s="9">
        <v>9398644</v>
      </c>
      <c r="B787" s="10">
        <v>42928</v>
      </c>
      <c r="C787" s="11">
        <v>0.55717592592592591</v>
      </c>
      <c r="D787" s="12">
        <v>0.56753472222222223</v>
      </c>
      <c r="E787" s="20">
        <f t="shared" si="120"/>
        <v>1.0358796296296324E-2</v>
      </c>
      <c r="F787" t="str">
        <f t="shared" si="121"/>
        <v>stacjonarny</v>
      </c>
      <c r="G787" s="23">
        <f t="shared" si="128"/>
        <v>276427</v>
      </c>
      <c r="H787">
        <f t="shared" si="129"/>
        <v>91464</v>
      </c>
      <c r="I787">
        <f t="shared" si="122"/>
        <v>0</v>
      </c>
      <c r="J787">
        <f t="shared" si="123"/>
        <v>0</v>
      </c>
      <c r="K787">
        <f t="shared" si="124"/>
        <v>367891</v>
      </c>
      <c r="L787">
        <f t="shared" si="125"/>
        <v>0</v>
      </c>
      <c r="M787">
        <f t="shared" si="126"/>
        <v>895</v>
      </c>
      <c r="N787">
        <f t="shared" si="127"/>
        <v>0</v>
      </c>
    </row>
    <row r="788" spans="1:14" x14ac:dyDescent="0.35">
      <c r="A788" s="5">
        <v>3390459</v>
      </c>
      <c r="B788" s="6">
        <v>42928</v>
      </c>
      <c r="C788" s="7">
        <v>0.55869212962962966</v>
      </c>
      <c r="D788" s="8">
        <v>0.55922453703703701</v>
      </c>
      <c r="E788" s="20">
        <f t="shared" si="120"/>
        <v>5.324074074073426E-4</v>
      </c>
      <c r="F788" t="str">
        <f t="shared" si="121"/>
        <v>stacjonarny</v>
      </c>
      <c r="G788" s="23">
        <f t="shared" si="128"/>
        <v>276473</v>
      </c>
      <c r="H788">
        <f t="shared" si="129"/>
        <v>91464</v>
      </c>
      <c r="I788">
        <f t="shared" si="122"/>
        <v>0</v>
      </c>
      <c r="J788">
        <f t="shared" si="123"/>
        <v>0</v>
      </c>
      <c r="K788">
        <f t="shared" si="124"/>
        <v>367937</v>
      </c>
      <c r="L788">
        <f t="shared" si="125"/>
        <v>0</v>
      </c>
      <c r="M788">
        <f t="shared" si="126"/>
        <v>46</v>
      </c>
      <c r="N788">
        <f t="shared" si="127"/>
        <v>0</v>
      </c>
    </row>
    <row r="789" spans="1:14" x14ac:dyDescent="0.35">
      <c r="A789" s="9">
        <v>5252835</v>
      </c>
      <c r="B789" s="10">
        <v>42928</v>
      </c>
      <c r="C789" s="11">
        <v>0.55907407407407406</v>
      </c>
      <c r="D789" s="12">
        <v>0.56937499999999996</v>
      </c>
      <c r="E789" s="20">
        <f t="shared" si="120"/>
        <v>1.0300925925925908E-2</v>
      </c>
      <c r="F789" t="str">
        <f t="shared" si="121"/>
        <v>stacjonarny</v>
      </c>
      <c r="G789" s="23">
        <f t="shared" si="128"/>
        <v>277363</v>
      </c>
      <c r="H789">
        <f t="shared" si="129"/>
        <v>91464</v>
      </c>
      <c r="I789">
        <f t="shared" si="122"/>
        <v>0</v>
      </c>
      <c r="J789">
        <f t="shared" si="123"/>
        <v>0</v>
      </c>
      <c r="K789">
        <f t="shared" si="124"/>
        <v>368827</v>
      </c>
      <c r="L789">
        <f t="shared" si="125"/>
        <v>0</v>
      </c>
      <c r="M789">
        <f t="shared" si="126"/>
        <v>890</v>
      </c>
      <c r="N789">
        <f t="shared" si="127"/>
        <v>0</v>
      </c>
    </row>
    <row r="790" spans="1:14" x14ac:dyDescent="0.35">
      <c r="A790" s="5">
        <v>15643568</v>
      </c>
      <c r="B790" s="6">
        <v>42928</v>
      </c>
      <c r="C790" s="7">
        <v>0.56074074074074076</v>
      </c>
      <c r="D790" s="8">
        <v>0.56283564814814813</v>
      </c>
      <c r="E790" s="20">
        <f t="shared" si="120"/>
        <v>2.0949074074073648E-3</v>
      </c>
      <c r="F790" t="str">
        <f t="shared" si="121"/>
        <v>komorkowy</v>
      </c>
      <c r="G790" s="23">
        <f t="shared" si="128"/>
        <v>277363</v>
      </c>
      <c r="H790">
        <f t="shared" si="129"/>
        <v>91645</v>
      </c>
      <c r="I790">
        <f t="shared" si="122"/>
        <v>0</v>
      </c>
      <c r="J790">
        <f t="shared" si="123"/>
        <v>0</v>
      </c>
      <c r="K790">
        <f t="shared" si="124"/>
        <v>369008</v>
      </c>
      <c r="L790">
        <f t="shared" si="125"/>
        <v>0</v>
      </c>
      <c r="M790">
        <f t="shared" si="126"/>
        <v>0</v>
      </c>
      <c r="N790">
        <f t="shared" si="127"/>
        <v>181</v>
      </c>
    </row>
    <row r="791" spans="1:14" x14ac:dyDescent="0.35">
      <c r="A791" s="9">
        <v>39921944</v>
      </c>
      <c r="B791" s="10">
        <v>42928</v>
      </c>
      <c r="C791" s="11">
        <v>0.56398148148148153</v>
      </c>
      <c r="D791" s="12">
        <v>0.57387731481481485</v>
      </c>
      <c r="E791" s="20">
        <f t="shared" si="120"/>
        <v>9.8958333333333259E-3</v>
      </c>
      <c r="F791" t="str">
        <f t="shared" si="121"/>
        <v>komorkowy</v>
      </c>
      <c r="G791" s="23">
        <f t="shared" si="128"/>
        <v>277363</v>
      </c>
      <c r="H791">
        <f t="shared" si="129"/>
        <v>92500</v>
      </c>
      <c r="I791">
        <f t="shared" si="122"/>
        <v>0</v>
      </c>
      <c r="J791">
        <f t="shared" si="123"/>
        <v>0</v>
      </c>
      <c r="K791">
        <f t="shared" si="124"/>
        <v>369863</v>
      </c>
      <c r="L791">
        <f t="shared" si="125"/>
        <v>0</v>
      </c>
      <c r="M791">
        <f t="shared" si="126"/>
        <v>0</v>
      </c>
      <c r="N791">
        <f t="shared" si="127"/>
        <v>855</v>
      </c>
    </row>
    <row r="792" spans="1:14" x14ac:dyDescent="0.35">
      <c r="A792" s="5">
        <v>66800387</v>
      </c>
      <c r="B792" s="6">
        <v>42928</v>
      </c>
      <c r="C792" s="7">
        <v>0.56509259259259259</v>
      </c>
      <c r="D792" s="8">
        <v>0.56554398148148144</v>
      </c>
      <c r="E792" s="20">
        <f t="shared" si="120"/>
        <v>4.5138888888884843E-4</v>
      </c>
      <c r="F792" t="str">
        <f t="shared" si="121"/>
        <v>komorkowy</v>
      </c>
      <c r="G792" s="23">
        <f t="shared" si="128"/>
        <v>277363</v>
      </c>
      <c r="H792">
        <f t="shared" si="129"/>
        <v>92539</v>
      </c>
      <c r="I792">
        <f t="shared" si="122"/>
        <v>0</v>
      </c>
      <c r="J792">
        <f t="shared" si="123"/>
        <v>0</v>
      </c>
      <c r="K792">
        <f t="shared" si="124"/>
        <v>369902</v>
      </c>
      <c r="L792">
        <f t="shared" si="125"/>
        <v>0</v>
      </c>
      <c r="M792">
        <f t="shared" si="126"/>
        <v>0</v>
      </c>
      <c r="N792">
        <f t="shared" si="127"/>
        <v>39</v>
      </c>
    </row>
    <row r="793" spans="1:14" x14ac:dyDescent="0.35">
      <c r="A793" s="9">
        <v>88664428</v>
      </c>
      <c r="B793" s="10">
        <v>42928</v>
      </c>
      <c r="C793" s="11">
        <v>0.56527777777777777</v>
      </c>
      <c r="D793" s="12">
        <v>0.56814814814814818</v>
      </c>
      <c r="E793" s="20">
        <f t="shared" si="120"/>
        <v>2.870370370370412E-3</v>
      </c>
      <c r="F793" t="str">
        <f t="shared" si="121"/>
        <v>komorkowy</v>
      </c>
      <c r="G793" s="23">
        <f t="shared" si="128"/>
        <v>277363</v>
      </c>
      <c r="H793">
        <f t="shared" si="129"/>
        <v>92787</v>
      </c>
      <c r="I793">
        <f t="shared" si="122"/>
        <v>0</v>
      </c>
      <c r="J793">
        <f t="shared" si="123"/>
        <v>0</v>
      </c>
      <c r="K793">
        <f t="shared" si="124"/>
        <v>370150</v>
      </c>
      <c r="L793">
        <f t="shared" si="125"/>
        <v>0</v>
      </c>
      <c r="M793">
        <f t="shared" si="126"/>
        <v>0</v>
      </c>
      <c r="N793">
        <f t="shared" si="127"/>
        <v>248</v>
      </c>
    </row>
    <row r="794" spans="1:14" x14ac:dyDescent="0.35">
      <c r="A794" s="5">
        <v>4111617</v>
      </c>
      <c r="B794" s="6">
        <v>42928</v>
      </c>
      <c r="C794" s="7">
        <v>0.56555555555555559</v>
      </c>
      <c r="D794" s="8">
        <v>0.5697106481481482</v>
      </c>
      <c r="E794" s="20">
        <f t="shared" si="120"/>
        <v>4.155092592592613E-3</v>
      </c>
      <c r="F794" t="str">
        <f t="shared" si="121"/>
        <v>stacjonarny</v>
      </c>
      <c r="G794" s="23">
        <f t="shared" si="128"/>
        <v>277722</v>
      </c>
      <c r="H794">
        <f t="shared" si="129"/>
        <v>92787</v>
      </c>
      <c r="I794">
        <f t="shared" si="122"/>
        <v>0</v>
      </c>
      <c r="J794">
        <f t="shared" si="123"/>
        <v>0</v>
      </c>
      <c r="K794">
        <f t="shared" si="124"/>
        <v>370509</v>
      </c>
      <c r="L794">
        <f t="shared" si="125"/>
        <v>0</v>
      </c>
      <c r="M794">
        <f t="shared" si="126"/>
        <v>359</v>
      </c>
      <c r="N794">
        <f t="shared" si="127"/>
        <v>0</v>
      </c>
    </row>
    <row r="795" spans="1:14" x14ac:dyDescent="0.35">
      <c r="A795" s="9">
        <v>9804309</v>
      </c>
      <c r="B795" s="10">
        <v>42928</v>
      </c>
      <c r="C795" s="11">
        <v>0.56918981481481479</v>
      </c>
      <c r="D795" s="12">
        <v>0.5784259259259259</v>
      </c>
      <c r="E795" s="20">
        <f t="shared" si="120"/>
        <v>9.2361111111111116E-3</v>
      </c>
      <c r="F795" t="str">
        <f t="shared" si="121"/>
        <v>stacjonarny</v>
      </c>
      <c r="G795" s="23">
        <f t="shared" si="128"/>
        <v>278520</v>
      </c>
      <c r="H795">
        <f t="shared" si="129"/>
        <v>92787</v>
      </c>
      <c r="I795">
        <f t="shared" si="122"/>
        <v>0</v>
      </c>
      <c r="J795">
        <f t="shared" si="123"/>
        <v>0</v>
      </c>
      <c r="K795">
        <f t="shared" si="124"/>
        <v>371307</v>
      </c>
      <c r="L795">
        <f t="shared" si="125"/>
        <v>0</v>
      </c>
      <c r="M795">
        <f t="shared" si="126"/>
        <v>798</v>
      </c>
      <c r="N795">
        <f t="shared" si="127"/>
        <v>0</v>
      </c>
    </row>
    <row r="796" spans="1:14" x14ac:dyDescent="0.35">
      <c r="A796" s="5">
        <v>3382728</v>
      </c>
      <c r="B796" s="6">
        <v>42928</v>
      </c>
      <c r="C796" s="7">
        <v>0.56953703703703706</v>
      </c>
      <c r="D796" s="8">
        <v>0.57401620370370365</v>
      </c>
      <c r="E796" s="20">
        <f t="shared" si="120"/>
        <v>4.4791666666665897E-3</v>
      </c>
      <c r="F796" t="str">
        <f t="shared" si="121"/>
        <v>stacjonarny</v>
      </c>
      <c r="G796" s="23">
        <f t="shared" si="128"/>
        <v>278907</v>
      </c>
      <c r="H796">
        <f t="shared" si="129"/>
        <v>92787</v>
      </c>
      <c r="I796">
        <f t="shared" si="122"/>
        <v>0</v>
      </c>
      <c r="J796">
        <f t="shared" si="123"/>
        <v>0</v>
      </c>
      <c r="K796">
        <f t="shared" si="124"/>
        <v>371694</v>
      </c>
      <c r="L796">
        <f t="shared" si="125"/>
        <v>0</v>
      </c>
      <c r="M796">
        <f t="shared" si="126"/>
        <v>387</v>
      </c>
      <c r="N796">
        <f t="shared" si="127"/>
        <v>0</v>
      </c>
    </row>
    <row r="797" spans="1:14" x14ac:dyDescent="0.35">
      <c r="A797" s="9">
        <v>9091369</v>
      </c>
      <c r="B797" s="10">
        <v>42928</v>
      </c>
      <c r="C797" s="11">
        <v>0.57231481481481483</v>
      </c>
      <c r="D797" s="12">
        <v>0.57403935185185184</v>
      </c>
      <c r="E797" s="20">
        <f t="shared" si="120"/>
        <v>1.7245370370370106E-3</v>
      </c>
      <c r="F797" t="str">
        <f t="shared" si="121"/>
        <v>stacjonarny</v>
      </c>
      <c r="G797" s="23">
        <f t="shared" si="128"/>
        <v>279056</v>
      </c>
      <c r="H797">
        <f t="shared" si="129"/>
        <v>92787</v>
      </c>
      <c r="I797">
        <f t="shared" si="122"/>
        <v>0</v>
      </c>
      <c r="J797">
        <f t="shared" si="123"/>
        <v>0</v>
      </c>
      <c r="K797">
        <f t="shared" si="124"/>
        <v>371843</v>
      </c>
      <c r="L797">
        <f t="shared" si="125"/>
        <v>0</v>
      </c>
      <c r="M797">
        <f t="shared" si="126"/>
        <v>149</v>
      </c>
      <c r="N797">
        <f t="shared" si="127"/>
        <v>0</v>
      </c>
    </row>
    <row r="798" spans="1:14" x14ac:dyDescent="0.35">
      <c r="A798" s="5">
        <v>3981821518</v>
      </c>
      <c r="B798" s="6">
        <v>42928</v>
      </c>
      <c r="C798" s="7">
        <v>0.57445601851851846</v>
      </c>
      <c r="D798" s="8">
        <v>0.57703703703703701</v>
      </c>
      <c r="E798" s="20">
        <f t="shared" si="120"/>
        <v>2.5810185185185519E-3</v>
      </c>
      <c r="F798" t="str">
        <f t="shared" si="121"/>
        <v>zagraniczny</v>
      </c>
      <c r="G798" s="23">
        <f t="shared" si="128"/>
        <v>279056</v>
      </c>
      <c r="H798">
        <f t="shared" si="129"/>
        <v>92787</v>
      </c>
      <c r="I798">
        <f t="shared" si="122"/>
        <v>223</v>
      </c>
      <c r="J798">
        <f t="shared" si="123"/>
        <v>4</v>
      </c>
      <c r="K798">
        <f t="shared" si="124"/>
        <v>371843</v>
      </c>
      <c r="L798">
        <f t="shared" si="125"/>
        <v>0</v>
      </c>
      <c r="M798">
        <f t="shared" si="126"/>
        <v>0</v>
      </c>
      <c r="N798">
        <f t="shared" si="127"/>
        <v>0</v>
      </c>
    </row>
    <row r="799" spans="1:14" x14ac:dyDescent="0.35">
      <c r="A799" s="9">
        <v>6304174</v>
      </c>
      <c r="B799" s="10">
        <v>42928</v>
      </c>
      <c r="C799" s="11">
        <v>0.57445601851851846</v>
      </c>
      <c r="D799" s="12">
        <v>0.58512731481481484</v>
      </c>
      <c r="E799" s="20">
        <f t="shared" si="120"/>
        <v>1.0671296296296373E-2</v>
      </c>
      <c r="F799" t="str">
        <f t="shared" si="121"/>
        <v>stacjonarny</v>
      </c>
      <c r="G799" s="23">
        <f t="shared" si="128"/>
        <v>279978</v>
      </c>
      <c r="H799">
        <f t="shared" si="129"/>
        <v>92787</v>
      </c>
      <c r="I799">
        <f t="shared" si="122"/>
        <v>0</v>
      </c>
      <c r="J799">
        <f t="shared" si="123"/>
        <v>0</v>
      </c>
      <c r="K799">
        <f t="shared" si="124"/>
        <v>372765</v>
      </c>
      <c r="L799">
        <f t="shared" si="125"/>
        <v>0</v>
      </c>
      <c r="M799">
        <f t="shared" si="126"/>
        <v>922</v>
      </c>
      <c r="N799">
        <f t="shared" si="127"/>
        <v>0</v>
      </c>
    </row>
    <row r="800" spans="1:14" x14ac:dyDescent="0.35">
      <c r="A800" s="5">
        <v>8233999</v>
      </c>
      <c r="B800" s="6">
        <v>42928</v>
      </c>
      <c r="C800" s="7">
        <v>0.57828703703703699</v>
      </c>
      <c r="D800" s="8">
        <v>0.58834490740740741</v>
      </c>
      <c r="E800" s="20">
        <f t="shared" si="120"/>
        <v>1.0057870370370425E-2</v>
      </c>
      <c r="F800" t="str">
        <f t="shared" si="121"/>
        <v>stacjonarny</v>
      </c>
      <c r="G800" s="23">
        <f t="shared" si="128"/>
        <v>280847</v>
      </c>
      <c r="H800">
        <f t="shared" si="129"/>
        <v>92787</v>
      </c>
      <c r="I800">
        <f t="shared" si="122"/>
        <v>0</v>
      </c>
      <c r="J800">
        <f t="shared" si="123"/>
        <v>0</v>
      </c>
      <c r="K800">
        <f t="shared" si="124"/>
        <v>373634</v>
      </c>
      <c r="L800">
        <f t="shared" si="125"/>
        <v>0</v>
      </c>
      <c r="M800">
        <f t="shared" si="126"/>
        <v>869</v>
      </c>
      <c r="N800">
        <f t="shared" si="127"/>
        <v>0</v>
      </c>
    </row>
    <row r="801" spans="1:14" x14ac:dyDescent="0.35">
      <c r="A801" s="9">
        <v>97782375</v>
      </c>
      <c r="B801" s="10">
        <v>42928</v>
      </c>
      <c r="C801" s="11">
        <v>0.58054398148148145</v>
      </c>
      <c r="D801" s="12">
        <v>0.58196759259259256</v>
      </c>
      <c r="E801" s="20">
        <f t="shared" si="120"/>
        <v>1.4236111111111116E-3</v>
      </c>
      <c r="F801" t="str">
        <f t="shared" si="121"/>
        <v>komorkowy</v>
      </c>
      <c r="G801" s="23">
        <f t="shared" si="128"/>
        <v>280847</v>
      </c>
      <c r="H801">
        <f t="shared" si="129"/>
        <v>92910</v>
      </c>
      <c r="I801">
        <f t="shared" si="122"/>
        <v>0</v>
      </c>
      <c r="J801">
        <f t="shared" si="123"/>
        <v>0</v>
      </c>
      <c r="K801">
        <f t="shared" si="124"/>
        <v>373757</v>
      </c>
      <c r="L801">
        <f t="shared" si="125"/>
        <v>0</v>
      </c>
      <c r="M801">
        <f t="shared" si="126"/>
        <v>0</v>
      </c>
      <c r="N801">
        <f t="shared" si="127"/>
        <v>123</v>
      </c>
    </row>
    <row r="802" spans="1:14" x14ac:dyDescent="0.35">
      <c r="A802" s="5">
        <v>2826868</v>
      </c>
      <c r="B802" s="6">
        <v>42928</v>
      </c>
      <c r="C802" s="7">
        <v>0.58266203703703701</v>
      </c>
      <c r="D802" s="8">
        <v>0.59348379629629633</v>
      </c>
      <c r="E802" s="20">
        <f t="shared" si="120"/>
        <v>1.0821759259259323E-2</v>
      </c>
      <c r="F802" t="str">
        <f t="shared" si="121"/>
        <v>stacjonarny</v>
      </c>
      <c r="G802" s="23">
        <f t="shared" si="128"/>
        <v>281782</v>
      </c>
      <c r="H802">
        <f t="shared" si="129"/>
        <v>92910</v>
      </c>
      <c r="I802">
        <f t="shared" si="122"/>
        <v>0</v>
      </c>
      <c r="J802">
        <f t="shared" si="123"/>
        <v>0</v>
      </c>
      <c r="K802">
        <f t="shared" si="124"/>
        <v>374692</v>
      </c>
      <c r="L802">
        <f t="shared" si="125"/>
        <v>0</v>
      </c>
      <c r="M802">
        <f t="shared" si="126"/>
        <v>935</v>
      </c>
      <c r="N802">
        <f t="shared" si="127"/>
        <v>0</v>
      </c>
    </row>
    <row r="803" spans="1:14" x14ac:dyDescent="0.35">
      <c r="A803" s="9">
        <v>93794133</v>
      </c>
      <c r="B803" s="10">
        <v>42928</v>
      </c>
      <c r="C803" s="11">
        <v>0.58592592592592596</v>
      </c>
      <c r="D803" s="12">
        <v>0.59038194444444447</v>
      </c>
      <c r="E803" s="20">
        <f t="shared" si="120"/>
        <v>4.4560185185185119E-3</v>
      </c>
      <c r="F803" t="str">
        <f t="shared" si="121"/>
        <v>komorkowy</v>
      </c>
      <c r="G803" s="23">
        <f t="shared" si="128"/>
        <v>281782</v>
      </c>
      <c r="H803">
        <f t="shared" si="129"/>
        <v>93295</v>
      </c>
      <c r="I803">
        <f t="shared" si="122"/>
        <v>0</v>
      </c>
      <c r="J803">
        <f t="shared" si="123"/>
        <v>0</v>
      </c>
      <c r="K803">
        <f t="shared" si="124"/>
        <v>375077</v>
      </c>
      <c r="L803">
        <f t="shared" si="125"/>
        <v>0</v>
      </c>
      <c r="M803">
        <f t="shared" si="126"/>
        <v>0</v>
      </c>
      <c r="N803">
        <f t="shared" si="127"/>
        <v>385</v>
      </c>
    </row>
    <row r="804" spans="1:14" x14ac:dyDescent="0.35">
      <c r="A804" s="5">
        <v>85838361</v>
      </c>
      <c r="B804" s="6">
        <v>42928</v>
      </c>
      <c r="C804" s="7">
        <v>0.58909722222222227</v>
      </c>
      <c r="D804" s="8">
        <v>0.5993518518518518</v>
      </c>
      <c r="E804" s="20">
        <f t="shared" si="120"/>
        <v>1.025462962962953E-2</v>
      </c>
      <c r="F804" t="str">
        <f t="shared" si="121"/>
        <v>komorkowy</v>
      </c>
      <c r="G804" s="23">
        <f t="shared" si="128"/>
        <v>281782</v>
      </c>
      <c r="H804">
        <f t="shared" si="129"/>
        <v>94181</v>
      </c>
      <c r="I804">
        <f t="shared" si="122"/>
        <v>0</v>
      </c>
      <c r="J804">
        <f t="shared" si="123"/>
        <v>0</v>
      </c>
      <c r="K804">
        <f t="shared" si="124"/>
        <v>375963</v>
      </c>
      <c r="L804">
        <f t="shared" si="125"/>
        <v>0</v>
      </c>
      <c r="M804">
        <f t="shared" si="126"/>
        <v>0</v>
      </c>
      <c r="N804">
        <f t="shared" si="127"/>
        <v>886</v>
      </c>
    </row>
    <row r="805" spans="1:14" x14ac:dyDescent="0.35">
      <c r="A805" s="9">
        <v>1616328</v>
      </c>
      <c r="B805" s="10">
        <v>42928</v>
      </c>
      <c r="C805" s="11">
        <v>0.59354166666666663</v>
      </c>
      <c r="D805" s="12">
        <v>0.59888888888888892</v>
      </c>
      <c r="E805" s="20">
        <f t="shared" si="120"/>
        <v>5.3472222222222809E-3</v>
      </c>
      <c r="F805" t="str">
        <f t="shared" si="121"/>
        <v>stacjonarny</v>
      </c>
      <c r="G805" s="23">
        <f t="shared" si="128"/>
        <v>282244</v>
      </c>
      <c r="H805">
        <f t="shared" si="129"/>
        <v>94181</v>
      </c>
      <c r="I805">
        <f t="shared" si="122"/>
        <v>0</v>
      </c>
      <c r="J805">
        <f t="shared" si="123"/>
        <v>0</v>
      </c>
      <c r="K805">
        <f t="shared" si="124"/>
        <v>376425</v>
      </c>
      <c r="L805">
        <f t="shared" si="125"/>
        <v>0</v>
      </c>
      <c r="M805">
        <f t="shared" si="126"/>
        <v>462</v>
      </c>
      <c r="N805">
        <f t="shared" si="127"/>
        <v>0</v>
      </c>
    </row>
    <row r="806" spans="1:14" x14ac:dyDescent="0.35">
      <c r="A806" s="5">
        <v>9773176</v>
      </c>
      <c r="B806" s="6">
        <v>42928</v>
      </c>
      <c r="C806" s="7">
        <v>0.59873842592592597</v>
      </c>
      <c r="D806" s="8">
        <v>0.60127314814814814</v>
      </c>
      <c r="E806" s="20">
        <f t="shared" si="120"/>
        <v>2.5347222222221744E-3</v>
      </c>
      <c r="F806" t="str">
        <f t="shared" si="121"/>
        <v>stacjonarny</v>
      </c>
      <c r="G806" s="23">
        <f t="shared" si="128"/>
        <v>282463</v>
      </c>
      <c r="H806">
        <f t="shared" si="129"/>
        <v>94181</v>
      </c>
      <c r="I806">
        <f t="shared" si="122"/>
        <v>0</v>
      </c>
      <c r="J806">
        <f t="shared" si="123"/>
        <v>0</v>
      </c>
      <c r="K806">
        <f t="shared" si="124"/>
        <v>376644</v>
      </c>
      <c r="L806">
        <f t="shared" si="125"/>
        <v>0</v>
      </c>
      <c r="M806">
        <f t="shared" si="126"/>
        <v>219</v>
      </c>
      <c r="N806">
        <f t="shared" si="127"/>
        <v>0</v>
      </c>
    </row>
    <row r="807" spans="1:14" x14ac:dyDescent="0.35">
      <c r="A807" s="9">
        <v>8246306</v>
      </c>
      <c r="B807" s="10">
        <v>42928</v>
      </c>
      <c r="C807" s="11">
        <v>0.59928240740740746</v>
      </c>
      <c r="D807" s="12">
        <v>0.60182870370370367</v>
      </c>
      <c r="E807" s="20">
        <f t="shared" si="120"/>
        <v>2.5462962962962132E-3</v>
      </c>
      <c r="F807" t="str">
        <f t="shared" si="121"/>
        <v>stacjonarny</v>
      </c>
      <c r="G807" s="23">
        <f t="shared" si="128"/>
        <v>282683</v>
      </c>
      <c r="H807">
        <f t="shared" si="129"/>
        <v>94181</v>
      </c>
      <c r="I807">
        <f t="shared" si="122"/>
        <v>0</v>
      </c>
      <c r="J807">
        <f t="shared" si="123"/>
        <v>0</v>
      </c>
      <c r="K807">
        <f t="shared" si="124"/>
        <v>376864</v>
      </c>
      <c r="L807">
        <f t="shared" si="125"/>
        <v>0</v>
      </c>
      <c r="M807">
        <f t="shared" si="126"/>
        <v>220</v>
      </c>
      <c r="N807">
        <f t="shared" si="127"/>
        <v>0</v>
      </c>
    </row>
    <row r="808" spans="1:14" x14ac:dyDescent="0.35">
      <c r="A808" s="5">
        <v>2412611</v>
      </c>
      <c r="B808" s="6">
        <v>42928</v>
      </c>
      <c r="C808" s="7">
        <v>0.60065972222222219</v>
      </c>
      <c r="D808" s="8">
        <v>0.60902777777777772</v>
      </c>
      <c r="E808" s="20">
        <f t="shared" si="120"/>
        <v>8.3680555555555314E-3</v>
      </c>
      <c r="F808" t="str">
        <f t="shared" si="121"/>
        <v>stacjonarny</v>
      </c>
      <c r="G808" s="23">
        <f t="shared" si="128"/>
        <v>283406</v>
      </c>
      <c r="H808">
        <f t="shared" si="129"/>
        <v>94181</v>
      </c>
      <c r="I808">
        <f t="shared" si="122"/>
        <v>0</v>
      </c>
      <c r="J808">
        <f t="shared" si="123"/>
        <v>0</v>
      </c>
      <c r="K808">
        <f t="shared" si="124"/>
        <v>377587</v>
      </c>
      <c r="L808">
        <f t="shared" si="125"/>
        <v>0</v>
      </c>
      <c r="M808">
        <f t="shared" si="126"/>
        <v>723</v>
      </c>
      <c r="N808">
        <f t="shared" si="127"/>
        <v>0</v>
      </c>
    </row>
    <row r="809" spans="1:14" x14ac:dyDescent="0.35">
      <c r="A809" s="9">
        <v>7795911</v>
      </c>
      <c r="B809" s="10">
        <v>42928</v>
      </c>
      <c r="C809" s="11">
        <v>0.60528935185185184</v>
      </c>
      <c r="D809" s="12">
        <v>0.60805555555555557</v>
      </c>
      <c r="E809" s="20">
        <f t="shared" si="120"/>
        <v>2.766203703703729E-3</v>
      </c>
      <c r="F809" t="str">
        <f t="shared" si="121"/>
        <v>stacjonarny</v>
      </c>
      <c r="G809" s="23">
        <f t="shared" si="128"/>
        <v>283645</v>
      </c>
      <c r="H809">
        <f t="shared" si="129"/>
        <v>94181</v>
      </c>
      <c r="I809">
        <f t="shared" si="122"/>
        <v>0</v>
      </c>
      <c r="J809">
        <f t="shared" si="123"/>
        <v>0</v>
      </c>
      <c r="K809">
        <f t="shared" si="124"/>
        <v>377826</v>
      </c>
      <c r="L809">
        <f t="shared" si="125"/>
        <v>0</v>
      </c>
      <c r="M809">
        <f t="shared" si="126"/>
        <v>239</v>
      </c>
      <c r="N809">
        <f t="shared" si="127"/>
        <v>0</v>
      </c>
    </row>
    <row r="810" spans="1:14" x14ac:dyDescent="0.35">
      <c r="A810" s="5">
        <v>8063487</v>
      </c>
      <c r="B810" s="6">
        <v>42928</v>
      </c>
      <c r="C810" s="7">
        <v>0.61028935185185185</v>
      </c>
      <c r="D810" s="8">
        <v>0.61681712962962965</v>
      </c>
      <c r="E810" s="20">
        <f t="shared" si="120"/>
        <v>6.527777777777799E-3</v>
      </c>
      <c r="F810" t="str">
        <f t="shared" si="121"/>
        <v>stacjonarny</v>
      </c>
      <c r="G810" s="23">
        <f t="shared" si="128"/>
        <v>284209</v>
      </c>
      <c r="H810">
        <f t="shared" si="129"/>
        <v>94181</v>
      </c>
      <c r="I810">
        <f t="shared" si="122"/>
        <v>0</v>
      </c>
      <c r="J810">
        <f t="shared" si="123"/>
        <v>0</v>
      </c>
      <c r="K810">
        <f t="shared" si="124"/>
        <v>378390</v>
      </c>
      <c r="L810">
        <f t="shared" si="125"/>
        <v>0</v>
      </c>
      <c r="M810">
        <f t="shared" si="126"/>
        <v>564</v>
      </c>
      <c r="N810">
        <f t="shared" si="127"/>
        <v>0</v>
      </c>
    </row>
    <row r="811" spans="1:14" x14ac:dyDescent="0.35">
      <c r="A811" s="9">
        <v>68677362</v>
      </c>
      <c r="B811" s="10">
        <v>42928</v>
      </c>
      <c r="C811" s="11">
        <v>0.61534722222222227</v>
      </c>
      <c r="D811" s="12">
        <v>0.61554398148148148</v>
      </c>
      <c r="E811" s="20">
        <f t="shared" si="120"/>
        <v>1.96759259259216E-4</v>
      </c>
      <c r="F811" t="str">
        <f t="shared" si="121"/>
        <v>komorkowy</v>
      </c>
      <c r="G811" s="23">
        <f t="shared" si="128"/>
        <v>284209</v>
      </c>
      <c r="H811">
        <f t="shared" si="129"/>
        <v>94198</v>
      </c>
      <c r="I811">
        <f t="shared" si="122"/>
        <v>0</v>
      </c>
      <c r="J811">
        <f t="shared" si="123"/>
        <v>0</v>
      </c>
      <c r="K811">
        <f t="shared" si="124"/>
        <v>378407</v>
      </c>
      <c r="L811">
        <f t="shared" si="125"/>
        <v>0</v>
      </c>
      <c r="M811">
        <f t="shared" si="126"/>
        <v>0</v>
      </c>
      <c r="N811">
        <f t="shared" si="127"/>
        <v>17</v>
      </c>
    </row>
    <row r="812" spans="1:14" x14ac:dyDescent="0.35">
      <c r="A812" s="5">
        <v>6766787935</v>
      </c>
      <c r="B812" s="6">
        <v>42928</v>
      </c>
      <c r="C812" s="7">
        <v>0.62077546296296293</v>
      </c>
      <c r="D812" s="8">
        <v>0.62708333333333333</v>
      </c>
      <c r="E812" s="20">
        <f t="shared" si="120"/>
        <v>6.3078703703703942E-3</v>
      </c>
      <c r="F812" t="str">
        <f t="shared" si="121"/>
        <v>zagraniczny</v>
      </c>
      <c r="G812" s="23">
        <f t="shared" si="128"/>
        <v>284209</v>
      </c>
      <c r="H812">
        <f t="shared" si="129"/>
        <v>94198</v>
      </c>
      <c r="I812">
        <f t="shared" si="122"/>
        <v>545</v>
      </c>
      <c r="J812">
        <f t="shared" si="123"/>
        <v>10</v>
      </c>
      <c r="K812">
        <f t="shared" si="124"/>
        <v>378407</v>
      </c>
      <c r="L812">
        <f t="shared" si="125"/>
        <v>0</v>
      </c>
      <c r="M812">
        <f t="shared" si="126"/>
        <v>0</v>
      </c>
      <c r="N812">
        <f t="shared" si="127"/>
        <v>0</v>
      </c>
    </row>
    <row r="813" spans="1:14" x14ac:dyDescent="0.35">
      <c r="A813" s="9">
        <v>27791497</v>
      </c>
      <c r="B813" s="10">
        <v>42928</v>
      </c>
      <c r="C813" s="11">
        <v>0.62372685185185184</v>
      </c>
      <c r="D813" s="12">
        <v>0.63241898148148146</v>
      </c>
      <c r="E813" s="20">
        <f t="shared" si="120"/>
        <v>8.6921296296296191E-3</v>
      </c>
      <c r="F813" t="str">
        <f t="shared" si="121"/>
        <v>komorkowy</v>
      </c>
      <c r="G813" s="23">
        <f t="shared" si="128"/>
        <v>284209</v>
      </c>
      <c r="H813">
        <f t="shared" si="129"/>
        <v>94949</v>
      </c>
      <c r="I813">
        <f t="shared" si="122"/>
        <v>0</v>
      </c>
      <c r="J813">
        <f t="shared" si="123"/>
        <v>0</v>
      </c>
      <c r="K813">
        <f t="shared" si="124"/>
        <v>379158</v>
      </c>
      <c r="L813">
        <f t="shared" si="125"/>
        <v>0</v>
      </c>
      <c r="M813">
        <f t="shared" si="126"/>
        <v>0</v>
      </c>
      <c r="N813">
        <f t="shared" si="127"/>
        <v>751</v>
      </c>
    </row>
    <row r="814" spans="1:14" x14ac:dyDescent="0.35">
      <c r="A814" s="5">
        <v>6158527</v>
      </c>
      <c r="B814" s="6">
        <v>42928</v>
      </c>
      <c r="C814" s="7">
        <v>0.62449074074074074</v>
      </c>
      <c r="D814" s="8">
        <v>0.62653935185185183</v>
      </c>
      <c r="E814" s="20">
        <f t="shared" si="120"/>
        <v>2.0486111111110983E-3</v>
      </c>
      <c r="F814" t="str">
        <f t="shared" si="121"/>
        <v>stacjonarny</v>
      </c>
      <c r="G814" s="23">
        <f t="shared" si="128"/>
        <v>284386</v>
      </c>
      <c r="H814">
        <f t="shared" si="129"/>
        <v>94949</v>
      </c>
      <c r="I814">
        <f t="shared" si="122"/>
        <v>0</v>
      </c>
      <c r="J814">
        <f t="shared" si="123"/>
        <v>0</v>
      </c>
      <c r="K814">
        <f t="shared" si="124"/>
        <v>379335</v>
      </c>
      <c r="L814">
        <f t="shared" si="125"/>
        <v>0</v>
      </c>
      <c r="M814">
        <f t="shared" si="126"/>
        <v>177</v>
      </c>
      <c r="N814">
        <f t="shared" si="127"/>
        <v>0</v>
      </c>
    </row>
    <row r="815" spans="1:14" x14ac:dyDescent="0.35">
      <c r="A815" s="9">
        <v>3456554</v>
      </c>
      <c r="B815" s="10">
        <v>42928</v>
      </c>
      <c r="C815" s="11">
        <v>0.62615740740740744</v>
      </c>
      <c r="D815" s="12">
        <v>0.63491898148148151</v>
      </c>
      <c r="E815" s="20">
        <f t="shared" si="120"/>
        <v>8.7615740740740744E-3</v>
      </c>
      <c r="F815" t="str">
        <f t="shared" si="121"/>
        <v>stacjonarny</v>
      </c>
      <c r="G815" s="23">
        <f t="shared" si="128"/>
        <v>285143</v>
      </c>
      <c r="H815">
        <f t="shared" si="129"/>
        <v>94949</v>
      </c>
      <c r="I815">
        <f t="shared" si="122"/>
        <v>0</v>
      </c>
      <c r="J815">
        <f t="shared" si="123"/>
        <v>0</v>
      </c>
      <c r="K815">
        <f t="shared" si="124"/>
        <v>380092</v>
      </c>
      <c r="L815">
        <f t="shared" si="125"/>
        <v>0</v>
      </c>
      <c r="M815">
        <f t="shared" si="126"/>
        <v>757</v>
      </c>
      <c r="N815">
        <f t="shared" si="127"/>
        <v>0</v>
      </c>
    </row>
    <row r="816" spans="1:14" x14ac:dyDescent="0.35">
      <c r="A816" s="5">
        <v>3437033</v>
      </c>
      <c r="B816" s="6">
        <v>42929</v>
      </c>
      <c r="C816" s="7">
        <v>0.33812500000000001</v>
      </c>
      <c r="D816" s="8">
        <v>0.34457175925925926</v>
      </c>
      <c r="E816" s="20">
        <f t="shared" si="120"/>
        <v>6.4467592592592493E-3</v>
      </c>
      <c r="F816" t="str">
        <f t="shared" si="121"/>
        <v>stacjonarny</v>
      </c>
      <c r="G816" s="23">
        <f t="shared" si="128"/>
        <v>285700</v>
      </c>
      <c r="H816">
        <f t="shared" si="129"/>
        <v>94949</v>
      </c>
      <c r="I816">
        <f t="shared" si="122"/>
        <v>0</v>
      </c>
      <c r="J816">
        <f t="shared" si="123"/>
        <v>0</v>
      </c>
      <c r="K816">
        <f t="shared" si="124"/>
        <v>380649</v>
      </c>
      <c r="L816">
        <f t="shared" si="125"/>
        <v>0</v>
      </c>
      <c r="M816">
        <f t="shared" si="126"/>
        <v>557</v>
      </c>
      <c r="N816">
        <f t="shared" si="127"/>
        <v>0</v>
      </c>
    </row>
    <row r="817" spans="1:14" x14ac:dyDescent="0.35">
      <c r="A817" s="9">
        <v>2128068</v>
      </c>
      <c r="B817" s="10">
        <v>42929</v>
      </c>
      <c r="C817" s="11">
        <v>0.34258101851851852</v>
      </c>
      <c r="D817" s="12">
        <v>0.34574074074074074</v>
      </c>
      <c r="E817" s="20">
        <f t="shared" si="120"/>
        <v>3.1597222222222165E-3</v>
      </c>
      <c r="F817" t="str">
        <f t="shared" si="121"/>
        <v>stacjonarny</v>
      </c>
      <c r="G817" s="23">
        <f t="shared" si="128"/>
        <v>285973</v>
      </c>
      <c r="H817">
        <f t="shared" si="129"/>
        <v>94949</v>
      </c>
      <c r="I817">
        <f t="shared" si="122"/>
        <v>0</v>
      </c>
      <c r="J817">
        <f t="shared" si="123"/>
        <v>0</v>
      </c>
      <c r="K817">
        <f t="shared" si="124"/>
        <v>380922</v>
      </c>
      <c r="L817">
        <f t="shared" si="125"/>
        <v>0</v>
      </c>
      <c r="M817">
        <f t="shared" si="126"/>
        <v>273</v>
      </c>
      <c r="N817">
        <f t="shared" si="127"/>
        <v>0</v>
      </c>
    </row>
    <row r="818" spans="1:14" x14ac:dyDescent="0.35">
      <c r="A818" s="5">
        <v>20679187</v>
      </c>
      <c r="B818" s="6">
        <v>42929</v>
      </c>
      <c r="C818" s="7">
        <v>0.34833333333333333</v>
      </c>
      <c r="D818" s="8">
        <v>0.35206018518518517</v>
      </c>
      <c r="E818" s="20">
        <f t="shared" si="120"/>
        <v>3.7268518518518423E-3</v>
      </c>
      <c r="F818" t="str">
        <f t="shared" si="121"/>
        <v>komorkowy</v>
      </c>
      <c r="G818" s="23">
        <f t="shared" si="128"/>
        <v>285973</v>
      </c>
      <c r="H818">
        <f t="shared" si="129"/>
        <v>95271</v>
      </c>
      <c r="I818">
        <f t="shared" si="122"/>
        <v>0</v>
      </c>
      <c r="J818">
        <f t="shared" si="123"/>
        <v>0</v>
      </c>
      <c r="K818">
        <f t="shared" si="124"/>
        <v>381244</v>
      </c>
      <c r="L818">
        <f t="shared" si="125"/>
        <v>0</v>
      </c>
      <c r="M818">
        <f t="shared" si="126"/>
        <v>0</v>
      </c>
      <c r="N818">
        <f t="shared" si="127"/>
        <v>322</v>
      </c>
    </row>
    <row r="819" spans="1:14" x14ac:dyDescent="0.35">
      <c r="A819" s="9">
        <v>9259392564</v>
      </c>
      <c r="B819" s="10">
        <v>42929</v>
      </c>
      <c r="C819" s="11">
        <v>0.35311342592592593</v>
      </c>
      <c r="D819" s="12">
        <v>0.35888888888888887</v>
      </c>
      <c r="E819" s="20">
        <f t="shared" si="120"/>
        <v>5.7754629629629406E-3</v>
      </c>
      <c r="F819" t="str">
        <f t="shared" si="121"/>
        <v>zagraniczny</v>
      </c>
      <c r="G819" s="23">
        <f t="shared" si="128"/>
        <v>285973</v>
      </c>
      <c r="H819">
        <f t="shared" si="129"/>
        <v>95271</v>
      </c>
      <c r="I819">
        <f t="shared" si="122"/>
        <v>499</v>
      </c>
      <c r="J819">
        <f t="shared" si="123"/>
        <v>9</v>
      </c>
      <c r="K819">
        <f t="shared" si="124"/>
        <v>381244</v>
      </c>
      <c r="L819">
        <f t="shared" si="125"/>
        <v>0</v>
      </c>
      <c r="M819">
        <f t="shared" si="126"/>
        <v>0</v>
      </c>
      <c r="N819">
        <f t="shared" si="127"/>
        <v>0</v>
      </c>
    </row>
    <row r="820" spans="1:14" x14ac:dyDescent="0.35">
      <c r="A820" s="5">
        <v>7852624</v>
      </c>
      <c r="B820" s="6">
        <v>42929</v>
      </c>
      <c r="C820" s="7">
        <v>0.35885416666666664</v>
      </c>
      <c r="D820" s="8">
        <v>0.36913194444444447</v>
      </c>
      <c r="E820" s="20">
        <f t="shared" si="120"/>
        <v>1.027777777777783E-2</v>
      </c>
      <c r="F820" t="str">
        <f t="shared" si="121"/>
        <v>stacjonarny</v>
      </c>
      <c r="G820" s="23">
        <f t="shared" si="128"/>
        <v>286861</v>
      </c>
      <c r="H820">
        <f t="shared" si="129"/>
        <v>95271</v>
      </c>
      <c r="I820">
        <f t="shared" si="122"/>
        <v>0</v>
      </c>
      <c r="J820">
        <f t="shared" si="123"/>
        <v>0</v>
      </c>
      <c r="K820">
        <f t="shared" si="124"/>
        <v>382132</v>
      </c>
      <c r="L820">
        <f t="shared" si="125"/>
        <v>0</v>
      </c>
      <c r="M820">
        <f t="shared" si="126"/>
        <v>888</v>
      </c>
      <c r="N820">
        <f t="shared" si="127"/>
        <v>0</v>
      </c>
    </row>
    <row r="821" spans="1:14" x14ac:dyDescent="0.35">
      <c r="A821" s="9">
        <v>8838584</v>
      </c>
      <c r="B821" s="10">
        <v>42929</v>
      </c>
      <c r="C821" s="11">
        <v>0.36204861111111108</v>
      </c>
      <c r="D821" s="12">
        <v>0.37230324074074073</v>
      </c>
      <c r="E821" s="20">
        <f t="shared" si="120"/>
        <v>1.0254629629629641E-2</v>
      </c>
      <c r="F821" t="str">
        <f t="shared" si="121"/>
        <v>stacjonarny</v>
      </c>
      <c r="G821" s="23">
        <f t="shared" si="128"/>
        <v>287747</v>
      </c>
      <c r="H821">
        <f t="shared" si="129"/>
        <v>95271</v>
      </c>
      <c r="I821">
        <f t="shared" si="122"/>
        <v>0</v>
      </c>
      <c r="J821">
        <f t="shared" si="123"/>
        <v>0</v>
      </c>
      <c r="K821">
        <f t="shared" si="124"/>
        <v>383018</v>
      </c>
      <c r="L821">
        <f t="shared" si="125"/>
        <v>0</v>
      </c>
      <c r="M821">
        <f t="shared" si="126"/>
        <v>886</v>
      </c>
      <c r="N821">
        <f t="shared" si="127"/>
        <v>0</v>
      </c>
    </row>
    <row r="822" spans="1:14" x14ac:dyDescent="0.35">
      <c r="A822" s="5">
        <v>2492731</v>
      </c>
      <c r="B822" s="6">
        <v>42929</v>
      </c>
      <c r="C822" s="7">
        <v>0.36341435185185184</v>
      </c>
      <c r="D822" s="8">
        <v>0.36506944444444445</v>
      </c>
      <c r="E822" s="20">
        <f t="shared" si="120"/>
        <v>1.6550925925926108E-3</v>
      </c>
      <c r="F822" t="str">
        <f t="shared" si="121"/>
        <v>stacjonarny</v>
      </c>
      <c r="G822" s="23">
        <f t="shared" si="128"/>
        <v>287890</v>
      </c>
      <c r="H822">
        <f t="shared" si="129"/>
        <v>95271</v>
      </c>
      <c r="I822">
        <f t="shared" si="122"/>
        <v>0</v>
      </c>
      <c r="J822">
        <f t="shared" si="123"/>
        <v>0</v>
      </c>
      <c r="K822">
        <f t="shared" si="124"/>
        <v>383161</v>
      </c>
      <c r="L822">
        <f t="shared" si="125"/>
        <v>0</v>
      </c>
      <c r="M822">
        <f t="shared" si="126"/>
        <v>143</v>
      </c>
      <c r="N822">
        <f t="shared" si="127"/>
        <v>0</v>
      </c>
    </row>
    <row r="823" spans="1:14" x14ac:dyDescent="0.35">
      <c r="A823" s="9">
        <v>8028777</v>
      </c>
      <c r="B823" s="10">
        <v>42929</v>
      </c>
      <c r="C823" s="11">
        <v>0.36505787037037035</v>
      </c>
      <c r="D823" s="12">
        <v>0.37204861111111109</v>
      </c>
      <c r="E823" s="20">
        <f t="shared" si="120"/>
        <v>6.9907407407407418E-3</v>
      </c>
      <c r="F823" t="str">
        <f t="shared" si="121"/>
        <v>stacjonarny</v>
      </c>
      <c r="G823" s="23">
        <f t="shared" si="128"/>
        <v>288494</v>
      </c>
      <c r="H823">
        <f t="shared" si="129"/>
        <v>95271</v>
      </c>
      <c r="I823">
        <f t="shared" si="122"/>
        <v>0</v>
      </c>
      <c r="J823">
        <f t="shared" si="123"/>
        <v>0</v>
      </c>
      <c r="K823">
        <f t="shared" si="124"/>
        <v>383765</v>
      </c>
      <c r="L823">
        <f t="shared" si="125"/>
        <v>0</v>
      </c>
      <c r="M823">
        <f t="shared" si="126"/>
        <v>604</v>
      </c>
      <c r="N823">
        <f t="shared" si="127"/>
        <v>0</v>
      </c>
    </row>
    <row r="824" spans="1:14" x14ac:dyDescent="0.35">
      <c r="A824" s="5">
        <v>2619219</v>
      </c>
      <c r="B824" s="6">
        <v>42929</v>
      </c>
      <c r="C824" s="7">
        <v>0.36586805555555557</v>
      </c>
      <c r="D824" s="8">
        <v>0.36783564814814818</v>
      </c>
      <c r="E824" s="20">
        <f t="shared" si="120"/>
        <v>1.9675925925926041E-3</v>
      </c>
      <c r="F824" t="str">
        <f t="shared" si="121"/>
        <v>stacjonarny</v>
      </c>
      <c r="G824" s="23">
        <f t="shared" si="128"/>
        <v>288664</v>
      </c>
      <c r="H824">
        <f t="shared" si="129"/>
        <v>95271</v>
      </c>
      <c r="I824">
        <f t="shared" si="122"/>
        <v>0</v>
      </c>
      <c r="J824">
        <f t="shared" si="123"/>
        <v>0</v>
      </c>
      <c r="K824">
        <f t="shared" si="124"/>
        <v>383935</v>
      </c>
      <c r="L824">
        <f t="shared" si="125"/>
        <v>0</v>
      </c>
      <c r="M824">
        <f t="shared" si="126"/>
        <v>170</v>
      </c>
      <c r="N824">
        <f t="shared" si="127"/>
        <v>0</v>
      </c>
    </row>
    <row r="825" spans="1:14" x14ac:dyDescent="0.35">
      <c r="A825" s="9">
        <v>2506618</v>
      </c>
      <c r="B825" s="10">
        <v>42929</v>
      </c>
      <c r="C825" s="11">
        <v>0.36704861111111109</v>
      </c>
      <c r="D825" s="12">
        <v>0.37783564814814813</v>
      </c>
      <c r="E825" s="20">
        <f t="shared" si="120"/>
        <v>1.0787037037037039E-2</v>
      </c>
      <c r="F825" t="str">
        <f t="shared" si="121"/>
        <v>stacjonarny</v>
      </c>
      <c r="G825" s="23">
        <f t="shared" si="128"/>
        <v>289596</v>
      </c>
      <c r="H825">
        <f t="shared" si="129"/>
        <v>95271</v>
      </c>
      <c r="I825">
        <f t="shared" si="122"/>
        <v>0</v>
      </c>
      <c r="J825">
        <f t="shared" si="123"/>
        <v>0</v>
      </c>
      <c r="K825">
        <f t="shared" si="124"/>
        <v>384867</v>
      </c>
      <c r="L825">
        <f t="shared" si="125"/>
        <v>0</v>
      </c>
      <c r="M825">
        <f t="shared" si="126"/>
        <v>932</v>
      </c>
      <c r="N825">
        <f t="shared" si="127"/>
        <v>0</v>
      </c>
    </row>
    <row r="826" spans="1:14" x14ac:dyDescent="0.35">
      <c r="A826" s="5">
        <v>7979313</v>
      </c>
      <c r="B826" s="6">
        <v>42929</v>
      </c>
      <c r="C826" s="7">
        <v>0.37074074074074076</v>
      </c>
      <c r="D826" s="8">
        <v>0.37601851851851853</v>
      </c>
      <c r="E826" s="20">
        <f t="shared" si="120"/>
        <v>5.2777777777777701E-3</v>
      </c>
      <c r="F826" t="str">
        <f t="shared" si="121"/>
        <v>stacjonarny</v>
      </c>
      <c r="G826" s="23">
        <f t="shared" si="128"/>
        <v>290052</v>
      </c>
      <c r="H826">
        <f t="shared" si="129"/>
        <v>95271</v>
      </c>
      <c r="I826">
        <f t="shared" si="122"/>
        <v>0</v>
      </c>
      <c r="J826">
        <f t="shared" si="123"/>
        <v>0</v>
      </c>
      <c r="K826">
        <f t="shared" si="124"/>
        <v>385323</v>
      </c>
      <c r="L826">
        <f t="shared" si="125"/>
        <v>0</v>
      </c>
      <c r="M826">
        <f t="shared" si="126"/>
        <v>456</v>
      </c>
      <c r="N826">
        <f t="shared" si="127"/>
        <v>0</v>
      </c>
    </row>
    <row r="827" spans="1:14" x14ac:dyDescent="0.35">
      <c r="A827" s="9">
        <v>23123600</v>
      </c>
      <c r="B827" s="10">
        <v>42929</v>
      </c>
      <c r="C827" s="11">
        <v>0.37334490740740739</v>
      </c>
      <c r="D827" s="12">
        <v>0.37408564814814815</v>
      </c>
      <c r="E827" s="20">
        <f t="shared" si="120"/>
        <v>7.4074074074076401E-4</v>
      </c>
      <c r="F827" t="str">
        <f t="shared" si="121"/>
        <v>komorkowy</v>
      </c>
      <c r="G827" s="23">
        <f t="shared" si="128"/>
        <v>290052</v>
      </c>
      <c r="H827">
        <f t="shared" si="129"/>
        <v>95335</v>
      </c>
      <c r="I827">
        <f t="shared" si="122"/>
        <v>0</v>
      </c>
      <c r="J827">
        <f t="shared" si="123"/>
        <v>0</v>
      </c>
      <c r="K827">
        <f t="shared" si="124"/>
        <v>385387</v>
      </c>
      <c r="L827">
        <f t="shared" si="125"/>
        <v>0</v>
      </c>
      <c r="M827">
        <f t="shared" si="126"/>
        <v>0</v>
      </c>
      <c r="N827">
        <f t="shared" si="127"/>
        <v>64</v>
      </c>
    </row>
    <row r="828" spans="1:14" x14ac:dyDescent="0.35">
      <c r="A828" s="5">
        <v>9849476</v>
      </c>
      <c r="B828" s="6">
        <v>42929</v>
      </c>
      <c r="C828" s="7">
        <v>0.37653935185185183</v>
      </c>
      <c r="D828" s="8">
        <v>0.37709490740740742</v>
      </c>
      <c r="E828" s="20">
        <f t="shared" si="120"/>
        <v>5.5555555555558689E-4</v>
      </c>
      <c r="F828" t="str">
        <f t="shared" si="121"/>
        <v>stacjonarny</v>
      </c>
      <c r="G828" s="23">
        <f t="shared" si="128"/>
        <v>290100</v>
      </c>
      <c r="H828">
        <f t="shared" si="129"/>
        <v>95335</v>
      </c>
      <c r="I828">
        <f t="shared" si="122"/>
        <v>0</v>
      </c>
      <c r="J828">
        <f t="shared" si="123"/>
        <v>0</v>
      </c>
      <c r="K828">
        <f t="shared" si="124"/>
        <v>385435</v>
      </c>
      <c r="L828">
        <f t="shared" si="125"/>
        <v>0</v>
      </c>
      <c r="M828">
        <f t="shared" si="126"/>
        <v>48</v>
      </c>
      <c r="N828">
        <f t="shared" si="127"/>
        <v>0</v>
      </c>
    </row>
    <row r="829" spans="1:14" x14ac:dyDescent="0.35">
      <c r="A829" s="9">
        <v>27410048</v>
      </c>
      <c r="B829" s="10">
        <v>42929</v>
      </c>
      <c r="C829" s="11">
        <v>0.37748842592592591</v>
      </c>
      <c r="D829" s="12">
        <v>0.37763888888888891</v>
      </c>
      <c r="E829" s="20">
        <f t="shared" si="120"/>
        <v>1.5046296296300499E-4</v>
      </c>
      <c r="F829" t="str">
        <f t="shared" si="121"/>
        <v>komorkowy</v>
      </c>
      <c r="G829" s="23">
        <f t="shared" si="128"/>
        <v>290100</v>
      </c>
      <c r="H829">
        <f t="shared" si="129"/>
        <v>95348</v>
      </c>
      <c r="I829">
        <f t="shared" si="122"/>
        <v>0</v>
      </c>
      <c r="J829">
        <f t="shared" si="123"/>
        <v>0</v>
      </c>
      <c r="K829">
        <f t="shared" si="124"/>
        <v>385448</v>
      </c>
      <c r="L829">
        <f t="shared" si="125"/>
        <v>0</v>
      </c>
      <c r="M829">
        <f t="shared" si="126"/>
        <v>0</v>
      </c>
      <c r="N829">
        <f t="shared" si="127"/>
        <v>13</v>
      </c>
    </row>
    <row r="830" spans="1:14" x14ac:dyDescent="0.35">
      <c r="A830" s="5">
        <v>6746757</v>
      </c>
      <c r="B830" s="6">
        <v>42929</v>
      </c>
      <c r="C830" s="7">
        <v>0.3790162037037037</v>
      </c>
      <c r="D830" s="8">
        <v>0.38123842592592594</v>
      </c>
      <c r="E830" s="20">
        <f t="shared" si="120"/>
        <v>2.2222222222222365E-3</v>
      </c>
      <c r="F830" t="str">
        <f t="shared" si="121"/>
        <v>stacjonarny</v>
      </c>
      <c r="G830" s="23">
        <f t="shared" si="128"/>
        <v>290292</v>
      </c>
      <c r="H830">
        <f t="shared" si="129"/>
        <v>95348</v>
      </c>
      <c r="I830">
        <f t="shared" si="122"/>
        <v>0</v>
      </c>
      <c r="J830">
        <f t="shared" si="123"/>
        <v>0</v>
      </c>
      <c r="K830">
        <f t="shared" si="124"/>
        <v>385640</v>
      </c>
      <c r="L830">
        <f t="shared" si="125"/>
        <v>0</v>
      </c>
      <c r="M830">
        <f t="shared" si="126"/>
        <v>192</v>
      </c>
      <c r="N830">
        <f t="shared" si="127"/>
        <v>0</v>
      </c>
    </row>
    <row r="831" spans="1:14" x14ac:dyDescent="0.35">
      <c r="A831" s="9">
        <v>5087066</v>
      </c>
      <c r="B831" s="10">
        <v>42929</v>
      </c>
      <c r="C831" s="11">
        <v>0.38018518518518518</v>
      </c>
      <c r="D831" s="12">
        <v>0.38339120370370372</v>
      </c>
      <c r="E831" s="20">
        <f t="shared" si="120"/>
        <v>3.2060185185185386E-3</v>
      </c>
      <c r="F831" t="str">
        <f t="shared" si="121"/>
        <v>stacjonarny</v>
      </c>
      <c r="G831" s="23">
        <f t="shared" si="128"/>
        <v>290569</v>
      </c>
      <c r="H831">
        <f t="shared" si="129"/>
        <v>95348</v>
      </c>
      <c r="I831">
        <f t="shared" si="122"/>
        <v>0</v>
      </c>
      <c r="J831">
        <f t="shared" si="123"/>
        <v>0</v>
      </c>
      <c r="K831">
        <f t="shared" si="124"/>
        <v>385917</v>
      </c>
      <c r="L831">
        <f t="shared" si="125"/>
        <v>0</v>
      </c>
      <c r="M831">
        <f t="shared" si="126"/>
        <v>277</v>
      </c>
      <c r="N831">
        <f t="shared" si="127"/>
        <v>0</v>
      </c>
    </row>
    <row r="832" spans="1:14" x14ac:dyDescent="0.35">
      <c r="A832" s="5">
        <v>9680416</v>
      </c>
      <c r="B832" s="6">
        <v>42929</v>
      </c>
      <c r="C832" s="7">
        <v>0.38480324074074074</v>
      </c>
      <c r="D832" s="8">
        <v>0.39057870370370368</v>
      </c>
      <c r="E832" s="20">
        <f t="shared" si="120"/>
        <v>5.7754629629629406E-3</v>
      </c>
      <c r="F832" t="str">
        <f t="shared" si="121"/>
        <v>stacjonarny</v>
      </c>
      <c r="G832" s="23">
        <f t="shared" si="128"/>
        <v>291068</v>
      </c>
      <c r="H832">
        <f t="shared" si="129"/>
        <v>95348</v>
      </c>
      <c r="I832">
        <f t="shared" si="122"/>
        <v>0</v>
      </c>
      <c r="J832">
        <f t="shared" si="123"/>
        <v>0</v>
      </c>
      <c r="K832">
        <f t="shared" si="124"/>
        <v>386416</v>
      </c>
      <c r="L832">
        <f t="shared" si="125"/>
        <v>0</v>
      </c>
      <c r="M832">
        <f t="shared" si="126"/>
        <v>499</v>
      </c>
      <c r="N832">
        <f t="shared" si="127"/>
        <v>0</v>
      </c>
    </row>
    <row r="833" spans="1:14" x14ac:dyDescent="0.35">
      <c r="A833" s="9">
        <v>9356216</v>
      </c>
      <c r="B833" s="10">
        <v>42929</v>
      </c>
      <c r="C833" s="11">
        <v>0.38966435185185183</v>
      </c>
      <c r="D833" s="12">
        <v>0.40104166666666669</v>
      </c>
      <c r="E833" s="20">
        <f t="shared" si="120"/>
        <v>1.1377314814814854E-2</v>
      </c>
      <c r="F833" t="str">
        <f t="shared" si="121"/>
        <v>stacjonarny</v>
      </c>
      <c r="G833" s="23">
        <f t="shared" si="128"/>
        <v>292051</v>
      </c>
      <c r="H833">
        <f t="shared" si="129"/>
        <v>95348</v>
      </c>
      <c r="I833">
        <f t="shared" si="122"/>
        <v>0</v>
      </c>
      <c r="J833">
        <f t="shared" si="123"/>
        <v>0</v>
      </c>
      <c r="K833">
        <f t="shared" si="124"/>
        <v>387399</v>
      </c>
      <c r="L833">
        <f t="shared" si="125"/>
        <v>0</v>
      </c>
      <c r="M833">
        <f t="shared" si="126"/>
        <v>983</v>
      </c>
      <c r="N833">
        <f t="shared" si="127"/>
        <v>0</v>
      </c>
    </row>
    <row r="834" spans="1:14" x14ac:dyDescent="0.35">
      <c r="A834" s="5">
        <v>7415603</v>
      </c>
      <c r="B834" s="6">
        <v>42929</v>
      </c>
      <c r="C834" s="7">
        <v>0.39194444444444443</v>
      </c>
      <c r="D834" s="8">
        <v>0.39535879629629628</v>
      </c>
      <c r="E834" s="20">
        <f t="shared" si="120"/>
        <v>3.414351851851849E-3</v>
      </c>
      <c r="F834" t="str">
        <f t="shared" si="121"/>
        <v>stacjonarny</v>
      </c>
      <c r="G834" s="23">
        <f t="shared" si="128"/>
        <v>292346</v>
      </c>
      <c r="H834">
        <f t="shared" si="129"/>
        <v>95348</v>
      </c>
      <c r="I834">
        <f t="shared" si="122"/>
        <v>0</v>
      </c>
      <c r="J834">
        <f t="shared" si="123"/>
        <v>0</v>
      </c>
      <c r="K834">
        <f t="shared" si="124"/>
        <v>387694</v>
      </c>
      <c r="L834">
        <f t="shared" si="125"/>
        <v>0</v>
      </c>
      <c r="M834">
        <f t="shared" si="126"/>
        <v>295</v>
      </c>
      <c r="N834">
        <f t="shared" si="127"/>
        <v>0</v>
      </c>
    </row>
    <row r="835" spans="1:14" x14ac:dyDescent="0.35">
      <c r="A835" s="9">
        <v>28145499</v>
      </c>
      <c r="B835" s="10">
        <v>42929</v>
      </c>
      <c r="C835" s="11">
        <v>0.3972222222222222</v>
      </c>
      <c r="D835" s="12">
        <v>0.40084490740740741</v>
      </c>
      <c r="E835" s="20">
        <f t="shared" ref="E835:E898" si="130">D835-C835</f>
        <v>3.6226851851852149E-3</v>
      </c>
      <c r="F835" t="str">
        <f t="shared" ref="F835:F898" si="131">IF(LEN(A835)=7,"stacjonarny",IF(LEN(A835)=8,"komorkowy","zagraniczny"))</f>
        <v>komorkowy</v>
      </c>
      <c r="G835" s="23">
        <f t="shared" si="128"/>
        <v>292346</v>
      </c>
      <c r="H835">
        <f t="shared" si="129"/>
        <v>95661</v>
      </c>
      <c r="I835">
        <f t="shared" ref="I835:I898" si="132">IF(F835="zagraniczny",MINUTE(E835)*60+SECOND(E835)+HOUR(E835)*3600,0)</f>
        <v>0</v>
      </c>
      <c r="J835">
        <f t="shared" ref="J835:J898" si="133">ROUNDUP(I835/60,0)</f>
        <v>0</v>
      </c>
      <c r="K835">
        <f t="shared" ref="K835:K898" si="134">G835+H835</f>
        <v>388007</v>
      </c>
      <c r="L835">
        <f t="shared" ref="L835:L898" si="135">IF(K835&lt;=48000,1,0)</f>
        <v>0</v>
      </c>
      <c r="M835">
        <f t="shared" ref="M835:M898" si="136">IF(AND(L835=0,F835="stacjonarny"),SECOND(E835)+60*MINUTE(E835),0)</f>
        <v>0</v>
      </c>
      <c r="N835">
        <f t="shared" ref="N835:N898" si="137">IF(AND(L835=0,F835="komorkowy"),SECOND(E835)+60*MINUTE(E835),0)</f>
        <v>313</v>
      </c>
    </row>
    <row r="836" spans="1:14" x14ac:dyDescent="0.35">
      <c r="A836" s="5">
        <v>61527800</v>
      </c>
      <c r="B836" s="6">
        <v>42929</v>
      </c>
      <c r="C836" s="7">
        <v>0.39988425925925924</v>
      </c>
      <c r="D836" s="8">
        <v>0.4100462962962963</v>
      </c>
      <c r="E836" s="20">
        <f t="shared" si="130"/>
        <v>1.0162037037037053E-2</v>
      </c>
      <c r="F836" t="str">
        <f t="shared" si="131"/>
        <v>komorkowy</v>
      </c>
      <c r="G836" s="23">
        <f t="shared" ref="G836:G899" si="138">IF(F836="stacjonarny",MINUTE(E836)*60+SECOND(E836)+G835,G835)</f>
        <v>292346</v>
      </c>
      <c r="H836">
        <f t="shared" ref="H836:H899" si="139">IF(F836="komorkowy",MINUTE(E836)*60+SECOND(E836)+H835,H835)</f>
        <v>96539</v>
      </c>
      <c r="I836">
        <f t="shared" si="132"/>
        <v>0</v>
      </c>
      <c r="J836">
        <f t="shared" si="133"/>
        <v>0</v>
      </c>
      <c r="K836">
        <f t="shared" si="134"/>
        <v>388885</v>
      </c>
      <c r="L836">
        <f t="shared" si="135"/>
        <v>0</v>
      </c>
      <c r="M836">
        <f t="shared" si="136"/>
        <v>0</v>
      </c>
      <c r="N836">
        <f t="shared" si="137"/>
        <v>878</v>
      </c>
    </row>
    <row r="837" spans="1:14" x14ac:dyDescent="0.35">
      <c r="A837" s="9">
        <v>4873703</v>
      </c>
      <c r="B837" s="10">
        <v>42929</v>
      </c>
      <c r="C837" s="11">
        <v>0.40539351851851851</v>
      </c>
      <c r="D837" s="12">
        <v>0.4143634259259259</v>
      </c>
      <c r="E837" s="20">
        <f t="shared" si="130"/>
        <v>8.9699074074073848E-3</v>
      </c>
      <c r="F837" t="str">
        <f t="shared" si="131"/>
        <v>stacjonarny</v>
      </c>
      <c r="G837" s="23">
        <f t="shared" si="138"/>
        <v>293121</v>
      </c>
      <c r="H837">
        <f t="shared" si="139"/>
        <v>96539</v>
      </c>
      <c r="I837">
        <f t="shared" si="132"/>
        <v>0</v>
      </c>
      <c r="J837">
        <f t="shared" si="133"/>
        <v>0</v>
      </c>
      <c r="K837">
        <f t="shared" si="134"/>
        <v>389660</v>
      </c>
      <c r="L837">
        <f t="shared" si="135"/>
        <v>0</v>
      </c>
      <c r="M837">
        <f t="shared" si="136"/>
        <v>775</v>
      </c>
      <c r="N837">
        <f t="shared" si="137"/>
        <v>0</v>
      </c>
    </row>
    <row r="838" spans="1:14" x14ac:dyDescent="0.35">
      <c r="A838" s="5">
        <v>43019885</v>
      </c>
      <c r="B838" s="6">
        <v>42929</v>
      </c>
      <c r="C838" s="7">
        <v>0.4064814814814815</v>
      </c>
      <c r="D838" s="8">
        <v>0.41630787037037037</v>
      </c>
      <c r="E838" s="20">
        <f t="shared" si="130"/>
        <v>9.8263888888888706E-3</v>
      </c>
      <c r="F838" t="str">
        <f t="shared" si="131"/>
        <v>komorkowy</v>
      </c>
      <c r="G838" s="23">
        <f t="shared" si="138"/>
        <v>293121</v>
      </c>
      <c r="H838">
        <f t="shared" si="139"/>
        <v>97388</v>
      </c>
      <c r="I838">
        <f t="shared" si="132"/>
        <v>0</v>
      </c>
      <c r="J838">
        <f t="shared" si="133"/>
        <v>0</v>
      </c>
      <c r="K838">
        <f t="shared" si="134"/>
        <v>390509</v>
      </c>
      <c r="L838">
        <f t="shared" si="135"/>
        <v>0</v>
      </c>
      <c r="M838">
        <f t="shared" si="136"/>
        <v>0</v>
      </c>
      <c r="N838">
        <f t="shared" si="137"/>
        <v>849</v>
      </c>
    </row>
    <row r="839" spans="1:14" x14ac:dyDescent="0.35">
      <c r="A839" s="9">
        <v>7388260</v>
      </c>
      <c r="B839" s="10">
        <v>42929</v>
      </c>
      <c r="C839" s="11">
        <v>0.41149305555555554</v>
      </c>
      <c r="D839" s="12">
        <v>0.41928240740740741</v>
      </c>
      <c r="E839" s="20">
        <f t="shared" si="130"/>
        <v>7.7893518518518667E-3</v>
      </c>
      <c r="F839" t="str">
        <f t="shared" si="131"/>
        <v>stacjonarny</v>
      </c>
      <c r="G839" s="23">
        <f t="shared" si="138"/>
        <v>293794</v>
      </c>
      <c r="H839">
        <f t="shared" si="139"/>
        <v>97388</v>
      </c>
      <c r="I839">
        <f t="shared" si="132"/>
        <v>0</v>
      </c>
      <c r="J839">
        <f t="shared" si="133"/>
        <v>0</v>
      </c>
      <c r="K839">
        <f t="shared" si="134"/>
        <v>391182</v>
      </c>
      <c r="L839">
        <f t="shared" si="135"/>
        <v>0</v>
      </c>
      <c r="M839">
        <f t="shared" si="136"/>
        <v>673</v>
      </c>
      <c r="N839">
        <f t="shared" si="137"/>
        <v>0</v>
      </c>
    </row>
    <row r="840" spans="1:14" x14ac:dyDescent="0.35">
      <c r="A840" s="5">
        <v>4581715</v>
      </c>
      <c r="B840" s="6">
        <v>42929</v>
      </c>
      <c r="C840" s="7">
        <v>0.41172453703703704</v>
      </c>
      <c r="D840" s="8">
        <v>0.42146990740740742</v>
      </c>
      <c r="E840" s="20">
        <f t="shared" si="130"/>
        <v>9.7453703703703765E-3</v>
      </c>
      <c r="F840" t="str">
        <f t="shared" si="131"/>
        <v>stacjonarny</v>
      </c>
      <c r="G840" s="23">
        <f t="shared" si="138"/>
        <v>294636</v>
      </c>
      <c r="H840">
        <f t="shared" si="139"/>
        <v>97388</v>
      </c>
      <c r="I840">
        <f t="shared" si="132"/>
        <v>0</v>
      </c>
      <c r="J840">
        <f t="shared" si="133"/>
        <v>0</v>
      </c>
      <c r="K840">
        <f t="shared" si="134"/>
        <v>392024</v>
      </c>
      <c r="L840">
        <f t="shared" si="135"/>
        <v>0</v>
      </c>
      <c r="M840">
        <f t="shared" si="136"/>
        <v>842</v>
      </c>
      <c r="N840">
        <f t="shared" si="137"/>
        <v>0</v>
      </c>
    </row>
    <row r="841" spans="1:14" x14ac:dyDescent="0.35">
      <c r="A841" s="9">
        <v>58420185</v>
      </c>
      <c r="B841" s="10">
        <v>42929</v>
      </c>
      <c r="C841" s="11">
        <v>0.41729166666666667</v>
      </c>
      <c r="D841" s="12">
        <v>0.42122685185185182</v>
      </c>
      <c r="E841" s="20">
        <f t="shared" si="130"/>
        <v>3.9351851851851527E-3</v>
      </c>
      <c r="F841" t="str">
        <f t="shared" si="131"/>
        <v>komorkowy</v>
      </c>
      <c r="G841" s="23">
        <f t="shared" si="138"/>
        <v>294636</v>
      </c>
      <c r="H841">
        <f t="shared" si="139"/>
        <v>97728</v>
      </c>
      <c r="I841">
        <f t="shared" si="132"/>
        <v>0</v>
      </c>
      <c r="J841">
        <f t="shared" si="133"/>
        <v>0</v>
      </c>
      <c r="K841">
        <f t="shared" si="134"/>
        <v>392364</v>
      </c>
      <c r="L841">
        <f t="shared" si="135"/>
        <v>0</v>
      </c>
      <c r="M841">
        <f t="shared" si="136"/>
        <v>0</v>
      </c>
      <c r="N841">
        <f t="shared" si="137"/>
        <v>340</v>
      </c>
    </row>
    <row r="842" spans="1:14" x14ac:dyDescent="0.35">
      <c r="A842" s="5">
        <v>45948073</v>
      </c>
      <c r="B842" s="6">
        <v>42929</v>
      </c>
      <c r="C842" s="7">
        <v>0.41979166666666667</v>
      </c>
      <c r="D842" s="8">
        <v>0.42586805555555557</v>
      </c>
      <c r="E842" s="20">
        <f t="shared" si="130"/>
        <v>6.0763888888888951E-3</v>
      </c>
      <c r="F842" t="str">
        <f t="shared" si="131"/>
        <v>komorkowy</v>
      </c>
      <c r="G842" s="23">
        <f t="shared" si="138"/>
        <v>294636</v>
      </c>
      <c r="H842">
        <f t="shared" si="139"/>
        <v>98253</v>
      </c>
      <c r="I842">
        <f t="shared" si="132"/>
        <v>0</v>
      </c>
      <c r="J842">
        <f t="shared" si="133"/>
        <v>0</v>
      </c>
      <c r="K842">
        <f t="shared" si="134"/>
        <v>392889</v>
      </c>
      <c r="L842">
        <f t="shared" si="135"/>
        <v>0</v>
      </c>
      <c r="M842">
        <f t="shared" si="136"/>
        <v>0</v>
      </c>
      <c r="N842">
        <f t="shared" si="137"/>
        <v>525</v>
      </c>
    </row>
    <row r="843" spans="1:14" x14ac:dyDescent="0.35">
      <c r="A843" s="9">
        <v>4473835</v>
      </c>
      <c r="B843" s="10">
        <v>42929</v>
      </c>
      <c r="C843" s="11">
        <v>0.42091435185185183</v>
      </c>
      <c r="D843" s="12">
        <v>0.42609953703703701</v>
      </c>
      <c r="E843" s="20">
        <f t="shared" si="130"/>
        <v>5.1851851851851816E-3</v>
      </c>
      <c r="F843" t="str">
        <f t="shared" si="131"/>
        <v>stacjonarny</v>
      </c>
      <c r="G843" s="23">
        <f t="shared" si="138"/>
        <v>295084</v>
      </c>
      <c r="H843">
        <f t="shared" si="139"/>
        <v>98253</v>
      </c>
      <c r="I843">
        <f t="shared" si="132"/>
        <v>0</v>
      </c>
      <c r="J843">
        <f t="shared" si="133"/>
        <v>0</v>
      </c>
      <c r="K843">
        <f t="shared" si="134"/>
        <v>393337</v>
      </c>
      <c r="L843">
        <f t="shared" si="135"/>
        <v>0</v>
      </c>
      <c r="M843">
        <f t="shared" si="136"/>
        <v>448</v>
      </c>
      <c r="N843">
        <f t="shared" si="137"/>
        <v>0</v>
      </c>
    </row>
    <row r="844" spans="1:14" x14ac:dyDescent="0.35">
      <c r="A844" s="5">
        <v>7739841</v>
      </c>
      <c r="B844" s="6">
        <v>42929</v>
      </c>
      <c r="C844" s="7">
        <v>0.42418981481481483</v>
      </c>
      <c r="D844" s="8">
        <v>0.42598379629629629</v>
      </c>
      <c r="E844" s="20">
        <f t="shared" si="130"/>
        <v>1.7939814814814659E-3</v>
      </c>
      <c r="F844" t="str">
        <f t="shared" si="131"/>
        <v>stacjonarny</v>
      </c>
      <c r="G844" s="23">
        <f t="shared" si="138"/>
        <v>295239</v>
      </c>
      <c r="H844">
        <f t="shared" si="139"/>
        <v>98253</v>
      </c>
      <c r="I844">
        <f t="shared" si="132"/>
        <v>0</v>
      </c>
      <c r="J844">
        <f t="shared" si="133"/>
        <v>0</v>
      </c>
      <c r="K844">
        <f t="shared" si="134"/>
        <v>393492</v>
      </c>
      <c r="L844">
        <f t="shared" si="135"/>
        <v>0</v>
      </c>
      <c r="M844">
        <f t="shared" si="136"/>
        <v>155</v>
      </c>
      <c r="N844">
        <f t="shared" si="137"/>
        <v>0</v>
      </c>
    </row>
    <row r="845" spans="1:14" x14ac:dyDescent="0.35">
      <c r="A845" s="9">
        <v>6275284312</v>
      </c>
      <c r="B845" s="10">
        <v>42929</v>
      </c>
      <c r="C845" s="11">
        <v>0.4291550925925926</v>
      </c>
      <c r="D845" s="12">
        <v>0.4339351851851852</v>
      </c>
      <c r="E845" s="20">
        <f t="shared" si="130"/>
        <v>4.7800925925925997E-3</v>
      </c>
      <c r="F845" t="str">
        <f t="shared" si="131"/>
        <v>zagraniczny</v>
      </c>
      <c r="G845" s="23">
        <f t="shared" si="138"/>
        <v>295239</v>
      </c>
      <c r="H845">
        <f t="shared" si="139"/>
        <v>98253</v>
      </c>
      <c r="I845">
        <f t="shared" si="132"/>
        <v>413</v>
      </c>
      <c r="J845">
        <f t="shared" si="133"/>
        <v>7</v>
      </c>
      <c r="K845">
        <f t="shared" si="134"/>
        <v>393492</v>
      </c>
      <c r="L845">
        <f t="shared" si="135"/>
        <v>0</v>
      </c>
      <c r="M845">
        <f t="shared" si="136"/>
        <v>0</v>
      </c>
      <c r="N845">
        <f t="shared" si="137"/>
        <v>0</v>
      </c>
    </row>
    <row r="846" spans="1:14" x14ac:dyDescent="0.35">
      <c r="A846" s="5">
        <v>1692981</v>
      </c>
      <c r="B846" s="6">
        <v>42929</v>
      </c>
      <c r="C846" s="7">
        <v>0.43297453703703703</v>
      </c>
      <c r="D846" s="8">
        <v>0.43424768518518519</v>
      </c>
      <c r="E846" s="20">
        <f t="shared" si="130"/>
        <v>1.2731481481481621E-3</v>
      </c>
      <c r="F846" t="str">
        <f t="shared" si="131"/>
        <v>stacjonarny</v>
      </c>
      <c r="G846" s="23">
        <f t="shared" si="138"/>
        <v>295349</v>
      </c>
      <c r="H846">
        <f t="shared" si="139"/>
        <v>98253</v>
      </c>
      <c r="I846">
        <f t="shared" si="132"/>
        <v>0</v>
      </c>
      <c r="J846">
        <f t="shared" si="133"/>
        <v>0</v>
      </c>
      <c r="K846">
        <f t="shared" si="134"/>
        <v>393602</v>
      </c>
      <c r="L846">
        <f t="shared" si="135"/>
        <v>0</v>
      </c>
      <c r="M846">
        <f t="shared" si="136"/>
        <v>110</v>
      </c>
      <c r="N846">
        <f t="shared" si="137"/>
        <v>0</v>
      </c>
    </row>
    <row r="847" spans="1:14" x14ac:dyDescent="0.35">
      <c r="A847" s="9">
        <v>9270571</v>
      </c>
      <c r="B847" s="10">
        <v>42929</v>
      </c>
      <c r="C847" s="11">
        <v>0.43782407407407409</v>
      </c>
      <c r="D847" s="12">
        <v>0.44560185185185186</v>
      </c>
      <c r="E847" s="20">
        <f t="shared" si="130"/>
        <v>7.7777777777777724E-3</v>
      </c>
      <c r="F847" t="str">
        <f t="shared" si="131"/>
        <v>stacjonarny</v>
      </c>
      <c r="G847" s="23">
        <f t="shared" si="138"/>
        <v>296021</v>
      </c>
      <c r="H847">
        <f t="shared" si="139"/>
        <v>98253</v>
      </c>
      <c r="I847">
        <f t="shared" si="132"/>
        <v>0</v>
      </c>
      <c r="J847">
        <f t="shared" si="133"/>
        <v>0</v>
      </c>
      <c r="K847">
        <f t="shared" si="134"/>
        <v>394274</v>
      </c>
      <c r="L847">
        <f t="shared" si="135"/>
        <v>0</v>
      </c>
      <c r="M847">
        <f t="shared" si="136"/>
        <v>672</v>
      </c>
      <c r="N847">
        <f t="shared" si="137"/>
        <v>0</v>
      </c>
    </row>
    <row r="848" spans="1:14" x14ac:dyDescent="0.35">
      <c r="A848" s="5">
        <v>6299545</v>
      </c>
      <c r="B848" s="6">
        <v>42929</v>
      </c>
      <c r="C848" s="7">
        <v>0.43986111111111109</v>
      </c>
      <c r="D848" s="8">
        <v>0.44298611111111114</v>
      </c>
      <c r="E848" s="20">
        <f t="shared" si="130"/>
        <v>3.1250000000000444E-3</v>
      </c>
      <c r="F848" t="str">
        <f t="shared" si="131"/>
        <v>stacjonarny</v>
      </c>
      <c r="G848" s="23">
        <f t="shared" si="138"/>
        <v>296291</v>
      </c>
      <c r="H848">
        <f t="shared" si="139"/>
        <v>98253</v>
      </c>
      <c r="I848">
        <f t="shared" si="132"/>
        <v>0</v>
      </c>
      <c r="J848">
        <f t="shared" si="133"/>
        <v>0</v>
      </c>
      <c r="K848">
        <f t="shared" si="134"/>
        <v>394544</v>
      </c>
      <c r="L848">
        <f t="shared" si="135"/>
        <v>0</v>
      </c>
      <c r="M848">
        <f t="shared" si="136"/>
        <v>270</v>
      </c>
      <c r="N848">
        <f t="shared" si="137"/>
        <v>0</v>
      </c>
    </row>
    <row r="849" spans="1:14" x14ac:dyDescent="0.35">
      <c r="A849" s="9">
        <v>67064385</v>
      </c>
      <c r="B849" s="10">
        <v>42929</v>
      </c>
      <c r="C849" s="11">
        <v>0.44278935185185186</v>
      </c>
      <c r="D849" s="12">
        <v>0.44480324074074074</v>
      </c>
      <c r="E849" s="20">
        <f t="shared" si="130"/>
        <v>2.0138888888888706E-3</v>
      </c>
      <c r="F849" t="str">
        <f t="shared" si="131"/>
        <v>komorkowy</v>
      </c>
      <c r="G849" s="23">
        <f t="shared" si="138"/>
        <v>296291</v>
      </c>
      <c r="H849">
        <f t="shared" si="139"/>
        <v>98427</v>
      </c>
      <c r="I849">
        <f t="shared" si="132"/>
        <v>0</v>
      </c>
      <c r="J849">
        <f t="shared" si="133"/>
        <v>0</v>
      </c>
      <c r="K849">
        <f t="shared" si="134"/>
        <v>394718</v>
      </c>
      <c r="L849">
        <f t="shared" si="135"/>
        <v>0</v>
      </c>
      <c r="M849">
        <f t="shared" si="136"/>
        <v>0</v>
      </c>
      <c r="N849">
        <f t="shared" si="137"/>
        <v>174</v>
      </c>
    </row>
    <row r="850" spans="1:14" x14ac:dyDescent="0.35">
      <c r="A850" s="5">
        <v>4062215</v>
      </c>
      <c r="B850" s="6">
        <v>42929</v>
      </c>
      <c r="C850" s="7">
        <v>0.44732638888888887</v>
      </c>
      <c r="D850" s="8">
        <v>0.45466435185185183</v>
      </c>
      <c r="E850" s="20">
        <f t="shared" si="130"/>
        <v>7.3379629629629628E-3</v>
      </c>
      <c r="F850" t="str">
        <f t="shared" si="131"/>
        <v>stacjonarny</v>
      </c>
      <c r="G850" s="23">
        <f t="shared" si="138"/>
        <v>296925</v>
      </c>
      <c r="H850">
        <f t="shared" si="139"/>
        <v>98427</v>
      </c>
      <c r="I850">
        <f t="shared" si="132"/>
        <v>0</v>
      </c>
      <c r="J850">
        <f t="shared" si="133"/>
        <v>0</v>
      </c>
      <c r="K850">
        <f t="shared" si="134"/>
        <v>395352</v>
      </c>
      <c r="L850">
        <f t="shared" si="135"/>
        <v>0</v>
      </c>
      <c r="M850">
        <f t="shared" si="136"/>
        <v>634</v>
      </c>
      <c r="N850">
        <f t="shared" si="137"/>
        <v>0</v>
      </c>
    </row>
    <row r="851" spans="1:14" x14ac:dyDescent="0.35">
      <c r="A851" s="9">
        <v>2835355</v>
      </c>
      <c r="B851" s="10">
        <v>42929</v>
      </c>
      <c r="C851" s="11">
        <v>0.45131944444444444</v>
      </c>
      <c r="D851" s="12">
        <v>0.45689814814814816</v>
      </c>
      <c r="E851" s="20">
        <f t="shared" si="130"/>
        <v>5.5787037037037246E-3</v>
      </c>
      <c r="F851" t="str">
        <f t="shared" si="131"/>
        <v>stacjonarny</v>
      </c>
      <c r="G851" s="23">
        <f t="shared" si="138"/>
        <v>297407</v>
      </c>
      <c r="H851">
        <f t="shared" si="139"/>
        <v>98427</v>
      </c>
      <c r="I851">
        <f t="shared" si="132"/>
        <v>0</v>
      </c>
      <c r="J851">
        <f t="shared" si="133"/>
        <v>0</v>
      </c>
      <c r="K851">
        <f t="shared" si="134"/>
        <v>395834</v>
      </c>
      <c r="L851">
        <f t="shared" si="135"/>
        <v>0</v>
      </c>
      <c r="M851">
        <f t="shared" si="136"/>
        <v>482</v>
      </c>
      <c r="N851">
        <f t="shared" si="137"/>
        <v>0</v>
      </c>
    </row>
    <row r="852" spans="1:14" x14ac:dyDescent="0.35">
      <c r="A852" s="5">
        <v>9283739</v>
      </c>
      <c r="B852" s="6">
        <v>42929</v>
      </c>
      <c r="C852" s="7">
        <v>0.45489583333333333</v>
      </c>
      <c r="D852" s="8">
        <v>0.46451388888888889</v>
      </c>
      <c r="E852" s="20">
        <f t="shared" si="130"/>
        <v>9.6180555555555602E-3</v>
      </c>
      <c r="F852" t="str">
        <f t="shared" si="131"/>
        <v>stacjonarny</v>
      </c>
      <c r="G852" s="23">
        <f t="shared" si="138"/>
        <v>298238</v>
      </c>
      <c r="H852">
        <f t="shared" si="139"/>
        <v>98427</v>
      </c>
      <c r="I852">
        <f t="shared" si="132"/>
        <v>0</v>
      </c>
      <c r="J852">
        <f t="shared" si="133"/>
        <v>0</v>
      </c>
      <c r="K852">
        <f t="shared" si="134"/>
        <v>396665</v>
      </c>
      <c r="L852">
        <f t="shared" si="135"/>
        <v>0</v>
      </c>
      <c r="M852">
        <f t="shared" si="136"/>
        <v>831</v>
      </c>
      <c r="N852">
        <f t="shared" si="137"/>
        <v>0</v>
      </c>
    </row>
    <row r="853" spans="1:14" x14ac:dyDescent="0.35">
      <c r="A853" s="9">
        <v>7118082</v>
      </c>
      <c r="B853" s="10">
        <v>42929</v>
      </c>
      <c r="C853" s="11">
        <v>0.45682870370370371</v>
      </c>
      <c r="D853" s="12">
        <v>0.4664699074074074</v>
      </c>
      <c r="E853" s="20">
        <f t="shared" si="130"/>
        <v>9.6412037037036935E-3</v>
      </c>
      <c r="F853" t="str">
        <f t="shared" si="131"/>
        <v>stacjonarny</v>
      </c>
      <c r="G853" s="23">
        <f t="shared" si="138"/>
        <v>299071</v>
      </c>
      <c r="H853">
        <f t="shared" si="139"/>
        <v>98427</v>
      </c>
      <c r="I853">
        <f t="shared" si="132"/>
        <v>0</v>
      </c>
      <c r="J853">
        <f t="shared" si="133"/>
        <v>0</v>
      </c>
      <c r="K853">
        <f t="shared" si="134"/>
        <v>397498</v>
      </c>
      <c r="L853">
        <f t="shared" si="135"/>
        <v>0</v>
      </c>
      <c r="M853">
        <f t="shared" si="136"/>
        <v>833</v>
      </c>
      <c r="N853">
        <f t="shared" si="137"/>
        <v>0</v>
      </c>
    </row>
    <row r="854" spans="1:14" x14ac:dyDescent="0.35">
      <c r="A854" s="5">
        <v>30178521</v>
      </c>
      <c r="B854" s="6">
        <v>42929</v>
      </c>
      <c r="C854" s="7">
        <v>0.45968750000000003</v>
      </c>
      <c r="D854" s="8">
        <v>0.46520833333333333</v>
      </c>
      <c r="E854" s="20">
        <f t="shared" si="130"/>
        <v>5.5208333333333082E-3</v>
      </c>
      <c r="F854" t="str">
        <f t="shared" si="131"/>
        <v>komorkowy</v>
      </c>
      <c r="G854" s="23">
        <f t="shared" si="138"/>
        <v>299071</v>
      </c>
      <c r="H854">
        <f t="shared" si="139"/>
        <v>98904</v>
      </c>
      <c r="I854">
        <f t="shared" si="132"/>
        <v>0</v>
      </c>
      <c r="J854">
        <f t="shared" si="133"/>
        <v>0</v>
      </c>
      <c r="K854">
        <f t="shared" si="134"/>
        <v>397975</v>
      </c>
      <c r="L854">
        <f t="shared" si="135"/>
        <v>0</v>
      </c>
      <c r="M854">
        <f t="shared" si="136"/>
        <v>0</v>
      </c>
      <c r="N854">
        <f t="shared" si="137"/>
        <v>477</v>
      </c>
    </row>
    <row r="855" spans="1:14" x14ac:dyDescent="0.35">
      <c r="A855" s="9">
        <v>5014399</v>
      </c>
      <c r="B855" s="10">
        <v>42929</v>
      </c>
      <c r="C855" s="11">
        <v>0.46444444444444444</v>
      </c>
      <c r="D855" s="12">
        <v>0.46787037037037038</v>
      </c>
      <c r="E855" s="20">
        <f t="shared" si="130"/>
        <v>3.4259259259259434E-3</v>
      </c>
      <c r="F855" t="str">
        <f t="shared" si="131"/>
        <v>stacjonarny</v>
      </c>
      <c r="G855" s="23">
        <f t="shared" si="138"/>
        <v>299367</v>
      </c>
      <c r="H855">
        <f t="shared" si="139"/>
        <v>98904</v>
      </c>
      <c r="I855">
        <f t="shared" si="132"/>
        <v>0</v>
      </c>
      <c r="J855">
        <f t="shared" si="133"/>
        <v>0</v>
      </c>
      <c r="K855">
        <f t="shared" si="134"/>
        <v>398271</v>
      </c>
      <c r="L855">
        <f t="shared" si="135"/>
        <v>0</v>
      </c>
      <c r="M855">
        <f t="shared" si="136"/>
        <v>296</v>
      </c>
      <c r="N855">
        <f t="shared" si="137"/>
        <v>0</v>
      </c>
    </row>
    <row r="856" spans="1:14" x14ac:dyDescent="0.35">
      <c r="A856" s="5">
        <v>3984696</v>
      </c>
      <c r="B856" s="6">
        <v>42929</v>
      </c>
      <c r="C856" s="7">
        <v>0.46581018518518519</v>
      </c>
      <c r="D856" s="8">
        <v>0.46589120370370368</v>
      </c>
      <c r="E856" s="20">
        <f t="shared" si="130"/>
        <v>8.1018518518494176E-5</v>
      </c>
      <c r="F856" t="str">
        <f t="shared" si="131"/>
        <v>stacjonarny</v>
      </c>
      <c r="G856" s="23">
        <f t="shared" si="138"/>
        <v>299374</v>
      </c>
      <c r="H856">
        <f t="shared" si="139"/>
        <v>98904</v>
      </c>
      <c r="I856">
        <f t="shared" si="132"/>
        <v>0</v>
      </c>
      <c r="J856">
        <f t="shared" si="133"/>
        <v>0</v>
      </c>
      <c r="K856">
        <f t="shared" si="134"/>
        <v>398278</v>
      </c>
      <c r="L856">
        <f t="shared" si="135"/>
        <v>0</v>
      </c>
      <c r="M856">
        <f t="shared" si="136"/>
        <v>7</v>
      </c>
      <c r="N856">
        <f t="shared" si="137"/>
        <v>0</v>
      </c>
    </row>
    <row r="857" spans="1:14" x14ac:dyDescent="0.35">
      <c r="A857" s="9">
        <v>53386383</v>
      </c>
      <c r="B857" s="10">
        <v>42929</v>
      </c>
      <c r="C857" s="11">
        <v>0.47099537037037037</v>
      </c>
      <c r="D857" s="12">
        <v>0.47175925925925927</v>
      </c>
      <c r="E857" s="20">
        <f t="shared" si="130"/>
        <v>7.6388888888889728E-4</v>
      </c>
      <c r="F857" t="str">
        <f t="shared" si="131"/>
        <v>komorkowy</v>
      </c>
      <c r="G857" s="23">
        <f t="shared" si="138"/>
        <v>299374</v>
      </c>
      <c r="H857">
        <f t="shared" si="139"/>
        <v>98970</v>
      </c>
      <c r="I857">
        <f t="shared" si="132"/>
        <v>0</v>
      </c>
      <c r="J857">
        <f t="shared" si="133"/>
        <v>0</v>
      </c>
      <c r="K857">
        <f t="shared" si="134"/>
        <v>398344</v>
      </c>
      <c r="L857">
        <f t="shared" si="135"/>
        <v>0</v>
      </c>
      <c r="M857">
        <f t="shared" si="136"/>
        <v>0</v>
      </c>
      <c r="N857">
        <f t="shared" si="137"/>
        <v>66</v>
      </c>
    </row>
    <row r="858" spans="1:14" x14ac:dyDescent="0.35">
      <c r="A858" s="5">
        <v>8733120283</v>
      </c>
      <c r="B858" s="6">
        <v>42929</v>
      </c>
      <c r="C858" s="7">
        <v>0.47134259259259259</v>
      </c>
      <c r="D858" s="8">
        <v>0.47659722222222223</v>
      </c>
      <c r="E858" s="20">
        <f t="shared" si="130"/>
        <v>5.2546296296296369E-3</v>
      </c>
      <c r="F858" t="str">
        <f t="shared" si="131"/>
        <v>zagraniczny</v>
      </c>
      <c r="G858" s="23">
        <f t="shared" si="138"/>
        <v>299374</v>
      </c>
      <c r="H858">
        <f t="shared" si="139"/>
        <v>98970</v>
      </c>
      <c r="I858">
        <f t="shared" si="132"/>
        <v>454</v>
      </c>
      <c r="J858">
        <f t="shared" si="133"/>
        <v>8</v>
      </c>
      <c r="K858">
        <f t="shared" si="134"/>
        <v>398344</v>
      </c>
      <c r="L858">
        <f t="shared" si="135"/>
        <v>0</v>
      </c>
      <c r="M858">
        <f t="shared" si="136"/>
        <v>0</v>
      </c>
      <c r="N858">
        <f t="shared" si="137"/>
        <v>0</v>
      </c>
    </row>
    <row r="859" spans="1:14" x14ac:dyDescent="0.35">
      <c r="A859" s="9">
        <v>6934405</v>
      </c>
      <c r="B859" s="10">
        <v>42929</v>
      </c>
      <c r="C859" s="11">
        <v>0.47321759259259261</v>
      </c>
      <c r="D859" s="12">
        <v>0.48008101851851853</v>
      </c>
      <c r="E859" s="20">
        <f t="shared" si="130"/>
        <v>6.8634259259259256E-3</v>
      </c>
      <c r="F859" t="str">
        <f t="shared" si="131"/>
        <v>stacjonarny</v>
      </c>
      <c r="G859" s="23">
        <f t="shared" si="138"/>
        <v>299967</v>
      </c>
      <c r="H859">
        <f t="shared" si="139"/>
        <v>98970</v>
      </c>
      <c r="I859">
        <f t="shared" si="132"/>
        <v>0</v>
      </c>
      <c r="J859">
        <f t="shared" si="133"/>
        <v>0</v>
      </c>
      <c r="K859">
        <f t="shared" si="134"/>
        <v>398937</v>
      </c>
      <c r="L859">
        <f t="shared" si="135"/>
        <v>0</v>
      </c>
      <c r="M859">
        <f t="shared" si="136"/>
        <v>593</v>
      </c>
      <c r="N859">
        <f t="shared" si="137"/>
        <v>0</v>
      </c>
    </row>
    <row r="860" spans="1:14" x14ac:dyDescent="0.35">
      <c r="A860" s="5">
        <v>54136845</v>
      </c>
      <c r="B860" s="6">
        <v>42929</v>
      </c>
      <c r="C860" s="7">
        <v>0.47890046296296296</v>
      </c>
      <c r="D860" s="8">
        <v>0.48042824074074075</v>
      </c>
      <c r="E860" s="20">
        <f t="shared" si="130"/>
        <v>1.5277777777777946E-3</v>
      </c>
      <c r="F860" t="str">
        <f t="shared" si="131"/>
        <v>komorkowy</v>
      </c>
      <c r="G860" s="23">
        <f t="shared" si="138"/>
        <v>299967</v>
      </c>
      <c r="H860">
        <f t="shared" si="139"/>
        <v>99102</v>
      </c>
      <c r="I860">
        <f t="shared" si="132"/>
        <v>0</v>
      </c>
      <c r="J860">
        <f t="shared" si="133"/>
        <v>0</v>
      </c>
      <c r="K860">
        <f t="shared" si="134"/>
        <v>399069</v>
      </c>
      <c r="L860">
        <f t="shared" si="135"/>
        <v>0</v>
      </c>
      <c r="M860">
        <f t="shared" si="136"/>
        <v>0</v>
      </c>
      <c r="N860">
        <f t="shared" si="137"/>
        <v>132</v>
      </c>
    </row>
    <row r="861" spans="1:14" x14ac:dyDescent="0.35">
      <c r="A861" s="9">
        <v>76310343</v>
      </c>
      <c r="B861" s="10">
        <v>42929</v>
      </c>
      <c r="C861" s="11">
        <v>0.48312500000000003</v>
      </c>
      <c r="D861" s="12">
        <v>0.4889236111111111</v>
      </c>
      <c r="E861" s="20">
        <f t="shared" si="130"/>
        <v>5.7986111111110739E-3</v>
      </c>
      <c r="F861" t="str">
        <f t="shared" si="131"/>
        <v>komorkowy</v>
      </c>
      <c r="G861" s="23">
        <f t="shared" si="138"/>
        <v>299967</v>
      </c>
      <c r="H861">
        <f t="shared" si="139"/>
        <v>99603</v>
      </c>
      <c r="I861">
        <f t="shared" si="132"/>
        <v>0</v>
      </c>
      <c r="J861">
        <f t="shared" si="133"/>
        <v>0</v>
      </c>
      <c r="K861">
        <f t="shared" si="134"/>
        <v>399570</v>
      </c>
      <c r="L861">
        <f t="shared" si="135"/>
        <v>0</v>
      </c>
      <c r="M861">
        <f t="shared" si="136"/>
        <v>0</v>
      </c>
      <c r="N861">
        <f t="shared" si="137"/>
        <v>501</v>
      </c>
    </row>
    <row r="862" spans="1:14" x14ac:dyDescent="0.35">
      <c r="A862" s="5">
        <v>9005999</v>
      </c>
      <c r="B862" s="6">
        <v>42929</v>
      </c>
      <c r="C862" s="7">
        <v>0.4878587962962963</v>
      </c>
      <c r="D862" s="8">
        <v>0.49609953703703702</v>
      </c>
      <c r="E862" s="20">
        <f t="shared" si="130"/>
        <v>8.2407407407407152E-3</v>
      </c>
      <c r="F862" t="str">
        <f t="shared" si="131"/>
        <v>stacjonarny</v>
      </c>
      <c r="G862" s="23">
        <f t="shared" si="138"/>
        <v>300679</v>
      </c>
      <c r="H862">
        <f t="shared" si="139"/>
        <v>99603</v>
      </c>
      <c r="I862">
        <f t="shared" si="132"/>
        <v>0</v>
      </c>
      <c r="J862">
        <f t="shared" si="133"/>
        <v>0</v>
      </c>
      <c r="K862">
        <f t="shared" si="134"/>
        <v>400282</v>
      </c>
      <c r="L862">
        <f t="shared" si="135"/>
        <v>0</v>
      </c>
      <c r="M862">
        <f t="shared" si="136"/>
        <v>712</v>
      </c>
      <c r="N862">
        <f t="shared" si="137"/>
        <v>0</v>
      </c>
    </row>
    <row r="863" spans="1:14" x14ac:dyDescent="0.35">
      <c r="A863" s="9">
        <v>7763451</v>
      </c>
      <c r="B863" s="10">
        <v>42929</v>
      </c>
      <c r="C863" s="11">
        <v>0.4911226851851852</v>
      </c>
      <c r="D863" s="12">
        <v>0.49859953703703702</v>
      </c>
      <c r="E863" s="20">
        <f t="shared" si="130"/>
        <v>7.4768518518518179E-3</v>
      </c>
      <c r="F863" t="str">
        <f t="shared" si="131"/>
        <v>stacjonarny</v>
      </c>
      <c r="G863" s="23">
        <f t="shared" si="138"/>
        <v>301325</v>
      </c>
      <c r="H863">
        <f t="shared" si="139"/>
        <v>99603</v>
      </c>
      <c r="I863">
        <f t="shared" si="132"/>
        <v>0</v>
      </c>
      <c r="J863">
        <f t="shared" si="133"/>
        <v>0</v>
      </c>
      <c r="K863">
        <f t="shared" si="134"/>
        <v>400928</v>
      </c>
      <c r="L863">
        <f t="shared" si="135"/>
        <v>0</v>
      </c>
      <c r="M863">
        <f t="shared" si="136"/>
        <v>646</v>
      </c>
      <c r="N863">
        <f t="shared" si="137"/>
        <v>0</v>
      </c>
    </row>
    <row r="864" spans="1:14" x14ac:dyDescent="0.35">
      <c r="A864" s="5">
        <v>3765001</v>
      </c>
      <c r="B864" s="6">
        <v>42929</v>
      </c>
      <c r="C864" s="7">
        <v>0.49283564814814818</v>
      </c>
      <c r="D864" s="8">
        <v>0.50396990740740744</v>
      </c>
      <c r="E864" s="20">
        <f t="shared" si="130"/>
        <v>1.113425925925926E-2</v>
      </c>
      <c r="F864" t="str">
        <f t="shared" si="131"/>
        <v>stacjonarny</v>
      </c>
      <c r="G864" s="23">
        <f t="shared" si="138"/>
        <v>302287</v>
      </c>
      <c r="H864">
        <f t="shared" si="139"/>
        <v>99603</v>
      </c>
      <c r="I864">
        <f t="shared" si="132"/>
        <v>0</v>
      </c>
      <c r="J864">
        <f t="shared" si="133"/>
        <v>0</v>
      </c>
      <c r="K864">
        <f t="shared" si="134"/>
        <v>401890</v>
      </c>
      <c r="L864">
        <f t="shared" si="135"/>
        <v>0</v>
      </c>
      <c r="M864">
        <f t="shared" si="136"/>
        <v>962</v>
      </c>
      <c r="N864">
        <f t="shared" si="137"/>
        <v>0</v>
      </c>
    </row>
    <row r="865" spans="1:14" x14ac:dyDescent="0.35">
      <c r="A865" s="9">
        <v>8498076</v>
      </c>
      <c r="B865" s="10">
        <v>42929</v>
      </c>
      <c r="C865" s="11">
        <v>0.49493055555555554</v>
      </c>
      <c r="D865" s="12">
        <v>0.49898148148148147</v>
      </c>
      <c r="E865" s="20">
        <f t="shared" si="130"/>
        <v>4.05092592592593E-3</v>
      </c>
      <c r="F865" t="str">
        <f t="shared" si="131"/>
        <v>stacjonarny</v>
      </c>
      <c r="G865" s="23">
        <f t="shared" si="138"/>
        <v>302637</v>
      </c>
      <c r="H865">
        <f t="shared" si="139"/>
        <v>99603</v>
      </c>
      <c r="I865">
        <f t="shared" si="132"/>
        <v>0</v>
      </c>
      <c r="J865">
        <f t="shared" si="133"/>
        <v>0</v>
      </c>
      <c r="K865">
        <f t="shared" si="134"/>
        <v>402240</v>
      </c>
      <c r="L865">
        <f t="shared" si="135"/>
        <v>0</v>
      </c>
      <c r="M865">
        <f t="shared" si="136"/>
        <v>350</v>
      </c>
      <c r="N865">
        <f t="shared" si="137"/>
        <v>0</v>
      </c>
    </row>
    <row r="866" spans="1:14" x14ac:dyDescent="0.35">
      <c r="A866" s="5">
        <v>4995171</v>
      </c>
      <c r="B866" s="6">
        <v>42929</v>
      </c>
      <c r="C866" s="7">
        <v>0.5006018518518518</v>
      </c>
      <c r="D866" s="8">
        <v>0.50388888888888894</v>
      </c>
      <c r="E866" s="20">
        <f t="shared" si="130"/>
        <v>3.2870370370371438E-3</v>
      </c>
      <c r="F866" t="str">
        <f t="shared" si="131"/>
        <v>stacjonarny</v>
      </c>
      <c r="G866" s="23">
        <f t="shared" si="138"/>
        <v>302921</v>
      </c>
      <c r="H866">
        <f t="shared" si="139"/>
        <v>99603</v>
      </c>
      <c r="I866">
        <f t="shared" si="132"/>
        <v>0</v>
      </c>
      <c r="J866">
        <f t="shared" si="133"/>
        <v>0</v>
      </c>
      <c r="K866">
        <f t="shared" si="134"/>
        <v>402524</v>
      </c>
      <c r="L866">
        <f t="shared" si="135"/>
        <v>0</v>
      </c>
      <c r="M866">
        <f t="shared" si="136"/>
        <v>284</v>
      </c>
      <c r="N866">
        <f t="shared" si="137"/>
        <v>0</v>
      </c>
    </row>
    <row r="867" spans="1:14" x14ac:dyDescent="0.35">
      <c r="A867" s="9">
        <v>8929993</v>
      </c>
      <c r="B867" s="10">
        <v>42929</v>
      </c>
      <c r="C867" s="11">
        <v>0.50173611111111116</v>
      </c>
      <c r="D867" s="12">
        <v>0.50722222222222224</v>
      </c>
      <c r="E867" s="20">
        <f t="shared" si="130"/>
        <v>5.4861111111110805E-3</v>
      </c>
      <c r="F867" t="str">
        <f t="shared" si="131"/>
        <v>stacjonarny</v>
      </c>
      <c r="G867" s="23">
        <f t="shared" si="138"/>
        <v>303395</v>
      </c>
      <c r="H867">
        <f t="shared" si="139"/>
        <v>99603</v>
      </c>
      <c r="I867">
        <f t="shared" si="132"/>
        <v>0</v>
      </c>
      <c r="J867">
        <f t="shared" si="133"/>
        <v>0</v>
      </c>
      <c r="K867">
        <f t="shared" si="134"/>
        <v>402998</v>
      </c>
      <c r="L867">
        <f t="shared" si="135"/>
        <v>0</v>
      </c>
      <c r="M867">
        <f t="shared" si="136"/>
        <v>474</v>
      </c>
      <c r="N867">
        <f t="shared" si="137"/>
        <v>0</v>
      </c>
    </row>
    <row r="868" spans="1:14" x14ac:dyDescent="0.35">
      <c r="A868" s="5">
        <v>7473804</v>
      </c>
      <c r="B868" s="6">
        <v>42929</v>
      </c>
      <c r="C868" s="7">
        <v>0.50675925925925924</v>
      </c>
      <c r="D868" s="8">
        <v>0.5138194444444445</v>
      </c>
      <c r="E868" s="20">
        <f t="shared" si="130"/>
        <v>7.0601851851852526E-3</v>
      </c>
      <c r="F868" t="str">
        <f t="shared" si="131"/>
        <v>stacjonarny</v>
      </c>
      <c r="G868" s="23">
        <f t="shared" si="138"/>
        <v>304005</v>
      </c>
      <c r="H868">
        <f t="shared" si="139"/>
        <v>99603</v>
      </c>
      <c r="I868">
        <f t="shared" si="132"/>
        <v>0</v>
      </c>
      <c r="J868">
        <f t="shared" si="133"/>
        <v>0</v>
      </c>
      <c r="K868">
        <f t="shared" si="134"/>
        <v>403608</v>
      </c>
      <c r="L868">
        <f t="shared" si="135"/>
        <v>0</v>
      </c>
      <c r="M868">
        <f t="shared" si="136"/>
        <v>610</v>
      </c>
      <c r="N868">
        <f t="shared" si="137"/>
        <v>0</v>
      </c>
    </row>
    <row r="869" spans="1:14" x14ac:dyDescent="0.35">
      <c r="A869" s="9">
        <v>1816002</v>
      </c>
      <c r="B869" s="10">
        <v>42929</v>
      </c>
      <c r="C869" s="11">
        <v>0.50732638888888892</v>
      </c>
      <c r="D869" s="12">
        <v>0.51005787037037043</v>
      </c>
      <c r="E869" s="20">
        <f t="shared" si="130"/>
        <v>2.7314814814815014E-3</v>
      </c>
      <c r="F869" t="str">
        <f t="shared" si="131"/>
        <v>stacjonarny</v>
      </c>
      <c r="G869" s="23">
        <f t="shared" si="138"/>
        <v>304241</v>
      </c>
      <c r="H869">
        <f t="shared" si="139"/>
        <v>99603</v>
      </c>
      <c r="I869">
        <f t="shared" si="132"/>
        <v>0</v>
      </c>
      <c r="J869">
        <f t="shared" si="133"/>
        <v>0</v>
      </c>
      <c r="K869">
        <f t="shared" si="134"/>
        <v>403844</v>
      </c>
      <c r="L869">
        <f t="shared" si="135"/>
        <v>0</v>
      </c>
      <c r="M869">
        <f t="shared" si="136"/>
        <v>236</v>
      </c>
      <c r="N869">
        <f t="shared" si="137"/>
        <v>0</v>
      </c>
    </row>
    <row r="870" spans="1:14" x14ac:dyDescent="0.35">
      <c r="A870" s="5">
        <v>4133182</v>
      </c>
      <c r="B870" s="6">
        <v>42929</v>
      </c>
      <c r="C870" s="7">
        <v>0.51061342592592596</v>
      </c>
      <c r="D870" s="8">
        <v>0.5118287037037037</v>
      </c>
      <c r="E870" s="20">
        <f t="shared" si="130"/>
        <v>1.2152777777777457E-3</v>
      </c>
      <c r="F870" t="str">
        <f t="shared" si="131"/>
        <v>stacjonarny</v>
      </c>
      <c r="G870" s="23">
        <f t="shared" si="138"/>
        <v>304346</v>
      </c>
      <c r="H870">
        <f t="shared" si="139"/>
        <v>99603</v>
      </c>
      <c r="I870">
        <f t="shared" si="132"/>
        <v>0</v>
      </c>
      <c r="J870">
        <f t="shared" si="133"/>
        <v>0</v>
      </c>
      <c r="K870">
        <f t="shared" si="134"/>
        <v>403949</v>
      </c>
      <c r="L870">
        <f t="shared" si="135"/>
        <v>0</v>
      </c>
      <c r="M870">
        <f t="shared" si="136"/>
        <v>105</v>
      </c>
      <c r="N870">
        <f t="shared" si="137"/>
        <v>0</v>
      </c>
    </row>
    <row r="871" spans="1:14" x14ac:dyDescent="0.35">
      <c r="A871" s="9">
        <v>63141248</v>
      </c>
      <c r="B871" s="10">
        <v>42929</v>
      </c>
      <c r="C871" s="11">
        <v>0.51224537037037032</v>
      </c>
      <c r="D871" s="12">
        <v>0.51730324074074074</v>
      </c>
      <c r="E871" s="20">
        <f t="shared" si="130"/>
        <v>5.0578703703704209E-3</v>
      </c>
      <c r="F871" t="str">
        <f t="shared" si="131"/>
        <v>komorkowy</v>
      </c>
      <c r="G871" s="23">
        <f t="shared" si="138"/>
        <v>304346</v>
      </c>
      <c r="H871">
        <f t="shared" si="139"/>
        <v>100040</v>
      </c>
      <c r="I871">
        <f t="shared" si="132"/>
        <v>0</v>
      </c>
      <c r="J871">
        <f t="shared" si="133"/>
        <v>0</v>
      </c>
      <c r="K871">
        <f t="shared" si="134"/>
        <v>404386</v>
      </c>
      <c r="L871">
        <f t="shared" si="135"/>
        <v>0</v>
      </c>
      <c r="M871">
        <f t="shared" si="136"/>
        <v>0</v>
      </c>
      <c r="N871">
        <f t="shared" si="137"/>
        <v>437</v>
      </c>
    </row>
    <row r="872" spans="1:14" x14ac:dyDescent="0.35">
      <c r="A872" s="5">
        <v>7384686</v>
      </c>
      <c r="B872" s="6">
        <v>42929</v>
      </c>
      <c r="C872" s="7">
        <v>0.51616898148148149</v>
      </c>
      <c r="D872" s="8">
        <v>0.52461805555555552</v>
      </c>
      <c r="E872" s="20">
        <f t="shared" si="130"/>
        <v>8.4490740740740256E-3</v>
      </c>
      <c r="F872" t="str">
        <f t="shared" si="131"/>
        <v>stacjonarny</v>
      </c>
      <c r="G872" s="23">
        <f t="shared" si="138"/>
        <v>305076</v>
      </c>
      <c r="H872">
        <f t="shared" si="139"/>
        <v>100040</v>
      </c>
      <c r="I872">
        <f t="shared" si="132"/>
        <v>0</v>
      </c>
      <c r="J872">
        <f t="shared" si="133"/>
        <v>0</v>
      </c>
      <c r="K872">
        <f t="shared" si="134"/>
        <v>405116</v>
      </c>
      <c r="L872">
        <f t="shared" si="135"/>
        <v>0</v>
      </c>
      <c r="M872">
        <f t="shared" si="136"/>
        <v>730</v>
      </c>
      <c r="N872">
        <f t="shared" si="137"/>
        <v>0</v>
      </c>
    </row>
    <row r="873" spans="1:14" x14ac:dyDescent="0.35">
      <c r="A873" s="9">
        <v>3150344</v>
      </c>
      <c r="B873" s="10">
        <v>42929</v>
      </c>
      <c r="C873" s="11">
        <v>0.51709490740740738</v>
      </c>
      <c r="D873" s="12">
        <v>0.52684027777777775</v>
      </c>
      <c r="E873" s="20">
        <f t="shared" si="130"/>
        <v>9.7453703703703765E-3</v>
      </c>
      <c r="F873" t="str">
        <f t="shared" si="131"/>
        <v>stacjonarny</v>
      </c>
      <c r="G873" s="23">
        <f t="shared" si="138"/>
        <v>305918</v>
      </c>
      <c r="H873">
        <f t="shared" si="139"/>
        <v>100040</v>
      </c>
      <c r="I873">
        <f t="shared" si="132"/>
        <v>0</v>
      </c>
      <c r="J873">
        <f t="shared" si="133"/>
        <v>0</v>
      </c>
      <c r="K873">
        <f t="shared" si="134"/>
        <v>405958</v>
      </c>
      <c r="L873">
        <f t="shared" si="135"/>
        <v>0</v>
      </c>
      <c r="M873">
        <f t="shared" si="136"/>
        <v>842</v>
      </c>
      <c r="N873">
        <f t="shared" si="137"/>
        <v>0</v>
      </c>
    </row>
    <row r="874" spans="1:14" x14ac:dyDescent="0.35">
      <c r="A874" s="5">
        <v>6786847</v>
      </c>
      <c r="B874" s="6">
        <v>42929</v>
      </c>
      <c r="C874" s="7">
        <v>0.51986111111111111</v>
      </c>
      <c r="D874" s="8">
        <v>0.52924768518518517</v>
      </c>
      <c r="E874" s="20">
        <f t="shared" si="130"/>
        <v>9.3865740740740611E-3</v>
      </c>
      <c r="F874" t="str">
        <f t="shared" si="131"/>
        <v>stacjonarny</v>
      </c>
      <c r="G874" s="23">
        <f t="shared" si="138"/>
        <v>306729</v>
      </c>
      <c r="H874">
        <f t="shared" si="139"/>
        <v>100040</v>
      </c>
      <c r="I874">
        <f t="shared" si="132"/>
        <v>0</v>
      </c>
      <c r="J874">
        <f t="shared" si="133"/>
        <v>0</v>
      </c>
      <c r="K874">
        <f t="shared" si="134"/>
        <v>406769</v>
      </c>
      <c r="L874">
        <f t="shared" si="135"/>
        <v>0</v>
      </c>
      <c r="M874">
        <f t="shared" si="136"/>
        <v>811</v>
      </c>
      <c r="N874">
        <f t="shared" si="137"/>
        <v>0</v>
      </c>
    </row>
    <row r="875" spans="1:14" x14ac:dyDescent="0.35">
      <c r="A875" s="9">
        <v>2947889</v>
      </c>
      <c r="B875" s="10">
        <v>42929</v>
      </c>
      <c r="C875" s="11">
        <v>0.5232175925925926</v>
      </c>
      <c r="D875" s="12">
        <v>0.52965277777777775</v>
      </c>
      <c r="E875" s="20">
        <f t="shared" si="130"/>
        <v>6.4351851851851549E-3</v>
      </c>
      <c r="F875" t="str">
        <f t="shared" si="131"/>
        <v>stacjonarny</v>
      </c>
      <c r="G875" s="23">
        <f t="shared" si="138"/>
        <v>307285</v>
      </c>
      <c r="H875">
        <f t="shared" si="139"/>
        <v>100040</v>
      </c>
      <c r="I875">
        <f t="shared" si="132"/>
        <v>0</v>
      </c>
      <c r="J875">
        <f t="shared" si="133"/>
        <v>0</v>
      </c>
      <c r="K875">
        <f t="shared" si="134"/>
        <v>407325</v>
      </c>
      <c r="L875">
        <f t="shared" si="135"/>
        <v>0</v>
      </c>
      <c r="M875">
        <f t="shared" si="136"/>
        <v>556</v>
      </c>
      <c r="N875">
        <f t="shared" si="137"/>
        <v>0</v>
      </c>
    </row>
    <row r="876" spans="1:14" x14ac:dyDescent="0.35">
      <c r="A876" s="5">
        <v>28961250</v>
      </c>
      <c r="B876" s="6">
        <v>42929</v>
      </c>
      <c r="C876" s="7">
        <v>0.52353009259259264</v>
      </c>
      <c r="D876" s="8">
        <v>0.53097222222222218</v>
      </c>
      <c r="E876" s="20">
        <f t="shared" si="130"/>
        <v>7.4421296296295347E-3</v>
      </c>
      <c r="F876" t="str">
        <f t="shared" si="131"/>
        <v>komorkowy</v>
      </c>
      <c r="G876" s="23">
        <f t="shared" si="138"/>
        <v>307285</v>
      </c>
      <c r="H876">
        <f t="shared" si="139"/>
        <v>100683</v>
      </c>
      <c r="I876">
        <f t="shared" si="132"/>
        <v>0</v>
      </c>
      <c r="J876">
        <f t="shared" si="133"/>
        <v>0</v>
      </c>
      <c r="K876">
        <f t="shared" si="134"/>
        <v>407968</v>
      </c>
      <c r="L876">
        <f t="shared" si="135"/>
        <v>0</v>
      </c>
      <c r="M876">
        <f t="shared" si="136"/>
        <v>0</v>
      </c>
      <c r="N876">
        <f t="shared" si="137"/>
        <v>643</v>
      </c>
    </row>
    <row r="877" spans="1:14" x14ac:dyDescent="0.35">
      <c r="A877" s="9">
        <v>3328479</v>
      </c>
      <c r="B877" s="10">
        <v>42929</v>
      </c>
      <c r="C877" s="11">
        <v>0.52668981481481481</v>
      </c>
      <c r="D877" s="12">
        <v>0.53594907407407411</v>
      </c>
      <c r="E877" s="20">
        <f t="shared" si="130"/>
        <v>9.2592592592593004E-3</v>
      </c>
      <c r="F877" t="str">
        <f t="shared" si="131"/>
        <v>stacjonarny</v>
      </c>
      <c r="G877" s="23">
        <f t="shared" si="138"/>
        <v>308085</v>
      </c>
      <c r="H877">
        <f t="shared" si="139"/>
        <v>100683</v>
      </c>
      <c r="I877">
        <f t="shared" si="132"/>
        <v>0</v>
      </c>
      <c r="J877">
        <f t="shared" si="133"/>
        <v>0</v>
      </c>
      <c r="K877">
        <f t="shared" si="134"/>
        <v>408768</v>
      </c>
      <c r="L877">
        <f t="shared" si="135"/>
        <v>0</v>
      </c>
      <c r="M877">
        <f t="shared" si="136"/>
        <v>800</v>
      </c>
      <c r="N877">
        <f t="shared" si="137"/>
        <v>0</v>
      </c>
    </row>
    <row r="878" spans="1:14" x14ac:dyDescent="0.35">
      <c r="A878" s="5">
        <v>61322035</v>
      </c>
      <c r="B878" s="6">
        <v>42929</v>
      </c>
      <c r="C878" s="7">
        <v>0.52906249999999999</v>
      </c>
      <c r="D878" s="8">
        <v>0.5294444444444445</v>
      </c>
      <c r="E878" s="20">
        <f t="shared" si="130"/>
        <v>3.8194444444450415E-4</v>
      </c>
      <c r="F878" t="str">
        <f t="shared" si="131"/>
        <v>komorkowy</v>
      </c>
      <c r="G878" s="23">
        <f t="shared" si="138"/>
        <v>308085</v>
      </c>
      <c r="H878">
        <f t="shared" si="139"/>
        <v>100716</v>
      </c>
      <c r="I878">
        <f t="shared" si="132"/>
        <v>0</v>
      </c>
      <c r="J878">
        <f t="shared" si="133"/>
        <v>0</v>
      </c>
      <c r="K878">
        <f t="shared" si="134"/>
        <v>408801</v>
      </c>
      <c r="L878">
        <f t="shared" si="135"/>
        <v>0</v>
      </c>
      <c r="M878">
        <f t="shared" si="136"/>
        <v>0</v>
      </c>
      <c r="N878">
        <f t="shared" si="137"/>
        <v>33</v>
      </c>
    </row>
    <row r="879" spans="1:14" x14ac:dyDescent="0.35">
      <c r="A879" s="9">
        <v>40308049</v>
      </c>
      <c r="B879" s="10">
        <v>42929</v>
      </c>
      <c r="C879" s="11">
        <v>0.53047453703703706</v>
      </c>
      <c r="D879" s="12">
        <v>0.53797453703703701</v>
      </c>
      <c r="E879" s="20">
        <f t="shared" si="130"/>
        <v>7.4999999999999512E-3</v>
      </c>
      <c r="F879" t="str">
        <f t="shared" si="131"/>
        <v>komorkowy</v>
      </c>
      <c r="G879" s="23">
        <f t="shared" si="138"/>
        <v>308085</v>
      </c>
      <c r="H879">
        <f t="shared" si="139"/>
        <v>101364</v>
      </c>
      <c r="I879">
        <f t="shared" si="132"/>
        <v>0</v>
      </c>
      <c r="J879">
        <f t="shared" si="133"/>
        <v>0</v>
      </c>
      <c r="K879">
        <f t="shared" si="134"/>
        <v>409449</v>
      </c>
      <c r="L879">
        <f t="shared" si="135"/>
        <v>0</v>
      </c>
      <c r="M879">
        <f t="shared" si="136"/>
        <v>0</v>
      </c>
      <c r="N879">
        <f t="shared" si="137"/>
        <v>648</v>
      </c>
    </row>
    <row r="880" spans="1:14" x14ac:dyDescent="0.35">
      <c r="A880" s="5">
        <v>7066778</v>
      </c>
      <c r="B880" s="6">
        <v>42929</v>
      </c>
      <c r="C880" s="7">
        <v>0.53484953703703708</v>
      </c>
      <c r="D880" s="8">
        <v>0.538599537037037</v>
      </c>
      <c r="E880" s="20">
        <f t="shared" si="130"/>
        <v>3.7499999999999201E-3</v>
      </c>
      <c r="F880" t="str">
        <f t="shared" si="131"/>
        <v>stacjonarny</v>
      </c>
      <c r="G880" s="23">
        <f t="shared" si="138"/>
        <v>308409</v>
      </c>
      <c r="H880">
        <f t="shared" si="139"/>
        <v>101364</v>
      </c>
      <c r="I880">
        <f t="shared" si="132"/>
        <v>0</v>
      </c>
      <c r="J880">
        <f t="shared" si="133"/>
        <v>0</v>
      </c>
      <c r="K880">
        <f t="shared" si="134"/>
        <v>409773</v>
      </c>
      <c r="L880">
        <f t="shared" si="135"/>
        <v>0</v>
      </c>
      <c r="M880">
        <f t="shared" si="136"/>
        <v>324</v>
      </c>
      <c r="N880">
        <f t="shared" si="137"/>
        <v>0</v>
      </c>
    </row>
    <row r="881" spans="1:14" x14ac:dyDescent="0.35">
      <c r="A881" s="9">
        <v>3434934</v>
      </c>
      <c r="B881" s="10">
        <v>42929</v>
      </c>
      <c r="C881" s="11">
        <v>0.54039351851851847</v>
      </c>
      <c r="D881" s="12">
        <v>0.55039351851851848</v>
      </c>
      <c r="E881" s="20">
        <f t="shared" si="130"/>
        <v>1.0000000000000009E-2</v>
      </c>
      <c r="F881" t="str">
        <f t="shared" si="131"/>
        <v>stacjonarny</v>
      </c>
      <c r="G881" s="23">
        <f t="shared" si="138"/>
        <v>309273</v>
      </c>
      <c r="H881">
        <f t="shared" si="139"/>
        <v>101364</v>
      </c>
      <c r="I881">
        <f t="shared" si="132"/>
        <v>0</v>
      </c>
      <c r="J881">
        <f t="shared" si="133"/>
        <v>0</v>
      </c>
      <c r="K881">
        <f t="shared" si="134"/>
        <v>410637</v>
      </c>
      <c r="L881">
        <f t="shared" si="135"/>
        <v>0</v>
      </c>
      <c r="M881">
        <f t="shared" si="136"/>
        <v>864</v>
      </c>
      <c r="N881">
        <f t="shared" si="137"/>
        <v>0</v>
      </c>
    </row>
    <row r="882" spans="1:14" x14ac:dyDescent="0.35">
      <c r="A882" s="5">
        <v>3017523</v>
      </c>
      <c r="B882" s="6">
        <v>42929</v>
      </c>
      <c r="C882" s="7">
        <v>0.54342592592592598</v>
      </c>
      <c r="D882" s="8">
        <v>0.54971064814814818</v>
      </c>
      <c r="E882" s="20">
        <f t="shared" si="130"/>
        <v>6.2847222222222054E-3</v>
      </c>
      <c r="F882" t="str">
        <f t="shared" si="131"/>
        <v>stacjonarny</v>
      </c>
      <c r="G882" s="23">
        <f t="shared" si="138"/>
        <v>309816</v>
      </c>
      <c r="H882">
        <f t="shared" si="139"/>
        <v>101364</v>
      </c>
      <c r="I882">
        <f t="shared" si="132"/>
        <v>0</v>
      </c>
      <c r="J882">
        <f t="shared" si="133"/>
        <v>0</v>
      </c>
      <c r="K882">
        <f t="shared" si="134"/>
        <v>411180</v>
      </c>
      <c r="L882">
        <f t="shared" si="135"/>
        <v>0</v>
      </c>
      <c r="M882">
        <f t="shared" si="136"/>
        <v>543</v>
      </c>
      <c r="N882">
        <f t="shared" si="137"/>
        <v>0</v>
      </c>
    </row>
    <row r="883" spans="1:14" x14ac:dyDescent="0.35">
      <c r="A883" s="9">
        <v>26699217</v>
      </c>
      <c r="B883" s="10">
        <v>42929</v>
      </c>
      <c r="C883" s="11">
        <v>0.5471759259259259</v>
      </c>
      <c r="D883" s="12">
        <v>0.55871527777777774</v>
      </c>
      <c r="E883" s="20">
        <f t="shared" si="130"/>
        <v>1.1539351851851842E-2</v>
      </c>
      <c r="F883" t="str">
        <f t="shared" si="131"/>
        <v>komorkowy</v>
      </c>
      <c r="G883" s="23">
        <f t="shared" si="138"/>
        <v>309816</v>
      </c>
      <c r="H883">
        <f t="shared" si="139"/>
        <v>102361</v>
      </c>
      <c r="I883">
        <f t="shared" si="132"/>
        <v>0</v>
      </c>
      <c r="J883">
        <f t="shared" si="133"/>
        <v>0</v>
      </c>
      <c r="K883">
        <f t="shared" si="134"/>
        <v>412177</v>
      </c>
      <c r="L883">
        <f t="shared" si="135"/>
        <v>0</v>
      </c>
      <c r="M883">
        <f t="shared" si="136"/>
        <v>0</v>
      </c>
      <c r="N883">
        <f t="shared" si="137"/>
        <v>997</v>
      </c>
    </row>
    <row r="884" spans="1:14" x14ac:dyDescent="0.35">
      <c r="A884" s="5">
        <v>3192836</v>
      </c>
      <c r="B884" s="6">
        <v>42929</v>
      </c>
      <c r="C884" s="7">
        <v>0.54806712962962967</v>
      </c>
      <c r="D884" s="8">
        <v>0.54826388888888888</v>
      </c>
      <c r="E884" s="20">
        <f t="shared" si="130"/>
        <v>1.96759259259216E-4</v>
      </c>
      <c r="F884" t="str">
        <f t="shared" si="131"/>
        <v>stacjonarny</v>
      </c>
      <c r="G884" s="23">
        <f t="shared" si="138"/>
        <v>309833</v>
      </c>
      <c r="H884">
        <f t="shared" si="139"/>
        <v>102361</v>
      </c>
      <c r="I884">
        <f t="shared" si="132"/>
        <v>0</v>
      </c>
      <c r="J884">
        <f t="shared" si="133"/>
        <v>0</v>
      </c>
      <c r="K884">
        <f t="shared" si="134"/>
        <v>412194</v>
      </c>
      <c r="L884">
        <f t="shared" si="135"/>
        <v>0</v>
      </c>
      <c r="M884">
        <f t="shared" si="136"/>
        <v>17</v>
      </c>
      <c r="N884">
        <f t="shared" si="137"/>
        <v>0</v>
      </c>
    </row>
    <row r="885" spans="1:14" x14ac:dyDescent="0.35">
      <c r="A885" s="9">
        <v>6979384</v>
      </c>
      <c r="B885" s="10">
        <v>42929</v>
      </c>
      <c r="C885" s="11">
        <v>0.55315972222222221</v>
      </c>
      <c r="D885" s="12">
        <v>0.56252314814814819</v>
      </c>
      <c r="E885" s="20">
        <f t="shared" si="130"/>
        <v>9.3634259259259833E-3</v>
      </c>
      <c r="F885" t="str">
        <f t="shared" si="131"/>
        <v>stacjonarny</v>
      </c>
      <c r="G885" s="23">
        <f t="shared" si="138"/>
        <v>310642</v>
      </c>
      <c r="H885">
        <f t="shared" si="139"/>
        <v>102361</v>
      </c>
      <c r="I885">
        <f t="shared" si="132"/>
        <v>0</v>
      </c>
      <c r="J885">
        <f t="shared" si="133"/>
        <v>0</v>
      </c>
      <c r="K885">
        <f t="shared" si="134"/>
        <v>413003</v>
      </c>
      <c r="L885">
        <f t="shared" si="135"/>
        <v>0</v>
      </c>
      <c r="M885">
        <f t="shared" si="136"/>
        <v>809</v>
      </c>
      <c r="N885">
        <f t="shared" si="137"/>
        <v>0</v>
      </c>
    </row>
    <row r="886" spans="1:14" x14ac:dyDescent="0.35">
      <c r="A886" s="5">
        <v>5277660</v>
      </c>
      <c r="B886" s="6">
        <v>42929</v>
      </c>
      <c r="C886" s="7">
        <v>0.55543981481481486</v>
      </c>
      <c r="D886" s="8">
        <v>0.56340277777777781</v>
      </c>
      <c r="E886" s="20">
        <f t="shared" si="130"/>
        <v>7.9629629629629495E-3</v>
      </c>
      <c r="F886" t="str">
        <f t="shared" si="131"/>
        <v>stacjonarny</v>
      </c>
      <c r="G886" s="23">
        <f t="shared" si="138"/>
        <v>311330</v>
      </c>
      <c r="H886">
        <f t="shared" si="139"/>
        <v>102361</v>
      </c>
      <c r="I886">
        <f t="shared" si="132"/>
        <v>0</v>
      </c>
      <c r="J886">
        <f t="shared" si="133"/>
        <v>0</v>
      </c>
      <c r="K886">
        <f t="shared" si="134"/>
        <v>413691</v>
      </c>
      <c r="L886">
        <f t="shared" si="135"/>
        <v>0</v>
      </c>
      <c r="M886">
        <f t="shared" si="136"/>
        <v>688</v>
      </c>
      <c r="N886">
        <f t="shared" si="137"/>
        <v>0</v>
      </c>
    </row>
    <row r="887" spans="1:14" x14ac:dyDescent="0.35">
      <c r="A887" s="9">
        <v>9543572</v>
      </c>
      <c r="B887" s="10">
        <v>42929</v>
      </c>
      <c r="C887" s="11">
        <v>0.55556712962962962</v>
      </c>
      <c r="D887" s="12">
        <v>0.56344907407407407</v>
      </c>
      <c r="E887" s="20">
        <f t="shared" si="130"/>
        <v>7.8819444444444553E-3</v>
      </c>
      <c r="F887" t="str">
        <f t="shared" si="131"/>
        <v>stacjonarny</v>
      </c>
      <c r="G887" s="23">
        <f t="shared" si="138"/>
        <v>312011</v>
      </c>
      <c r="H887">
        <f t="shared" si="139"/>
        <v>102361</v>
      </c>
      <c r="I887">
        <f t="shared" si="132"/>
        <v>0</v>
      </c>
      <c r="J887">
        <f t="shared" si="133"/>
        <v>0</v>
      </c>
      <c r="K887">
        <f t="shared" si="134"/>
        <v>414372</v>
      </c>
      <c r="L887">
        <f t="shared" si="135"/>
        <v>0</v>
      </c>
      <c r="M887">
        <f t="shared" si="136"/>
        <v>681</v>
      </c>
      <c r="N887">
        <f t="shared" si="137"/>
        <v>0</v>
      </c>
    </row>
    <row r="888" spans="1:14" x14ac:dyDescent="0.35">
      <c r="A888" s="5">
        <v>3984696</v>
      </c>
      <c r="B888" s="6">
        <v>42929</v>
      </c>
      <c r="C888" s="7">
        <v>0.55923611111111116</v>
      </c>
      <c r="D888" s="8">
        <v>0.5665162037037037</v>
      </c>
      <c r="E888" s="20">
        <f t="shared" si="130"/>
        <v>7.2800925925925464E-3</v>
      </c>
      <c r="F888" t="str">
        <f t="shared" si="131"/>
        <v>stacjonarny</v>
      </c>
      <c r="G888" s="23">
        <f t="shared" si="138"/>
        <v>312640</v>
      </c>
      <c r="H888">
        <f t="shared" si="139"/>
        <v>102361</v>
      </c>
      <c r="I888">
        <f t="shared" si="132"/>
        <v>0</v>
      </c>
      <c r="J888">
        <f t="shared" si="133"/>
        <v>0</v>
      </c>
      <c r="K888">
        <f t="shared" si="134"/>
        <v>415001</v>
      </c>
      <c r="L888">
        <f t="shared" si="135"/>
        <v>0</v>
      </c>
      <c r="M888">
        <f t="shared" si="136"/>
        <v>629</v>
      </c>
      <c r="N888">
        <f t="shared" si="137"/>
        <v>0</v>
      </c>
    </row>
    <row r="889" spans="1:14" x14ac:dyDescent="0.35">
      <c r="A889" s="9">
        <v>47855743</v>
      </c>
      <c r="B889" s="10">
        <v>42929</v>
      </c>
      <c r="C889" s="11">
        <v>0.56371527777777775</v>
      </c>
      <c r="D889" s="12">
        <v>0.57344907407407408</v>
      </c>
      <c r="E889" s="20">
        <f t="shared" si="130"/>
        <v>9.7337962962963376E-3</v>
      </c>
      <c r="F889" t="str">
        <f t="shared" si="131"/>
        <v>komorkowy</v>
      </c>
      <c r="G889" s="23">
        <f t="shared" si="138"/>
        <v>312640</v>
      </c>
      <c r="H889">
        <f t="shared" si="139"/>
        <v>103202</v>
      </c>
      <c r="I889">
        <f t="shared" si="132"/>
        <v>0</v>
      </c>
      <c r="J889">
        <f t="shared" si="133"/>
        <v>0</v>
      </c>
      <c r="K889">
        <f t="shared" si="134"/>
        <v>415842</v>
      </c>
      <c r="L889">
        <f t="shared" si="135"/>
        <v>0</v>
      </c>
      <c r="M889">
        <f t="shared" si="136"/>
        <v>0</v>
      </c>
      <c r="N889">
        <f t="shared" si="137"/>
        <v>841</v>
      </c>
    </row>
    <row r="890" spans="1:14" x14ac:dyDescent="0.35">
      <c r="A890" s="5">
        <v>3095218</v>
      </c>
      <c r="B890" s="6">
        <v>42929</v>
      </c>
      <c r="C890" s="7">
        <v>0.56581018518518522</v>
      </c>
      <c r="D890" s="8">
        <v>0.57694444444444448</v>
      </c>
      <c r="E890" s="20">
        <f t="shared" si="130"/>
        <v>1.113425925925926E-2</v>
      </c>
      <c r="F890" t="str">
        <f t="shared" si="131"/>
        <v>stacjonarny</v>
      </c>
      <c r="G890" s="23">
        <f t="shared" si="138"/>
        <v>313602</v>
      </c>
      <c r="H890">
        <f t="shared" si="139"/>
        <v>103202</v>
      </c>
      <c r="I890">
        <f t="shared" si="132"/>
        <v>0</v>
      </c>
      <c r="J890">
        <f t="shared" si="133"/>
        <v>0</v>
      </c>
      <c r="K890">
        <f t="shared" si="134"/>
        <v>416804</v>
      </c>
      <c r="L890">
        <f t="shared" si="135"/>
        <v>0</v>
      </c>
      <c r="M890">
        <f t="shared" si="136"/>
        <v>962</v>
      </c>
      <c r="N890">
        <f t="shared" si="137"/>
        <v>0</v>
      </c>
    </row>
    <row r="891" spans="1:14" x14ac:dyDescent="0.35">
      <c r="A891" s="9">
        <v>7933399</v>
      </c>
      <c r="B891" s="10">
        <v>42929</v>
      </c>
      <c r="C891" s="11">
        <v>0.57054398148148144</v>
      </c>
      <c r="D891" s="12">
        <v>0.57388888888888889</v>
      </c>
      <c r="E891" s="20">
        <f t="shared" si="130"/>
        <v>3.3449074074074492E-3</v>
      </c>
      <c r="F891" t="str">
        <f t="shared" si="131"/>
        <v>stacjonarny</v>
      </c>
      <c r="G891" s="23">
        <f t="shared" si="138"/>
        <v>313891</v>
      </c>
      <c r="H891">
        <f t="shared" si="139"/>
        <v>103202</v>
      </c>
      <c r="I891">
        <f t="shared" si="132"/>
        <v>0</v>
      </c>
      <c r="J891">
        <f t="shared" si="133"/>
        <v>0</v>
      </c>
      <c r="K891">
        <f t="shared" si="134"/>
        <v>417093</v>
      </c>
      <c r="L891">
        <f t="shared" si="135"/>
        <v>0</v>
      </c>
      <c r="M891">
        <f t="shared" si="136"/>
        <v>289</v>
      </c>
      <c r="N891">
        <f t="shared" si="137"/>
        <v>0</v>
      </c>
    </row>
    <row r="892" spans="1:14" x14ac:dyDescent="0.35">
      <c r="A892" s="5">
        <v>54821549</v>
      </c>
      <c r="B892" s="6">
        <v>42929</v>
      </c>
      <c r="C892" s="7">
        <v>0.57287037037037036</v>
      </c>
      <c r="D892" s="8">
        <v>0.57663194444444443</v>
      </c>
      <c r="E892" s="20">
        <f t="shared" si="130"/>
        <v>3.76157407407407E-3</v>
      </c>
      <c r="F892" t="str">
        <f t="shared" si="131"/>
        <v>komorkowy</v>
      </c>
      <c r="G892" s="23">
        <f t="shared" si="138"/>
        <v>313891</v>
      </c>
      <c r="H892">
        <f t="shared" si="139"/>
        <v>103527</v>
      </c>
      <c r="I892">
        <f t="shared" si="132"/>
        <v>0</v>
      </c>
      <c r="J892">
        <f t="shared" si="133"/>
        <v>0</v>
      </c>
      <c r="K892">
        <f t="shared" si="134"/>
        <v>417418</v>
      </c>
      <c r="L892">
        <f t="shared" si="135"/>
        <v>0</v>
      </c>
      <c r="M892">
        <f t="shared" si="136"/>
        <v>0</v>
      </c>
      <c r="N892">
        <f t="shared" si="137"/>
        <v>325</v>
      </c>
    </row>
    <row r="893" spans="1:14" x14ac:dyDescent="0.35">
      <c r="A893" s="9">
        <v>14919021</v>
      </c>
      <c r="B893" s="10">
        <v>42929</v>
      </c>
      <c r="C893" s="11">
        <v>0.57331018518518517</v>
      </c>
      <c r="D893" s="12">
        <v>0.57547453703703699</v>
      </c>
      <c r="E893" s="20">
        <f t="shared" si="130"/>
        <v>2.1643518518518201E-3</v>
      </c>
      <c r="F893" t="str">
        <f t="shared" si="131"/>
        <v>komorkowy</v>
      </c>
      <c r="G893" s="23">
        <f t="shared" si="138"/>
        <v>313891</v>
      </c>
      <c r="H893">
        <f t="shared" si="139"/>
        <v>103714</v>
      </c>
      <c r="I893">
        <f t="shared" si="132"/>
        <v>0</v>
      </c>
      <c r="J893">
        <f t="shared" si="133"/>
        <v>0</v>
      </c>
      <c r="K893">
        <f t="shared" si="134"/>
        <v>417605</v>
      </c>
      <c r="L893">
        <f t="shared" si="135"/>
        <v>0</v>
      </c>
      <c r="M893">
        <f t="shared" si="136"/>
        <v>0</v>
      </c>
      <c r="N893">
        <f t="shared" si="137"/>
        <v>187</v>
      </c>
    </row>
    <row r="894" spans="1:14" x14ac:dyDescent="0.35">
      <c r="A894" s="5">
        <v>9175377</v>
      </c>
      <c r="B894" s="6">
        <v>42929</v>
      </c>
      <c r="C894" s="7">
        <v>0.57648148148148148</v>
      </c>
      <c r="D894" s="8">
        <v>0.57916666666666672</v>
      </c>
      <c r="E894" s="20">
        <f t="shared" si="130"/>
        <v>2.6851851851852349E-3</v>
      </c>
      <c r="F894" t="str">
        <f t="shared" si="131"/>
        <v>stacjonarny</v>
      </c>
      <c r="G894" s="23">
        <f t="shared" si="138"/>
        <v>314123</v>
      </c>
      <c r="H894">
        <f t="shared" si="139"/>
        <v>103714</v>
      </c>
      <c r="I894">
        <f t="shared" si="132"/>
        <v>0</v>
      </c>
      <c r="J894">
        <f t="shared" si="133"/>
        <v>0</v>
      </c>
      <c r="K894">
        <f t="shared" si="134"/>
        <v>417837</v>
      </c>
      <c r="L894">
        <f t="shared" si="135"/>
        <v>0</v>
      </c>
      <c r="M894">
        <f t="shared" si="136"/>
        <v>232</v>
      </c>
      <c r="N894">
        <f t="shared" si="137"/>
        <v>0</v>
      </c>
    </row>
    <row r="895" spans="1:14" x14ac:dyDescent="0.35">
      <c r="A895" s="9">
        <v>3656681</v>
      </c>
      <c r="B895" s="10">
        <v>42929</v>
      </c>
      <c r="C895" s="11">
        <v>0.58067129629629632</v>
      </c>
      <c r="D895" s="12">
        <v>0.59149305555555554</v>
      </c>
      <c r="E895" s="20">
        <f t="shared" si="130"/>
        <v>1.0821759259259212E-2</v>
      </c>
      <c r="F895" t="str">
        <f t="shared" si="131"/>
        <v>stacjonarny</v>
      </c>
      <c r="G895" s="23">
        <f t="shared" si="138"/>
        <v>315058</v>
      </c>
      <c r="H895">
        <f t="shared" si="139"/>
        <v>103714</v>
      </c>
      <c r="I895">
        <f t="shared" si="132"/>
        <v>0</v>
      </c>
      <c r="J895">
        <f t="shared" si="133"/>
        <v>0</v>
      </c>
      <c r="K895">
        <f t="shared" si="134"/>
        <v>418772</v>
      </c>
      <c r="L895">
        <f t="shared" si="135"/>
        <v>0</v>
      </c>
      <c r="M895">
        <f t="shared" si="136"/>
        <v>935</v>
      </c>
      <c r="N895">
        <f t="shared" si="137"/>
        <v>0</v>
      </c>
    </row>
    <row r="896" spans="1:14" x14ac:dyDescent="0.35">
      <c r="A896" s="5">
        <v>5741700</v>
      </c>
      <c r="B896" s="6">
        <v>42929</v>
      </c>
      <c r="C896" s="7">
        <v>0.58644675925925926</v>
      </c>
      <c r="D896" s="8">
        <v>0.5978472222222222</v>
      </c>
      <c r="E896" s="20">
        <f t="shared" si="130"/>
        <v>1.1400462962962932E-2</v>
      </c>
      <c r="F896" t="str">
        <f t="shared" si="131"/>
        <v>stacjonarny</v>
      </c>
      <c r="G896" s="23">
        <f t="shared" si="138"/>
        <v>316043</v>
      </c>
      <c r="H896">
        <f t="shared" si="139"/>
        <v>103714</v>
      </c>
      <c r="I896">
        <f t="shared" si="132"/>
        <v>0</v>
      </c>
      <c r="J896">
        <f t="shared" si="133"/>
        <v>0</v>
      </c>
      <c r="K896">
        <f t="shared" si="134"/>
        <v>419757</v>
      </c>
      <c r="L896">
        <f t="shared" si="135"/>
        <v>0</v>
      </c>
      <c r="M896">
        <f t="shared" si="136"/>
        <v>985</v>
      </c>
      <c r="N896">
        <f t="shared" si="137"/>
        <v>0</v>
      </c>
    </row>
    <row r="897" spans="1:14" x14ac:dyDescent="0.35">
      <c r="A897" s="9">
        <v>18816694</v>
      </c>
      <c r="B897" s="10">
        <v>42929</v>
      </c>
      <c r="C897" s="11">
        <v>0.59179398148148143</v>
      </c>
      <c r="D897" s="12">
        <v>0.60054398148148147</v>
      </c>
      <c r="E897" s="20">
        <f t="shared" si="130"/>
        <v>8.7500000000000355E-3</v>
      </c>
      <c r="F897" t="str">
        <f t="shared" si="131"/>
        <v>komorkowy</v>
      </c>
      <c r="G897" s="23">
        <f t="shared" si="138"/>
        <v>316043</v>
      </c>
      <c r="H897">
        <f t="shared" si="139"/>
        <v>104470</v>
      </c>
      <c r="I897">
        <f t="shared" si="132"/>
        <v>0</v>
      </c>
      <c r="J897">
        <f t="shared" si="133"/>
        <v>0</v>
      </c>
      <c r="K897">
        <f t="shared" si="134"/>
        <v>420513</v>
      </c>
      <c r="L897">
        <f t="shared" si="135"/>
        <v>0</v>
      </c>
      <c r="M897">
        <f t="shared" si="136"/>
        <v>0</v>
      </c>
      <c r="N897">
        <f t="shared" si="137"/>
        <v>756</v>
      </c>
    </row>
    <row r="898" spans="1:14" x14ac:dyDescent="0.35">
      <c r="A898" s="5">
        <v>6177366</v>
      </c>
      <c r="B898" s="6">
        <v>42929</v>
      </c>
      <c r="C898" s="7">
        <v>0.59266203703703701</v>
      </c>
      <c r="D898" s="8">
        <v>0.59672453703703698</v>
      </c>
      <c r="E898" s="20">
        <f t="shared" si="130"/>
        <v>4.0624999999999689E-3</v>
      </c>
      <c r="F898" t="str">
        <f t="shared" si="131"/>
        <v>stacjonarny</v>
      </c>
      <c r="G898" s="23">
        <f t="shared" si="138"/>
        <v>316394</v>
      </c>
      <c r="H898">
        <f t="shared" si="139"/>
        <v>104470</v>
      </c>
      <c r="I898">
        <f t="shared" si="132"/>
        <v>0</v>
      </c>
      <c r="J898">
        <f t="shared" si="133"/>
        <v>0</v>
      </c>
      <c r="K898">
        <f t="shared" si="134"/>
        <v>420864</v>
      </c>
      <c r="L898">
        <f t="shared" si="135"/>
        <v>0</v>
      </c>
      <c r="M898">
        <f t="shared" si="136"/>
        <v>351</v>
      </c>
      <c r="N898">
        <f t="shared" si="137"/>
        <v>0</v>
      </c>
    </row>
    <row r="899" spans="1:14" x14ac:dyDescent="0.35">
      <c r="A899" s="9">
        <v>4221160</v>
      </c>
      <c r="B899" s="10">
        <v>42929</v>
      </c>
      <c r="C899" s="11">
        <v>0.59437499999999999</v>
      </c>
      <c r="D899" s="12">
        <v>0.60349537037037038</v>
      </c>
      <c r="E899" s="20">
        <f t="shared" ref="E899:E962" si="140">D899-C899</f>
        <v>9.1203703703703898E-3</v>
      </c>
      <c r="F899" t="str">
        <f t="shared" ref="F899:F962" si="141">IF(LEN(A899)=7,"stacjonarny",IF(LEN(A899)=8,"komorkowy","zagraniczny"))</f>
        <v>stacjonarny</v>
      </c>
      <c r="G899" s="23">
        <f t="shared" si="138"/>
        <v>317182</v>
      </c>
      <c r="H899">
        <f t="shared" si="139"/>
        <v>104470</v>
      </c>
      <c r="I899">
        <f t="shared" ref="I899:I962" si="142">IF(F899="zagraniczny",MINUTE(E899)*60+SECOND(E899)+HOUR(E899)*3600,0)</f>
        <v>0</v>
      </c>
      <c r="J899">
        <f t="shared" ref="J899:J962" si="143">ROUNDUP(I899/60,0)</f>
        <v>0</v>
      </c>
      <c r="K899">
        <f t="shared" ref="K899:K962" si="144">G899+H899</f>
        <v>421652</v>
      </c>
      <c r="L899">
        <f t="shared" ref="L899:L962" si="145">IF(K899&lt;=48000,1,0)</f>
        <v>0</v>
      </c>
      <c r="M899">
        <f t="shared" ref="M899:M962" si="146">IF(AND(L899=0,F899="stacjonarny"),SECOND(E899)+60*MINUTE(E899),0)</f>
        <v>788</v>
      </c>
      <c r="N899">
        <f t="shared" ref="N899:N962" si="147">IF(AND(L899=0,F899="komorkowy"),SECOND(E899)+60*MINUTE(E899),0)</f>
        <v>0</v>
      </c>
    </row>
    <row r="900" spans="1:14" x14ac:dyDescent="0.35">
      <c r="A900" s="5">
        <v>9339774</v>
      </c>
      <c r="B900" s="6">
        <v>42929</v>
      </c>
      <c r="C900" s="7">
        <v>0.59745370370370365</v>
      </c>
      <c r="D900" s="8">
        <v>0.607025462962963</v>
      </c>
      <c r="E900" s="20">
        <f t="shared" si="140"/>
        <v>9.5717592592593492E-3</v>
      </c>
      <c r="F900" t="str">
        <f t="shared" si="141"/>
        <v>stacjonarny</v>
      </c>
      <c r="G900" s="23">
        <f t="shared" ref="G900:G963" si="148">IF(F900="stacjonarny",MINUTE(E900)*60+SECOND(E900)+G899,G899)</f>
        <v>318009</v>
      </c>
      <c r="H900">
        <f t="shared" ref="H900:H963" si="149">IF(F900="komorkowy",MINUTE(E900)*60+SECOND(E900)+H899,H899)</f>
        <v>104470</v>
      </c>
      <c r="I900">
        <f t="shared" si="142"/>
        <v>0</v>
      </c>
      <c r="J900">
        <f t="shared" si="143"/>
        <v>0</v>
      </c>
      <c r="K900">
        <f t="shared" si="144"/>
        <v>422479</v>
      </c>
      <c r="L900">
        <f t="shared" si="145"/>
        <v>0</v>
      </c>
      <c r="M900">
        <f t="shared" si="146"/>
        <v>827</v>
      </c>
      <c r="N900">
        <f t="shared" si="147"/>
        <v>0</v>
      </c>
    </row>
    <row r="901" spans="1:14" x14ac:dyDescent="0.35">
      <c r="A901" s="9">
        <v>46255010</v>
      </c>
      <c r="B901" s="10">
        <v>42929</v>
      </c>
      <c r="C901" s="11">
        <v>0.60008101851851847</v>
      </c>
      <c r="D901" s="12">
        <v>0.60182870370370367</v>
      </c>
      <c r="E901" s="20">
        <f t="shared" si="140"/>
        <v>1.7476851851851993E-3</v>
      </c>
      <c r="F901" t="str">
        <f t="shared" si="141"/>
        <v>komorkowy</v>
      </c>
      <c r="G901" s="23">
        <f t="shared" si="148"/>
        <v>318009</v>
      </c>
      <c r="H901">
        <f t="shared" si="149"/>
        <v>104621</v>
      </c>
      <c r="I901">
        <f t="shared" si="142"/>
        <v>0</v>
      </c>
      <c r="J901">
        <f t="shared" si="143"/>
        <v>0</v>
      </c>
      <c r="K901">
        <f t="shared" si="144"/>
        <v>422630</v>
      </c>
      <c r="L901">
        <f t="shared" si="145"/>
        <v>0</v>
      </c>
      <c r="M901">
        <f t="shared" si="146"/>
        <v>0</v>
      </c>
      <c r="N901">
        <f t="shared" si="147"/>
        <v>151</v>
      </c>
    </row>
    <row r="902" spans="1:14" x14ac:dyDescent="0.35">
      <c r="A902" s="5">
        <v>91208799</v>
      </c>
      <c r="B902" s="6">
        <v>42929</v>
      </c>
      <c r="C902" s="7">
        <v>0.60311342592592587</v>
      </c>
      <c r="D902" s="8">
        <v>0.61048611111111106</v>
      </c>
      <c r="E902" s="20">
        <f t="shared" si="140"/>
        <v>7.3726851851851904E-3</v>
      </c>
      <c r="F902" t="str">
        <f t="shared" si="141"/>
        <v>komorkowy</v>
      </c>
      <c r="G902" s="23">
        <f t="shared" si="148"/>
        <v>318009</v>
      </c>
      <c r="H902">
        <f t="shared" si="149"/>
        <v>105258</v>
      </c>
      <c r="I902">
        <f t="shared" si="142"/>
        <v>0</v>
      </c>
      <c r="J902">
        <f t="shared" si="143"/>
        <v>0</v>
      </c>
      <c r="K902">
        <f t="shared" si="144"/>
        <v>423267</v>
      </c>
      <c r="L902">
        <f t="shared" si="145"/>
        <v>0</v>
      </c>
      <c r="M902">
        <f t="shared" si="146"/>
        <v>0</v>
      </c>
      <c r="N902">
        <f t="shared" si="147"/>
        <v>637</v>
      </c>
    </row>
    <row r="903" spans="1:14" x14ac:dyDescent="0.35">
      <c r="A903" s="9">
        <v>7211782</v>
      </c>
      <c r="B903" s="10">
        <v>42929</v>
      </c>
      <c r="C903" s="11">
        <v>0.60773148148148148</v>
      </c>
      <c r="D903" s="12">
        <v>0.60799768518518515</v>
      </c>
      <c r="E903" s="20">
        <f t="shared" si="140"/>
        <v>2.662037037036713E-4</v>
      </c>
      <c r="F903" t="str">
        <f t="shared" si="141"/>
        <v>stacjonarny</v>
      </c>
      <c r="G903" s="23">
        <f t="shared" si="148"/>
        <v>318032</v>
      </c>
      <c r="H903">
        <f t="shared" si="149"/>
        <v>105258</v>
      </c>
      <c r="I903">
        <f t="shared" si="142"/>
        <v>0</v>
      </c>
      <c r="J903">
        <f t="shared" si="143"/>
        <v>0</v>
      </c>
      <c r="K903">
        <f t="shared" si="144"/>
        <v>423290</v>
      </c>
      <c r="L903">
        <f t="shared" si="145"/>
        <v>0</v>
      </c>
      <c r="M903">
        <f t="shared" si="146"/>
        <v>23</v>
      </c>
      <c r="N903">
        <f t="shared" si="147"/>
        <v>0</v>
      </c>
    </row>
    <row r="904" spans="1:14" x14ac:dyDescent="0.35">
      <c r="A904" s="5">
        <v>3429335</v>
      </c>
      <c r="B904" s="6">
        <v>42929</v>
      </c>
      <c r="C904" s="7">
        <v>0.61346064814814816</v>
      </c>
      <c r="D904" s="8">
        <v>0.62468749999999995</v>
      </c>
      <c r="E904" s="20">
        <f t="shared" si="140"/>
        <v>1.1226851851851793E-2</v>
      </c>
      <c r="F904" t="str">
        <f t="shared" si="141"/>
        <v>stacjonarny</v>
      </c>
      <c r="G904" s="23">
        <f t="shared" si="148"/>
        <v>319002</v>
      </c>
      <c r="H904">
        <f t="shared" si="149"/>
        <v>105258</v>
      </c>
      <c r="I904">
        <f t="shared" si="142"/>
        <v>0</v>
      </c>
      <c r="J904">
        <f t="shared" si="143"/>
        <v>0</v>
      </c>
      <c r="K904">
        <f t="shared" si="144"/>
        <v>424260</v>
      </c>
      <c r="L904">
        <f t="shared" si="145"/>
        <v>0</v>
      </c>
      <c r="M904">
        <f t="shared" si="146"/>
        <v>970</v>
      </c>
      <c r="N904">
        <f t="shared" si="147"/>
        <v>0</v>
      </c>
    </row>
    <row r="905" spans="1:14" x14ac:dyDescent="0.35">
      <c r="A905" s="9">
        <v>3206241</v>
      </c>
      <c r="B905" s="10">
        <v>42929</v>
      </c>
      <c r="C905" s="11">
        <v>0.61614583333333328</v>
      </c>
      <c r="D905" s="12">
        <v>0.62736111111111115</v>
      </c>
      <c r="E905" s="20">
        <f t="shared" si="140"/>
        <v>1.1215277777777866E-2</v>
      </c>
      <c r="F905" t="str">
        <f t="shared" si="141"/>
        <v>stacjonarny</v>
      </c>
      <c r="G905" s="23">
        <f t="shared" si="148"/>
        <v>319971</v>
      </c>
      <c r="H905">
        <f t="shared" si="149"/>
        <v>105258</v>
      </c>
      <c r="I905">
        <f t="shared" si="142"/>
        <v>0</v>
      </c>
      <c r="J905">
        <f t="shared" si="143"/>
        <v>0</v>
      </c>
      <c r="K905">
        <f t="shared" si="144"/>
        <v>425229</v>
      </c>
      <c r="L905">
        <f t="shared" si="145"/>
        <v>0</v>
      </c>
      <c r="M905">
        <f t="shared" si="146"/>
        <v>969</v>
      </c>
      <c r="N905">
        <f t="shared" si="147"/>
        <v>0</v>
      </c>
    </row>
    <row r="906" spans="1:14" x14ac:dyDescent="0.35">
      <c r="A906" s="5">
        <v>8750670</v>
      </c>
      <c r="B906" s="6">
        <v>42929</v>
      </c>
      <c r="C906" s="7">
        <v>0.61686342592592591</v>
      </c>
      <c r="D906" s="8">
        <v>0.61760416666666662</v>
      </c>
      <c r="E906" s="20">
        <f t="shared" si="140"/>
        <v>7.407407407407085E-4</v>
      </c>
      <c r="F906" t="str">
        <f t="shared" si="141"/>
        <v>stacjonarny</v>
      </c>
      <c r="G906" s="23">
        <f t="shared" si="148"/>
        <v>320035</v>
      </c>
      <c r="H906">
        <f t="shared" si="149"/>
        <v>105258</v>
      </c>
      <c r="I906">
        <f t="shared" si="142"/>
        <v>0</v>
      </c>
      <c r="J906">
        <f t="shared" si="143"/>
        <v>0</v>
      </c>
      <c r="K906">
        <f t="shared" si="144"/>
        <v>425293</v>
      </c>
      <c r="L906">
        <f t="shared" si="145"/>
        <v>0</v>
      </c>
      <c r="M906">
        <f t="shared" si="146"/>
        <v>64</v>
      </c>
      <c r="N906">
        <f t="shared" si="147"/>
        <v>0</v>
      </c>
    </row>
    <row r="907" spans="1:14" x14ac:dyDescent="0.35">
      <c r="A907" s="9">
        <v>7792679</v>
      </c>
      <c r="B907" s="10">
        <v>42929</v>
      </c>
      <c r="C907" s="11">
        <v>0.62046296296296299</v>
      </c>
      <c r="D907" s="12">
        <v>0.62071759259259263</v>
      </c>
      <c r="E907" s="20">
        <f t="shared" si="140"/>
        <v>2.5462962962963243E-4</v>
      </c>
      <c r="F907" t="str">
        <f t="shared" si="141"/>
        <v>stacjonarny</v>
      </c>
      <c r="G907" s="23">
        <f t="shared" si="148"/>
        <v>320057</v>
      </c>
      <c r="H907">
        <f t="shared" si="149"/>
        <v>105258</v>
      </c>
      <c r="I907">
        <f t="shared" si="142"/>
        <v>0</v>
      </c>
      <c r="J907">
        <f t="shared" si="143"/>
        <v>0</v>
      </c>
      <c r="K907">
        <f t="shared" si="144"/>
        <v>425315</v>
      </c>
      <c r="L907">
        <f t="shared" si="145"/>
        <v>0</v>
      </c>
      <c r="M907">
        <f t="shared" si="146"/>
        <v>22</v>
      </c>
      <c r="N907">
        <f t="shared" si="147"/>
        <v>0</v>
      </c>
    </row>
    <row r="908" spans="1:14" x14ac:dyDescent="0.35">
      <c r="A908" s="5">
        <v>9287211</v>
      </c>
      <c r="B908" s="6">
        <v>42929</v>
      </c>
      <c r="C908" s="7">
        <v>0.62178240740740742</v>
      </c>
      <c r="D908" s="8">
        <v>0.62540509259259258</v>
      </c>
      <c r="E908" s="20">
        <f t="shared" si="140"/>
        <v>3.6226851851851594E-3</v>
      </c>
      <c r="F908" t="str">
        <f t="shared" si="141"/>
        <v>stacjonarny</v>
      </c>
      <c r="G908" s="23">
        <f t="shared" si="148"/>
        <v>320370</v>
      </c>
      <c r="H908">
        <f t="shared" si="149"/>
        <v>105258</v>
      </c>
      <c r="I908">
        <f t="shared" si="142"/>
        <v>0</v>
      </c>
      <c r="J908">
        <f t="shared" si="143"/>
        <v>0</v>
      </c>
      <c r="K908">
        <f t="shared" si="144"/>
        <v>425628</v>
      </c>
      <c r="L908">
        <f t="shared" si="145"/>
        <v>0</v>
      </c>
      <c r="M908">
        <f t="shared" si="146"/>
        <v>313</v>
      </c>
      <c r="N908">
        <f t="shared" si="147"/>
        <v>0</v>
      </c>
    </row>
    <row r="909" spans="1:14" x14ac:dyDescent="0.35">
      <c r="A909" s="9">
        <v>1997542</v>
      </c>
      <c r="B909" s="10">
        <v>42929</v>
      </c>
      <c r="C909" s="11">
        <v>0.62749999999999995</v>
      </c>
      <c r="D909" s="12">
        <v>0.63146990740740738</v>
      </c>
      <c r="E909" s="20">
        <f t="shared" si="140"/>
        <v>3.9699074074074359E-3</v>
      </c>
      <c r="F909" t="str">
        <f t="shared" si="141"/>
        <v>stacjonarny</v>
      </c>
      <c r="G909" s="23">
        <f t="shared" si="148"/>
        <v>320713</v>
      </c>
      <c r="H909">
        <f t="shared" si="149"/>
        <v>105258</v>
      </c>
      <c r="I909">
        <f t="shared" si="142"/>
        <v>0</v>
      </c>
      <c r="J909">
        <f t="shared" si="143"/>
        <v>0</v>
      </c>
      <c r="K909">
        <f t="shared" si="144"/>
        <v>425971</v>
      </c>
      <c r="L909">
        <f t="shared" si="145"/>
        <v>0</v>
      </c>
      <c r="M909">
        <f t="shared" si="146"/>
        <v>343</v>
      </c>
      <c r="N909">
        <f t="shared" si="147"/>
        <v>0</v>
      </c>
    </row>
    <row r="910" spans="1:14" x14ac:dyDescent="0.35">
      <c r="A910" s="5">
        <v>3558582</v>
      </c>
      <c r="B910" s="6">
        <v>42930</v>
      </c>
      <c r="C910" s="7">
        <v>0.33658564814814818</v>
      </c>
      <c r="D910" s="8">
        <v>0.34384259259259259</v>
      </c>
      <c r="E910" s="20">
        <f t="shared" si="140"/>
        <v>7.2569444444444131E-3</v>
      </c>
      <c r="F910" t="str">
        <f t="shared" si="141"/>
        <v>stacjonarny</v>
      </c>
      <c r="G910" s="23">
        <f t="shared" si="148"/>
        <v>321340</v>
      </c>
      <c r="H910">
        <f t="shared" si="149"/>
        <v>105258</v>
      </c>
      <c r="I910">
        <f t="shared" si="142"/>
        <v>0</v>
      </c>
      <c r="J910">
        <f t="shared" si="143"/>
        <v>0</v>
      </c>
      <c r="K910">
        <f t="shared" si="144"/>
        <v>426598</v>
      </c>
      <c r="L910">
        <f t="shared" si="145"/>
        <v>0</v>
      </c>
      <c r="M910">
        <f t="shared" si="146"/>
        <v>627</v>
      </c>
      <c r="N910">
        <f t="shared" si="147"/>
        <v>0</v>
      </c>
    </row>
    <row r="911" spans="1:14" x14ac:dyDescent="0.35">
      <c r="A911" s="9">
        <v>25240352</v>
      </c>
      <c r="B911" s="10">
        <v>42930</v>
      </c>
      <c r="C911" s="11">
        <v>0.3369212962962963</v>
      </c>
      <c r="D911" s="12">
        <v>0.34468749999999998</v>
      </c>
      <c r="E911" s="20">
        <f t="shared" si="140"/>
        <v>7.766203703703678E-3</v>
      </c>
      <c r="F911" t="str">
        <f t="shared" si="141"/>
        <v>komorkowy</v>
      </c>
      <c r="G911" s="23">
        <f t="shared" si="148"/>
        <v>321340</v>
      </c>
      <c r="H911">
        <f t="shared" si="149"/>
        <v>105929</v>
      </c>
      <c r="I911">
        <f t="shared" si="142"/>
        <v>0</v>
      </c>
      <c r="J911">
        <f t="shared" si="143"/>
        <v>0</v>
      </c>
      <c r="K911">
        <f t="shared" si="144"/>
        <v>427269</v>
      </c>
      <c r="L911">
        <f t="shared" si="145"/>
        <v>0</v>
      </c>
      <c r="M911">
        <f t="shared" si="146"/>
        <v>0</v>
      </c>
      <c r="N911">
        <f t="shared" si="147"/>
        <v>671</v>
      </c>
    </row>
    <row r="912" spans="1:14" x14ac:dyDescent="0.35">
      <c r="A912" s="5">
        <v>5829504</v>
      </c>
      <c r="B912" s="6">
        <v>42930</v>
      </c>
      <c r="C912" s="7">
        <v>0.33802083333333333</v>
      </c>
      <c r="D912" s="8">
        <v>0.34233796296296298</v>
      </c>
      <c r="E912" s="20">
        <f t="shared" si="140"/>
        <v>4.3171296296296569E-3</v>
      </c>
      <c r="F912" t="str">
        <f t="shared" si="141"/>
        <v>stacjonarny</v>
      </c>
      <c r="G912" s="23">
        <f t="shared" si="148"/>
        <v>321713</v>
      </c>
      <c r="H912">
        <f t="shared" si="149"/>
        <v>105929</v>
      </c>
      <c r="I912">
        <f t="shared" si="142"/>
        <v>0</v>
      </c>
      <c r="J912">
        <f t="shared" si="143"/>
        <v>0</v>
      </c>
      <c r="K912">
        <f t="shared" si="144"/>
        <v>427642</v>
      </c>
      <c r="L912">
        <f t="shared" si="145"/>
        <v>0</v>
      </c>
      <c r="M912">
        <f t="shared" si="146"/>
        <v>373</v>
      </c>
      <c r="N912">
        <f t="shared" si="147"/>
        <v>0</v>
      </c>
    </row>
    <row r="913" spans="1:14" x14ac:dyDescent="0.35">
      <c r="A913" s="9">
        <v>97317489</v>
      </c>
      <c r="B913" s="10">
        <v>42930</v>
      </c>
      <c r="C913" s="11">
        <v>0.34062500000000001</v>
      </c>
      <c r="D913" s="12">
        <v>0.34333333333333332</v>
      </c>
      <c r="E913" s="20">
        <f t="shared" si="140"/>
        <v>2.7083333333333126E-3</v>
      </c>
      <c r="F913" t="str">
        <f t="shared" si="141"/>
        <v>komorkowy</v>
      </c>
      <c r="G913" s="23">
        <f t="shared" si="148"/>
        <v>321713</v>
      </c>
      <c r="H913">
        <f t="shared" si="149"/>
        <v>106163</v>
      </c>
      <c r="I913">
        <f t="shared" si="142"/>
        <v>0</v>
      </c>
      <c r="J913">
        <f t="shared" si="143"/>
        <v>0</v>
      </c>
      <c r="K913">
        <f t="shared" si="144"/>
        <v>427876</v>
      </c>
      <c r="L913">
        <f t="shared" si="145"/>
        <v>0</v>
      </c>
      <c r="M913">
        <f t="shared" si="146"/>
        <v>0</v>
      </c>
      <c r="N913">
        <f t="shared" si="147"/>
        <v>234</v>
      </c>
    </row>
    <row r="914" spans="1:14" x14ac:dyDescent="0.35">
      <c r="A914" s="5">
        <v>53762222</v>
      </c>
      <c r="B914" s="6">
        <v>42930</v>
      </c>
      <c r="C914" s="7">
        <v>0.34262731481481479</v>
      </c>
      <c r="D914" s="8">
        <v>0.34824074074074074</v>
      </c>
      <c r="E914" s="20">
        <f t="shared" si="140"/>
        <v>5.6134259259259522E-3</v>
      </c>
      <c r="F914" t="str">
        <f t="shared" si="141"/>
        <v>komorkowy</v>
      </c>
      <c r="G914" s="23">
        <f t="shared" si="148"/>
        <v>321713</v>
      </c>
      <c r="H914">
        <f t="shared" si="149"/>
        <v>106648</v>
      </c>
      <c r="I914">
        <f t="shared" si="142"/>
        <v>0</v>
      </c>
      <c r="J914">
        <f t="shared" si="143"/>
        <v>0</v>
      </c>
      <c r="K914">
        <f t="shared" si="144"/>
        <v>428361</v>
      </c>
      <c r="L914">
        <f t="shared" si="145"/>
        <v>0</v>
      </c>
      <c r="M914">
        <f t="shared" si="146"/>
        <v>0</v>
      </c>
      <c r="N914">
        <f t="shared" si="147"/>
        <v>485</v>
      </c>
    </row>
    <row r="915" spans="1:14" x14ac:dyDescent="0.35">
      <c r="A915" s="9">
        <v>3363840</v>
      </c>
      <c r="B915" s="10">
        <v>42930</v>
      </c>
      <c r="C915" s="11">
        <v>0.34431712962962963</v>
      </c>
      <c r="D915" s="12">
        <v>0.34605324074074073</v>
      </c>
      <c r="E915" s="20">
        <f t="shared" si="140"/>
        <v>1.7361111111111049E-3</v>
      </c>
      <c r="F915" t="str">
        <f t="shared" si="141"/>
        <v>stacjonarny</v>
      </c>
      <c r="G915" s="23">
        <f t="shared" si="148"/>
        <v>321863</v>
      </c>
      <c r="H915">
        <f t="shared" si="149"/>
        <v>106648</v>
      </c>
      <c r="I915">
        <f t="shared" si="142"/>
        <v>0</v>
      </c>
      <c r="J915">
        <f t="shared" si="143"/>
        <v>0</v>
      </c>
      <c r="K915">
        <f t="shared" si="144"/>
        <v>428511</v>
      </c>
      <c r="L915">
        <f t="shared" si="145"/>
        <v>0</v>
      </c>
      <c r="M915">
        <f t="shared" si="146"/>
        <v>150</v>
      </c>
      <c r="N915">
        <f t="shared" si="147"/>
        <v>0</v>
      </c>
    </row>
    <row r="916" spans="1:14" x14ac:dyDescent="0.35">
      <c r="A916" s="5">
        <v>5542324</v>
      </c>
      <c r="B916" s="6">
        <v>42930</v>
      </c>
      <c r="C916" s="7">
        <v>0.34528935185185183</v>
      </c>
      <c r="D916" s="8">
        <v>0.3541435185185185</v>
      </c>
      <c r="E916" s="20">
        <f t="shared" si="140"/>
        <v>8.854166666666663E-3</v>
      </c>
      <c r="F916" t="str">
        <f t="shared" si="141"/>
        <v>stacjonarny</v>
      </c>
      <c r="G916" s="23">
        <f t="shared" si="148"/>
        <v>322628</v>
      </c>
      <c r="H916">
        <f t="shared" si="149"/>
        <v>106648</v>
      </c>
      <c r="I916">
        <f t="shared" si="142"/>
        <v>0</v>
      </c>
      <c r="J916">
        <f t="shared" si="143"/>
        <v>0</v>
      </c>
      <c r="K916">
        <f t="shared" si="144"/>
        <v>429276</v>
      </c>
      <c r="L916">
        <f t="shared" si="145"/>
        <v>0</v>
      </c>
      <c r="M916">
        <f t="shared" si="146"/>
        <v>765</v>
      </c>
      <c r="N916">
        <f t="shared" si="147"/>
        <v>0</v>
      </c>
    </row>
    <row r="917" spans="1:14" x14ac:dyDescent="0.35">
      <c r="A917" s="9">
        <v>9853612</v>
      </c>
      <c r="B917" s="10">
        <v>42930</v>
      </c>
      <c r="C917" s="11">
        <v>0.34848379629629628</v>
      </c>
      <c r="D917" s="12">
        <v>0.35927083333333332</v>
      </c>
      <c r="E917" s="20">
        <f t="shared" si="140"/>
        <v>1.0787037037037039E-2</v>
      </c>
      <c r="F917" t="str">
        <f t="shared" si="141"/>
        <v>stacjonarny</v>
      </c>
      <c r="G917" s="23">
        <f t="shared" si="148"/>
        <v>323560</v>
      </c>
      <c r="H917">
        <f t="shared" si="149"/>
        <v>106648</v>
      </c>
      <c r="I917">
        <f t="shared" si="142"/>
        <v>0</v>
      </c>
      <c r="J917">
        <f t="shared" si="143"/>
        <v>0</v>
      </c>
      <c r="K917">
        <f t="shared" si="144"/>
        <v>430208</v>
      </c>
      <c r="L917">
        <f t="shared" si="145"/>
        <v>0</v>
      </c>
      <c r="M917">
        <f t="shared" si="146"/>
        <v>932</v>
      </c>
      <c r="N917">
        <f t="shared" si="147"/>
        <v>0</v>
      </c>
    </row>
    <row r="918" spans="1:14" x14ac:dyDescent="0.35">
      <c r="A918" s="5">
        <v>5392799</v>
      </c>
      <c r="B918" s="6">
        <v>42930</v>
      </c>
      <c r="C918" s="7">
        <v>0.35270833333333335</v>
      </c>
      <c r="D918" s="8">
        <v>0.36254629629629631</v>
      </c>
      <c r="E918" s="20">
        <f t="shared" si="140"/>
        <v>9.837962962962965E-3</v>
      </c>
      <c r="F918" t="str">
        <f t="shared" si="141"/>
        <v>stacjonarny</v>
      </c>
      <c r="G918" s="23">
        <f t="shared" si="148"/>
        <v>324410</v>
      </c>
      <c r="H918">
        <f t="shared" si="149"/>
        <v>106648</v>
      </c>
      <c r="I918">
        <f t="shared" si="142"/>
        <v>0</v>
      </c>
      <c r="J918">
        <f t="shared" si="143"/>
        <v>0</v>
      </c>
      <c r="K918">
        <f t="shared" si="144"/>
        <v>431058</v>
      </c>
      <c r="L918">
        <f t="shared" si="145"/>
        <v>0</v>
      </c>
      <c r="M918">
        <f t="shared" si="146"/>
        <v>850</v>
      </c>
      <c r="N918">
        <f t="shared" si="147"/>
        <v>0</v>
      </c>
    </row>
    <row r="919" spans="1:14" x14ac:dyDescent="0.35">
      <c r="A919" s="9">
        <v>1089768</v>
      </c>
      <c r="B919" s="10">
        <v>42930</v>
      </c>
      <c r="C919" s="11">
        <v>0.35497685185185185</v>
      </c>
      <c r="D919" s="12">
        <v>0.36493055555555554</v>
      </c>
      <c r="E919" s="20">
        <f t="shared" si="140"/>
        <v>9.9537037037036868E-3</v>
      </c>
      <c r="F919" t="str">
        <f t="shared" si="141"/>
        <v>stacjonarny</v>
      </c>
      <c r="G919" s="23">
        <f t="shared" si="148"/>
        <v>325270</v>
      </c>
      <c r="H919">
        <f t="shared" si="149"/>
        <v>106648</v>
      </c>
      <c r="I919">
        <f t="shared" si="142"/>
        <v>0</v>
      </c>
      <c r="J919">
        <f t="shared" si="143"/>
        <v>0</v>
      </c>
      <c r="K919">
        <f t="shared" si="144"/>
        <v>431918</v>
      </c>
      <c r="L919">
        <f t="shared" si="145"/>
        <v>0</v>
      </c>
      <c r="M919">
        <f t="shared" si="146"/>
        <v>860</v>
      </c>
      <c r="N919">
        <f t="shared" si="147"/>
        <v>0</v>
      </c>
    </row>
    <row r="920" spans="1:14" x14ac:dyDescent="0.35">
      <c r="A920" s="5">
        <v>4274311</v>
      </c>
      <c r="B920" s="6">
        <v>42930</v>
      </c>
      <c r="C920" s="7">
        <v>0.35699074074074072</v>
      </c>
      <c r="D920" s="8">
        <v>0.36554398148148148</v>
      </c>
      <c r="E920" s="20">
        <f t="shared" si="140"/>
        <v>8.553240740740764E-3</v>
      </c>
      <c r="F920" t="str">
        <f t="shared" si="141"/>
        <v>stacjonarny</v>
      </c>
      <c r="G920" s="23">
        <f t="shared" si="148"/>
        <v>326009</v>
      </c>
      <c r="H920">
        <f t="shared" si="149"/>
        <v>106648</v>
      </c>
      <c r="I920">
        <f t="shared" si="142"/>
        <v>0</v>
      </c>
      <c r="J920">
        <f t="shared" si="143"/>
        <v>0</v>
      </c>
      <c r="K920">
        <f t="shared" si="144"/>
        <v>432657</v>
      </c>
      <c r="L920">
        <f t="shared" si="145"/>
        <v>0</v>
      </c>
      <c r="M920">
        <f t="shared" si="146"/>
        <v>739</v>
      </c>
      <c r="N920">
        <f t="shared" si="147"/>
        <v>0</v>
      </c>
    </row>
    <row r="921" spans="1:14" x14ac:dyDescent="0.35">
      <c r="A921" s="9">
        <v>8276893</v>
      </c>
      <c r="B921" s="10">
        <v>42930</v>
      </c>
      <c r="C921" s="11">
        <v>0.36056712962962961</v>
      </c>
      <c r="D921" s="12">
        <v>0.36929398148148146</v>
      </c>
      <c r="E921" s="20">
        <f t="shared" si="140"/>
        <v>8.7268518518518468E-3</v>
      </c>
      <c r="F921" t="str">
        <f t="shared" si="141"/>
        <v>stacjonarny</v>
      </c>
      <c r="G921" s="23">
        <f t="shared" si="148"/>
        <v>326763</v>
      </c>
      <c r="H921">
        <f t="shared" si="149"/>
        <v>106648</v>
      </c>
      <c r="I921">
        <f t="shared" si="142"/>
        <v>0</v>
      </c>
      <c r="J921">
        <f t="shared" si="143"/>
        <v>0</v>
      </c>
      <c r="K921">
        <f t="shared" si="144"/>
        <v>433411</v>
      </c>
      <c r="L921">
        <f t="shared" si="145"/>
        <v>0</v>
      </c>
      <c r="M921">
        <f t="shared" si="146"/>
        <v>754</v>
      </c>
      <c r="N921">
        <f t="shared" si="147"/>
        <v>0</v>
      </c>
    </row>
    <row r="922" spans="1:14" x14ac:dyDescent="0.35">
      <c r="A922" s="5">
        <v>24724114</v>
      </c>
      <c r="B922" s="6">
        <v>42930</v>
      </c>
      <c r="C922" s="7">
        <v>0.36212962962962963</v>
      </c>
      <c r="D922" s="8">
        <v>0.36342592592592593</v>
      </c>
      <c r="E922" s="20">
        <f t="shared" si="140"/>
        <v>1.2962962962962954E-3</v>
      </c>
      <c r="F922" t="str">
        <f t="shared" si="141"/>
        <v>komorkowy</v>
      </c>
      <c r="G922" s="23">
        <f t="shared" si="148"/>
        <v>326763</v>
      </c>
      <c r="H922">
        <f t="shared" si="149"/>
        <v>106760</v>
      </c>
      <c r="I922">
        <f t="shared" si="142"/>
        <v>0</v>
      </c>
      <c r="J922">
        <f t="shared" si="143"/>
        <v>0</v>
      </c>
      <c r="K922">
        <f t="shared" si="144"/>
        <v>433523</v>
      </c>
      <c r="L922">
        <f t="shared" si="145"/>
        <v>0</v>
      </c>
      <c r="M922">
        <f t="shared" si="146"/>
        <v>0</v>
      </c>
      <c r="N922">
        <f t="shared" si="147"/>
        <v>112</v>
      </c>
    </row>
    <row r="923" spans="1:14" x14ac:dyDescent="0.35">
      <c r="A923" s="9">
        <v>23580194</v>
      </c>
      <c r="B923" s="10">
        <v>42930</v>
      </c>
      <c r="C923" s="11">
        <v>0.36516203703703703</v>
      </c>
      <c r="D923" s="12">
        <v>0.37596064814814817</v>
      </c>
      <c r="E923" s="20">
        <f t="shared" si="140"/>
        <v>1.0798611111111134E-2</v>
      </c>
      <c r="F923" t="str">
        <f t="shared" si="141"/>
        <v>komorkowy</v>
      </c>
      <c r="G923" s="23">
        <f t="shared" si="148"/>
        <v>326763</v>
      </c>
      <c r="H923">
        <f t="shared" si="149"/>
        <v>107693</v>
      </c>
      <c r="I923">
        <f t="shared" si="142"/>
        <v>0</v>
      </c>
      <c r="J923">
        <f t="shared" si="143"/>
        <v>0</v>
      </c>
      <c r="K923">
        <f t="shared" si="144"/>
        <v>434456</v>
      </c>
      <c r="L923">
        <f t="shared" si="145"/>
        <v>0</v>
      </c>
      <c r="M923">
        <f t="shared" si="146"/>
        <v>0</v>
      </c>
      <c r="N923">
        <f t="shared" si="147"/>
        <v>933</v>
      </c>
    </row>
    <row r="924" spans="1:14" x14ac:dyDescent="0.35">
      <c r="A924" s="5">
        <v>1775131</v>
      </c>
      <c r="B924" s="6">
        <v>42930</v>
      </c>
      <c r="C924" s="7">
        <v>0.36922453703703706</v>
      </c>
      <c r="D924" s="8">
        <v>0.36994212962962963</v>
      </c>
      <c r="E924" s="20">
        <f t="shared" si="140"/>
        <v>7.1759259259257524E-4</v>
      </c>
      <c r="F924" t="str">
        <f t="shared" si="141"/>
        <v>stacjonarny</v>
      </c>
      <c r="G924" s="23">
        <f t="shared" si="148"/>
        <v>326825</v>
      </c>
      <c r="H924">
        <f t="shared" si="149"/>
        <v>107693</v>
      </c>
      <c r="I924">
        <f t="shared" si="142"/>
        <v>0</v>
      </c>
      <c r="J924">
        <f t="shared" si="143"/>
        <v>0</v>
      </c>
      <c r="K924">
        <f t="shared" si="144"/>
        <v>434518</v>
      </c>
      <c r="L924">
        <f t="shared" si="145"/>
        <v>0</v>
      </c>
      <c r="M924">
        <f t="shared" si="146"/>
        <v>62</v>
      </c>
      <c r="N924">
        <f t="shared" si="147"/>
        <v>0</v>
      </c>
    </row>
    <row r="925" spans="1:14" x14ac:dyDescent="0.35">
      <c r="A925" s="9">
        <v>8001915</v>
      </c>
      <c r="B925" s="10">
        <v>42930</v>
      </c>
      <c r="C925" s="11">
        <v>0.3712037037037037</v>
      </c>
      <c r="D925" s="12">
        <v>0.38064814814814812</v>
      </c>
      <c r="E925" s="20">
        <f t="shared" si="140"/>
        <v>9.444444444444422E-3</v>
      </c>
      <c r="F925" t="str">
        <f t="shared" si="141"/>
        <v>stacjonarny</v>
      </c>
      <c r="G925" s="23">
        <f t="shared" si="148"/>
        <v>327641</v>
      </c>
      <c r="H925">
        <f t="shared" si="149"/>
        <v>107693</v>
      </c>
      <c r="I925">
        <f t="shared" si="142"/>
        <v>0</v>
      </c>
      <c r="J925">
        <f t="shared" si="143"/>
        <v>0</v>
      </c>
      <c r="K925">
        <f t="shared" si="144"/>
        <v>435334</v>
      </c>
      <c r="L925">
        <f t="shared" si="145"/>
        <v>0</v>
      </c>
      <c r="M925">
        <f t="shared" si="146"/>
        <v>816</v>
      </c>
      <c r="N925">
        <f t="shared" si="147"/>
        <v>0</v>
      </c>
    </row>
    <row r="926" spans="1:14" x14ac:dyDescent="0.35">
      <c r="A926" s="5">
        <v>7508054</v>
      </c>
      <c r="B926" s="6">
        <v>42930</v>
      </c>
      <c r="C926" s="7">
        <v>0.37480324074074073</v>
      </c>
      <c r="D926" s="8">
        <v>0.38201388888888888</v>
      </c>
      <c r="E926" s="20">
        <f t="shared" si="140"/>
        <v>7.2106481481481466E-3</v>
      </c>
      <c r="F926" t="str">
        <f t="shared" si="141"/>
        <v>stacjonarny</v>
      </c>
      <c r="G926" s="23">
        <f t="shared" si="148"/>
        <v>328264</v>
      </c>
      <c r="H926">
        <f t="shared" si="149"/>
        <v>107693</v>
      </c>
      <c r="I926">
        <f t="shared" si="142"/>
        <v>0</v>
      </c>
      <c r="J926">
        <f t="shared" si="143"/>
        <v>0</v>
      </c>
      <c r="K926">
        <f t="shared" si="144"/>
        <v>435957</v>
      </c>
      <c r="L926">
        <f t="shared" si="145"/>
        <v>0</v>
      </c>
      <c r="M926">
        <f t="shared" si="146"/>
        <v>623</v>
      </c>
      <c r="N926">
        <f t="shared" si="147"/>
        <v>0</v>
      </c>
    </row>
    <row r="927" spans="1:14" x14ac:dyDescent="0.35">
      <c r="A927" s="9">
        <v>5854377</v>
      </c>
      <c r="B927" s="10">
        <v>42930</v>
      </c>
      <c r="C927" s="11">
        <v>0.37506944444444446</v>
      </c>
      <c r="D927" s="12">
        <v>0.37829861111111113</v>
      </c>
      <c r="E927" s="20">
        <f t="shared" si="140"/>
        <v>3.2291666666666718E-3</v>
      </c>
      <c r="F927" t="str">
        <f t="shared" si="141"/>
        <v>stacjonarny</v>
      </c>
      <c r="G927" s="23">
        <f t="shared" si="148"/>
        <v>328543</v>
      </c>
      <c r="H927">
        <f t="shared" si="149"/>
        <v>107693</v>
      </c>
      <c r="I927">
        <f t="shared" si="142"/>
        <v>0</v>
      </c>
      <c r="J927">
        <f t="shared" si="143"/>
        <v>0</v>
      </c>
      <c r="K927">
        <f t="shared" si="144"/>
        <v>436236</v>
      </c>
      <c r="L927">
        <f t="shared" si="145"/>
        <v>0</v>
      </c>
      <c r="M927">
        <f t="shared" si="146"/>
        <v>279</v>
      </c>
      <c r="N927">
        <f t="shared" si="147"/>
        <v>0</v>
      </c>
    </row>
    <row r="928" spans="1:14" x14ac:dyDescent="0.35">
      <c r="A928" s="5">
        <v>3478173</v>
      </c>
      <c r="B928" s="6">
        <v>42930</v>
      </c>
      <c r="C928" s="7">
        <v>0.37942129629629628</v>
      </c>
      <c r="D928" s="8">
        <v>0.38388888888888889</v>
      </c>
      <c r="E928" s="20">
        <f t="shared" si="140"/>
        <v>4.4675925925926063E-3</v>
      </c>
      <c r="F928" t="str">
        <f t="shared" si="141"/>
        <v>stacjonarny</v>
      </c>
      <c r="G928" s="23">
        <f t="shared" si="148"/>
        <v>328929</v>
      </c>
      <c r="H928">
        <f t="shared" si="149"/>
        <v>107693</v>
      </c>
      <c r="I928">
        <f t="shared" si="142"/>
        <v>0</v>
      </c>
      <c r="J928">
        <f t="shared" si="143"/>
        <v>0</v>
      </c>
      <c r="K928">
        <f t="shared" si="144"/>
        <v>436622</v>
      </c>
      <c r="L928">
        <f t="shared" si="145"/>
        <v>0</v>
      </c>
      <c r="M928">
        <f t="shared" si="146"/>
        <v>386</v>
      </c>
      <c r="N928">
        <f t="shared" si="147"/>
        <v>0</v>
      </c>
    </row>
    <row r="929" spans="1:14" x14ac:dyDescent="0.35">
      <c r="A929" s="9">
        <v>3999937</v>
      </c>
      <c r="B929" s="10">
        <v>42930</v>
      </c>
      <c r="C929" s="11">
        <v>0.38447916666666665</v>
      </c>
      <c r="D929" s="12">
        <v>0.39068287037037036</v>
      </c>
      <c r="E929" s="20">
        <f t="shared" si="140"/>
        <v>6.2037037037037113E-3</v>
      </c>
      <c r="F929" t="str">
        <f t="shared" si="141"/>
        <v>stacjonarny</v>
      </c>
      <c r="G929" s="23">
        <f t="shared" si="148"/>
        <v>329465</v>
      </c>
      <c r="H929">
        <f t="shared" si="149"/>
        <v>107693</v>
      </c>
      <c r="I929">
        <f t="shared" si="142"/>
        <v>0</v>
      </c>
      <c r="J929">
        <f t="shared" si="143"/>
        <v>0</v>
      </c>
      <c r="K929">
        <f t="shared" si="144"/>
        <v>437158</v>
      </c>
      <c r="L929">
        <f t="shared" si="145"/>
        <v>0</v>
      </c>
      <c r="M929">
        <f t="shared" si="146"/>
        <v>536</v>
      </c>
      <c r="N929">
        <f t="shared" si="147"/>
        <v>0</v>
      </c>
    </row>
    <row r="930" spans="1:14" x14ac:dyDescent="0.35">
      <c r="A930" s="5">
        <v>83559673</v>
      </c>
      <c r="B930" s="6">
        <v>42930</v>
      </c>
      <c r="C930" s="7">
        <v>0.38571759259259258</v>
      </c>
      <c r="D930" s="8">
        <v>0.39630787037037035</v>
      </c>
      <c r="E930" s="20">
        <f t="shared" si="140"/>
        <v>1.0590277777777768E-2</v>
      </c>
      <c r="F930" t="str">
        <f t="shared" si="141"/>
        <v>komorkowy</v>
      </c>
      <c r="G930" s="23">
        <f t="shared" si="148"/>
        <v>329465</v>
      </c>
      <c r="H930">
        <f t="shared" si="149"/>
        <v>108608</v>
      </c>
      <c r="I930">
        <f t="shared" si="142"/>
        <v>0</v>
      </c>
      <c r="J930">
        <f t="shared" si="143"/>
        <v>0</v>
      </c>
      <c r="K930">
        <f t="shared" si="144"/>
        <v>438073</v>
      </c>
      <c r="L930">
        <f t="shared" si="145"/>
        <v>0</v>
      </c>
      <c r="M930">
        <f t="shared" si="146"/>
        <v>0</v>
      </c>
      <c r="N930">
        <f t="shared" si="147"/>
        <v>915</v>
      </c>
    </row>
    <row r="931" spans="1:14" x14ac:dyDescent="0.35">
      <c r="A931" s="9">
        <v>1355775</v>
      </c>
      <c r="B931" s="10">
        <v>42930</v>
      </c>
      <c r="C931" s="11">
        <v>0.38942129629629629</v>
      </c>
      <c r="D931" s="12">
        <v>0.39034722222222223</v>
      </c>
      <c r="E931" s="20">
        <f t="shared" si="140"/>
        <v>9.2592592592594114E-4</v>
      </c>
      <c r="F931" t="str">
        <f t="shared" si="141"/>
        <v>stacjonarny</v>
      </c>
      <c r="G931" s="23">
        <f t="shared" si="148"/>
        <v>329545</v>
      </c>
      <c r="H931">
        <f t="shared" si="149"/>
        <v>108608</v>
      </c>
      <c r="I931">
        <f t="shared" si="142"/>
        <v>0</v>
      </c>
      <c r="J931">
        <f t="shared" si="143"/>
        <v>0</v>
      </c>
      <c r="K931">
        <f t="shared" si="144"/>
        <v>438153</v>
      </c>
      <c r="L931">
        <f t="shared" si="145"/>
        <v>0</v>
      </c>
      <c r="M931">
        <f t="shared" si="146"/>
        <v>80</v>
      </c>
      <c r="N931">
        <f t="shared" si="147"/>
        <v>0</v>
      </c>
    </row>
    <row r="932" spans="1:14" x14ac:dyDescent="0.35">
      <c r="A932" s="5">
        <v>3463982286</v>
      </c>
      <c r="B932" s="6">
        <v>42930</v>
      </c>
      <c r="C932" s="7">
        <v>0.39506944444444442</v>
      </c>
      <c r="D932" s="8">
        <v>0.40261574074074075</v>
      </c>
      <c r="E932" s="20">
        <f t="shared" si="140"/>
        <v>7.5462962962963287E-3</v>
      </c>
      <c r="F932" t="str">
        <f t="shared" si="141"/>
        <v>zagraniczny</v>
      </c>
      <c r="G932" s="23">
        <f t="shared" si="148"/>
        <v>329545</v>
      </c>
      <c r="H932">
        <f t="shared" si="149"/>
        <v>108608</v>
      </c>
      <c r="I932">
        <f t="shared" si="142"/>
        <v>652</v>
      </c>
      <c r="J932">
        <f t="shared" si="143"/>
        <v>11</v>
      </c>
      <c r="K932">
        <f t="shared" si="144"/>
        <v>438153</v>
      </c>
      <c r="L932">
        <f t="shared" si="145"/>
        <v>0</v>
      </c>
      <c r="M932">
        <f t="shared" si="146"/>
        <v>0</v>
      </c>
      <c r="N932">
        <f t="shared" si="147"/>
        <v>0</v>
      </c>
    </row>
    <row r="933" spans="1:14" x14ac:dyDescent="0.35">
      <c r="A933" s="9">
        <v>8870498</v>
      </c>
      <c r="B933" s="10">
        <v>42930</v>
      </c>
      <c r="C933" s="11">
        <v>0.4001736111111111</v>
      </c>
      <c r="D933" s="12">
        <v>0.40182870370370372</v>
      </c>
      <c r="E933" s="20">
        <f t="shared" si="140"/>
        <v>1.6550925925926108E-3</v>
      </c>
      <c r="F933" t="str">
        <f t="shared" si="141"/>
        <v>stacjonarny</v>
      </c>
      <c r="G933" s="23">
        <f t="shared" si="148"/>
        <v>329688</v>
      </c>
      <c r="H933">
        <f t="shared" si="149"/>
        <v>108608</v>
      </c>
      <c r="I933">
        <f t="shared" si="142"/>
        <v>0</v>
      </c>
      <c r="J933">
        <f t="shared" si="143"/>
        <v>0</v>
      </c>
      <c r="K933">
        <f t="shared" si="144"/>
        <v>438296</v>
      </c>
      <c r="L933">
        <f t="shared" si="145"/>
        <v>0</v>
      </c>
      <c r="M933">
        <f t="shared" si="146"/>
        <v>143</v>
      </c>
      <c r="N933">
        <f t="shared" si="147"/>
        <v>0</v>
      </c>
    </row>
    <row r="934" spans="1:14" x14ac:dyDescent="0.35">
      <c r="A934" s="5">
        <v>9894998</v>
      </c>
      <c r="B934" s="6">
        <v>42930</v>
      </c>
      <c r="C934" s="7">
        <v>0.40337962962962964</v>
      </c>
      <c r="D934" s="8">
        <v>0.41137731481481482</v>
      </c>
      <c r="E934" s="20">
        <f t="shared" si="140"/>
        <v>7.9976851851851771E-3</v>
      </c>
      <c r="F934" t="str">
        <f t="shared" si="141"/>
        <v>stacjonarny</v>
      </c>
      <c r="G934" s="23">
        <f t="shared" si="148"/>
        <v>330379</v>
      </c>
      <c r="H934">
        <f t="shared" si="149"/>
        <v>108608</v>
      </c>
      <c r="I934">
        <f t="shared" si="142"/>
        <v>0</v>
      </c>
      <c r="J934">
        <f t="shared" si="143"/>
        <v>0</v>
      </c>
      <c r="K934">
        <f t="shared" si="144"/>
        <v>438987</v>
      </c>
      <c r="L934">
        <f t="shared" si="145"/>
        <v>0</v>
      </c>
      <c r="M934">
        <f t="shared" si="146"/>
        <v>691</v>
      </c>
      <c r="N934">
        <f t="shared" si="147"/>
        <v>0</v>
      </c>
    </row>
    <row r="935" spans="1:14" x14ac:dyDescent="0.35">
      <c r="A935" s="9">
        <v>8841955</v>
      </c>
      <c r="B935" s="10">
        <v>42930</v>
      </c>
      <c r="C935" s="11">
        <v>0.40635416666666668</v>
      </c>
      <c r="D935" s="12">
        <v>0.40642361111111114</v>
      </c>
      <c r="E935" s="20">
        <f t="shared" si="140"/>
        <v>6.94444444444553E-5</v>
      </c>
      <c r="F935" t="str">
        <f t="shared" si="141"/>
        <v>stacjonarny</v>
      </c>
      <c r="G935" s="23">
        <f t="shared" si="148"/>
        <v>330385</v>
      </c>
      <c r="H935">
        <f t="shared" si="149"/>
        <v>108608</v>
      </c>
      <c r="I935">
        <f t="shared" si="142"/>
        <v>0</v>
      </c>
      <c r="J935">
        <f t="shared" si="143"/>
        <v>0</v>
      </c>
      <c r="K935">
        <f t="shared" si="144"/>
        <v>438993</v>
      </c>
      <c r="L935">
        <f t="shared" si="145"/>
        <v>0</v>
      </c>
      <c r="M935">
        <f t="shared" si="146"/>
        <v>6</v>
      </c>
      <c r="N935">
        <f t="shared" si="147"/>
        <v>0</v>
      </c>
    </row>
    <row r="936" spans="1:14" x14ac:dyDescent="0.35">
      <c r="A936" s="5">
        <v>7379567</v>
      </c>
      <c r="B936" s="6">
        <v>42930</v>
      </c>
      <c r="C936" s="7">
        <v>0.4098148148148148</v>
      </c>
      <c r="D936" s="8">
        <v>0.41626157407407405</v>
      </c>
      <c r="E936" s="20">
        <f t="shared" si="140"/>
        <v>6.4467592592592493E-3</v>
      </c>
      <c r="F936" t="str">
        <f t="shared" si="141"/>
        <v>stacjonarny</v>
      </c>
      <c r="G936" s="23">
        <f t="shared" si="148"/>
        <v>330942</v>
      </c>
      <c r="H936">
        <f t="shared" si="149"/>
        <v>108608</v>
      </c>
      <c r="I936">
        <f t="shared" si="142"/>
        <v>0</v>
      </c>
      <c r="J936">
        <f t="shared" si="143"/>
        <v>0</v>
      </c>
      <c r="K936">
        <f t="shared" si="144"/>
        <v>439550</v>
      </c>
      <c r="L936">
        <f t="shared" si="145"/>
        <v>0</v>
      </c>
      <c r="M936">
        <f t="shared" si="146"/>
        <v>557</v>
      </c>
      <c r="N936">
        <f t="shared" si="147"/>
        <v>0</v>
      </c>
    </row>
    <row r="937" spans="1:14" x14ac:dyDescent="0.35">
      <c r="A937" s="9">
        <v>2092198</v>
      </c>
      <c r="B937" s="10">
        <v>42930</v>
      </c>
      <c r="C937" s="11">
        <v>0.41068287037037038</v>
      </c>
      <c r="D937" s="12">
        <v>0.41288194444444443</v>
      </c>
      <c r="E937" s="20">
        <f t="shared" si="140"/>
        <v>2.1990740740740478E-3</v>
      </c>
      <c r="F937" t="str">
        <f t="shared" si="141"/>
        <v>stacjonarny</v>
      </c>
      <c r="G937" s="23">
        <f t="shared" si="148"/>
        <v>331132</v>
      </c>
      <c r="H937">
        <f t="shared" si="149"/>
        <v>108608</v>
      </c>
      <c r="I937">
        <f t="shared" si="142"/>
        <v>0</v>
      </c>
      <c r="J937">
        <f t="shared" si="143"/>
        <v>0</v>
      </c>
      <c r="K937">
        <f t="shared" si="144"/>
        <v>439740</v>
      </c>
      <c r="L937">
        <f t="shared" si="145"/>
        <v>0</v>
      </c>
      <c r="M937">
        <f t="shared" si="146"/>
        <v>190</v>
      </c>
      <c r="N937">
        <f t="shared" si="147"/>
        <v>0</v>
      </c>
    </row>
    <row r="938" spans="1:14" x14ac:dyDescent="0.35">
      <c r="A938" s="5">
        <v>6006309</v>
      </c>
      <c r="B938" s="6">
        <v>42930</v>
      </c>
      <c r="C938" s="7">
        <v>0.41601851851851851</v>
      </c>
      <c r="D938" s="8">
        <v>0.41792824074074075</v>
      </c>
      <c r="E938" s="20">
        <f t="shared" si="140"/>
        <v>1.9097222222222432E-3</v>
      </c>
      <c r="F938" t="str">
        <f t="shared" si="141"/>
        <v>stacjonarny</v>
      </c>
      <c r="G938" s="23">
        <f t="shared" si="148"/>
        <v>331297</v>
      </c>
      <c r="H938">
        <f t="shared" si="149"/>
        <v>108608</v>
      </c>
      <c r="I938">
        <f t="shared" si="142"/>
        <v>0</v>
      </c>
      <c r="J938">
        <f t="shared" si="143"/>
        <v>0</v>
      </c>
      <c r="K938">
        <f t="shared" si="144"/>
        <v>439905</v>
      </c>
      <c r="L938">
        <f t="shared" si="145"/>
        <v>0</v>
      </c>
      <c r="M938">
        <f t="shared" si="146"/>
        <v>165</v>
      </c>
      <c r="N938">
        <f t="shared" si="147"/>
        <v>0</v>
      </c>
    </row>
    <row r="939" spans="1:14" x14ac:dyDescent="0.35">
      <c r="A939" s="9">
        <v>6736331</v>
      </c>
      <c r="B939" s="10">
        <v>42930</v>
      </c>
      <c r="C939" s="11">
        <v>0.41616898148148146</v>
      </c>
      <c r="D939" s="12">
        <v>0.42019675925925926</v>
      </c>
      <c r="E939" s="20">
        <f t="shared" si="140"/>
        <v>4.0277777777777968E-3</v>
      </c>
      <c r="F939" t="str">
        <f t="shared" si="141"/>
        <v>stacjonarny</v>
      </c>
      <c r="G939" s="23">
        <f t="shared" si="148"/>
        <v>331645</v>
      </c>
      <c r="H939">
        <f t="shared" si="149"/>
        <v>108608</v>
      </c>
      <c r="I939">
        <f t="shared" si="142"/>
        <v>0</v>
      </c>
      <c r="J939">
        <f t="shared" si="143"/>
        <v>0</v>
      </c>
      <c r="K939">
        <f t="shared" si="144"/>
        <v>440253</v>
      </c>
      <c r="L939">
        <f t="shared" si="145"/>
        <v>0</v>
      </c>
      <c r="M939">
        <f t="shared" si="146"/>
        <v>348</v>
      </c>
      <c r="N939">
        <f t="shared" si="147"/>
        <v>0</v>
      </c>
    </row>
    <row r="940" spans="1:14" x14ac:dyDescent="0.35">
      <c r="A940" s="5">
        <v>7291318</v>
      </c>
      <c r="B940" s="6">
        <v>42930</v>
      </c>
      <c r="C940" s="7">
        <v>0.41781249999999998</v>
      </c>
      <c r="D940" s="8">
        <v>0.42886574074074074</v>
      </c>
      <c r="E940" s="20">
        <f t="shared" si="140"/>
        <v>1.1053240740740766E-2</v>
      </c>
      <c r="F940" t="str">
        <f t="shared" si="141"/>
        <v>stacjonarny</v>
      </c>
      <c r="G940" s="23">
        <f t="shared" si="148"/>
        <v>332600</v>
      </c>
      <c r="H940">
        <f t="shared" si="149"/>
        <v>108608</v>
      </c>
      <c r="I940">
        <f t="shared" si="142"/>
        <v>0</v>
      </c>
      <c r="J940">
        <f t="shared" si="143"/>
        <v>0</v>
      </c>
      <c r="K940">
        <f t="shared" si="144"/>
        <v>441208</v>
      </c>
      <c r="L940">
        <f t="shared" si="145"/>
        <v>0</v>
      </c>
      <c r="M940">
        <f t="shared" si="146"/>
        <v>955</v>
      </c>
      <c r="N940">
        <f t="shared" si="147"/>
        <v>0</v>
      </c>
    </row>
    <row r="941" spans="1:14" x14ac:dyDescent="0.35">
      <c r="A941" s="9">
        <v>30178521</v>
      </c>
      <c r="B941" s="10">
        <v>42930</v>
      </c>
      <c r="C941" s="11">
        <v>0.42238425925925926</v>
      </c>
      <c r="D941" s="12">
        <v>0.42388888888888887</v>
      </c>
      <c r="E941" s="20">
        <f t="shared" si="140"/>
        <v>1.5046296296296058E-3</v>
      </c>
      <c r="F941" t="str">
        <f t="shared" si="141"/>
        <v>komorkowy</v>
      </c>
      <c r="G941" s="23">
        <f t="shared" si="148"/>
        <v>332600</v>
      </c>
      <c r="H941">
        <f t="shared" si="149"/>
        <v>108738</v>
      </c>
      <c r="I941">
        <f t="shared" si="142"/>
        <v>0</v>
      </c>
      <c r="J941">
        <f t="shared" si="143"/>
        <v>0</v>
      </c>
      <c r="K941">
        <f t="shared" si="144"/>
        <v>441338</v>
      </c>
      <c r="L941">
        <f t="shared" si="145"/>
        <v>0</v>
      </c>
      <c r="M941">
        <f t="shared" si="146"/>
        <v>0</v>
      </c>
      <c r="N941">
        <f t="shared" si="147"/>
        <v>130</v>
      </c>
    </row>
    <row r="942" spans="1:14" x14ac:dyDescent="0.35">
      <c r="A942" s="5">
        <v>3232376</v>
      </c>
      <c r="B942" s="6">
        <v>42930</v>
      </c>
      <c r="C942" s="7">
        <v>0.42584490740740738</v>
      </c>
      <c r="D942" s="8">
        <v>0.43512731481481481</v>
      </c>
      <c r="E942" s="20">
        <f t="shared" si="140"/>
        <v>9.2824074074074336E-3</v>
      </c>
      <c r="F942" t="str">
        <f t="shared" si="141"/>
        <v>stacjonarny</v>
      </c>
      <c r="G942" s="23">
        <f t="shared" si="148"/>
        <v>333402</v>
      </c>
      <c r="H942">
        <f t="shared" si="149"/>
        <v>108738</v>
      </c>
      <c r="I942">
        <f t="shared" si="142"/>
        <v>0</v>
      </c>
      <c r="J942">
        <f t="shared" si="143"/>
        <v>0</v>
      </c>
      <c r="K942">
        <f t="shared" si="144"/>
        <v>442140</v>
      </c>
      <c r="L942">
        <f t="shared" si="145"/>
        <v>0</v>
      </c>
      <c r="M942">
        <f t="shared" si="146"/>
        <v>802</v>
      </c>
      <c r="N942">
        <f t="shared" si="147"/>
        <v>0</v>
      </c>
    </row>
    <row r="943" spans="1:14" x14ac:dyDescent="0.35">
      <c r="A943" s="9">
        <v>7536048937</v>
      </c>
      <c r="B943" s="10">
        <v>42930</v>
      </c>
      <c r="C943" s="11">
        <v>0.43115740740740743</v>
      </c>
      <c r="D943" s="12">
        <v>0.43990740740740741</v>
      </c>
      <c r="E943" s="20">
        <f t="shared" si="140"/>
        <v>8.74999999999998E-3</v>
      </c>
      <c r="F943" t="str">
        <f t="shared" si="141"/>
        <v>zagraniczny</v>
      </c>
      <c r="G943" s="23">
        <f t="shared" si="148"/>
        <v>333402</v>
      </c>
      <c r="H943">
        <f t="shared" si="149"/>
        <v>108738</v>
      </c>
      <c r="I943">
        <f t="shared" si="142"/>
        <v>756</v>
      </c>
      <c r="J943">
        <f t="shared" si="143"/>
        <v>13</v>
      </c>
      <c r="K943">
        <f t="shared" si="144"/>
        <v>442140</v>
      </c>
      <c r="L943">
        <f t="shared" si="145"/>
        <v>0</v>
      </c>
      <c r="M943">
        <f t="shared" si="146"/>
        <v>0</v>
      </c>
      <c r="N943">
        <f t="shared" si="147"/>
        <v>0</v>
      </c>
    </row>
    <row r="944" spans="1:14" x14ac:dyDescent="0.35">
      <c r="A944" s="5">
        <v>6026397</v>
      </c>
      <c r="B944" s="6">
        <v>42930</v>
      </c>
      <c r="C944" s="7">
        <v>0.43362268518518521</v>
      </c>
      <c r="D944" s="8">
        <v>0.44447916666666665</v>
      </c>
      <c r="E944" s="20">
        <f t="shared" si="140"/>
        <v>1.0856481481481439E-2</v>
      </c>
      <c r="F944" t="str">
        <f t="shared" si="141"/>
        <v>stacjonarny</v>
      </c>
      <c r="G944" s="23">
        <f t="shared" si="148"/>
        <v>334340</v>
      </c>
      <c r="H944">
        <f t="shared" si="149"/>
        <v>108738</v>
      </c>
      <c r="I944">
        <f t="shared" si="142"/>
        <v>0</v>
      </c>
      <c r="J944">
        <f t="shared" si="143"/>
        <v>0</v>
      </c>
      <c r="K944">
        <f t="shared" si="144"/>
        <v>443078</v>
      </c>
      <c r="L944">
        <f t="shared" si="145"/>
        <v>0</v>
      </c>
      <c r="M944">
        <f t="shared" si="146"/>
        <v>938</v>
      </c>
      <c r="N944">
        <f t="shared" si="147"/>
        <v>0</v>
      </c>
    </row>
    <row r="945" spans="1:14" x14ac:dyDescent="0.35">
      <c r="A945" s="9">
        <v>54821549</v>
      </c>
      <c r="B945" s="10">
        <v>42930</v>
      </c>
      <c r="C945" s="11">
        <v>0.43517361111111114</v>
      </c>
      <c r="D945" s="12">
        <v>0.4466087962962963</v>
      </c>
      <c r="E945" s="20">
        <f t="shared" si="140"/>
        <v>1.1435185185185159E-2</v>
      </c>
      <c r="F945" t="str">
        <f t="shared" si="141"/>
        <v>komorkowy</v>
      </c>
      <c r="G945" s="23">
        <f t="shared" si="148"/>
        <v>334340</v>
      </c>
      <c r="H945">
        <f t="shared" si="149"/>
        <v>109726</v>
      </c>
      <c r="I945">
        <f t="shared" si="142"/>
        <v>0</v>
      </c>
      <c r="J945">
        <f t="shared" si="143"/>
        <v>0</v>
      </c>
      <c r="K945">
        <f t="shared" si="144"/>
        <v>444066</v>
      </c>
      <c r="L945">
        <f t="shared" si="145"/>
        <v>0</v>
      </c>
      <c r="M945">
        <f t="shared" si="146"/>
        <v>0</v>
      </c>
      <c r="N945">
        <f t="shared" si="147"/>
        <v>988</v>
      </c>
    </row>
    <row r="946" spans="1:14" x14ac:dyDescent="0.35">
      <c r="A946" s="5">
        <v>4555937</v>
      </c>
      <c r="B946" s="6">
        <v>42930</v>
      </c>
      <c r="C946" s="7">
        <v>0.43956018518518519</v>
      </c>
      <c r="D946" s="8">
        <v>0.44253472222222223</v>
      </c>
      <c r="E946" s="20">
        <f t="shared" si="140"/>
        <v>2.9745370370370394E-3</v>
      </c>
      <c r="F946" t="str">
        <f t="shared" si="141"/>
        <v>stacjonarny</v>
      </c>
      <c r="G946" s="23">
        <f t="shared" si="148"/>
        <v>334597</v>
      </c>
      <c r="H946">
        <f t="shared" si="149"/>
        <v>109726</v>
      </c>
      <c r="I946">
        <f t="shared" si="142"/>
        <v>0</v>
      </c>
      <c r="J946">
        <f t="shared" si="143"/>
        <v>0</v>
      </c>
      <c r="K946">
        <f t="shared" si="144"/>
        <v>444323</v>
      </c>
      <c r="L946">
        <f t="shared" si="145"/>
        <v>0</v>
      </c>
      <c r="M946">
        <f t="shared" si="146"/>
        <v>257</v>
      </c>
      <c r="N946">
        <f t="shared" si="147"/>
        <v>0</v>
      </c>
    </row>
    <row r="947" spans="1:14" x14ac:dyDescent="0.35">
      <c r="A947" s="9">
        <v>65621292</v>
      </c>
      <c r="B947" s="10">
        <v>42930</v>
      </c>
      <c r="C947" s="11">
        <v>0.44060185185185186</v>
      </c>
      <c r="D947" s="12">
        <v>0.44655092592592593</v>
      </c>
      <c r="E947" s="20">
        <f t="shared" si="140"/>
        <v>5.9490740740740788E-3</v>
      </c>
      <c r="F947" t="str">
        <f t="shared" si="141"/>
        <v>komorkowy</v>
      </c>
      <c r="G947" s="23">
        <f t="shared" si="148"/>
        <v>334597</v>
      </c>
      <c r="H947">
        <f t="shared" si="149"/>
        <v>110240</v>
      </c>
      <c r="I947">
        <f t="shared" si="142"/>
        <v>0</v>
      </c>
      <c r="J947">
        <f t="shared" si="143"/>
        <v>0</v>
      </c>
      <c r="K947">
        <f t="shared" si="144"/>
        <v>444837</v>
      </c>
      <c r="L947">
        <f t="shared" si="145"/>
        <v>0</v>
      </c>
      <c r="M947">
        <f t="shared" si="146"/>
        <v>0</v>
      </c>
      <c r="N947">
        <f t="shared" si="147"/>
        <v>514</v>
      </c>
    </row>
    <row r="948" spans="1:14" x14ac:dyDescent="0.35">
      <c r="A948" s="5">
        <v>13898038</v>
      </c>
      <c r="B948" s="6">
        <v>42930</v>
      </c>
      <c r="C948" s="7">
        <v>0.44072916666666667</v>
      </c>
      <c r="D948" s="8">
        <v>0.4496412037037037</v>
      </c>
      <c r="E948" s="20">
        <f t="shared" si="140"/>
        <v>8.9120370370370239E-3</v>
      </c>
      <c r="F948" t="str">
        <f t="shared" si="141"/>
        <v>komorkowy</v>
      </c>
      <c r="G948" s="23">
        <f t="shared" si="148"/>
        <v>334597</v>
      </c>
      <c r="H948">
        <f t="shared" si="149"/>
        <v>111010</v>
      </c>
      <c r="I948">
        <f t="shared" si="142"/>
        <v>0</v>
      </c>
      <c r="J948">
        <f t="shared" si="143"/>
        <v>0</v>
      </c>
      <c r="K948">
        <f t="shared" si="144"/>
        <v>445607</v>
      </c>
      <c r="L948">
        <f t="shared" si="145"/>
        <v>0</v>
      </c>
      <c r="M948">
        <f t="shared" si="146"/>
        <v>0</v>
      </c>
      <c r="N948">
        <f t="shared" si="147"/>
        <v>770</v>
      </c>
    </row>
    <row r="949" spans="1:14" x14ac:dyDescent="0.35">
      <c r="A949" s="9">
        <v>6018613</v>
      </c>
      <c r="B949" s="10">
        <v>42930</v>
      </c>
      <c r="C949" s="11">
        <v>0.44295138888888891</v>
      </c>
      <c r="D949" s="12">
        <v>0.44545138888888891</v>
      </c>
      <c r="E949" s="20">
        <f t="shared" si="140"/>
        <v>2.5000000000000022E-3</v>
      </c>
      <c r="F949" t="str">
        <f t="shared" si="141"/>
        <v>stacjonarny</v>
      </c>
      <c r="G949" s="23">
        <f t="shared" si="148"/>
        <v>334813</v>
      </c>
      <c r="H949">
        <f t="shared" si="149"/>
        <v>111010</v>
      </c>
      <c r="I949">
        <f t="shared" si="142"/>
        <v>0</v>
      </c>
      <c r="J949">
        <f t="shared" si="143"/>
        <v>0</v>
      </c>
      <c r="K949">
        <f t="shared" si="144"/>
        <v>445823</v>
      </c>
      <c r="L949">
        <f t="shared" si="145"/>
        <v>0</v>
      </c>
      <c r="M949">
        <f t="shared" si="146"/>
        <v>216</v>
      </c>
      <c r="N949">
        <f t="shared" si="147"/>
        <v>0</v>
      </c>
    </row>
    <row r="950" spans="1:14" x14ac:dyDescent="0.35">
      <c r="A950" s="5">
        <v>7741751</v>
      </c>
      <c r="B950" s="6">
        <v>42930</v>
      </c>
      <c r="C950" s="7">
        <v>0.4450925925925926</v>
      </c>
      <c r="D950" s="8">
        <v>0.44888888888888889</v>
      </c>
      <c r="E950" s="20">
        <f t="shared" si="140"/>
        <v>3.7962962962962976E-3</v>
      </c>
      <c r="F950" t="str">
        <f t="shared" si="141"/>
        <v>stacjonarny</v>
      </c>
      <c r="G950" s="23">
        <f t="shared" si="148"/>
        <v>335141</v>
      </c>
      <c r="H950">
        <f t="shared" si="149"/>
        <v>111010</v>
      </c>
      <c r="I950">
        <f t="shared" si="142"/>
        <v>0</v>
      </c>
      <c r="J950">
        <f t="shared" si="143"/>
        <v>0</v>
      </c>
      <c r="K950">
        <f t="shared" si="144"/>
        <v>446151</v>
      </c>
      <c r="L950">
        <f t="shared" si="145"/>
        <v>0</v>
      </c>
      <c r="M950">
        <f t="shared" si="146"/>
        <v>328</v>
      </c>
      <c r="N950">
        <f t="shared" si="147"/>
        <v>0</v>
      </c>
    </row>
    <row r="951" spans="1:14" x14ac:dyDescent="0.35">
      <c r="A951" s="9">
        <v>5512492</v>
      </c>
      <c r="B951" s="10">
        <v>42930</v>
      </c>
      <c r="C951" s="11">
        <v>0.44538194444444446</v>
      </c>
      <c r="D951" s="12">
        <v>0.4525925925925926</v>
      </c>
      <c r="E951" s="20">
        <f t="shared" si="140"/>
        <v>7.2106481481481466E-3</v>
      </c>
      <c r="F951" t="str">
        <f t="shared" si="141"/>
        <v>stacjonarny</v>
      </c>
      <c r="G951" s="23">
        <f t="shared" si="148"/>
        <v>335764</v>
      </c>
      <c r="H951">
        <f t="shared" si="149"/>
        <v>111010</v>
      </c>
      <c r="I951">
        <f t="shared" si="142"/>
        <v>0</v>
      </c>
      <c r="J951">
        <f t="shared" si="143"/>
        <v>0</v>
      </c>
      <c r="K951">
        <f t="shared" si="144"/>
        <v>446774</v>
      </c>
      <c r="L951">
        <f t="shared" si="145"/>
        <v>0</v>
      </c>
      <c r="M951">
        <f t="shared" si="146"/>
        <v>623</v>
      </c>
      <c r="N951">
        <f t="shared" si="147"/>
        <v>0</v>
      </c>
    </row>
    <row r="952" spans="1:14" x14ac:dyDescent="0.35">
      <c r="A952" s="5">
        <v>36332723</v>
      </c>
      <c r="B952" s="6">
        <v>42930</v>
      </c>
      <c r="C952" s="7">
        <v>0.44593749999999999</v>
      </c>
      <c r="D952" s="8">
        <v>0.44957175925925924</v>
      </c>
      <c r="E952" s="20">
        <f t="shared" si="140"/>
        <v>3.6342592592592537E-3</v>
      </c>
      <c r="F952" t="str">
        <f t="shared" si="141"/>
        <v>komorkowy</v>
      </c>
      <c r="G952" s="23">
        <f t="shared" si="148"/>
        <v>335764</v>
      </c>
      <c r="H952">
        <f t="shared" si="149"/>
        <v>111324</v>
      </c>
      <c r="I952">
        <f t="shared" si="142"/>
        <v>0</v>
      </c>
      <c r="J952">
        <f t="shared" si="143"/>
        <v>0</v>
      </c>
      <c r="K952">
        <f t="shared" si="144"/>
        <v>447088</v>
      </c>
      <c r="L952">
        <f t="shared" si="145"/>
        <v>0</v>
      </c>
      <c r="M952">
        <f t="shared" si="146"/>
        <v>0</v>
      </c>
      <c r="N952">
        <f t="shared" si="147"/>
        <v>314</v>
      </c>
    </row>
    <row r="953" spans="1:14" x14ac:dyDescent="0.35">
      <c r="A953" s="9">
        <v>28961250</v>
      </c>
      <c r="B953" s="10">
        <v>42930</v>
      </c>
      <c r="C953" s="11">
        <v>0.4478935185185185</v>
      </c>
      <c r="D953" s="12">
        <v>0.44805555555555554</v>
      </c>
      <c r="E953" s="20">
        <f t="shared" si="140"/>
        <v>1.6203703703704386E-4</v>
      </c>
      <c r="F953" t="str">
        <f t="shared" si="141"/>
        <v>komorkowy</v>
      </c>
      <c r="G953" s="23">
        <f t="shared" si="148"/>
        <v>335764</v>
      </c>
      <c r="H953">
        <f t="shared" si="149"/>
        <v>111338</v>
      </c>
      <c r="I953">
        <f t="shared" si="142"/>
        <v>0</v>
      </c>
      <c r="J953">
        <f t="shared" si="143"/>
        <v>0</v>
      </c>
      <c r="K953">
        <f t="shared" si="144"/>
        <v>447102</v>
      </c>
      <c r="L953">
        <f t="shared" si="145"/>
        <v>0</v>
      </c>
      <c r="M953">
        <f t="shared" si="146"/>
        <v>0</v>
      </c>
      <c r="N953">
        <f t="shared" si="147"/>
        <v>14</v>
      </c>
    </row>
    <row r="954" spans="1:14" x14ac:dyDescent="0.35">
      <c r="A954" s="5">
        <v>96191858</v>
      </c>
      <c r="B954" s="6">
        <v>42930</v>
      </c>
      <c r="C954" s="7">
        <v>0.44916666666666666</v>
      </c>
      <c r="D954" s="8">
        <v>0.46023148148148146</v>
      </c>
      <c r="E954" s="20">
        <f t="shared" si="140"/>
        <v>1.1064814814814805E-2</v>
      </c>
      <c r="F954" t="str">
        <f t="shared" si="141"/>
        <v>komorkowy</v>
      </c>
      <c r="G954" s="23">
        <f t="shared" si="148"/>
        <v>335764</v>
      </c>
      <c r="H954">
        <f t="shared" si="149"/>
        <v>112294</v>
      </c>
      <c r="I954">
        <f t="shared" si="142"/>
        <v>0</v>
      </c>
      <c r="J954">
        <f t="shared" si="143"/>
        <v>0</v>
      </c>
      <c r="K954">
        <f t="shared" si="144"/>
        <v>448058</v>
      </c>
      <c r="L954">
        <f t="shared" si="145"/>
        <v>0</v>
      </c>
      <c r="M954">
        <f t="shared" si="146"/>
        <v>0</v>
      </c>
      <c r="N954">
        <f t="shared" si="147"/>
        <v>956</v>
      </c>
    </row>
    <row r="955" spans="1:14" x14ac:dyDescent="0.35">
      <c r="A955" s="9">
        <v>49342013</v>
      </c>
      <c r="B955" s="10">
        <v>42930</v>
      </c>
      <c r="C955" s="11">
        <v>0.45233796296296297</v>
      </c>
      <c r="D955" s="12">
        <v>0.45649305555555558</v>
      </c>
      <c r="E955" s="20">
        <f t="shared" si="140"/>
        <v>4.155092592592613E-3</v>
      </c>
      <c r="F955" t="str">
        <f t="shared" si="141"/>
        <v>komorkowy</v>
      </c>
      <c r="G955" s="23">
        <f t="shared" si="148"/>
        <v>335764</v>
      </c>
      <c r="H955">
        <f t="shared" si="149"/>
        <v>112653</v>
      </c>
      <c r="I955">
        <f t="shared" si="142"/>
        <v>0</v>
      </c>
      <c r="J955">
        <f t="shared" si="143"/>
        <v>0</v>
      </c>
      <c r="K955">
        <f t="shared" si="144"/>
        <v>448417</v>
      </c>
      <c r="L955">
        <f t="shared" si="145"/>
        <v>0</v>
      </c>
      <c r="M955">
        <f t="shared" si="146"/>
        <v>0</v>
      </c>
      <c r="N955">
        <f t="shared" si="147"/>
        <v>359</v>
      </c>
    </row>
    <row r="956" spans="1:14" x14ac:dyDescent="0.35">
      <c r="A956" s="5">
        <v>2329556</v>
      </c>
      <c r="B956" s="6">
        <v>42930</v>
      </c>
      <c r="C956" s="7">
        <v>0.45667824074074076</v>
      </c>
      <c r="D956" s="8">
        <v>0.45679398148148148</v>
      </c>
      <c r="E956" s="20">
        <f t="shared" si="140"/>
        <v>1.1574074074072183E-4</v>
      </c>
      <c r="F956" t="str">
        <f t="shared" si="141"/>
        <v>stacjonarny</v>
      </c>
      <c r="G956" s="23">
        <f t="shared" si="148"/>
        <v>335774</v>
      </c>
      <c r="H956">
        <f t="shared" si="149"/>
        <v>112653</v>
      </c>
      <c r="I956">
        <f t="shared" si="142"/>
        <v>0</v>
      </c>
      <c r="J956">
        <f t="shared" si="143"/>
        <v>0</v>
      </c>
      <c r="K956">
        <f t="shared" si="144"/>
        <v>448427</v>
      </c>
      <c r="L956">
        <f t="shared" si="145"/>
        <v>0</v>
      </c>
      <c r="M956">
        <f t="shared" si="146"/>
        <v>10</v>
      </c>
      <c r="N956">
        <f t="shared" si="147"/>
        <v>0</v>
      </c>
    </row>
    <row r="957" spans="1:14" x14ac:dyDescent="0.35">
      <c r="A957" s="9">
        <v>2969264</v>
      </c>
      <c r="B957" s="10">
        <v>42930</v>
      </c>
      <c r="C957" s="11">
        <v>0.45930555555555558</v>
      </c>
      <c r="D957" s="12">
        <v>0.4634375</v>
      </c>
      <c r="E957" s="20">
        <f t="shared" si="140"/>
        <v>4.1319444444444242E-3</v>
      </c>
      <c r="F957" t="str">
        <f t="shared" si="141"/>
        <v>stacjonarny</v>
      </c>
      <c r="G957" s="23">
        <f t="shared" si="148"/>
        <v>336131</v>
      </c>
      <c r="H957">
        <f t="shared" si="149"/>
        <v>112653</v>
      </c>
      <c r="I957">
        <f t="shared" si="142"/>
        <v>0</v>
      </c>
      <c r="J957">
        <f t="shared" si="143"/>
        <v>0</v>
      </c>
      <c r="K957">
        <f t="shared" si="144"/>
        <v>448784</v>
      </c>
      <c r="L957">
        <f t="shared" si="145"/>
        <v>0</v>
      </c>
      <c r="M957">
        <f t="shared" si="146"/>
        <v>357</v>
      </c>
      <c r="N957">
        <f t="shared" si="147"/>
        <v>0</v>
      </c>
    </row>
    <row r="958" spans="1:14" x14ac:dyDescent="0.35">
      <c r="A958" s="5">
        <v>8498683</v>
      </c>
      <c r="B958" s="6">
        <v>42930</v>
      </c>
      <c r="C958" s="7">
        <v>0.45950231481481479</v>
      </c>
      <c r="D958" s="8">
        <v>0.46177083333333335</v>
      </c>
      <c r="E958" s="20">
        <f t="shared" si="140"/>
        <v>2.2685185185185586E-3</v>
      </c>
      <c r="F958" t="str">
        <f t="shared" si="141"/>
        <v>stacjonarny</v>
      </c>
      <c r="G958" s="23">
        <f t="shared" si="148"/>
        <v>336327</v>
      </c>
      <c r="H958">
        <f t="shared" si="149"/>
        <v>112653</v>
      </c>
      <c r="I958">
        <f t="shared" si="142"/>
        <v>0</v>
      </c>
      <c r="J958">
        <f t="shared" si="143"/>
        <v>0</v>
      </c>
      <c r="K958">
        <f t="shared" si="144"/>
        <v>448980</v>
      </c>
      <c r="L958">
        <f t="shared" si="145"/>
        <v>0</v>
      </c>
      <c r="M958">
        <f t="shared" si="146"/>
        <v>196</v>
      </c>
      <c r="N958">
        <f t="shared" si="147"/>
        <v>0</v>
      </c>
    </row>
    <row r="959" spans="1:14" x14ac:dyDescent="0.35">
      <c r="A959" s="9">
        <v>2341441</v>
      </c>
      <c r="B959" s="10">
        <v>42930</v>
      </c>
      <c r="C959" s="11">
        <v>0.46333333333333332</v>
      </c>
      <c r="D959" s="12">
        <v>0.46409722222222222</v>
      </c>
      <c r="E959" s="20">
        <f t="shared" si="140"/>
        <v>7.6388888888889728E-4</v>
      </c>
      <c r="F959" t="str">
        <f t="shared" si="141"/>
        <v>stacjonarny</v>
      </c>
      <c r="G959" s="23">
        <f t="shared" si="148"/>
        <v>336393</v>
      </c>
      <c r="H959">
        <f t="shared" si="149"/>
        <v>112653</v>
      </c>
      <c r="I959">
        <f t="shared" si="142"/>
        <v>0</v>
      </c>
      <c r="J959">
        <f t="shared" si="143"/>
        <v>0</v>
      </c>
      <c r="K959">
        <f t="shared" si="144"/>
        <v>449046</v>
      </c>
      <c r="L959">
        <f t="shared" si="145"/>
        <v>0</v>
      </c>
      <c r="M959">
        <f t="shared" si="146"/>
        <v>66</v>
      </c>
      <c r="N959">
        <f t="shared" si="147"/>
        <v>0</v>
      </c>
    </row>
    <row r="960" spans="1:14" x14ac:dyDescent="0.35">
      <c r="A960" s="5">
        <v>30270334</v>
      </c>
      <c r="B960" s="6">
        <v>42930</v>
      </c>
      <c r="C960" s="7">
        <v>0.46587962962962964</v>
      </c>
      <c r="D960" s="8">
        <v>0.46755787037037039</v>
      </c>
      <c r="E960" s="20">
        <f t="shared" si="140"/>
        <v>1.678240740740744E-3</v>
      </c>
      <c r="F960" t="str">
        <f t="shared" si="141"/>
        <v>komorkowy</v>
      </c>
      <c r="G960" s="23">
        <f t="shared" si="148"/>
        <v>336393</v>
      </c>
      <c r="H960">
        <f t="shared" si="149"/>
        <v>112798</v>
      </c>
      <c r="I960">
        <f t="shared" si="142"/>
        <v>0</v>
      </c>
      <c r="J960">
        <f t="shared" si="143"/>
        <v>0</v>
      </c>
      <c r="K960">
        <f t="shared" si="144"/>
        <v>449191</v>
      </c>
      <c r="L960">
        <f t="shared" si="145"/>
        <v>0</v>
      </c>
      <c r="M960">
        <f t="shared" si="146"/>
        <v>0</v>
      </c>
      <c r="N960">
        <f t="shared" si="147"/>
        <v>145</v>
      </c>
    </row>
    <row r="961" spans="1:14" x14ac:dyDescent="0.35">
      <c r="A961" s="9">
        <v>4657345</v>
      </c>
      <c r="B961" s="10">
        <v>42930</v>
      </c>
      <c r="C961" s="11">
        <v>0.46988425925925925</v>
      </c>
      <c r="D961" s="12">
        <v>0.47721064814814818</v>
      </c>
      <c r="E961" s="20">
        <f t="shared" si="140"/>
        <v>7.3263888888889239E-3</v>
      </c>
      <c r="F961" t="str">
        <f t="shared" si="141"/>
        <v>stacjonarny</v>
      </c>
      <c r="G961" s="23">
        <f t="shared" si="148"/>
        <v>337026</v>
      </c>
      <c r="H961">
        <f t="shared" si="149"/>
        <v>112798</v>
      </c>
      <c r="I961">
        <f t="shared" si="142"/>
        <v>0</v>
      </c>
      <c r="J961">
        <f t="shared" si="143"/>
        <v>0</v>
      </c>
      <c r="K961">
        <f t="shared" si="144"/>
        <v>449824</v>
      </c>
      <c r="L961">
        <f t="shared" si="145"/>
        <v>0</v>
      </c>
      <c r="M961">
        <f t="shared" si="146"/>
        <v>633</v>
      </c>
      <c r="N961">
        <f t="shared" si="147"/>
        <v>0</v>
      </c>
    </row>
    <row r="962" spans="1:14" x14ac:dyDescent="0.35">
      <c r="A962" s="5">
        <v>2145244</v>
      </c>
      <c r="B962" s="6">
        <v>42930</v>
      </c>
      <c r="C962" s="7">
        <v>0.47028935185185183</v>
      </c>
      <c r="D962" s="8">
        <v>0.47052083333333333</v>
      </c>
      <c r="E962" s="20">
        <f t="shared" si="140"/>
        <v>2.3148148148149916E-4</v>
      </c>
      <c r="F962" t="str">
        <f t="shared" si="141"/>
        <v>stacjonarny</v>
      </c>
      <c r="G962" s="23">
        <f t="shared" si="148"/>
        <v>337046</v>
      </c>
      <c r="H962">
        <f t="shared" si="149"/>
        <v>112798</v>
      </c>
      <c r="I962">
        <f t="shared" si="142"/>
        <v>0</v>
      </c>
      <c r="J962">
        <f t="shared" si="143"/>
        <v>0</v>
      </c>
      <c r="K962">
        <f t="shared" si="144"/>
        <v>449844</v>
      </c>
      <c r="L962">
        <f t="shared" si="145"/>
        <v>0</v>
      </c>
      <c r="M962">
        <f t="shared" si="146"/>
        <v>20</v>
      </c>
      <c r="N962">
        <f t="shared" si="147"/>
        <v>0</v>
      </c>
    </row>
    <row r="963" spans="1:14" x14ac:dyDescent="0.35">
      <c r="A963" s="9">
        <v>7627829</v>
      </c>
      <c r="B963" s="10">
        <v>42930</v>
      </c>
      <c r="C963" s="11">
        <v>0.4742824074074074</v>
      </c>
      <c r="D963" s="12">
        <v>0.48538194444444444</v>
      </c>
      <c r="E963" s="20">
        <f t="shared" ref="E963:E1026" si="150">D963-C963</f>
        <v>1.1099537037037033E-2</v>
      </c>
      <c r="F963" t="str">
        <f t="shared" ref="F963:F1026" si="151">IF(LEN(A963)=7,"stacjonarny",IF(LEN(A963)=8,"komorkowy","zagraniczny"))</f>
        <v>stacjonarny</v>
      </c>
      <c r="G963" s="23">
        <f t="shared" si="148"/>
        <v>338005</v>
      </c>
      <c r="H963">
        <f t="shared" si="149"/>
        <v>112798</v>
      </c>
      <c r="I963">
        <f t="shared" ref="I963:I1026" si="152">IF(F963="zagraniczny",MINUTE(E963)*60+SECOND(E963)+HOUR(E963)*3600,0)</f>
        <v>0</v>
      </c>
      <c r="J963">
        <f t="shared" ref="J963:J1026" si="153">ROUNDUP(I963/60,0)</f>
        <v>0</v>
      </c>
      <c r="K963">
        <f t="shared" ref="K963:K1026" si="154">G963+H963</f>
        <v>450803</v>
      </c>
      <c r="L963">
        <f t="shared" ref="L963:L1026" si="155">IF(K963&lt;=48000,1,0)</f>
        <v>0</v>
      </c>
      <c r="M963">
        <f t="shared" ref="M963:M1026" si="156">IF(AND(L963=0,F963="stacjonarny"),SECOND(E963)+60*MINUTE(E963),0)</f>
        <v>959</v>
      </c>
      <c r="N963">
        <f t="shared" ref="N963:N1026" si="157">IF(AND(L963=0,F963="komorkowy"),SECOND(E963)+60*MINUTE(E963),0)</f>
        <v>0</v>
      </c>
    </row>
    <row r="964" spans="1:14" x14ac:dyDescent="0.35">
      <c r="A964" s="5">
        <v>9182658</v>
      </c>
      <c r="B964" s="6">
        <v>42930</v>
      </c>
      <c r="C964" s="7">
        <v>0.47594907407407405</v>
      </c>
      <c r="D964" s="8">
        <v>0.47641203703703705</v>
      </c>
      <c r="E964" s="20">
        <f t="shared" si="150"/>
        <v>4.6296296296299833E-4</v>
      </c>
      <c r="F964" t="str">
        <f t="shared" si="151"/>
        <v>stacjonarny</v>
      </c>
      <c r="G964" s="23">
        <f t="shared" ref="G964:G1027" si="158">IF(F964="stacjonarny",MINUTE(E964)*60+SECOND(E964)+G963,G963)</f>
        <v>338045</v>
      </c>
      <c r="H964">
        <f t="shared" ref="H964:H1027" si="159">IF(F964="komorkowy",MINUTE(E964)*60+SECOND(E964)+H963,H963)</f>
        <v>112798</v>
      </c>
      <c r="I964">
        <f t="shared" si="152"/>
        <v>0</v>
      </c>
      <c r="J964">
        <f t="shared" si="153"/>
        <v>0</v>
      </c>
      <c r="K964">
        <f t="shared" si="154"/>
        <v>450843</v>
      </c>
      <c r="L964">
        <f t="shared" si="155"/>
        <v>0</v>
      </c>
      <c r="M964">
        <f t="shared" si="156"/>
        <v>40</v>
      </c>
      <c r="N964">
        <f t="shared" si="157"/>
        <v>0</v>
      </c>
    </row>
    <row r="965" spans="1:14" x14ac:dyDescent="0.35">
      <c r="A965" s="9">
        <v>4191600</v>
      </c>
      <c r="B965" s="10">
        <v>42930</v>
      </c>
      <c r="C965" s="11">
        <v>0.47799768518518521</v>
      </c>
      <c r="D965" s="12">
        <v>0.47905092592592591</v>
      </c>
      <c r="E965" s="20">
        <f t="shared" si="150"/>
        <v>1.0532407407407018E-3</v>
      </c>
      <c r="F965" t="str">
        <f t="shared" si="151"/>
        <v>stacjonarny</v>
      </c>
      <c r="G965" s="23">
        <f t="shared" si="158"/>
        <v>338136</v>
      </c>
      <c r="H965">
        <f t="shared" si="159"/>
        <v>112798</v>
      </c>
      <c r="I965">
        <f t="shared" si="152"/>
        <v>0</v>
      </c>
      <c r="J965">
        <f t="shared" si="153"/>
        <v>0</v>
      </c>
      <c r="K965">
        <f t="shared" si="154"/>
        <v>450934</v>
      </c>
      <c r="L965">
        <f t="shared" si="155"/>
        <v>0</v>
      </c>
      <c r="M965">
        <f t="shared" si="156"/>
        <v>91</v>
      </c>
      <c r="N965">
        <f t="shared" si="157"/>
        <v>0</v>
      </c>
    </row>
    <row r="966" spans="1:14" x14ac:dyDescent="0.35">
      <c r="A966" s="5">
        <v>5492379</v>
      </c>
      <c r="B966" s="6">
        <v>42930</v>
      </c>
      <c r="C966" s="7">
        <v>0.47825231481481484</v>
      </c>
      <c r="D966" s="8">
        <v>0.48502314814814818</v>
      </c>
      <c r="E966" s="20">
        <f t="shared" si="150"/>
        <v>6.770833333333337E-3</v>
      </c>
      <c r="F966" t="str">
        <f t="shared" si="151"/>
        <v>stacjonarny</v>
      </c>
      <c r="G966" s="23">
        <f t="shared" si="158"/>
        <v>338721</v>
      </c>
      <c r="H966">
        <f t="shared" si="159"/>
        <v>112798</v>
      </c>
      <c r="I966">
        <f t="shared" si="152"/>
        <v>0</v>
      </c>
      <c r="J966">
        <f t="shared" si="153"/>
        <v>0</v>
      </c>
      <c r="K966">
        <f t="shared" si="154"/>
        <v>451519</v>
      </c>
      <c r="L966">
        <f t="shared" si="155"/>
        <v>0</v>
      </c>
      <c r="M966">
        <f t="shared" si="156"/>
        <v>585</v>
      </c>
      <c r="N966">
        <f t="shared" si="157"/>
        <v>0</v>
      </c>
    </row>
    <row r="967" spans="1:14" x14ac:dyDescent="0.35">
      <c r="A967" s="9">
        <v>2861766</v>
      </c>
      <c r="B967" s="10">
        <v>42930</v>
      </c>
      <c r="C967" s="11">
        <v>0.48138888888888887</v>
      </c>
      <c r="D967" s="12">
        <v>0.48574074074074075</v>
      </c>
      <c r="E967" s="20">
        <f t="shared" si="150"/>
        <v>4.3518518518518845E-3</v>
      </c>
      <c r="F967" t="str">
        <f t="shared" si="151"/>
        <v>stacjonarny</v>
      </c>
      <c r="G967" s="23">
        <f t="shared" si="158"/>
        <v>339097</v>
      </c>
      <c r="H967">
        <f t="shared" si="159"/>
        <v>112798</v>
      </c>
      <c r="I967">
        <f t="shared" si="152"/>
        <v>0</v>
      </c>
      <c r="J967">
        <f t="shared" si="153"/>
        <v>0</v>
      </c>
      <c r="K967">
        <f t="shared" si="154"/>
        <v>451895</v>
      </c>
      <c r="L967">
        <f t="shared" si="155"/>
        <v>0</v>
      </c>
      <c r="M967">
        <f t="shared" si="156"/>
        <v>376</v>
      </c>
      <c r="N967">
        <f t="shared" si="157"/>
        <v>0</v>
      </c>
    </row>
    <row r="968" spans="1:14" x14ac:dyDescent="0.35">
      <c r="A968" s="5">
        <v>1309359</v>
      </c>
      <c r="B968" s="6">
        <v>42930</v>
      </c>
      <c r="C968" s="7">
        <v>0.48422453703703705</v>
      </c>
      <c r="D968" s="8">
        <v>0.48562499999999997</v>
      </c>
      <c r="E968" s="20">
        <f t="shared" si="150"/>
        <v>1.4004629629629228E-3</v>
      </c>
      <c r="F968" t="str">
        <f t="shared" si="151"/>
        <v>stacjonarny</v>
      </c>
      <c r="G968" s="23">
        <f t="shared" si="158"/>
        <v>339218</v>
      </c>
      <c r="H968">
        <f t="shared" si="159"/>
        <v>112798</v>
      </c>
      <c r="I968">
        <f t="shared" si="152"/>
        <v>0</v>
      </c>
      <c r="J968">
        <f t="shared" si="153"/>
        <v>0</v>
      </c>
      <c r="K968">
        <f t="shared" si="154"/>
        <v>452016</v>
      </c>
      <c r="L968">
        <f t="shared" si="155"/>
        <v>0</v>
      </c>
      <c r="M968">
        <f t="shared" si="156"/>
        <v>121</v>
      </c>
      <c r="N968">
        <f t="shared" si="157"/>
        <v>0</v>
      </c>
    </row>
    <row r="969" spans="1:14" x14ac:dyDescent="0.35">
      <c r="A969" s="9">
        <v>5272270</v>
      </c>
      <c r="B969" s="10">
        <v>42930</v>
      </c>
      <c r="C969" s="11">
        <v>0.48579861111111111</v>
      </c>
      <c r="D969" s="12">
        <v>0.49395833333333333</v>
      </c>
      <c r="E969" s="20">
        <f t="shared" si="150"/>
        <v>8.159722222222221E-3</v>
      </c>
      <c r="F969" t="str">
        <f t="shared" si="151"/>
        <v>stacjonarny</v>
      </c>
      <c r="G969" s="23">
        <f t="shared" si="158"/>
        <v>339923</v>
      </c>
      <c r="H969">
        <f t="shared" si="159"/>
        <v>112798</v>
      </c>
      <c r="I969">
        <f t="shared" si="152"/>
        <v>0</v>
      </c>
      <c r="J969">
        <f t="shared" si="153"/>
        <v>0</v>
      </c>
      <c r="K969">
        <f t="shared" si="154"/>
        <v>452721</v>
      </c>
      <c r="L969">
        <f t="shared" si="155"/>
        <v>0</v>
      </c>
      <c r="M969">
        <f t="shared" si="156"/>
        <v>705</v>
      </c>
      <c r="N969">
        <f t="shared" si="157"/>
        <v>0</v>
      </c>
    </row>
    <row r="970" spans="1:14" x14ac:dyDescent="0.35">
      <c r="A970" s="5">
        <v>9266643</v>
      </c>
      <c r="B970" s="6">
        <v>42930</v>
      </c>
      <c r="C970" s="7">
        <v>0.48832175925925925</v>
      </c>
      <c r="D970" s="8">
        <v>0.49005787037037035</v>
      </c>
      <c r="E970" s="20">
        <f t="shared" si="150"/>
        <v>1.7361111111111049E-3</v>
      </c>
      <c r="F970" t="str">
        <f t="shared" si="151"/>
        <v>stacjonarny</v>
      </c>
      <c r="G970" s="23">
        <f t="shared" si="158"/>
        <v>340073</v>
      </c>
      <c r="H970">
        <f t="shared" si="159"/>
        <v>112798</v>
      </c>
      <c r="I970">
        <f t="shared" si="152"/>
        <v>0</v>
      </c>
      <c r="J970">
        <f t="shared" si="153"/>
        <v>0</v>
      </c>
      <c r="K970">
        <f t="shared" si="154"/>
        <v>452871</v>
      </c>
      <c r="L970">
        <f t="shared" si="155"/>
        <v>0</v>
      </c>
      <c r="M970">
        <f t="shared" si="156"/>
        <v>150</v>
      </c>
      <c r="N970">
        <f t="shared" si="157"/>
        <v>0</v>
      </c>
    </row>
    <row r="971" spans="1:14" x14ac:dyDescent="0.35">
      <c r="A971" s="9">
        <v>3460208</v>
      </c>
      <c r="B971" s="10">
        <v>42930</v>
      </c>
      <c r="C971" s="11">
        <v>0.49302083333333335</v>
      </c>
      <c r="D971" s="12">
        <v>0.50244212962962964</v>
      </c>
      <c r="E971" s="20">
        <f t="shared" si="150"/>
        <v>9.4212962962962887E-3</v>
      </c>
      <c r="F971" t="str">
        <f t="shared" si="151"/>
        <v>stacjonarny</v>
      </c>
      <c r="G971" s="23">
        <f t="shared" si="158"/>
        <v>340887</v>
      </c>
      <c r="H971">
        <f t="shared" si="159"/>
        <v>112798</v>
      </c>
      <c r="I971">
        <f t="shared" si="152"/>
        <v>0</v>
      </c>
      <c r="J971">
        <f t="shared" si="153"/>
        <v>0</v>
      </c>
      <c r="K971">
        <f t="shared" si="154"/>
        <v>453685</v>
      </c>
      <c r="L971">
        <f t="shared" si="155"/>
        <v>0</v>
      </c>
      <c r="M971">
        <f t="shared" si="156"/>
        <v>814</v>
      </c>
      <c r="N971">
        <f t="shared" si="157"/>
        <v>0</v>
      </c>
    </row>
    <row r="972" spans="1:14" x14ac:dyDescent="0.35">
      <c r="A972" s="5">
        <v>25545000</v>
      </c>
      <c r="B972" s="6">
        <v>42930</v>
      </c>
      <c r="C972" s="7">
        <v>0.4959722222222222</v>
      </c>
      <c r="D972" s="8">
        <v>0.50451388888888893</v>
      </c>
      <c r="E972" s="20">
        <f t="shared" si="150"/>
        <v>8.5416666666667251E-3</v>
      </c>
      <c r="F972" t="str">
        <f t="shared" si="151"/>
        <v>komorkowy</v>
      </c>
      <c r="G972" s="23">
        <f t="shared" si="158"/>
        <v>340887</v>
      </c>
      <c r="H972">
        <f t="shared" si="159"/>
        <v>113536</v>
      </c>
      <c r="I972">
        <f t="shared" si="152"/>
        <v>0</v>
      </c>
      <c r="J972">
        <f t="shared" si="153"/>
        <v>0</v>
      </c>
      <c r="K972">
        <f t="shared" si="154"/>
        <v>454423</v>
      </c>
      <c r="L972">
        <f t="shared" si="155"/>
        <v>0</v>
      </c>
      <c r="M972">
        <f t="shared" si="156"/>
        <v>0</v>
      </c>
      <c r="N972">
        <f t="shared" si="157"/>
        <v>738</v>
      </c>
    </row>
    <row r="973" spans="1:14" x14ac:dyDescent="0.35">
      <c r="A973" s="9">
        <v>1207918</v>
      </c>
      <c r="B973" s="10">
        <v>42930</v>
      </c>
      <c r="C973" s="11">
        <v>0.50126157407407412</v>
      </c>
      <c r="D973" s="12">
        <v>0.51184027777777774</v>
      </c>
      <c r="E973" s="20">
        <f t="shared" si="150"/>
        <v>1.0578703703703618E-2</v>
      </c>
      <c r="F973" t="str">
        <f t="shared" si="151"/>
        <v>stacjonarny</v>
      </c>
      <c r="G973" s="23">
        <f t="shared" si="158"/>
        <v>341801</v>
      </c>
      <c r="H973">
        <f t="shared" si="159"/>
        <v>113536</v>
      </c>
      <c r="I973">
        <f t="shared" si="152"/>
        <v>0</v>
      </c>
      <c r="J973">
        <f t="shared" si="153"/>
        <v>0</v>
      </c>
      <c r="K973">
        <f t="shared" si="154"/>
        <v>455337</v>
      </c>
      <c r="L973">
        <f t="shared" si="155"/>
        <v>0</v>
      </c>
      <c r="M973">
        <f t="shared" si="156"/>
        <v>914</v>
      </c>
      <c r="N973">
        <f t="shared" si="157"/>
        <v>0</v>
      </c>
    </row>
    <row r="974" spans="1:14" x14ac:dyDescent="0.35">
      <c r="A974" s="5">
        <v>4471828</v>
      </c>
      <c r="B974" s="6">
        <v>42930</v>
      </c>
      <c r="C974" s="7">
        <v>0.50378472222222226</v>
      </c>
      <c r="D974" s="8">
        <v>0.51043981481481482</v>
      </c>
      <c r="E974" s="20">
        <f t="shared" si="150"/>
        <v>6.6550925925925597E-3</v>
      </c>
      <c r="F974" t="str">
        <f t="shared" si="151"/>
        <v>stacjonarny</v>
      </c>
      <c r="G974" s="23">
        <f t="shared" si="158"/>
        <v>342376</v>
      </c>
      <c r="H974">
        <f t="shared" si="159"/>
        <v>113536</v>
      </c>
      <c r="I974">
        <f t="shared" si="152"/>
        <v>0</v>
      </c>
      <c r="J974">
        <f t="shared" si="153"/>
        <v>0</v>
      </c>
      <c r="K974">
        <f t="shared" si="154"/>
        <v>455912</v>
      </c>
      <c r="L974">
        <f t="shared" si="155"/>
        <v>0</v>
      </c>
      <c r="M974">
        <f t="shared" si="156"/>
        <v>575</v>
      </c>
      <c r="N974">
        <f t="shared" si="157"/>
        <v>0</v>
      </c>
    </row>
    <row r="975" spans="1:14" x14ac:dyDescent="0.35">
      <c r="A975" s="9">
        <v>6516836</v>
      </c>
      <c r="B975" s="10">
        <v>42930</v>
      </c>
      <c r="C975" s="11">
        <v>0.50812500000000005</v>
      </c>
      <c r="D975" s="12">
        <v>0.50862268518518516</v>
      </c>
      <c r="E975" s="20">
        <f t="shared" si="150"/>
        <v>4.9768518518511495E-4</v>
      </c>
      <c r="F975" t="str">
        <f t="shared" si="151"/>
        <v>stacjonarny</v>
      </c>
      <c r="G975" s="23">
        <f t="shared" si="158"/>
        <v>342419</v>
      </c>
      <c r="H975">
        <f t="shared" si="159"/>
        <v>113536</v>
      </c>
      <c r="I975">
        <f t="shared" si="152"/>
        <v>0</v>
      </c>
      <c r="J975">
        <f t="shared" si="153"/>
        <v>0</v>
      </c>
      <c r="K975">
        <f t="shared" si="154"/>
        <v>455955</v>
      </c>
      <c r="L975">
        <f t="shared" si="155"/>
        <v>0</v>
      </c>
      <c r="M975">
        <f t="shared" si="156"/>
        <v>43</v>
      </c>
      <c r="N975">
        <f t="shared" si="157"/>
        <v>0</v>
      </c>
    </row>
    <row r="976" spans="1:14" x14ac:dyDescent="0.35">
      <c r="A976" s="5">
        <v>1197931</v>
      </c>
      <c r="B976" s="6">
        <v>42930</v>
      </c>
      <c r="C976" s="7">
        <v>0.51179398148148147</v>
      </c>
      <c r="D976" s="8">
        <v>0.51231481481481478</v>
      </c>
      <c r="E976" s="20">
        <f t="shared" si="150"/>
        <v>5.2083333333330373E-4</v>
      </c>
      <c r="F976" t="str">
        <f t="shared" si="151"/>
        <v>stacjonarny</v>
      </c>
      <c r="G976" s="23">
        <f t="shared" si="158"/>
        <v>342464</v>
      </c>
      <c r="H976">
        <f t="shared" si="159"/>
        <v>113536</v>
      </c>
      <c r="I976">
        <f t="shared" si="152"/>
        <v>0</v>
      </c>
      <c r="J976">
        <f t="shared" si="153"/>
        <v>0</v>
      </c>
      <c r="K976">
        <f t="shared" si="154"/>
        <v>456000</v>
      </c>
      <c r="L976">
        <f t="shared" si="155"/>
        <v>0</v>
      </c>
      <c r="M976">
        <f t="shared" si="156"/>
        <v>45</v>
      </c>
      <c r="N976">
        <f t="shared" si="157"/>
        <v>0</v>
      </c>
    </row>
    <row r="977" spans="1:14" x14ac:dyDescent="0.35">
      <c r="A977" s="9">
        <v>8750619</v>
      </c>
      <c r="B977" s="10">
        <v>42930</v>
      </c>
      <c r="C977" s="11">
        <v>0.51645833333333335</v>
      </c>
      <c r="D977" s="12">
        <v>0.51701388888888888</v>
      </c>
      <c r="E977" s="20">
        <f t="shared" si="150"/>
        <v>5.5555555555553138E-4</v>
      </c>
      <c r="F977" t="str">
        <f t="shared" si="151"/>
        <v>stacjonarny</v>
      </c>
      <c r="G977" s="23">
        <f t="shared" si="158"/>
        <v>342512</v>
      </c>
      <c r="H977">
        <f t="shared" si="159"/>
        <v>113536</v>
      </c>
      <c r="I977">
        <f t="shared" si="152"/>
        <v>0</v>
      </c>
      <c r="J977">
        <f t="shared" si="153"/>
        <v>0</v>
      </c>
      <c r="K977">
        <f t="shared" si="154"/>
        <v>456048</v>
      </c>
      <c r="L977">
        <f t="shared" si="155"/>
        <v>0</v>
      </c>
      <c r="M977">
        <f t="shared" si="156"/>
        <v>48</v>
      </c>
      <c r="N977">
        <f t="shared" si="157"/>
        <v>0</v>
      </c>
    </row>
    <row r="978" spans="1:14" x14ac:dyDescent="0.35">
      <c r="A978" s="5">
        <v>2076719</v>
      </c>
      <c r="B978" s="6">
        <v>42930</v>
      </c>
      <c r="C978" s="7">
        <v>0.52056712962962959</v>
      </c>
      <c r="D978" s="8">
        <v>0.52818287037037037</v>
      </c>
      <c r="E978" s="20">
        <f t="shared" si="150"/>
        <v>7.615740740740784E-3</v>
      </c>
      <c r="F978" t="str">
        <f t="shared" si="151"/>
        <v>stacjonarny</v>
      </c>
      <c r="G978" s="23">
        <f t="shared" si="158"/>
        <v>343170</v>
      </c>
      <c r="H978">
        <f t="shared" si="159"/>
        <v>113536</v>
      </c>
      <c r="I978">
        <f t="shared" si="152"/>
        <v>0</v>
      </c>
      <c r="J978">
        <f t="shared" si="153"/>
        <v>0</v>
      </c>
      <c r="K978">
        <f t="shared" si="154"/>
        <v>456706</v>
      </c>
      <c r="L978">
        <f t="shared" si="155"/>
        <v>0</v>
      </c>
      <c r="M978">
        <f t="shared" si="156"/>
        <v>658</v>
      </c>
      <c r="N978">
        <f t="shared" si="157"/>
        <v>0</v>
      </c>
    </row>
    <row r="979" spans="1:14" x14ac:dyDescent="0.35">
      <c r="A979" s="9">
        <v>3131883</v>
      </c>
      <c r="B979" s="10">
        <v>42930</v>
      </c>
      <c r="C979" s="11">
        <v>0.52427083333333335</v>
      </c>
      <c r="D979" s="12">
        <v>0.52818287037037037</v>
      </c>
      <c r="E979" s="20">
        <f t="shared" si="150"/>
        <v>3.9120370370370194E-3</v>
      </c>
      <c r="F979" t="str">
        <f t="shared" si="151"/>
        <v>stacjonarny</v>
      </c>
      <c r="G979" s="23">
        <f t="shared" si="158"/>
        <v>343508</v>
      </c>
      <c r="H979">
        <f t="shared" si="159"/>
        <v>113536</v>
      </c>
      <c r="I979">
        <f t="shared" si="152"/>
        <v>0</v>
      </c>
      <c r="J979">
        <f t="shared" si="153"/>
        <v>0</v>
      </c>
      <c r="K979">
        <f t="shared" si="154"/>
        <v>457044</v>
      </c>
      <c r="L979">
        <f t="shared" si="155"/>
        <v>0</v>
      </c>
      <c r="M979">
        <f t="shared" si="156"/>
        <v>338</v>
      </c>
      <c r="N979">
        <f t="shared" si="157"/>
        <v>0</v>
      </c>
    </row>
    <row r="980" spans="1:14" x14ac:dyDescent="0.35">
      <c r="A980" s="5">
        <v>1552302</v>
      </c>
      <c r="B980" s="6">
        <v>42930</v>
      </c>
      <c r="C980" s="7">
        <v>0.52953703703703703</v>
      </c>
      <c r="D980" s="8">
        <v>0.54078703703703701</v>
      </c>
      <c r="E980" s="20">
        <f t="shared" si="150"/>
        <v>1.1249999999999982E-2</v>
      </c>
      <c r="F980" t="str">
        <f t="shared" si="151"/>
        <v>stacjonarny</v>
      </c>
      <c r="G980" s="23">
        <f t="shared" si="158"/>
        <v>344480</v>
      </c>
      <c r="H980">
        <f t="shared" si="159"/>
        <v>113536</v>
      </c>
      <c r="I980">
        <f t="shared" si="152"/>
        <v>0</v>
      </c>
      <c r="J980">
        <f t="shared" si="153"/>
        <v>0</v>
      </c>
      <c r="K980">
        <f t="shared" si="154"/>
        <v>458016</v>
      </c>
      <c r="L980">
        <f t="shared" si="155"/>
        <v>0</v>
      </c>
      <c r="M980">
        <f t="shared" si="156"/>
        <v>972</v>
      </c>
      <c r="N980">
        <f t="shared" si="157"/>
        <v>0</v>
      </c>
    </row>
    <row r="981" spans="1:14" x14ac:dyDescent="0.35">
      <c r="A981" s="9">
        <v>33708687</v>
      </c>
      <c r="B981" s="10">
        <v>42930</v>
      </c>
      <c r="C981" s="11">
        <v>0.53237268518518521</v>
      </c>
      <c r="D981" s="12">
        <v>0.53413194444444445</v>
      </c>
      <c r="E981" s="20">
        <f t="shared" si="150"/>
        <v>1.7592592592592382E-3</v>
      </c>
      <c r="F981" t="str">
        <f t="shared" si="151"/>
        <v>komorkowy</v>
      </c>
      <c r="G981" s="23">
        <f t="shared" si="158"/>
        <v>344480</v>
      </c>
      <c r="H981">
        <f t="shared" si="159"/>
        <v>113688</v>
      </c>
      <c r="I981">
        <f t="shared" si="152"/>
        <v>0</v>
      </c>
      <c r="J981">
        <f t="shared" si="153"/>
        <v>0</v>
      </c>
      <c r="K981">
        <f t="shared" si="154"/>
        <v>458168</v>
      </c>
      <c r="L981">
        <f t="shared" si="155"/>
        <v>0</v>
      </c>
      <c r="M981">
        <f t="shared" si="156"/>
        <v>0</v>
      </c>
      <c r="N981">
        <f t="shared" si="157"/>
        <v>152</v>
      </c>
    </row>
    <row r="982" spans="1:14" x14ac:dyDescent="0.35">
      <c r="A982" s="5">
        <v>23123600</v>
      </c>
      <c r="B982" s="6">
        <v>42930</v>
      </c>
      <c r="C982" s="7">
        <v>0.53268518518518515</v>
      </c>
      <c r="D982" s="8">
        <v>0.54135416666666669</v>
      </c>
      <c r="E982" s="20">
        <f t="shared" si="150"/>
        <v>8.6689814814815414E-3</v>
      </c>
      <c r="F982" t="str">
        <f t="shared" si="151"/>
        <v>komorkowy</v>
      </c>
      <c r="G982" s="23">
        <f t="shared" si="158"/>
        <v>344480</v>
      </c>
      <c r="H982">
        <f t="shared" si="159"/>
        <v>114437</v>
      </c>
      <c r="I982">
        <f t="shared" si="152"/>
        <v>0</v>
      </c>
      <c r="J982">
        <f t="shared" si="153"/>
        <v>0</v>
      </c>
      <c r="K982">
        <f t="shared" si="154"/>
        <v>458917</v>
      </c>
      <c r="L982">
        <f t="shared" si="155"/>
        <v>0</v>
      </c>
      <c r="M982">
        <f t="shared" si="156"/>
        <v>0</v>
      </c>
      <c r="N982">
        <f t="shared" si="157"/>
        <v>749</v>
      </c>
    </row>
    <row r="983" spans="1:14" x14ac:dyDescent="0.35">
      <c r="A983" s="9">
        <v>5913571</v>
      </c>
      <c r="B983" s="10">
        <v>42930</v>
      </c>
      <c r="C983" s="11">
        <v>0.53740740740740744</v>
      </c>
      <c r="D983" s="12">
        <v>0.54893518518518514</v>
      </c>
      <c r="E983" s="20">
        <f t="shared" si="150"/>
        <v>1.1527777777777692E-2</v>
      </c>
      <c r="F983" t="str">
        <f t="shared" si="151"/>
        <v>stacjonarny</v>
      </c>
      <c r="G983" s="23">
        <f t="shared" si="158"/>
        <v>345476</v>
      </c>
      <c r="H983">
        <f t="shared" si="159"/>
        <v>114437</v>
      </c>
      <c r="I983">
        <f t="shared" si="152"/>
        <v>0</v>
      </c>
      <c r="J983">
        <f t="shared" si="153"/>
        <v>0</v>
      </c>
      <c r="K983">
        <f t="shared" si="154"/>
        <v>459913</v>
      </c>
      <c r="L983">
        <f t="shared" si="155"/>
        <v>0</v>
      </c>
      <c r="M983">
        <f t="shared" si="156"/>
        <v>996</v>
      </c>
      <c r="N983">
        <f t="shared" si="157"/>
        <v>0</v>
      </c>
    </row>
    <row r="984" spans="1:14" x14ac:dyDescent="0.35">
      <c r="A984" s="5">
        <v>5790304</v>
      </c>
      <c r="B984" s="6">
        <v>42930</v>
      </c>
      <c r="C984" s="7">
        <v>0.53768518518518515</v>
      </c>
      <c r="D984" s="8">
        <v>0.53770833333333334</v>
      </c>
      <c r="E984" s="20">
        <f t="shared" si="150"/>
        <v>2.3148148148188774E-5</v>
      </c>
      <c r="F984" t="str">
        <f t="shared" si="151"/>
        <v>stacjonarny</v>
      </c>
      <c r="G984" s="23">
        <f t="shared" si="158"/>
        <v>345478</v>
      </c>
      <c r="H984">
        <f t="shared" si="159"/>
        <v>114437</v>
      </c>
      <c r="I984">
        <f t="shared" si="152"/>
        <v>0</v>
      </c>
      <c r="J984">
        <f t="shared" si="153"/>
        <v>0</v>
      </c>
      <c r="K984">
        <f t="shared" si="154"/>
        <v>459915</v>
      </c>
      <c r="L984">
        <f t="shared" si="155"/>
        <v>0</v>
      </c>
      <c r="M984">
        <f t="shared" si="156"/>
        <v>2</v>
      </c>
      <c r="N984">
        <f t="shared" si="157"/>
        <v>0</v>
      </c>
    </row>
    <row r="985" spans="1:14" x14ac:dyDescent="0.35">
      <c r="A985" s="9">
        <v>97953696</v>
      </c>
      <c r="B985" s="10">
        <v>42930</v>
      </c>
      <c r="C985" s="11">
        <v>0.53909722222222223</v>
      </c>
      <c r="D985" s="12">
        <v>0.54540509259259262</v>
      </c>
      <c r="E985" s="20">
        <f t="shared" si="150"/>
        <v>6.3078703703703942E-3</v>
      </c>
      <c r="F985" t="str">
        <f t="shared" si="151"/>
        <v>komorkowy</v>
      </c>
      <c r="G985" s="23">
        <f t="shared" si="158"/>
        <v>345478</v>
      </c>
      <c r="H985">
        <f t="shared" si="159"/>
        <v>114982</v>
      </c>
      <c r="I985">
        <f t="shared" si="152"/>
        <v>0</v>
      </c>
      <c r="J985">
        <f t="shared" si="153"/>
        <v>0</v>
      </c>
      <c r="K985">
        <f t="shared" si="154"/>
        <v>460460</v>
      </c>
      <c r="L985">
        <f t="shared" si="155"/>
        <v>0</v>
      </c>
      <c r="M985">
        <f t="shared" si="156"/>
        <v>0</v>
      </c>
      <c r="N985">
        <f t="shared" si="157"/>
        <v>545</v>
      </c>
    </row>
    <row r="986" spans="1:14" x14ac:dyDescent="0.35">
      <c r="A986" s="5">
        <v>13588783</v>
      </c>
      <c r="B986" s="6">
        <v>42930</v>
      </c>
      <c r="C986" s="7">
        <v>0.54118055555555555</v>
      </c>
      <c r="D986" s="8">
        <v>0.54894675925925929</v>
      </c>
      <c r="E986" s="20">
        <f t="shared" si="150"/>
        <v>7.7662037037037335E-3</v>
      </c>
      <c r="F986" t="str">
        <f t="shared" si="151"/>
        <v>komorkowy</v>
      </c>
      <c r="G986" s="23">
        <f t="shared" si="158"/>
        <v>345478</v>
      </c>
      <c r="H986">
        <f t="shared" si="159"/>
        <v>115653</v>
      </c>
      <c r="I986">
        <f t="shared" si="152"/>
        <v>0</v>
      </c>
      <c r="J986">
        <f t="shared" si="153"/>
        <v>0</v>
      </c>
      <c r="K986">
        <f t="shared" si="154"/>
        <v>461131</v>
      </c>
      <c r="L986">
        <f t="shared" si="155"/>
        <v>0</v>
      </c>
      <c r="M986">
        <f t="shared" si="156"/>
        <v>0</v>
      </c>
      <c r="N986">
        <f t="shared" si="157"/>
        <v>671</v>
      </c>
    </row>
    <row r="987" spans="1:14" x14ac:dyDescent="0.35">
      <c r="A987" s="9">
        <v>3300626</v>
      </c>
      <c r="B987" s="10">
        <v>42930</v>
      </c>
      <c r="C987" s="11">
        <v>0.54415509259259254</v>
      </c>
      <c r="D987" s="12">
        <v>0.55156249999999996</v>
      </c>
      <c r="E987" s="20">
        <f t="shared" si="150"/>
        <v>7.4074074074074181E-3</v>
      </c>
      <c r="F987" t="str">
        <f t="shared" si="151"/>
        <v>stacjonarny</v>
      </c>
      <c r="G987" s="23">
        <f t="shared" si="158"/>
        <v>346118</v>
      </c>
      <c r="H987">
        <f t="shared" si="159"/>
        <v>115653</v>
      </c>
      <c r="I987">
        <f t="shared" si="152"/>
        <v>0</v>
      </c>
      <c r="J987">
        <f t="shared" si="153"/>
        <v>0</v>
      </c>
      <c r="K987">
        <f t="shared" si="154"/>
        <v>461771</v>
      </c>
      <c r="L987">
        <f t="shared" si="155"/>
        <v>0</v>
      </c>
      <c r="M987">
        <f t="shared" si="156"/>
        <v>640</v>
      </c>
      <c r="N987">
        <f t="shared" si="157"/>
        <v>0</v>
      </c>
    </row>
    <row r="988" spans="1:14" x14ac:dyDescent="0.35">
      <c r="A988" s="5">
        <v>9849071</v>
      </c>
      <c r="B988" s="6">
        <v>42930</v>
      </c>
      <c r="C988" s="7">
        <v>0.54498842592592589</v>
      </c>
      <c r="D988" s="8">
        <v>0.54879629629629634</v>
      </c>
      <c r="E988" s="20">
        <f t="shared" si="150"/>
        <v>3.8078703703704475E-3</v>
      </c>
      <c r="F988" t="str">
        <f t="shared" si="151"/>
        <v>stacjonarny</v>
      </c>
      <c r="G988" s="23">
        <f t="shared" si="158"/>
        <v>346447</v>
      </c>
      <c r="H988">
        <f t="shared" si="159"/>
        <v>115653</v>
      </c>
      <c r="I988">
        <f t="shared" si="152"/>
        <v>0</v>
      </c>
      <c r="J988">
        <f t="shared" si="153"/>
        <v>0</v>
      </c>
      <c r="K988">
        <f t="shared" si="154"/>
        <v>462100</v>
      </c>
      <c r="L988">
        <f t="shared" si="155"/>
        <v>0</v>
      </c>
      <c r="M988">
        <f t="shared" si="156"/>
        <v>329</v>
      </c>
      <c r="N988">
        <f t="shared" si="157"/>
        <v>0</v>
      </c>
    </row>
    <row r="989" spans="1:14" x14ac:dyDescent="0.35">
      <c r="A989" s="9">
        <v>39697250</v>
      </c>
      <c r="B989" s="10">
        <v>42930</v>
      </c>
      <c r="C989" s="11">
        <v>0.54616898148148152</v>
      </c>
      <c r="D989" s="12">
        <v>0.55153935185185188</v>
      </c>
      <c r="E989" s="20">
        <f t="shared" si="150"/>
        <v>5.3703703703703587E-3</v>
      </c>
      <c r="F989" t="str">
        <f t="shared" si="151"/>
        <v>komorkowy</v>
      </c>
      <c r="G989" s="23">
        <f t="shared" si="158"/>
        <v>346447</v>
      </c>
      <c r="H989">
        <f t="shared" si="159"/>
        <v>116117</v>
      </c>
      <c r="I989">
        <f t="shared" si="152"/>
        <v>0</v>
      </c>
      <c r="J989">
        <f t="shared" si="153"/>
        <v>0</v>
      </c>
      <c r="K989">
        <f t="shared" si="154"/>
        <v>462564</v>
      </c>
      <c r="L989">
        <f t="shared" si="155"/>
        <v>0</v>
      </c>
      <c r="M989">
        <f t="shared" si="156"/>
        <v>0</v>
      </c>
      <c r="N989">
        <f t="shared" si="157"/>
        <v>464</v>
      </c>
    </row>
    <row r="990" spans="1:14" x14ac:dyDescent="0.35">
      <c r="A990" s="5">
        <v>3826370863</v>
      </c>
      <c r="B990" s="6">
        <v>42930</v>
      </c>
      <c r="C990" s="7">
        <v>0.55155092592592592</v>
      </c>
      <c r="D990" s="8">
        <v>0.55709490740740741</v>
      </c>
      <c r="E990" s="20">
        <f t="shared" si="150"/>
        <v>5.5439814814814969E-3</v>
      </c>
      <c r="F990" t="str">
        <f t="shared" si="151"/>
        <v>zagraniczny</v>
      </c>
      <c r="G990" s="23">
        <f t="shared" si="158"/>
        <v>346447</v>
      </c>
      <c r="H990">
        <f t="shared" si="159"/>
        <v>116117</v>
      </c>
      <c r="I990">
        <f t="shared" si="152"/>
        <v>479</v>
      </c>
      <c r="J990">
        <f t="shared" si="153"/>
        <v>8</v>
      </c>
      <c r="K990">
        <f t="shared" si="154"/>
        <v>462564</v>
      </c>
      <c r="L990">
        <f t="shared" si="155"/>
        <v>0</v>
      </c>
      <c r="M990">
        <f t="shared" si="156"/>
        <v>0</v>
      </c>
      <c r="N990">
        <f t="shared" si="157"/>
        <v>0</v>
      </c>
    </row>
    <row r="991" spans="1:14" x14ac:dyDescent="0.35">
      <c r="A991" s="9">
        <v>9088452</v>
      </c>
      <c r="B991" s="10">
        <v>42930</v>
      </c>
      <c r="C991" s="11">
        <v>0.55473379629629627</v>
      </c>
      <c r="D991" s="12">
        <v>0.56253472222222223</v>
      </c>
      <c r="E991" s="20">
        <f t="shared" si="150"/>
        <v>7.8009259259259611E-3</v>
      </c>
      <c r="F991" t="str">
        <f t="shared" si="151"/>
        <v>stacjonarny</v>
      </c>
      <c r="G991" s="23">
        <f t="shared" si="158"/>
        <v>347121</v>
      </c>
      <c r="H991">
        <f t="shared" si="159"/>
        <v>116117</v>
      </c>
      <c r="I991">
        <f t="shared" si="152"/>
        <v>0</v>
      </c>
      <c r="J991">
        <f t="shared" si="153"/>
        <v>0</v>
      </c>
      <c r="K991">
        <f t="shared" si="154"/>
        <v>463238</v>
      </c>
      <c r="L991">
        <f t="shared" si="155"/>
        <v>0</v>
      </c>
      <c r="M991">
        <f t="shared" si="156"/>
        <v>674</v>
      </c>
      <c r="N991">
        <f t="shared" si="157"/>
        <v>0</v>
      </c>
    </row>
    <row r="992" spans="1:14" x14ac:dyDescent="0.35">
      <c r="A992" s="5">
        <v>8026912</v>
      </c>
      <c r="B992" s="6">
        <v>42930</v>
      </c>
      <c r="C992" s="7">
        <v>0.5561342592592593</v>
      </c>
      <c r="D992" s="8">
        <v>0.56366898148148148</v>
      </c>
      <c r="E992" s="20">
        <f t="shared" si="150"/>
        <v>7.5347222222221788E-3</v>
      </c>
      <c r="F992" t="str">
        <f t="shared" si="151"/>
        <v>stacjonarny</v>
      </c>
      <c r="G992" s="23">
        <f t="shared" si="158"/>
        <v>347772</v>
      </c>
      <c r="H992">
        <f t="shared" si="159"/>
        <v>116117</v>
      </c>
      <c r="I992">
        <f t="shared" si="152"/>
        <v>0</v>
      </c>
      <c r="J992">
        <f t="shared" si="153"/>
        <v>0</v>
      </c>
      <c r="K992">
        <f t="shared" si="154"/>
        <v>463889</v>
      </c>
      <c r="L992">
        <f t="shared" si="155"/>
        <v>0</v>
      </c>
      <c r="M992">
        <f t="shared" si="156"/>
        <v>651</v>
      </c>
      <c r="N992">
        <f t="shared" si="157"/>
        <v>0</v>
      </c>
    </row>
    <row r="993" spans="1:14" x14ac:dyDescent="0.35">
      <c r="A993" s="9">
        <v>24290062</v>
      </c>
      <c r="B993" s="10">
        <v>42930</v>
      </c>
      <c r="C993" s="11">
        <v>0.56141203703703701</v>
      </c>
      <c r="D993" s="12">
        <v>0.57055555555555559</v>
      </c>
      <c r="E993" s="20">
        <f t="shared" si="150"/>
        <v>9.1435185185185786E-3</v>
      </c>
      <c r="F993" t="str">
        <f t="shared" si="151"/>
        <v>komorkowy</v>
      </c>
      <c r="G993" s="23">
        <f t="shared" si="158"/>
        <v>347772</v>
      </c>
      <c r="H993">
        <f t="shared" si="159"/>
        <v>116907</v>
      </c>
      <c r="I993">
        <f t="shared" si="152"/>
        <v>0</v>
      </c>
      <c r="J993">
        <f t="shared" si="153"/>
        <v>0</v>
      </c>
      <c r="K993">
        <f t="shared" si="154"/>
        <v>464679</v>
      </c>
      <c r="L993">
        <f t="shared" si="155"/>
        <v>0</v>
      </c>
      <c r="M993">
        <f t="shared" si="156"/>
        <v>0</v>
      </c>
      <c r="N993">
        <f t="shared" si="157"/>
        <v>790</v>
      </c>
    </row>
    <row r="994" spans="1:14" x14ac:dyDescent="0.35">
      <c r="A994" s="5">
        <v>6785899</v>
      </c>
      <c r="B994" s="6">
        <v>42930</v>
      </c>
      <c r="C994" s="7">
        <v>0.56650462962962966</v>
      </c>
      <c r="D994" s="8">
        <v>0.57533564814814819</v>
      </c>
      <c r="E994" s="20">
        <f t="shared" si="150"/>
        <v>8.8310185185185297E-3</v>
      </c>
      <c r="F994" t="str">
        <f t="shared" si="151"/>
        <v>stacjonarny</v>
      </c>
      <c r="G994" s="23">
        <f t="shared" si="158"/>
        <v>348535</v>
      </c>
      <c r="H994">
        <f t="shared" si="159"/>
        <v>116907</v>
      </c>
      <c r="I994">
        <f t="shared" si="152"/>
        <v>0</v>
      </c>
      <c r="J994">
        <f t="shared" si="153"/>
        <v>0</v>
      </c>
      <c r="K994">
        <f t="shared" si="154"/>
        <v>465442</v>
      </c>
      <c r="L994">
        <f t="shared" si="155"/>
        <v>0</v>
      </c>
      <c r="M994">
        <f t="shared" si="156"/>
        <v>763</v>
      </c>
      <c r="N994">
        <f t="shared" si="157"/>
        <v>0</v>
      </c>
    </row>
    <row r="995" spans="1:14" x14ac:dyDescent="0.35">
      <c r="A995" s="9">
        <v>75048005</v>
      </c>
      <c r="B995" s="10">
        <v>42930</v>
      </c>
      <c r="C995" s="11">
        <v>0.57197916666666671</v>
      </c>
      <c r="D995" s="12">
        <v>0.58081018518518523</v>
      </c>
      <c r="E995" s="20">
        <f t="shared" si="150"/>
        <v>8.8310185185185297E-3</v>
      </c>
      <c r="F995" t="str">
        <f t="shared" si="151"/>
        <v>komorkowy</v>
      </c>
      <c r="G995" s="23">
        <f t="shared" si="158"/>
        <v>348535</v>
      </c>
      <c r="H995">
        <f t="shared" si="159"/>
        <v>117670</v>
      </c>
      <c r="I995">
        <f t="shared" si="152"/>
        <v>0</v>
      </c>
      <c r="J995">
        <f t="shared" si="153"/>
        <v>0</v>
      </c>
      <c r="K995">
        <f t="shared" si="154"/>
        <v>466205</v>
      </c>
      <c r="L995">
        <f t="shared" si="155"/>
        <v>0</v>
      </c>
      <c r="M995">
        <f t="shared" si="156"/>
        <v>0</v>
      </c>
      <c r="N995">
        <f t="shared" si="157"/>
        <v>763</v>
      </c>
    </row>
    <row r="996" spans="1:14" x14ac:dyDescent="0.35">
      <c r="A996" s="5">
        <v>97459926</v>
      </c>
      <c r="B996" s="6">
        <v>42930</v>
      </c>
      <c r="C996" s="7">
        <v>0.57262731481481477</v>
      </c>
      <c r="D996" s="8">
        <v>0.57991898148148147</v>
      </c>
      <c r="E996" s="20">
        <f t="shared" si="150"/>
        <v>7.2916666666666963E-3</v>
      </c>
      <c r="F996" t="str">
        <f t="shared" si="151"/>
        <v>komorkowy</v>
      </c>
      <c r="G996" s="23">
        <f t="shared" si="158"/>
        <v>348535</v>
      </c>
      <c r="H996">
        <f t="shared" si="159"/>
        <v>118300</v>
      </c>
      <c r="I996">
        <f t="shared" si="152"/>
        <v>0</v>
      </c>
      <c r="J996">
        <f t="shared" si="153"/>
        <v>0</v>
      </c>
      <c r="K996">
        <f t="shared" si="154"/>
        <v>466835</v>
      </c>
      <c r="L996">
        <f t="shared" si="155"/>
        <v>0</v>
      </c>
      <c r="M996">
        <f t="shared" si="156"/>
        <v>0</v>
      </c>
      <c r="N996">
        <f t="shared" si="157"/>
        <v>630</v>
      </c>
    </row>
    <row r="997" spans="1:14" x14ac:dyDescent="0.35">
      <c r="A997" s="9">
        <v>9600226</v>
      </c>
      <c r="B997" s="10">
        <v>42930</v>
      </c>
      <c r="C997" s="11">
        <v>0.57451388888888888</v>
      </c>
      <c r="D997" s="12">
        <v>0.57847222222222228</v>
      </c>
      <c r="E997" s="20">
        <f t="shared" si="150"/>
        <v>3.958333333333397E-3</v>
      </c>
      <c r="F997" t="str">
        <f t="shared" si="151"/>
        <v>stacjonarny</v>
      </c>
      <c r="G997" s="23">
        <f t="shared" si="158"/>
        <v>348877</v>
      </c>
      <c r="H997">
        <f t="shared" si="159"/>
        <v>118300</v>
      </c>
      <c r="I997">
        <f t="shared" si="152"/>
        <v>0</v>
      </c>
      <c r="J997">
        <f t="shared" si="153"/>
        <v>0</v>
      </c>
      <c r="K997">
        <f t="shared" si="154"/>
        <v>467177</v>
      </c>
      <c r="L997">
        <f t="shared" si="155"/>
        <v>0</v>
      </c>
      <c r="M997">
        <f t="shared" si="156"/>
        <v>342</v>
      </c>
      <c r="N997">
        <f t="shared" si="157"/>
        <v>0</v>
      </c>
    </row>
    <row r="998" spans="1:14" x14ac:dyDescent="0.35">
      <c r="A998" s="5">
        <v>9685747</v>
      </c>
      <c r="B998" s="6">
        <v>42930</v>
      </c>
      <c r="C998" s="7">
        <v>0.57810185185185181</v>
      </c>
      <c r="D998" s="8">
        <v>0.58810185185185182</v>
      </c>
      <c r="E998" s="20">
        <f t="shared" si="150"/>
        <v>1.0000000000000009E-2</v>
      </c>
      <c r="F998" t="str">
        <f t="shared" si="151"/>
        <v>stacjonarny</v>
      </c>
      <c r="G998" s="23">
        <f t="shared" si="158"/>
        <v>349741</v>
      </c>
      <c r="H998">
        <f t="shared" si="159"/>
        <v>118300</v>
      </c>
      <c r="I998">
        <f t="shared" si="152"/>
        <v>0</v>
      </c>
      <c r="J998">
        <f t="shared" si="153"/>
        <v>0</v>
      </c>
      <c r="K998">
        <f t="shared" si="154"/>
        <v>468041</v>
      </c>
      <c r="L998">
        <f t="shared" si="155"/>
        <v>0</v>
      </c>
      <c r="M998">
        <f t="shared" si="156"/>
        <v>864</v>
      </c>
      <c r="N998">
        <f t="shared" si="157"/>
        <v>0</v>
      </c>
    </row>
    <row r="999" spans="1:14" x14ac:dyDescent="0.35">
      <c r="A999" s="9">
        <v>3178616</v>
      </c>
      <c r="B999" s="10">
        <v>42930</v>
      </c>
      <c r="C999" s="11">
        <v>0.58233796296296292</v>
      </c>
      <c r="D999" s="12">
        <v>0.58734953703703707</v>
      </c>
      <c r="E999" s="20">
        <f t="shared" si="150"/>
        <v>5.0115740740741543E-3</v>
      </c>
      <c r="F999" t="str">
        <f t="shared" si="151"/>
        <v>stacjonarny</v>
      </c>
      <c r="G999" s="23">
        <f t="shared" si="158"/>
        <v>350174</v>
      </c>
      <c r="H999">
        <f t="shared" si="159"/>
        <v>118300</v>
      </c>
      <c r="I999">
        <f t="shared" si="152"/>
        <v>0</v>
      </c>
      <c r="J999">
        <f t="shared" si="153"/>
        <v>0</v>
      </c>
      <c r="K999">
        <f t="shared" si="154"/>
        <v>468474</v>
      </c>
      <c r="L999">
        <f t="shared" si="155"/>
        <v>0</v>
      </c>
      <c r="M999">
        <f t="shared" si="156"/>
        <v>433</v>
      </c>
      <c r="N999">
        <f t="shared" si="157"/>
        <v>0</v>
      </c>
    </row>
    <row r="1000" spans="1:14" x14ac:dyDescent="0.35">
      <c r="A1000" s="5">
        <v>9979899</v>
      </c>
      <c r="B1000" s="6">
        <v>42930</v>
      </c>
      <c r="C1000" s="7">
        <v>0.58810185185185182</v>
      </c>
      <c r="D1000" s="8">
        <v>0.59134259259259259</v>
      </c>
      <c r="E1000" s="20">
        <f t="shared" si="150"/>
        <v>3.2407407407407662E-3</v>
      </c>
      <c r="F1000" t="str">
        <f t="shared" si="151"/>
        <v>stacjonarny</v>
      </c>
      <c r="G1000" s="23">
        <f t="shared" si="158"/>
        <v>350454</v>
      </c>
      <c r="H1000">
        <f t="shared" si="159"/>
        <v>118300</v>
      </c>
      <c r="I1000">
        <f t="shared" si="152"/>
        <v>0</v>
      </c>
      <c r="J1000">
        <f t="shared" si="153"/>
        <v>0</v>
      </c>
      <c r="K1000">
        <f t="shared" si="154"/>
        <v>468754</v>
      </c>
      <c r="L1000">
        <f t="shared" si="155"/>
        <v>0</v>
      </c>
      <c r="M1000">
        <f t="shared" si="156"/>
        <v>280</v>
      </c>
      <c r="N1000">
        <f t="shared" si="157"/>
        <v>0</v>
      </c>
    </row>
    <row r="1001" spans="1:14" x14ac:dyDescent="0.35">
      <c r="A1001" s="9">
        <v>4575865</v>
      </c>
      <c r="B1001" s="10">
        <v>42930</v>
      </c>
      <c r="C1001" s="11">
        <v>0.58959490740740739</v>
      </c>
      <c r="D1001" s="12">
        <v>0.59105324074074073</v>
      </c>
      <c r="E1001" s="20">
        <f t="shared" si="150"/>
        <v>1.4583333333333393E-3</v>
      </c>
      <c r="F1001" t="str">
        <f t="shared" si="151"/>
        <v>stacjonarny</v>
      </c>
      <c r="G1001" s="23">
        <f t="shared" si="158"/>
        <v>350580</v>
      </c>
      <c r="H1001">
        <f t="shared" si="159"/>
        <v>118300</v>
      </c>
      <c r="I1001">
        <f t="shared" si="152"/>
        <v>0</v>
      </c>
      <c r="J1001">
        <f t="shared" si="153"/>
        <v>0</v>
      </c>
      <c r="K1001">
        <f t="shared" si="154"/>
        <v>468880</v>
      </c>
      <c r="L1001">
        <f t="shared" si="155"/>
        <v>0</v>
      </c>
      <c r="M1001">
        <f t="shared" si="156"/>
        <v>126</v>
      </c>
      <c r="N1001">
        <f t="shared" si="157"/>
        <v>0</v>
      </c>
    </row>
    <row r="1002" spans="1:14" x14ac:dyDescent="0.35">
      <c r="A1002" s="5">
        <v>1808444</v>
      </c>
      <c r="B1002" s="6">
        <v>42930</v>
      </c>
      <c r="C1002" s="7">
        <v>0.59284722222222219</v>
      </c>
      <c r="D1002" s="8">
        <v>0.59662037037037041</v>
      </c>
      <c r="E1002" s="20">
        <f t="shared" si="150"/>
        <v>3.7731481481482199E-3</v>
      </c>
      <c r="F1002" t="str">
        <f t="shared" si="151"/>
        <v>stacjonarny</v>
      </c>
      <c r="G1002" s="23">
        <f t="shared" si="158"/>
        <v>350906</v>
      </c>
      <c r="H1002">
        <f t="shared" si="159"/>
        <v>118300</v>
      </c>
      <c r="I1002">
        <f t="shared" si="152"/>
        <v>0</v>
      </c>
      <c r="J1002">
        <f t="shared" si="153"/>
        <v>0</v>
      </c>
      <c r="K1002">
        <f t="shared" si="154"/>
        <v>469206</v>
      </c>
      <c r="L1002">
        <f t="shared" si="155"/>
        <v>0</v>
      </c>
      <c r="M1002">
        <f t="shared" si="156"/>
        <v>326</v>
      </c>
      <c r="N1002">
        <f t="shared" si="157"/>
        <v>0</v>
      </c>
    </row>
    <row r="1003" spans="1:14" x14ac:dyDescent="0.35">
      <c r="A1003" s="9">
        <v>1649912</v>
      </c>
      <c r="B1003" s="10">
        <v>42930</v>
      </c>
      <c r="C1003" s="11">
        <v>0.59467592592592589</v>
      </c>
      <c r="D1003" s="12">
        <v>0.60392361111111115</v>
      </c>
      <c r="E1003" s="20">
        <f t="shared" si="150"/>
        <v>9.2476851851852615E-3</v>
      </c>
      <c r="F1003" t="str">
        <f t="shared" si="151"/>
        <v>stacjonarny</v>
      </c>
      <c r="G1003" s="23">
        <f t="shared" si="158"/>
        <v>351705</v>
      </c>
      <c r="H1003">
        <f t="shared" si="159"/>
        <v>118300</v>
      </c>
      <c r="I1003">
        <f t="shared" si="152"/>
        <v>0</v>
      </c>
      <c r="J1003">
        <f t="shared" si="153"/>
        <v>0</v>
      </c>
      <c r="K1003">
        <f t="shared" si="154"/>
        <v>470005</v>
      </c>
      <c r="L1003">
        <f t="shared" si="155"/>
        <v>0</v>
      </c>
      <c r="M1003">
        <f t="shared" si="156"/>
        <v>799</v>
      </c>
      <c r="N1003">
        <f t="shared" si="157"/>
        <v>0</v>
      </c>
    </row>
    <row r="1004" spans="1:14" x14ac:dyDescent="0.35">
      <c r="A1004" s="5">
        <v>6128500046</v>
      </c>
      <c r="B1004" s="6">
        <v>42930</v>
      </c>
      <c r="C1004" s="7">
        <v>0.5981481481481481</v>
      </c>
      <c r="D1004" s="8">
        <v>0.60513888888888889</v>
      </c>
      <c r="E1004" s="20">
        <f t="shared" si="150"/>
        <v>6.9907407407407973E-3</v>
      </c>
      <c r="F1004" t="str">
        <f t="shared" si="151"/>
        <v>zagraniczny</v>
      </c>
      <c r="G1004" s="23">
        <f t="shared" si="158"/>
        <v>351705</v>
      </c>
      <c r="H1004">
        <f t="shared" si="159"/>
        <v>118300</v>
      </c>
      <c r="I1004">
        <f t="shared" si="152"/>
        <v>604</v>
      </c>
      <c r="J1004">
        <f t="shared" si="153"/>
        <v>11</v>
      </c>
      <c r="K1004">
        <f t="shared" si="154"/>
        <v>470005</v>
      </c>
      <c r="L1004">
        <f t="shared" si="155"/>
        <v>0</v>
      </c>
      <c r="M1004">
        <f t="shared" si="156"/>
        <v>0</v>
      </c>
      <c r="N1004">
        <f t="shared" si="157"/>
        <v>0</v>
      </c>
    </row>
    <row r="1005" spans="1:14" x14ac:dyDescent="0.35">
      <c r="A1005" s="9">
        <v>6580951</v>
      </c>
      <c r="B1005" s="10">
        <v>42930</v>
      </c>
      <c r="C1005" s="11">
        <v>0.6001967592592593</v>
      </c>
      <c r="D1005" s="12">
        <v>0.60023148148148153</v>
      </c>
      <c r="E1005" s="20">
        <f t="shared" si="150"/>
        <v>3.472222222222765E-5</v>
      </c>
      <c r="F1005" t="str">
        <f t="shared" si="151"/>
        <v>stacjonarny</v>
      </c>
      <c r="G1005" s="23">
        <f t="shared" si="158"/>
        <v>351708</v>
      </c>
      <c r="H1005">
        <f t="shared" si="159"/>
        <v>118300</v>
      </c>
      <c r="I1005">
        <f t="shared" si="152"/>
        <v>0</v>
      </c>
      <c r="J1005">
        <f t="shared" si="153"/>
        <v>0</v>
      </c>
      <c r="K1005">
        <f t="shared" si="154"/>
        <v>470008</v>
      </c>
      <c r="L1005">
        <f t="shared" si="155"/>
        <v>0</v>
      </c>
      <c r="M1005">
        <f t="shared" si="156"/>
        <v>3</v>
      </c>
      <c r="N1005">
        <f t="shared" si="157"/>
        <v>0</v>
      </c>
    </row>
    <row r="1006" spans="1:14" x14ac:dyDescent="0.35">
      <c r="A1006" s="5">
        <v>5536146</v>
      </c>
      <c r="B1006" s="6">
        <v>42930</v>
      </c>
      <c r="C1006" s="7">
        <v>0.60204861111111108</v>
      </c>
      <c r="D1006" s="8">
        <v>0.60319444444444448</v>
      </c>
      <c r="E1006" s="20">
        <f t="shared" si="150"/>
        <v>1.1458333333334014E-3</v>
      </c>
      <c r="F1006" t="str">
        <f t="shared" si="151"/>
        <v>stacjonarny</v>
      </c>
      <c r="G1006" s="23">
        <f t="shared" si="158"/>
        <v>351807</v>
      </c>
      <c r="H1006">
        <f t="shared" si="159"/>
        <v>118300</v>
      </c>
      <c r="I1006">
        <f t="shared" si="152"/>
        <v>0</v>
      </c>
      <c r="J1006">
        <f t="shared" si="153"/>
        <v>0</v>
      </c>
      <c r="K1006">
        <f t="shared" si="154"/>
        <v>470107</v>
      </c>
      <c r="L1006">
        <f t="shared" si="155"/>
        <v>0</v>
      </c>
      <c r="M1006">
        <f t="shared" si="156"/>
        <v>99</v>
      </c>
      <c r="N1006">
        <f t="shared" si="157"/>
        <v>0</v>
      </c>
    </row>
    <row r="1007" spans="1:14" x14ac:dyDescent="0.35">
      <c r="A1007" s="9">
        <v>7396921</v>
      </c>
      <c r="B1007" s="10">
        <v>42930</v>
      </c>
      <c r="C1007" s="11">
        <v>0.60775462962962967</v>
      </c>
      <c r="D1007" s="12">
        <v>0.61614583333333328</v>
      </c>
      <c r="E1007" s="20">
        <f t="shared" si="150"/>
        <v>8.3912037037036091E-3</v>
      </c>
      <c r="F1007" t="str">
        <f t="shared" si="151"/>
        <v>stacjonarny</v>
      </c>
      <c r="G1007" s="23">
        <f t="shared" si="158"/>
        <v>352532</v>
      </c>
      <c r="H1007">
        <f t="shared" si="159"/>
        <v>118300</v>
      </c>
      <c r="I1007">
        <f t="shared" si="152"/>
        <v>0</v>
      </c>
      <c r="J1007">
        <f t="shared" si="153"/>
        <v>0</v>
      </c>
      <c r="K1007">
        <f t="shared" si="154"/>
        <v>470832</v>
      </c>
      <c r="L1007">
        <f t="shared" si="155"/>
        <v>0</v>
      </c>
      <c r="M1007">
        <f t="shared" si="156"/>
        <v>725</v>
      </c>
      <c r="N1007">
        <f t="shared" si="157"/>
        <v>0</v>
      </c>
    </row>
    <row r="1008" spans="1:14" x14ac:dyDescent="0.35">
      <c r="A1008" s="5">
        <v>8331262</v>
      </c>
      <c r="B1008" s="6">
        <v>42930</v>
      </c>
      <c r="C1008" s="7">
        <v>0.61174768518518519</v>
      </c>
      <c r="D1008" s="8">
        <v>0.61697916666666663</v>
      </c>
      <c r="E1008" s="20">
        <f t="shared" si="150"/>
        <v>5.2314814814814481E-3</v>
      </c>
      <c r="F1008" t="str">
        <f t="shared" si="151"/>
        <v>stacjonarny</v>
      </c>
      <c r="G1008" s="23">
        <f t="shared" si="158"/>
        <v>352984</v>
      </c>
      <c r="H1008">
        <f t="shared" si="159"/>
        <v>118300</v>
      </c>
      <c r="I1008">
        <f t="shared" si="152"/>
        <v>0</v>
      </c>
      <c r="J1008">
        <f t="shared" si="153"/>
        <v>0</v>
      </c>
      <c r="K1008">
        <f t="shared" si="154"/>
        <v>471284</v>
      </c>
      <c r="L1008">
        <f t="shared" si="155"/>
        <v>0</v>
      </c>
      <c r="M1008">
        <f t="shared" si="156"/>
        <v>452</v>
      </c>
      <c r="N1008">
        <f t="shared" si="157"/>
        <v>0</v>
      </c>
    </row>
    <row r="1009" spans="1:14" x14ac:dyDescent="0.35">
      <c r="A1009" s="9">
        <v>5146166</v>
      </c>
      <c r="B1009" s="10">
        <v>42930</v>
      </c>
      <c r="C1009" s="11">
        <v>0.61546296296296299</v>
      </c>
      <c r="D1009" s="12">
        <v>0.62185185185185188</v>
      </c>
      <c r="E1009" s="20">
        <f t="shared" si="150"/>
        <v>6.3888888888888884E-3</v>
      </c>
      <c r="F1009" t="str">
        <f t="shared" si="151"/>
        <v>stacjonarny</v>
      </c>
      <c r="G1009" s="23">
        <f t="shared" si="158"/>
        <v>353536</v>
      </c>
      <c r="H1009">
        <f t="shared" si="159"/>
        <v>118300</v>
      </c>
      <c r="I1009">
        <f t="shared" si="152"/>
        <v>0</v>
      </c>
      <c r="J1009">
        <f t="shared" si="153"/>
        <v>0</v>
      </c>
      <c r="K1009">
        <f t="shared" si="154"/>
        <v>471836</v>
      </c>
      <c r="L1009">
        <f t="shared" si="155"/>
        <v>0</v>
      </c>
      <c r="M1009">
        <f t="shared" si="156"/>
        <v>552</v>
      </c>
      <c r="N1009">
        <f t="shared" si="157"/>
        <v>0</v>
      </c>
    </row>
    <row r="1010" spans="1:14" x14ac:dyDescent="0.35">
      <c r="A1010" s="5">
        <v>6729705</v>
      </c>
      <c r="B1010" s="6">
        <v>42930</v>
      </c>
      <c r="C1010" s="7">
        <v>0.62111111111111106</v>
      </c>
      <c r="D1010" s="8">
        <v>0.62814814814814812</v>
      </c>
      <c r="E1010" s="20">
        <f t="shared" si="150"/>
        <v>7.0370370370370638E-3</v>
      </c>
      <c r="F1010" t="str">
        <f t="shared" si="151"/>
        <v>stacjonarny</v>
      </c>
      <c r="G1010" s="23">
        <f t="shared" si="158"/>
        <v>354144</v>
      </c>
      <c r="H1010">
        <f t="shared" si="159"/>
        <v>118300</v>
      </c>
      <c r="I1010">
        <f t="shared" si="152"/>
        <v>0</v>
      </c>
      <c r="J1010">
        <f t="shared" si="153"/>
        <v>0</v>
      </c>
      <c r="K1010">
        <f t="shared" si="154"/>
        <v>472444</v>
      </c>
      <c r="L1010">
        <f t="shared" si="155"/>
        <v>0</v>
      </c>
      <c r="M1010">
        <f t="shared" si="156"/>
        <v>608</v>
      </c>
      <c r="N1010">
        <f t="shared" si="157"/>
        <v>0</v>
      </c>
    </row>
    <row r="1011" spans="1:14" x14ac:dyDescent="0.35">
      <c r="A1011" s="9">
        <v>5372125</v>
      </c>
      <c r="B1011" s="10">
        <v>42930</v>
      </c>
      <c r="C1011" s="11">
        <v>0.62517361111111114</v>
      </c>
      <c r="D1011" s="12">
        <v>0.62518518518518518</v>
      </c>
      <c r="E1011" s="20">
        <f t="shared" si="150"/>
        <v>1.1574074074038876E-5</v>
      </c>
      <c r="F1011" t="str">
        <f t="shared" si="151"/>
        <v>stacjonarny</v>
      </c>
      <c r="G1011" s="23">
        <f t="shared" si="158"/>
        <v>354145</v>
      </c>
      <c r="H1011">
        <f t="shared" si="159"/>
        <v>118300</v>
      </c>
      <c r="I1011">
        <f t="shared" si="152"/>
        <v>0</v>
      </c>
      <c r="J1011">
        <f t="shared" si="153"/>
        <v>0</v>
      </c>
      <c r="K1011">
        <f t="shared" si="154"/>
        <v>472445</v>
      </c>
      <c r="L1011">
        <f t="shared" si="155"/>
        <v>0</v>
      </c>
      <c r="M1011">
        <f t="shared" si="156"/>
        <v>1</v>
      </c>
      <c r="N1011">
        <f t="shared" si="157"/>
        <v>0</v>
      </c>
    </row>
    <row r="1012" spans="1:14" x14ac:dyDescent="0.35">
      <c r="A1012" s="5">
        <v>8870498</v>
      </c>
      <c r="B1012" s="6">
        <v>42933</v>
      </c>
      <c r="C1012" s="7">
        <v>0.33702546296296299</v>
      </c>
      <c r="D1012" s="8">
        <v>0.34466435185185185</v>
      </c>
      <c r="E1012" s="20">
        <f t="shared" si="150"/>
        <v>7.6388888888888618E-3</v>
      </c>
      <c r="F1012" t="str">
        <f t="shared" si="151"/>
        <v>stacjonarny</v>
      </c>
      <c r="G1012" s="23">
        <f t="shared" si="158"/>
        <v>354805</v>
      </c>
      <c r="H1012">
        <f t="shared" si="159"/>
        <v>118300</v>
      </c>
      <c r="I1012">
        <f t="shared" si="152"/>
        <v>0</v>
      </c>
      <c r="J1012">
        <f t="shared" si="153"/>
        <v>0</v>
      </c>
      <c r="K1012">
        <f t="shared" si="154"/>
        <v>473105</v>
      </c>
      <c r="L1012">
        <f t="shared" si="155"/>
        <v>0</v>
      </c>
      <c r="M1012">
        <f t="shared" si="156"/>
        <v>660</v>
      </c>
      <c r="N1012">
        <f t="shared" si="157"/>
        <v>0</v>
      </c>
    </row>
    <row r="1013" spans="1:14" x14ac:dyDescent="0.35">
      <c r="A1013" s="9">
        <v>7880585</v>
      </c>
      <c r="B1013" s="10">
        <v>42933</v>
      </c>
      <c r="C1013" s="11">
        <v>0.34074074074074073</v>
      </c>
      <c r="D1013" s="12">
        <v>0.34971064814814817</v>
      </c>
      <c r="E1013" s="20">
        <f t="shared" si="150"/>
        <v>8.9699074074074403E-3</v>
      </c>
      <c r="F1013" t="str">
        <f t="shared" si="151"/>
        <v>stacjonarny</v>
      </c>
      <c r="G1013" s="23">
        <f t="shared" si="158"/>
        <v>355580</v>
      </c>
      <c r="H1013">
        <f t="shared" si="159"/>
        <v>118300</v>
      </c>
      <c r="I1013">
        <f t="shared" si="152"/>
        <v>0</v>
      </c>
      <c r="J1013">
        <f t="shared" si="153"/>
        <v>0</v>
      </c>
      <c r="K1013">
        <f t="shared" si="154"/>
        <v>473880</v>
      </c>
      <c r="L1013">
        <f t="shared" si="155"/>
        <v>0</v>
      </c>
      <c r="M1013">
        <f t="shared" si="156"/>
        <v>775</v>
      </c>
      <c r="N1013">
        <f t="shared" si="157"/>
        <v>0</v>
      </c>
    </row>
    <row r="1014" spans="1:14" x14ac:dyDescent="0.35">
      <c r="A1014" s="5">
        <v>3652646</v>
      </c>
      <c r="B1014" s="6">
        <v>42933</v>
      </c>
      <c r="C1014" s="7">
        <v>0.34233796296296298</v>
      </c>
      <c r="D1014" s="8">
        <v>0.34569444444444447</v>
      </c>
      <c r="E1014" s="20">
        <f t="shared" si="150"/>
        <v>3.3564814814814881E-3</v>
      </c>
      <c r="F1014" t="str">
        <f t="shared" si="151"/>
        <v>stacjonarny</v>
      </c>
      <c r="G1014" s="23">
        <f t="shared" si="158"/>
        <v>355870</v>
      </c>
      <c r="H1014">
        <f t="shared" si="159"/>
        <v>118300</v>
      </c>
      <c r="I1014">
        <f t="shared" si="152"/>
        <v>0</v>
      </c>
      <c r="J1014">
        <f t="shared" si="153"/>
        <v>0</v>
      </c>
      <c r="K1014">
        <f t="shared" si="154"/>
        <v>474170</v>
      </c>
      <c r="L1014">
        <f t="shared" si="155"/>
        <v>0</v>
      </c>
      <c r="M1014">
        <f t="shared" si="156"/>
        <v>290</v>
      </c>
      <c r="N1014">
        <f t="shared" si="157"/>
        <v>0</v>
      </c>
    </row>
    <row r="1015" spans="1:14" x14ac:dyDescent="0.35">
      <c r="A1015" s="9">
        <v>3691457</v>
      </c>
      <c r="B1015" s="10">
        <v>42933</v>
      </c>
      <c r="C1015" s="11">
        <v>0.34688657407407408</v>
      </c>
      <c r="D1015" s="12">
        <v>0.35810185185185184</v>
      </c>
      <c r="E1015" s="20">
        <f t="shared" si="150"/>
        <v>1.1215277777777755E-2</v>
      </c>
      <c r="F1015" t="str">
        <f t="shared" si="151"/>
        <v>stacjonarny</v>
      </c>
      <c r="G1015" s="23">
        <f t="shared" si="158"/>
        <v>356839</v>
      </c>
      <c r="H1015">
        <f t="shared" si="159"/>
        <v>118300</v>
      </c>
      <c r="I1015">
        <f t="shared" si="152"/>
        <v>0</v>
      </c>
      <c r="J1015">
        <f t="shared" si="153"/>
        <v>0</v>
      </c>
      <c r="K1015">
        <f t="shared" si="154"/>
        <v>475139</v>
      </c>
      <c r="L1015">
        <f t="shared" si="155"/>
        <v>0</v>
      </c>
      <c r="M1015">
        <f t="shared" si="156"/>
        <v>969</v>
      </c>
      <c r="N1015">
        <f t="shared" si="157"/>
        <v>0</v>
      </c>
    </row>
    <row r="1016" spans="1:14" x14ac:dyDescent="0.35">
      <c r="A1016" s="5">
        <v>4344184930</v>
      </c>
      <c r="B1016" s="6">
        <v>42933</v>
      </c>
      <c r="C1016" s="7">
        <v>0.34866898148148145</v>
      </c>
      <c r="D1016" s="8">
        <v>0.35778935185185184</v>
      </c>
      <c r="E1016" s="20">
        <f t="shared" si="150"/>
        <v>9.1203703703703898E-3</v>
      </c>
      <c r="F1016" t="str">
        <f t="shared" si="151"/>
        <v>zagraniczny</v>
      </c>
      <c r="G1016" s="23">
        <f t="shared" si="158"/>
        <v>356839</v>
      </c>
      <c r="H1016">
        <f t="shared" si="159"/>
        <v>118300</v>
      </c>
      <c r="I1016">
        <f t="shared" si="152"/>
        <v>788</v>
      </c>
      <c r="J1016">
        <f t="shared" si="153"/>
        <v>14</v>
      </c>
      <c r="K1016">
        <f t="shared" si="154"/>
        <v>475139</v>
      </c>
      <c r="L1016">
        <f t="shared" si="155"/>
        <v>0</v>
      </c>
      <c r="M1016">
        <f t="shared" si="156"/>
        <v>0</v>
      </c>
      <c r="N1016">
        <f t="shared" si="157"/>
        <v>0</v>
      </c>
    </row>
    <row r="1017" spans="1:14" x14ac:dyDescent="0.35">
      <c r="A1017" s="9">
        <v>5290460</v>
      </c>
      <c r="B1017" s="10">
        <v>42933</v>
      </c>
      <c r="C1017" s="11">
        <v>0.3525578703703704</v>
      </c>
      <c r="D1017" s="12">
        <v>0.36346064814814816</v>
      </c>
      <c r="E1017" s="20">
        <f t="shared" si="150"/>
        <v>1.0902777777777761E-2</v>
      </c>
      <c r="F1017" t="str">
        <f t="shared" si="151"/>
        <v>stacjonarny</v>
      </c>
      <c r="G1017" s="23">
        <f t="shared" si="158"/>
        <v>357781</v>
      </c>
      <c r="H1017">
        <f t="shared" si="159"/>
        <v>118300</v>
      </c>
      <c r="I1017">
        <f t="shared" si="152"/>
        <v>0</v>
      </c>
      <c r="J1017">
        <f t="shared" si="153"/>
        <v>0</v>
      </c>
      <c r="K1017">
        <f t="shared" si="154"/>
        <v>476081</v>
      </c>
      <c r="L1017">
        <f t="shared" si="155"/>
        <v>0</v>
      </c>
      <c r="M1017">
        <f t="shared" si="156"/>
        <v>942</v>
      </c>
      <c r="N1017">
        <f t="shared" si="157"/>
        <v>0</v>
      </c>
    </row>
    <row r="1018" spans="1:14" x14ac:dyDescent="0.35">
      <c r="A1018" s="5">
        <v>6922037</v>
      </c>
      <c r="B1018" s="6">
        <v>42933</v>
      </c>
      <c r="C1018" s="7">
        <v>0.35569444444444442</v>
      </c>
      <c r="D1018" s="8">
        <v>0.35796296296296298</v>
      </c>
      <c r="E1018" s="20">
        <f t="shared" si="150"/>
        <v>2.2685185185185586E-3</v>
      </c>
      <c r="F1018" t="str">
        <f t="shared" si="151"/>
        <v>stacjonarny</v>
      </c>
      <c r="G1018" s="23">
        <f t="shared" si="158"/>
        <v>357977</v>
      </c>
      <c r="H1018">
        <f t="shared" si="159"/>
        <v>118300</v>
      </c>
      <c r="I1018">
        <f t="shared" si="152"/>
        <v>0</v>
      </c>
      <c r="J1018">
        <f t="shared" si="153"/>
        <v>0</v>
      </c>
      <c r="K1018">
        <f t="shared" si="154"/>
        <v>476277</v>
      </c>
      <c r="L1018">
        <f t="shared" si="155"/>
        <v>0</v>
      </c>
      <c r="M1018">
        <f t="shared" si="156"/>
        <v>196</v>
      </c>
      <c r="N1018">
        <f t="shared" si="157"/>
        <v>0</v>
      </c>
    </row>
    <row r="1019" spans="1:14" x14ac:dyDescent="0.35">
      <c r="A1019" s="9">
        <v>7060245</v>
      </c>
      <c r="B1019" s="10">
        <v>42933</v>
      </c>
      <c r="C1019" s="11">
        <v>0.35920138888888886</v>
      </c>
      <c r="D1019" s="12">
        <v>0.36319444444444443</v>
      </c>
      <c r="E1019" s="20">
        <f t="shared" si="150"/>
        <v>3.9930555555555691E-3</v>
      </c>
      <c r="F1019" t="str">
        <f t="shared" si="151"/>
        <v>stacjonarny</v>
      </c>
      <c r="G1019" s="23">
        <f t="shared" si="158"/>
        <v>358322</v>
      </c>
      <c r="H1019">
        <f t="shared" si="159"/>
        <v>118300</v>
      </c>
      <c r="I1019">
        <f t="shared" si="152"/>
        <v>0</v>
      </c>
      <c r="J1019">
        <f t="shared" si="153"/>
        <v>0</v>
      </c>
      <c r="K1019">
        <f t="shared" si="154"/>
        <v>476622</v>
      </c>
      <c r="L1019">
        <f t="shared" si="155"/>
        <v>0</v>
      </c>
      <c r="M1019">
        <f t="shared" si="156"/>
        <v>345</v>
      </c>
      <c r="N1019">
        <f t="shared" si="157"/>
        <v>0</v>
      </c>
    </row>
    <row r="1020" spans="1:14" x14ac:dyDescent="0.35">
      <c r="A1020" s="5">
        <v>5788783</v>
      </c>
      <c r="B1020" s="6">
        <v>42933</v>
      </c>
      <c r="C1020" s="7">
        <v>0.36114583333333333</v>
      </c>
      <c r="D1020" s="8">
        <v>0.36629629629629629</v>
      </c>
      <c r="E1020" s="20">
        <f t="shared" si="150"/>
        <v>5.1504629629629539E-3</v>
      </c>
      <c r="F1020" t="str">
        <f t="shared" si="151"/>
        <v>stacjonarny</v>
      </c>
      <c r="G1020" s="23">
        <f t="shared" si="158"/>
        <v>358767</v>
      </c>
      <c r="H1020">
        <f t="shared" si="159"/>
        <v>118300</v>
      </c>
      <c r="I1020">
        <f t="shared" si="152"/>
        <v>0</v>
      </c>
      <c r="J1020">
        <f t="shared" si="153"/>
        <v>0</v>
      </c>
      <c r="K1020">
        <f t="shared" si="154"/>
        <v>477067</v>
      </c>
      <c r="L1020">
        <f t="shared" si="155"/>
        <v>0</v>
      </c>
      <c r="M1020">
        <f t="shared" si="156"/>
        <v>445</v>
      </c>
      <c r="N1020">
        <f t="shared" si="157"/>
        <v>0</v>
      </c>
    </row>
    <row r="1021" spans="1:14" x14ac:dyDescent="0.35">
      <c r="A1021" s="9">
        <v>8647144</v>
      </c>
      <c r="B1021" s="10">
        <v>42933</v>
      </c>
      <c r="C1021" s="11">
        <v>0.36208333333333331</v>
      </c>
      <c r="D1021" s="12">
        <v>0.36282407407407408</v>
      </c>
      <c r="E1021" s="20">
        <f t="shared" si="150"/>
        <v>7.4074074074076401E-4</v>
      </c>
      <c r="F1021" t="str">
        <f t="shared" si="151"/>
        <v>stacjonarny</v>
      </c>
      <c r="G1021" s="23">
        <f t="shared" si="158"/>
        <v>358831</v>
      </c>
      <c r="H1021">
        <f t="shared" si="159"/>
        <v>118300</v>
      </c>
      <c r="I1021">
        <f t="shared" si="152"/>
        <v>0</v>
      </c>
      <c r="J1021">
        <f t="shared" si="153"/>
        <v>0</v>
      </c>
      <c r="K1021">
        <f t="shared" si="154"/>
        <v>477131</v>
      </c>
      <c r="L1021">
        <f t="shared" si="155"/>
        <v>0</v>
      </c>
      <c r="M1021">
        <f t="shared" si="156"/>
        <v>64</v>
      </c>
      <c r="N1021">
        <f t="shared" si="157"/>
        <v>0</v>
      </c>
    </row>
    <row r="1022" spans="1:14" x14ac:dyDescent="0.35">
      <c r="A1022" s="5">
        <v>24665933</v>
      </c>
      <c r="B1022" s="6">
        <v>42933</v>
      </c>
      <c r="C1022" s="7">
        <v>0.36373842592592592</v>
      </c>
      <c r="D1022" s="8">
        <v>0.36895833333333333</v>
      </c>
      <c r="E1022" s="20">
        <f t="shared" si="150"/>
        <v>5.2199074074074092E-3</v>
      </c>
      <c r="F1022" t="str">
        <f t="shared" si="151"/>
        <v>komorkowy</v>
      </c>
      <c r="G1022" s="23">
        <f t="shared" si="158"/>
        <v>358831</v>
      </c>
      <c r="H1022">
        <f t="shared" si="159"/>
        <v>118751</v>
      </c>
      <c r="I1022">
        <f t="shared" si="152"/>
        <v>0</v>
      </c>
      <c r="J1022">
        <f t="shared" si="153"/>
        <v>0</v>
      </c>
      <c r="K1022">
        <f t="shared" si="154"/>
        <v>477582</v>
      </c>
      <c r="L1022">
        <f t="shared" si="155"/>
        <v>0</v>
      </c>
      <c r="M1022">
        <f t="shared" si="156"/>
        <v>0</v>
      </c>
      <c r="N1022">
        <f t="shared" si="157"/>
        <v>451</v>
      </c>
    </row>
    <row r="1023" spans="1:14" x14ac:dyDescent="0.35">
      <c r="A1023" s="9">
        <v>3326329</v>
      </c>
      <c r="B1023" s="10">
        <v>42933</v>
      </c>
      <c r="C1023" s="11">
        <v>0.36928240740740742</v>
      </c>
      <c r="D1023" s="12">
        <v>0.37148148148148147</v>
      </c>
      <c r="E1023" s="20">
        <f t="shared" si="150"/>
        <v>2.1990740740740478E-3</v>
      </c>
      <c r="F1023" t="str">
        <f t="shared" si="151"/>
        <v>stacjonarny</v>
      </c>
      <c r="G1023" s="23">
        <f t="shared" si="158"/>
        <v>359021</v>
      </c>
      <c r="H1023">
        <f t="shared" si="159"/>
        <v>118751</v>
      </c>
      <c r="I1023">
        <f t="shared" si="152"/>
        <v>0</v>
      </c>
      <c r="J1023">
        <f t="shared" si="153"/>
        <v>0</v>
      </c>
      <c r="K1023">
        <f t="shared" si="154"/>
        <v>477772</v>
      </c>
      <c r="L1023">
        <f t="shared" si="155"/>
        <v>0</v>
      </c>
      <c r="M1023">
        <f t="shared" si="156"/>
        <v>190</v>
      </c>
      <c r="N1023">
        <f t="shared" si="157"/>
        <v>0</v>
      </c>
    </row>
    <row r="1024" spans="1:14" x14ac:dyDescent="0.35">
      <c r="A1024" s="5">
        <v>3478111</v>
      </c>
      <c r="B1024" s="6">
        <v>42933</v>
      </c>
      <c r="C1024" s="7">
        <v>0.37144675925925924</v>
      </c>
      <c r="D1024" s="8">
        <v>0.37270833333333331</v>
      </c>
      <c r="E1024" s="20">
        <f t="shared" si="150"/>
        <v>1.2615740740740677E-3</v>
      </c>
      <c r="F1024" t="str">
        <f t="shared" si="151"/>
        <v>stacjonarny</v>
      </c>
      <c r="G1024" s="23">
        <f t="shared" si="158"/>
        <v>359130</v>
      </c>
      <c r="H1024">
        <f t="shared" si="159"/>
        <v>118751</v>
      </c>
      <c r="I1024">
        <f t="shared" si="152"/>
        <v>0</v>
      </c>
      <c r="J1024">
        <f t="shared" si="153"/>
        <v>0</v>
      </c>
      <c r="K1024">
        <f t="shared" si="154"/>
        <v>477881</v>
      </c>
      <c r="L1024">
        <f t="shared" si="155"/>
        <v>0</v>
      </c>
      <c r="M1024">
        <f t="shared" si="156"/>
        <v>109</v>
      </c>
      <c r="N1024">
        <f t="shared" si="157"/>
        <v>0</v>
      </c>
    </row>
    <row r="1025" spans="1:14" x14ac:dyDescent="0.35">
      <c r="A1025" s="9">
        <v>7937998</v>
      </c>
      <c r="B1025" s="10">
        <v>42933</v>
      </c>
      <c r="C1025" s="11">
        <v>0.37627314814814816</v>
      </c>
      <c r="D1025" s="12">
        <v>0.37802083333333331</v>
      </c>
      <c r="E1025" s="20">
        <f t="shared" si="150"/>
        <v>1.7476851851851438E-3</v>
      </c>
      <c r="F1025" t="str">
        <f t="shared" si="151"/>
        <v>stacjonarny</v>
      </c>
      <c r="G1025" s="23">
        <f t="shared" si="158"/>
        <v>359281</v>
      </c>
      <c r="H1025">
        <f t="shared" si="159"/>
        <v>118751</v>
      </c>
      <c r="I1025">
        <f t="shared" si="152"/>
        <v>0</v>
      </c>
      <c r="J1025">
        <f t="shared" si="153"/>
        <v>0</v>
      </c>
      <c r="K1025">
        <f t="shared" si="154"/>
        <v>478032</v>
      </c>
      <c r="L1025">
        <f t="shared" si="155"/>
        <v>0</v>
      </c>
      <c r="M1025">
        <f t="shared" si="156"/>
        <v>151</v>
      </c>
      <c r="N1025">
        <f t="shared" si="157"/>
        <v>0</v>
      </c>
    </row>
    <row r="1026" spans="1:14" x14ac:dyDescent="0.35">
      <c r="A1026" s="5">
        <v>82239478</v>
      </c>
      <c r="B1026" s="6">
        <v>42933</v>
      </c>
      <c r="C1026" s="7">
        <v>0.38178240740740743</v>
      </c>
      <c r="D1026" s="8">
        <v>0.38648148148148148</v>
      </c>
      <c r="E1026" s="20">
        <f t="shared" si="150"/>
        <v>4.69907407407405E-3</v>
      </c>
      <c r="F1026" t="str">
        <f t="shared" si="151"/>
        <v>komorkowy</v>
      </c>
      <c r="G1026" s="23">
        <f t="shared" si="158"/>
        <v>359281</v>
      </c>
      <c r="H1026">
        <f t="shared" si="159"/>
        <v>119157</v>
      </c>
      <c r="I1026">
        <f t="shared" si="152"/>
        <v>0</v>
      </c>
      <c r="J1026">
        <f t="shared" si="153"/>
        <v>0</v>
      </c>
      <c r="K1026">
        <f t="shared" si="154"/>
        <v>478438</v>
      </c>
      <c r="L1026">
        <f t="shared" si="155"/>
        <v>0</v>
      </c>
      <c r="M1026">
        <f t="shared" si="156"/>
        <v>0</v>
      </c>
      <c r="N1026">
        <f t="shared" si="157"/>
        <v>406</v>
      </c>
    </row>
    <row r="1027" spans="1:14" x14ac:dyDescent="0.35">
      <c r="A1027" s="9">
        <v>2557643</v>
      </c>
      <c r="B1027" s="10">
        <v>42933</v>
      </c>
      <c r="C1027" s="11">
        <v>0.38622685185185185</v>
      </c>
      <c r="D1027" s="12">
        <v>0.38957175925925924</v>
      </c>
      <c r="E1027" s="20">
        <f t="shared" ref="E1027:E1090" si="160">D1027-C1027</f>
        <v>3.3449074074073937E-3</v>
      </c>
      <c r="F1027" t="str">
        <f t="shared" ref="F1027:F1090" si="161">IF(LEN(A1027)=7,"stacjonarny",IF(LEN(A1027)=8,"komorkowy","zagraniczny"))</f>
        <v>stacjonarny</v>
      </c>
      <c r="G1027" s="23">
        <f t="shared" si="158"/>
        <v>359570</v>
      </c>
      <c r="H1027">
        <f t="shared" si="159"/>
        <v>119157</v>
      </c>
      <c r="I1027">
        <f t="shared" ref="I1027:I1090" si="162">IF(F1027="zagraniczny",MINUTE(E1027)*60+SECOND(E1027)+HOUR(E1027)*3600,0)</f>
        <v>0</v>
      </c>
      <c r="J1027">
        <f t="shared" ref="J1027:J1090" si="163">ROUNDUP(I1027/60,0)</f>
        <v>0</v>
      </c>
      <c r="K1027">
        <f t="shared" ref="K1027:K1090" si="164">G1027+H1027</f>
        <v>478727</v>
      </c>
      <c r="L1027">
        <f t="shared" ref="L1027:L1090" si="165">IF(K1027&lt;=48000,1,0)</f>
        <v>0</v>
      </c>
      <c r="M1027">
        <f t="shared" ref="M1027:M1090" si="166">IF(AND(L1027=0,F1027="stacjonarny"),SECOND(E1027)+60*MINUTE(E1027),0)</f>
        <v>289</v>
      </c>
      <c r="N1027">
        <f t="shared" ref="N1027:N1090" si="167">IF(AND(L1027=0,F1027="komorkowy"),SECOND(E1027)+60*MINUTE(E1027),0)</f>
        <v>0</v>
      </c>
    </row>
    <row r="1028" spans="1:14" x14ac:dyDescent="0.35">
      <c r="A1028" s="5">
        <v>4501726</v>
      </c>
      <c r="B1028" s="6">
        <v>42933</v>
      </c>
      <c r="C1028" s="7">
        <v>0.38754629629629628</v>
      </c>
      <c r="D1028" s="8">
        <v>0.39260416666666664</v>
      </c>
      <c r="E1028" s="20">
        <f t="shared" si="160"/>
        <v>5.0578703703703654E-3</v>
      </c>
      <c r="F1028" t="str">
        <f t="shared" si="161"/>
        <v>stacjonarny</v>
      </c>
      <c r="G1028" s="23">
        <f t="shared" ref="G1028:G1091" si="168">IF(F1028="stacjonarny",MINUTE(E1028)*60+SECOND(E1028)+G1027,G1027)</f>
        <v>360007</v>
      </c>
      <c r="H1028">
        <f t="shared" ref="H1028:H1091" si="169">IF(F1028="komorkowy",MINUTE(E1028)*60+SECOND(E1028)+H1027,H1027)</f>
        <v>119157</v>
      </c>
      <c r="I1028">
        <f t="shared" si="162"/>
        <v>0</v>
      </c>
      <c r="J1028">
        <f t="shared" si="163"/>
        <v>0</v>
      </c>
      <c r="K1028">
        <f t="shared" si="164"/>
        <v>479164</v>
      </c>
      <c r="L1028">
        <f t="shared" si="165"/>
        <v>0</v>
      </c>
      <c r="M1028">
        <f t="shared" si="166"/>
        <v>437</v>
      </c>
      <c r="N1028">
        <f t="shared" si="167"/>
        <v>0</v>
      </c>
    </row>
    <row r="1029" spans="1:14" x14ac:dyDescent="0.35">
      <c r="A1029" s="9">
        <v>1415198</v>
      </c>
      <c r="B1029" s="10">
        <v>42933</v>
      </c>
      <c r="C1029" s="11">
        <v>0.38991898148148146</v>
      </c>
      <c r="D1029" s="12">
        <v>0.40072916666666669</v>
      </c>
      <c r="E1029" s="20">
        <f t="shared" si="160"/>
        <v>1.0810185185185228E-2</v>
      </c>
      <c r="F1029" t="str">
        <f t="shared" si="161"/>
        <v>stacjonarny</v>
      </c>
      <c r="G1029" s="23">
        <f t="shared" si="168"/>
        <v>360941</v>
      </c>
      <c r="H1029">
        <f t="shared" si="169"/>
        <v>119157</v>
      </c>
      <c r="I1029">
        <f t="shared" si="162"/>
        <v>0</v>
      </c>
      <c r="J1029">
        <f t="shared" si="163"/>
        <v>0</v>
      </c>
      <c r="K1029">
        <f t="shared" si="164"/>
        <v>480098</v>
      </c>
      <c r="L1029">
        <f t="shared" si="165"/>
        <v>0</v>
      </c>
      <c r="M1029">
        <f t="shared" si="166"/>
        <v>934</v>
      </c>
      <c r="N1029">
        <f t="shared" si="167"/>
        <v>0</v>
      </c>
    </row>
    <row r="1030" spans="1:14" x14ac:dyDescent="0.35">
      <c r="A1030" s="5">
        <v>23368531</v>
      </c>
      <c r="B1030" s="6">
        <v>42933</v>
      </c>
      <c r="C1030" s="7">
        <v>0.39103009259259258</v>
      </c>
      <c r="D1030" s="8">
        <v>0.39221064814814816</v>
      </c>
      <c r="E1030" s="20">
        <f t="shared" si="160"/>
        <v>1.1805555555555736E-3</v>
      </c>
      <c r="F1030" t="str">
        <f t="shared" si="161"/>
        <v>komorkowy</v>
      </c>
      <c r="G1030" s="23">
        <f t="shared" si="168"/>
        <v>360941</v>
      </c>
      <c r="H1030">
        <f t="shared" si="169"/>
        <v>119259</v>
      </c>
      <c r="I1030">
        <f t="shared" si="162"/>
        <v>0</v>
      </c>
      <c r="J1030">
        <f t="shared" si="163"/>
        <v>0</v>
      </c>
      <c r="K1030">
        <f t="shared" si="164"/>
        <v>480200</v>
      </c>
      <c r="L1030">
        <f t="shared" si="165"/>
        <v>0</v>
      </c>
      <c r="M1030">
        <f t="shared" si="166"/>
        <v>0</v>
      </c>
      <c r="N1030">
        <f t="shared" si="167"/>
        <v>102</v>
      </c>
    </row>
    <row r="1031" spans="1:14" x14ac:dyDescent="0.35">
      <c r="A1031" s="9">
        <v>5750549</v>
      </c>
      <c r="B1031" s="10">
        <v>42933</v>
      </c>
      <c r="C1031" s="11">
        <v>0.3948726851851852</v>
      </c>
      <c r="D1031" s="12">
        <v>0.39504629629629628</v>
      </c>
      <c r="E1031" s="20">
        <f t="shared" si="160"/>
        <v>1.7361111111108274E-4</v>
      </c>
      <c r="F1031" t="str">
        <f t="shared" si="161"/>
        <v>stacjonarny</v>
      </c>
      <c r="G1031" s="23">
        <f t="shared" si="168"/>
        <v>360956</v>
      </c>
      <c r="H1031">
        <f t="shared" si="169"/>
        <v>119259</v>
      </c>
      <c r="I1031">
        <f t="shared" si="162"/>
        <v>0</v>
      </c>
      <c r="J1031">
        <f t="shared" si="163"/>
        <v>0</v>
      </c>
      <c r="K1031">
        <f t="shared" si="164"/>
        <v>480215</v>
      </c>
      <c r="L1031">
        <f t="shared" si="165"/>
        <v>0</v>
      </c>
      <c r="M1031">
        <f t="shared" si="166"/>
        <v>15</v>
      </c>
      <c r="N1031">
        <f t="shared" si="167"/>
        <v>0</v>
      </c>
    </row>
    <row r="1032" spans="1:14" x14ac:dyDescent="0.35">
      <c r="A1032" s="5">
        <v>3897850970</v>
      </c>
      <c r="B1032" s="6">
        <v>42933</v>
      </c>
      <c r="C1032" s="7">
        <v>0.3951736111111111</v>
      </c>
      <c r="D1032" s="8">
        <v>0.39697916666666666</v>
      </c>
      <c r="E1032" s="20">
        <f t="shared" si="160"/>
        <v>1.8055555555555602E-3</v>
      </c>
      <c r="F1032" t="str">
        <f t="shared" si="161"/>
        <v>zagraniczny</v>
      </c>
      <c r="G1032" s="23">
        <f t="shared" si="168"/>
        <v>360956</v>
      </c>
      <c r="H1032">
        <f t="shared" si="169"/>
        <v>119259</v>
      </c>
      <c r="I1032">
        <f t="shared" si="162"/>
        <v>156</v>
      </c>
      <c r="J1032">
        <f t="shared" si="163"/>
        <v>3</v>
      </c>
      <c r="K1032">
        <f t="shared" si="164"/>
        <v>480215</v>
      </c>
      <c r="L1032">
        <f t="shared" si="165"/>
        <v>0</v>
      </c>
      <c r="M1032">
        <f t="shared" si="166"/>
        <v>0</v>
      </c>
      <c r="N1032">
        <f t="shared" si="167"/>
        <v>0</v>
      </c>
    </row>
    <row r="1033" spans="1:14" x14ac:dyDescent="0.35">
      <c r="A1033" s="9">
        <v>2573868</v>
      </c>
      <c r="B1033" s="10">
        <v>42933</v>
      </c>
      <c r="C1033" s="11">
        <v>0.39962962962962961</v>
      </c>
      <c r="D1033" s="12">
        <v>0.40937499999999999</v>
      </c>
      <c r="E1033" s="20">
        <f t="shared" si="160"/>
        <v>9.7453703703703765E-3</v>
      </c>
      <c r="F1033" t="str">
        <f t="shared" si="161"/>
        <v>stacjonarny</v>
      </c>
      <c r="G1033" s="23">
        <f t="shared" si="168"/>
        <v>361798</v>
      </c>
      <c r="H1033">
        <f t="shared" si="169"/>
        <v>119259</v>
      </c>
      <c r="I1033">
        <f t="shared" si="162"/>
        <v>0</v>
      </c>
      <c r="J1033">
        <f t="shared" si="163"/>
        <v>0</v>
      </c>
      <c r="K1033">
        <f t="shared" si="164"/>
        <v>481057</v>
      </c>
      <c r="L1033">
        <f t="shared" si="165"/>
        <v>0</v>
      </c>
      <c r="M1033">
        <f t="shared" si="166"/>
        <v>842</v>
      </c>
      <c r="N1033">
        <f t="shared" si="167"/>
        <v>0</v>
      </c>
    </row>
    <row r="1034" spans="1:14" x14ac:dyDescent="0.35">
      <c r="A1034" s="5">
        <v>1701008</v>
      </c>
      <c r="B1034" s="6">
        <v>42933</v>
      </c>
      <c r="C1034" s="7">
        <v>0.40104166666666669</v>
      </c>
      <c r="D1034" s="8">
        <v>0.40837962962962965</v>
      </c>
      <c r="E1034" s="20">
        <f t="shared" si="160"/>
        <v>7.3379629629629628E-3</v>
      </c>
      <c r="F1034" t="str">
        <f t="shared" si="161"/>
        <v>stacjonarny</v>
      </c>
      <c r="G1034" s="23">
        <f t="shared" si="168"/>
        <v>362432</v>
      </c>
      <c r="H1034">
        <f t="shared" si="169"/>
        <v>119259</v>
      </c>
      <c r="I1034">
        <f t="shared" si="162"/>
        <v>0</v>
      </c>
      <c r="J1034">
        <f t="shared" si="163"/>
        <v>0</v>
      </c>
      <c r="K1034">
        <f t="shared" si="164"/>
        <v>481691</v>
      </c>
      <c r="L1034">
        <f t="shared" si="165"/>
        <v>0</v>
      </c>
      <c r="M1034">
        <f t="shared" si="166"/>
        <v>634</v>
      </c>
      <c r="N1034">
        <f t="shared" si="167"/>
        <v>0</v>
      </c>
    </row>
    <row r="1035" spans="1:14" x14ac:dyDescent="0.35">
      <c r="A1035" s="9">
        <v>1617146</v>
      </c>
      <c r="B1035" s="10">
        <v>42933</v>
      </c>
      <c r="C1035" s="11">
        <v>0.40575231481481483</v>
      </c>
      <c r="D1035" s="12">
        <v>0.41274305555555557</v>
      </c>
      <c r="E1035" s="20">
        <f t="shared" si="160"/>
        <v>6.9907407407407418E-3</v>
      </c>
      <c r="F1035" t="str">
        <f t="shared" si="161"/>
        <v>stacjonarny</v>
      </c>
      <c r="G1035" s="23">
        <f t="shared" si="168"/>
        <v>363036</v>
      </c>
      <c r="H1035">
        <f t="shared" si="169"/>
        <v>119259</v>
      </c>
      <c r="I1035">
        <f t="shared" si="162"/>
        <v>0</v>
      </c>
      <c r="J1035">
        <f t="shared" si="163"/>
        <v>0</v>
      </c>
      <c r="K1035">
        <f t="shared" si="164"/>
        <v>482295</v>
      </c>
      <c r="L1035">
        <f t="shared" si="165"/>
        <v>0</v>
      </c>
      <c r="M1035">
        <f t="shared" si="166"/>
        <v>604</v>
      </c>
      <c r="N1035">
        <f t="shared" si="167"/>
        <v>0</v>
      </c>
    </row>
    <row r="1036" spans="1:14" x14ac:dyDescent="0.35">
      <c r="A1036" s="5">
        <v>7085993</v>
      </c>
      <c r="B1036" s="6">
        <v>42933</v>
      </c>
      <c r="C1036" s="7">
        <v>0.40719907407407407</v>
      </c>
      <c r="D1036" s="8">
        <v>0.41578703703703701</v>
      </c>
      <c r="E1036" s="20">
        <f t="shared" si="160"/>
        <v>8.5879629629629362E-3</v>
      </c>
      <c r="F1036" t="str">
        <f t="shared" si="161"/>
        <v>stacjonarny</v>
      </c>
      <c r="G1036" s="23">
        <f t="shared" si="168"/>
        <v>363778</v>
      </c>
      <c r="H1036">
        <f t="shared" si="169"/>
        <v>119259</v>
      </c>
      <c r="I1036">
        <f t="shared" si="162"/>
        <v>0</v>
      </c>
      <c r="J1036">
        <f t="shared" si="163"/>
        <v>0</v>
      </c>
      <c r="K1036">
        <f t="shared" si="164"/>
        <v>483037</v>
      </c>
      <c r="L1036">
        <f t="shared" si="165"/>
        <v>0</v>
      </c>
      <c r="M1036">
        <f t="shared" si="166"/>
        <v>742</v>
      </c>
      <c r="N1036">
        <f t="shared" si="167"/>
        <v>0</v>
      </c>
    </row>
    <row r="1037" spans="1:14" x14ac:dyDescent="0.35">
      <c r="A1037" s="9">
        <v>73460179</v>
      </c>
      <c r="B1037" s="10">
        <v>42933</v>
      </c>
      <c r="C1037" s="11">
        <v>0.41060185185185183</v>
      </c>
      <c r="D1037" s="12">
        <v>0.41334490740740742</v>
      </c>
      <c r="E1037" s="20">
        <f t="shared" si="160"/>
        <v>2.7430555555555958E-3</v>
      </c>
      <c r="F1037" t="str">
        <f t="shared" si="161"/>
        <v>komorkowy</v>
      </c>
      <c r="G1037" s="23">
        <f t="shared" si="168"/>
        <v>363778</v>
      </c>
      <c r="H1037">
        <f t="shared" si="169"/>
        <v>119496</v>
      </c>
      <c r="I1037">
        <f t="shared" si="162"/>
        <v>0</v>
      </c>
      <c r="J1037">
        <f t="shared" si="163"/>
        <v>0</v>
      </c>
      <c r="K1037">
        <f t="shared" si="164"/>
        <v>483274</v>
      </c>
      <c r="L1037">
        <f t="shared" si="165"/>
        <v>0</v>
      </c>
      <c r="M1037">
        <f t="shared" si="166"/>
        <v>0</v>
      </c>
      <c r="N1037">
        <f t="shared" si="167"/>
        <v>237</v>
      </c>
    </row>
    <row r="1038" spans="1:14" x14ac:dyDescent="0.35">
      <c r="A1038" s="5">
        <v>5983034</v>
      </c>
      <c r="B1038" s="6">
        <v>42933</v>
      </c>
      <c r="C1038" s="7">
        <v>0.41253472222222221</v>
      </c>
      <c r="D1038" s="8">
        <v>0.41753472222222221</v>
      </c>
      <c r="E1038" s="20">
        <f t="shared" si="160"/>
        <v>5.0000000000000044E-3</v>
      </c>
      <c r="F1038" t="str">
        <f t="shared" si="161"/>
        <v>stacjonarny</v>
      </c>
      <c r="G1038" s="23">
        <f t="shared" si="168"/>
        <v>364210</v>
      </c>
      <c r="H1038">
        <f t="shared" si="169"/>
        <v>119496</v>
      </c>
      <c r="I1038">
        <f t="shared" si="162"/>
        <v>0</v>
      </c>
      <c r="J1038">
        <f t="shared" si="163"/>
        <v>0</v>
      </c>
      <c r="K1038">
        <f t="shared" si="164"/>
        <v>483706</v>
      </c>
      <c r="L1038">
        <f t="shared" si="165"/>
        <v>0</v>
      </c>
      <c r="M1038">
        <f t="shared" si="166"/>
        <v>432</v>
      </c>
      <c r="N1038">
        <f t="shared" si="167"/>
        <v>0</v>
      </c>
    </row>
    <row r="1039" spans="1:14" x14ac:dyDescent="0.35">
      <c r="A1039" s="9">
        <v>16724936</v>
      </c>
      <c r="B1039" s="10">
        <v>42933</v>
      </c>
      <c r="C1039" s="11">
        <v>0.41317129629629629</v>
      </c>
      <c r="D1039" s="12">
        <v>0.41466435185185185</v>
      </c>
      <c r="E1039" s="20">
        <f t="shared" si="160"/>
        <v>1.4930555555555669E-3</v>
      </c>
      <c r="F1039" t="str">
        <f t="shared" si="161"/>
        <v>komorkowy</v>
      </c>
      <c r="G1039" s="23">
        <f t="shared" si="168"/>
        <v>364210</v>
      </c>
      <c r="H1039">
        <f t="shared" si="169"/>
        <v>119625</v>
      </c>
      <c r="I1039">
        <f t="shared" si="162"/>
        <v>0</v>
      </c>
      <c r="J1039">
        <f t="shared" si="163"/>
        <v>0</v>
      </c>
      <c r="K1039">
        <f t="shared" si="164"/>
        <v>483835</v>
      </c>
      <c r="L1039">
        <f t="shared" si="165"/>
        <v>0</v>
      </c>
      <c r="M1039">
        <f t="shared" si="166"/>
        <v>0</v>
      </c>
      <c r="N1039">
        <f t="shared" si="167"/>
        <v>129</v>
      </c>
    </row>
    <row r="1040" spans="1:14" x14ac:dyDescent="0.35">
      <c r="A1040" s="5">
        <v>19343766</v>
      </c>
      <c r="B1040" s="6">
        <v>42933</v>
      </c>
      <c r="C1040" s="7">
        <v>0.41572916666666665</v>
      </c>
      <c r="D1040" s="8">
        <v>0.41825231481481484</v>
      </c>
      <c r="E1040" s="20">
        <f t="shared" si="160"/>
        <v>2.523148148148191E-3</v>
      </c>
      <c r="F1040" t="str">
        <f t="shared" si="161"/>
        <v>komorkowy</v>
      </c>
      <c r="G1040" s="23">
        <f t="shared" si="168"/>
        <v>364210</v>
      </c>
      <c r="H1040">
        <f t="shared" si="169"/>
        <v>119843</v>
      </c>
      <c r="I1040">
        <f t="shared" si="162"/>
        <v>0</v>
      </c>
      <c r="J1040">
        <f t="shared" si="163"/>
        <v>0</v>
      </c>
      <c r="K1040">
        <f t="shared" si="164"/>
        <v>484053</v>
      </c>
      <c r="L1040">
        <f t="shared" si="165"/>
        <v>0</v>
      </c>
      <c r="M1040">
        <f t="shared" si="166"/>
        <v>0</v>
      </c>
      <c r="N1040">
        <f t="shared" si="167"/>
        <v>218</v>
      </c>
    </row>
    <row r="1041" spans="1:14" x14ac:dyDescent="0.35">
      <c r="A1041" s="9">
        <v>7439955</v>
      </c>
      <c r="B1041" s="10">
        <v>42933</v>
      </c>
      <c r="C1041" s="11">
        <v>0.41716435185185186</v>
      </c>
      <c r="D1041" s="12">
        <v>0.4284722222222222</v>
      </c>
      <c r="E1041" s="20">
        <f t="shared" si="160"/>
        <v>1.1307870370370343E-2</v>
      </c>
      <c r="F1041" t="str">
        <f t="shared" si="161"/>
        <v>stacjonarny</v>
      </c>
      <c r="G1041" s="23">
        <f t="shared" si="168"/>
        <v>365187</v>
      </c>
      <c r="H1041">
        <f t="shared" si="169"/>
        <v>119843</v>
      </c>
      <c r="I1041">
        <f t="shared" si="162"/>
        <v>0</v>
      </c>
      <c r="J1041">
        <f t="shared" si="163"/>
        <v>0</v>
      </c>
      <c r="K1041">
        <f t="shared" si="164"/>
        <v>485030</v>
      </c>
      <c r="L1041">
        <f t="shared" si="165"/>
        <v>0</v>
      </c>
      <c r="M1041">
        <f t="shared" si="166"/>
        <v>977</v>
      </c>
      <c r="N1041">
        <f t="shared" si="167"/>
        <v>0</v>
      </c>
    </row>
    <row r="1042" spans="1:14" x14ac:dyDescent="0.35">
      <c r="A1042" s="5">
        <v>7224275</v>
      </c>
      <c r="B1042" s="6">
        <v>42933</v>
      </c>
      <c r="C1042" s="7">
        <v>0.41899305555555555</v>
      </c>
      <c r="D1042" s="8">
        <v>0.41968749999999999</v>
      </c>
      <c r="E1042" s="20">
        <f t="shared" si="160"/>
        <v>6.9444444444444198E-4</v>
      </c>
      <c r="F1042" t="str">
        <f t="shared" si="161"/>
        <v>stacjonarny</v>
      </c>
      <c r="G1042" s="23">
        <f t="shared" si="168"/>
        <v>365247</v>
      </c>
      <c r="H1042">
        <f t="shared" si="169"/>
        <v>119843</v>
      </c>
      <c r="I1042">
        <f t="shared" si="162"/>
        <v>0</v>
      </c>
      <c r="J1042">
        <f t="shared" si="163"/>
        <v>0</v>
      </c>
      <c r="K1042">
        <f t="shared" si="164"/>
        <v>485090</v>
      </c>
      <c r="L1042">
        <f t="shared" si="165"/>
        <v>0</v>
      </c>
      <c r="M1042">
        <f t="shared" si="166"/>
        <v>60</v>
      </c>
      <c r="N1042">
        <f t="shared" si="167"/>
        <v>0</v>
      </c>
    </row>
    <row r="1043" spans="1:14" x14ac:dyDescent="0.35">
      <c r="A1043" s="9">
        <v>1679471</v>
      </c>
      <c r="B1043" s="10">
        <v>42933</v>
      </c>
      <c r="C1043" s="11">
        <v>0.42386574074074074</v>
      </c>
      <c r="D1043" s="12">
        <v>0.42885416666666665</v>
      </c>
      <c r="E1043" s="20">
        <f t="shared" si="160"/>
        <v>4.9884259259259101E-3</v>
      </c>
      <c r="F1043" t="str">
        <f t="shared" si="161"/>
        <v>stacjonarny</v>
      </c>
      <c r="G1043" s="23">
        <f t="shared" si="168"/>
        <v>365678</v>
      </c>
      <c r="H1043">
        <f t="shared" si="169"/>
        <v>119843</v>
      </c>
      <c r="I1043">
        <f t="shared" si="162"/>
        <v>0</v>
      </c>
      <c r="J1043">
        <f t="shared" si="163"/>
        <v>0</v>
      </c>
      <c r="K1043">
        <f t="shared" si="164"/>
        <v>485521</v>
      </c>
      <c r="L1043">
        <f t="shared" si="165"/>
        <v>0</v>
      </c>
      <c r="M1043">
        <f t="shared" si="166"/>
        <v>431</v>
      </c>
      <c r="N1043">
        <f t="shared" si="167"/>
        <v>0</v>
      </c>
    </row>
    <row r="1044" spans="1:14" x14ac:dyDescent="0.35">
      <c r="A1044" s="5">
        <v>6270159</v>
      </c>
      <c r="B1044" s="6">
        <v>42933</v>
      </c>
      <c r="C1044" s="7">
        <v>0.42664351851851851</v>
      </c>
      <c r="D1044" s="8">
        <v>0.42697916666666669</v>
      </c>
      <c r="E1044" s="20">
        <f t="shared" si="160"/>
        <v>3.3564814814818211E-4</v>
      </c>
      <c r="F1044" t="str">
        <f t="shared" si="161"/>
        <v>stacjonarny</v>
      </c>
      <c r="G1044" s="23">
        <f t="shared" si="168"/>
        <v>365707</v>
      </c>
      <c r="H1044">
        <f t="shared" si="169"/>
        <v>119843</v>
      </c>
      <c r="I1044">
        <f t="shared" si="162"/>
        <v>0</v>
      </c>
      <c r="J1044">
        <f t="shared" si="163"/>
        <v>0</v>
      </c>
      <c r="K1044">
        <f t="shared" si="164"/>
        <v>485550</v>
      </c>
      <c r="L1044">
        <f t="shared" si="165"/>
        <v>0</v>
      </c>
      <c r="M1044">
        <f t="shared" si="166"/>
        <v>29</v>
      </c>
      <c r="N1044">
        <f t="shared" si="167"/>
        <v>0</v>
      </c>
    </row>
    <row r="1045" spans="1:14" x14ac:dyDescent="0.35">
      <c r="A1045" s="9">
        <v>1482340</v>
      </c>
      <c r="B1045" s="10">
        <v>42933</v>
      </c>
      <c r="C1045" s="11">
        <v>0.42983796296296295</v>
      </c>
      <c r="D1045" s="12">
        <v>0.43975694444444446</v>
      </c>
      <c r="E1045" s="20">
        <f t="shared" si="160"/>
        <v>9.9189814814815147E-3</v>
      </c>
      <c r="F1045" t="str">
        <f t="shared" si="161"/>
        <v>stacjonarny</v>
      </c>
      <c r="G1045" s="23">
        <f t="shared" si="168"/>
        <v>366564</v>
      </c>
      <c r="H1045">
        <f t="shared" si="169"/>
        <v>119843</v>
      </c>
      <c r="I1045">
        <f t="shared" si="162"/>
        <v>0</v>
      </c>
      <c r="J1045">
        <f t="shared" si="163"/>
        <v>0</v>
      </c>
      <c r="K1045">
        <f t="shared" si="164"/>
        <v>486407</v>
      </c>
      <c r="L1045">
        <f t="shared" si="165"/>
        <v>0</v>
      </c>
      <c r="M1045">
        <f t="shared" si="166"/>
        <v>857</v>
      </c>
      <c r="N1045">
        <f t="shared" si="167"/>
        <v>0</v>
      </c>
    </row>
    <row r="1046" spans="1:14" x14ac:dyDescent="0.35">
      <c r="A1046" s="5">
        <v>28185580</v>
      </c>
      <c r="B1046" s="6">
        <v>42933</v>
      </c>
      <c r="C1046" s="7">
        <v>0.43086805555555557</v>
      </c>
      <c r="D1046" s="8">
        <v>0.43388888888888888</v>
      </c>
      <c r="E1046" s="20">
        <f t="shared" si="160"/>
        <v>3.0208333333333059E-3</v>
      </c>
      <c r="F1046" t="str">
        <f t="shared" si="161"/>
        <v>komorkowy</v>
      </c>
      <c r="G1046" s="23">
        <f t="shared" si="168"/>
        <v>366564</v>
      </c>
      <c r="H1046">
        <f t="shared" si="169"/>
        <v>120104</v>
      </c>
      <c r="I1046">
        <f t="shared" si="162"/>
        <v>0</v>
      </c>
      <c r="J1046">
        <f t="shared" si="163"/>
        <v>0</v>
      </c>
      <c r="K1046">
        <f t="shared" si="164"/>
        <v>486668</v>
      </c>
      <c r="L1046">
        <f t="shared" si="165"/>
        <v>0</v>
      </c>
      <c r="M1046">
        <f t="shared" si="166"/>
        <v>0</v>
      </c>
      <c r="N1046">
        <f t="shared" si="167"/>
        <v>261</v>
      </c>
    </row>
    <row r="1047" spans="1:14" x14ac:dyDescent="0.35">
      <c r="A1047" s="9">
        <v>4222605</v>
      </c>
      <c r="B1047" s="10">
        <v>42933</v>
      </c>
      <c r="C1047" s="11">
        <v>0.43375000000000002</v>
      </c>
      <c r="D1047" s="12">
        <v>0.43592592592592594</v>
      </c>
      <c r="E1047" s="20">
        <f t="shared" si="160"/>
        <v>2.1759259259259145E-3</v>
      </c>
      <c r="F1047" t="str">
        <f t="shared" si="161"/>
        <v>stacjonarny</v>
      </c>
      <c r="G1047" s="23">
        <f t="shared" si="168"/>
        <v>366752</v>
      </c>
      <c r="H1047">
        <f t="shared" si="169"/>
        <v>120104</v>
      </c>
      <c r="I1047">
        <f t="shared" si="162"/>
        <v>0</v>
      </c>
      <c r="J1047">
        <f t="shared" si="163"/>
        <v>0</v>
      </c>
      <c r="K1047">
        <f t="shared" si="164"/>
        <v>486856</v>
      </c>
      <c r="L1047">
        <f t="shared" si="165"/>
        <v>0</v>
      </c>
      <c r="M1047">
        <f t="shared" si="166"/>
        <v>188</v>
      </c>
      <c r="N1047">
        <f t="shared" si="167"/>
        <v>0</v>
      </c>
    </row>
    <row r="1048" spans="1:14" x14ac:dyDescent="0.35">
      <c r="A1048" s="5">
        <v>6689117</v>
      </c>
      <c r="B1048" s="6">
        <v>42933</v>
      </c>
      <c r="C1048" s="7">
        <v>0.43546296296296294</v>
      </c>
      <c r="D1048" s="8">
        <v>0.43662037037037038</v>
      </c>
      <c r="E1048" s="20">
        <f t="shared" si="160"/>
        <v>1.1574074074074403E-3</v>
      </c>
      <c r="F1048" t="str">
        <f t="shared" si="161"/>
        <v>stacjonarny</v>
      </c>
      <c r="G1048" s="23">
        <f t="shared" si="168"/>
        <v>366852</v>
      </c>
      <c r="H1048">
        <f t="shared" si="169"/>
        <v>120104</v>
      </c>
      <c r="I1048">
        <f t="shared" si="162"/>
        <v>0</v>
      </c>
      <c r="J1048">
        <f t="shared" si="163"/>
        <v>0</v>
      </c>
      <c r="K1048">
        <f t="shared" si="164"/>
        <v>486956</v>
      </c>
      <c r="L1048">
        <f t="shared" si="165"/>
        <v>0</v>
      </c>
      <c r="M1048">
        <f t="shared" si="166"/>
        <v>100</v>
      </c>
      <c r="N1048">
        <f t="shared" si="167"/>
        <v>0</v>
      </c>
    </row>
    <row r="1049" spans="1:14" x14ac:dyDescent="0.35">
      <c r="A1049" s="9">
        <v>3785540</v>
      </c>
      <c r="B1049" s="10">
        <v>42933</v>
      </c>
      <c r="C1049" s="11">
        <v>0.43569444444444444</v>
      </c>
      <c r="D1049" s="12">
        <v>0.4362037037037037</v>
      </c>
      <c r="E1049" s="20">
        <f t="shared" si="160"/>
        <v>5.0925925925926485E-4</v>
      </c>
      <c r="F1049" t="str">
        <f t="shared" si="161"/>
        <v>stacjonarny</v>
      </c>
      <c r="G1049" s="23">
        <f t="shared" si="168"/>
        <v>366896</v>
      </c>
      <c r="H1049">
        <f t="shared" si="169"/>
        <v>120104</v>
      </c>
      <c r="I1049">
        <f t="shared" si="162"/>
        <v>0</v>
      </c>
      <c r="J1049">
        <f t="shared" si="163"/>
        <v>0</v>
      </c>
      <c r="K1049">
        <f t="shared" si="164"/>
        <v>487000</v>
      </c>
      <c r="L1049">
        <f t="shared" si="165"/>
        <v>0</v>
      </c>
      <c r="M1049">
        <f t="shared" si="166"/>
        <v>44</v>
      </c>
      <c r="N1049">
        <f t="shared" si="167"/>
        <v>0</v>
      </c>
    </row>
    <row r="1050" spans="1:14" x14ac:dyDescent="0.35">
      <c r="A1050" s="5">
        <v>6151478</v>
      </c>
      <c r="B1050" s="6">
        <v>42933</v>
      </c>
      <c r="C1050" s="7">
        <v>0.44103009259259257</v>
      </c>
      <c r="D1050" s="8">
        <v>0.44807870370370373</v>
      </c>
      <c r="E1050" s="20">
        <f t="shared" si="160"/>
        <v>7.0486111111111582E-3</v>
      </c>
      <c r="F1050" t="str">
        <f t="shared" si="161"/>
        <v>stacjonarny</v>
      </c>
      <c r="G1050" s="23">
        <f t="shared" si="168"/>
        <v>367505</v>
      </c>
      <c r="H1050">
        <f t="shared" si="169"/>
        <v>120104</v>
      </c>
      <c r="I1050">
        <f t="shared" si="162"/>
        <v>0</v>
      </c>
      <c r="J1050">
        <f t="shared" si="163"/>
        <v>0</v>
      </c>
      <c r="K1050">
        <f t="shared" si="164"/>
        <v>487609</v>
      </c>
      <c r="L1050">
        <f t="shared" si="165"/>
        <v>0</v>
      </c>
      <c r="M1050">
        <f t="shared" si="166"/>
        <v>609</v>
      </c>
      <c r="N1050">
        <f t="shared" si="167"/>
        <v>0</v>
      </c>
    </row>
    <row r="1051" spans="1:14" x14ac:dyDescent="0.35">
      <c r="A1051" s="9">
        <v>9926754</v>
      </c>
      <c r="B1051" s="10">
        <v>42933</v>
      </c>
      <c r="C1051" s="11">
        <v>0.44421296296296298</v>
      </c>
      <c r="D1051" s="12">
        <v>0.44739583333333333</v>
      </c>
      <c r="E1051" s="20">
        <f t="shared" si="160"/>
        <v>3.1828703703703498E-3</v>
      </c>
      <c r="F1051" t="str">
        <f t="shared" si="161"/>
        <v>stacjonarny</v>
      </c>
      <c r="G1051" s="23">
        <f t="shared" si="168"/>
        <v>367780</v>
      </c>
      <c r="H1051">
        <f t="shared" si="169"/>
        <v>120104</v>
      </c>
      <c r="I1051">
        <f t="shared" si="162"/>
        <v>0</v>
      </c>
      <c r="J1051">
        <f t="shared" si="163"/>
        <v>0</v>
      </c>
      <c r="K1051">
        <f t="shared" si="164"/>
        <v>487884</v>
      </c>
      <c r="L1051">
        <f t="shared" si="165"/>
        <v>0</v>
      </c>
      <c r="M1051">
        <f t="shared" si="166"/>
        <v>275</v>
      </c>
      <c r="N1051">
        <f t="shared" si="167"/>
        <v>0</v>
      </c>
    </row>
    <row r="1052" spans="1:14" x14ac:dyDescent="0.35">
      <c r="A1052" s="5">
        <v>89098100</v>
      </c>
      <c r="B1052" s="6">
        <v>42933</v>
      </c>
      <c r="C1052" s="7">
        <v>0.44609953703703703</v>
      </c>
      <c r="D1052" s="8">
        <v>0.44979166666666665</v>
      </c>
      <c r="E1052" s="20">
        <f t="shared" si="160"/>
        <v>3.6921296296296147E-3</v>
      </c>
      <c r="F1052" t="str">
        <f t="shared" si="161"/>
        <v>komorkowy</v>
      </c>
      <c r="G1052" s="23">
        <f t="shared" si="168"/>
        <v>367780</v>
      </c>
      <c r="H1052">
        <f t="shared" si="169"/>
        <v>120423</v>
      </c>
      <c r="I1052">
        <f t="shared" si="162"/>
        <v>0</v>
      </c>
      <c r="J1052">
        <f t="shared" si="163"/>
        <v>0</v>
      </c>
      <c r="K1052">
        <f t="shared" si="164"/>
        <v>488203</v>
      </c>
      <c r="L1052">
        <f t="shared" si="165"/>
        <v>0</v>
      </c>
      <c r="M1052">
        <f t="shared" si="166"/>
        <v>0</v>
      </c>
      <c r="N1052">
        <f t="shared" si="167"/>
        <v>319</v>
      </c>
    </row>
    <row r="1053" spans="1:14" x14ac:dyDescent="0.35">
      <c r="A1053" s="9">
        <v>6460935</v>
      </c>
      <c r="B1053" s="10">
        <v>42933</v>
      </c>
      <c r="C1053" s="11">
        <v>0.45122685185185185</v>
      </c>
      <c r="D1053" s="12">
        <v>0.45480324074074074</v>
      </c>
      <c r="E1053" s="20">
        <f t="shared" si="160"/>
        <v>3.5763888888888928E-3</v>
      </c>
      <c r="F1053" t="str">
        <f t="shared" si="161"/>
        <v>stacjonarny</v>
      </c>
      <c r="G1053" s="23">
        <f t="shared" si="168"/>
        <v>368089</v>
      </c>
      <c r="H1053">
        <f t="shared" si="169"/>
        <v>120423</v>
      </c>
      <c r="I1053">
        <f t="shared" si="162"/>
        <v>0</v>
      </c>
      <c r="J1053">
        <f t="shared" si="163"/>
        <v>0</v>
      </c>
      <c r="K1053">
        <f t="shared" si="164"/>
        <v>488512</v>
      </c>
      <c r="L1053">
        <f t="shared" si="165"/>
        <v>0</v>
      </c>
      <c r="M1053">
        <f t="shared" si="166"/>
        <v>309</v>
      </c>
      <c r="N1053">
        <f t="shared" si="167"/>
        <v>0</v>
      </c>
    </row>
    <row r="1054" spans="1:14" x14ac:dyDescent="0.35">
      <c r="A1054" s="5">
        <v>83559673</v>
      </c>
      <c r="B1054" s="6">
        <v>42933</v>
      </c>
      <c r="C1054" s="7">
        <v>0.45623842592592595</v>
      </c>
      <c r="D1054" s="8">
        <v>0.46062500000000001</v>
      </c>
      <c r="E1054" s="20">
        <f t="shared" si="160"/>
        <v>4.3865740740740566E-3</v>
      </c>
      <c r="F1054" t="str">
        <f t="shared" si="161"/>
        <v>komorkowy</v>
      </c>
      <c r="G1054" s="23">
        <f t="shared" si="168"/>
        <v>368089</v>
      </c>
      <c r="H1054">
        <f t="shared" si="169"/>
        <v>120802</v>
      </c>
      <c r="I1054">
        <f t="shared" si="162"/>
        <v>0</v>
      </c>
      <c r="J1054">
        <f t="shared" si="163"/>
        <v>0</v>
      </c>
      <c r="K1054">
        <f t="shared" si="164"/>
        <v>488891</v>
      </c>
      <c r="L1054">
        <f t="shared" si="165"/>
        <v>0</v>
      </c>
      <c r="M1054">
        <f t="shared" si="166"/>
        <v>0</v>
      </c>
      <c r="N1054">
        <f t="shared" si="167"/>
        <v>379</v>
      </c>
    </row>
    <row r="1055" spans="1:14" x14ac:dyDescent="0.35">
      <c r="A1055" s="9">
        <v>1661633</v>
      </c>
      <c r="B1055" s="10">
        <v>42933</v>
      </c>
      <c r="C1055" s="11">
        <v>0.4611574074074074</v>
      </c>
      <c r="D1055" s="12">
        <v>0.46372685185185186</v>
      </c>
      <c r="E1055" s="20">
        <f t="shared" si="160"/>
        <v>2.5694444444444575E-3</v>
      </c>
      <c r="F1055" t="str">
        <f t="shared" si="161"/>
        <v>stacjonarny</v>
      </c>
      <c r="G1055" s="23">
        <f t="shared" si="168"/>
        <v>368311</v>
      </c>
      <c r="H1055">
        <f t="shared" si="169"/>
        <v>120802</v>
      </c>
      <c r="I1055">
        <f t="shared" si="162"/>
        <v>0</v>
      </c>
      <c r="J1055">
        <f t="shared" si="163"/>
        <v>0</v>
      </c>
      <c r="K1055">
        <f t="shared" si="164"/>
        <v>489113</v>
      </c>
      <c r="L1055">
        <f t="shared" si="165"/>
        <v>0</v>
      </c>
      <c r="M1055">
        <f t="shared" si="166"/>
        <v>222</v>
      </c>
      <c r="N1055">
        <f t="shared" si="167"/>
        <v>0</v>
      </c>
    </row>
    <row r="1056" spans="1:14" x14ac:dyDescent="0.35">
      <c r="A1056" s="5">
        <v>5809293</v>
      </c>
      <c r="B1056" s="6">
        <v>42933</v>
      </c>
      <c r="C1056" s="7">
        <v>0.46481481481481479</v>
      </c>
      <c r="D1056" s="8">
        <v>0.47425925925925927</v>
      </c>
      <c r="E1056" s="20">
        <f t="shared" si="160"/>
        <v>9.4444444444444775E-3</v>
      </c>
      <c r="F1056" t="str">
        <f t="shared" si="161"/>
        <v>stacjonarny</v>
      </c>
      <c r="G1056" s="23">
        <f t="shared" si="168"/>
        <v>369127</v>
      </c>
      <c r="H1056">
        <f t="shared" si="169"/>
        <v>120802</v>
      </c>
      <c r="I1056">
        <f t="shared" si="162"/>
        <v>0</v>
      </c>
      <c r="J1056">
        <f t="shared" si="163"/>
        <v>0</v>
      </c>
      <c r="K1056">
        <f t="shared" si="164"/>
        <v>489929</v>
      </c>
      <c r="L1056">
        <f t="shared" si="165"/>
        <v>0</v>
      </c>
      <c r="M1056">
        <f t="shared" si="166"/>
        <v>816</v>
      </c>
      <c r="N1056">
        <f t="shared" si="167"/>
        <v>0</v>
      </c>
    </row>
    <row r="1057" spans="1:14" x14ac:dyDescent="0.35">
      <c r="A1057" s="9">
        <v>5790304</v>
      </c>
      <c r="B1057" s="10">
        <v>42933</v>
      </c>
      <c r="C1057" s="11">
        <v>0.46655092592592595</v>
      </c>
      <c r="D1057" s="12">
        <v>0.47357638888888887</v>
      </c>
      <c r="E1057" s="20">
        <f t="shared" si="160"/>
        <v>7.0254629629629139E-3</v>
      </c>
      <c r="F1057" t="str">
        <f t="shared" si="161"/>
        <v>stacjonarny</v>
      </c>
      <c r="G1057" s="23">
        <f t="shared" si="168"/>
        <v>369734</v>
      </c>
      <c r="H1057">
        <f t="shared" si="169"/>
        <v>120802</v>
      </c>
      <c r="I1057">
        <f t="shared" si="162"/>
        <v>0</v>
      </c>
      <c r="J1057">
        <f t="shared" si="163"/>
        <v>0</v>
      </c>
      <c r="K1057">
        <f t="shared" si="164"/>
        <v>490536</v>
      </c>
      <c r="L1057">
        <f t="shared" si="165"/>
        <v>0</v>
      </c>
      <c r="M1057">
        <f t="shared" si="166"/>
        <v>607</v>
      </c>
      <c r="N1057">
        <f t="shared" si="167"/>
        <v>0</v>
      </c>
    </row>
    <row r="1058" spans="1:14" x14ac:dyDescent="0.35">
      <c r="A1058" s="5">
        <v>7088840</v>
      </c>
      <c r="B1058" s="6">
        <v>42933</v>
      </c>
      <c r="C1058" s="7">
        <v>0.46711805555555558</v>
      </c>
      <c r="D1058" s="8">
        <v>0.47856481481481483</v>
      </c>
      <c r="E1058" s="20">
        <f t="shared" si="160"/>
        <v>1.1446759259259254E-2</v>
      </c>
      <c r="F1058" t="str">
        <f t="shared" si="161"/>
        <v>stacjonarny</v>
      </c>
      <c r="G1058" s="23">
        <f t="shared" si="168"/>
        <v>370723</v>
      </c>
      <c r="H1058">
        <f t="shared" si="169"/>
        <v>120802</v>
      </c>
      <c r="I1058">
        <f t="shared" si="162"/>
        <v>0</v>
      </c>
      <c r="J1058">
        <f t="shared" si="163"/>
        <v>0</v>
      </c>
      <c r="K1058">
        <f t="shared" si="164"/>
        <v>491525</v>
      </c>
      <c r="L1058">
        <f t="shared" si="165"/>
        <v>0</v>
      </c>
      <c r="M1058">
        <f t="shared" si="166"/>
        <v>989</v>
      </c>
      <c r="N1058">
        <f t="shared" si="167"/>
        <v>0</v>
      </c>
    </row>
    <row r="1059" spans="1:14" x14ac:dyDescent="0.35">
      <c r="A1059" s="9">
        <v>1302112</v>
      </c>
      <c r="B1059" s="10">
        <v>42933</v>
      </c>
      <c r="C1059" s="11">
        <v>0.46939814814814818</v>
      </c>
      <c r="D1059" s="12">
        <v>0.47047453703703701</v>
      </c>
      <c r="E1059" s="20">
        <f t="shared" si="160"/>
        <v>1.0763888888888351E-3</v>
      </c>
      <c r="F1059" t="str">
        <f t="shared" si="161"/>
        <v>stacjonarny</v>
      </c>
      <c r="G1059" s="23">
        <f t="shared" si="168"/>
        <v>370816</v>
      </c>
      <c r="H1059">
        <f t="shared" si="169"/>
        <v>120802</v>
      </c>
      <c r="I1059">
        <f t="shared" si="162"/>
        <v>0</v>
      </c>
      <c r="J1059">
        <f t="shared" si="163"/>
        <v>0</v>
      </c>
      <c r="K1059">
        <f t="shared" si="164"/>
        <v>491618</v>
      </c>
      <c r="L1059">
        <f t="shared" si="165"/>
        <v>0</v>
      </c>
      <c r="M1059">
        <f t="shared" si="166"/>
        <v>93</v>
      </c>
      <c r="N1059">
        <f t="shared" si="167"/>
        <v>0</v>
      </c>
    </row>
    <row r="1060" spans="1:14" x14ac:dyDescent="0.35">
      <c r="A1060" s="5">
        <v>8299537</v>
      </c>
      <c r="B1060" s="6">
        <v>42933</v>
      </c>
      <c r="C1060" s="7">
        <v>0.47302083333333333</v>
      </c>
      <c r="D1060" s="8">
        <v>0.47939814814814813</v>
      </c>
      <c r="E1060" s="20">
        <f t="shared" si="160"/>
        <v>6.377314814814794E-3</v>
      </c>
      <c r="F1060" t="str">
        <f t="shared" si="161"/>
        <v>stacjonarny</v>
      </c>
      <c r="G1060" s="23">
        <f t="shared" si="168"/>
        <v>371367</v>
      </c>
      <c r="H1060">
        <f t="shared" si="169"/>
        <v>120802</v>
      </c>
      <c r="I1060">
        <f t="shared" si="162"/>
        <v>0</v>
      </c>
      <c r="J1060">
        <f t="shared" si="163"/>
        <v>0</v>
      </c>
      <c r="K1060">
        <f t="shared" si="164"/>
        <v>492169</v>
      </c>
      <c r="L1060">
        <f t="shared" si="165"/>
        <v>0</v>
      </c>
      <c r="M1060">
        <f t="shared" si="166"/>
        <v>551</v>
      </c>
      <c r="N1060">
        <f t="shared" si="167"/>
        <v>0</v>
      </c>
    </row>
    <row r="1061" spans="1:14" x14ac:dyDescent="0.35">
      <c r="A1061" s="9">
        <v>1519891</v>
      </c>
      <c r="B1061" s="10">
        <v>42933</v>
      </c>
      <c r="C1061" s="11">
        <v>0.47604166666666664</v>
      </c>
      <c r="D1061" s="12">
        <v>0.48714120370370373</v>
      </c>
      <c r="E1061" s="20">
        <f t="shared" si="160"/>
        <v>1.1099537037037088E-2</v>
      </c>
      <c r="F1061" t="str">
        <f t="shared" si="161"/>
        <v>stacjonarny</v>
      </c>
      <c r="G1061" s="23">
        <f t="shared" si="168"/>
        <v>372326</v>
      </c>
      <c r="H1061">
        <f t="shared" si="169"/>
        <v>120802</v>
      </c>
      <c r="I1061">
        <f t="shared" si="162"/>
        <v>0</v>
      </c>
      <c r="J1061">
        <f t="shared" si="163"/>
        <v>0</v>
      </c>
      <c r="K1061">
        <f t="shared" si="164"/>
        <v>493128</v>
      </c>
      <c r="L1061">
        <f t="shared" si="165"/>
        <v>0</v>
      </c>
      <c r="M1061">
        <f t="shared" si="166"/>
        <v>959</v>
      </c>
      <c r="N1061">
        <f t="shared" si="167"/>
        <v>0</v>
      </c>
    </row>
    <row r="1062" spans="1:14" x14ac:dyDescent="0.35">
      <c r="A1062" s="5">
        <v>29771613</v>
      </c>
      <c r="B1062" s="6">
        <v>42933</v>
      </c>
      <c r="C1062" s="7">
        <v>0.47706018518518517</v>
      </c>
      <c r="D1062" s="8">
        <v>0.47881944444444446</v>
      </c>
      <c r="E1062" s="20">
        <f t="shared" si="160"/>
        <v>1.7592592592592937E-3</v>
      </c>
      <c r="F1062" t="str">
        <f t="shared" si="161"/>
        <v>komorkowy</v>
      </c>
      <c r="G1062" s="23">
        <f t="shared" si="168"/>
        <v>372326</v>
      </c>
      <c r="H1062">
        <f t="shared" si="169"/>
        <v>120954</v>
      </c>
      <c r="I1062">
        <f t="shared" si="162"/>
        <v>0</v>
      </c>
      <c r="J1062">
        <f t="shared" si="163"/>
        <v>0</v>
      </c>
      <c r="K1062">
        <f t="shared" si="164"/>
        <v>493280</v>
      </c>
      <c r="L1062">
        <f t="shared" si="165"/>
        <v>0</v>
      </c>
      <c r="M1062">
        <f t="shared" si="166"/>
        <v>0</v>
      </c>
      <c r="N1062">
        <f t="shared" si="167"/>
        <v>152</v>
      </c>
    </row>
    <row r="1063" spans="1:14" x14ac:dyDescent="0.35">
      <c r="A1063" s="9">
        <v>9088045</v>
      </c>
      <c r="B1063" s="10">
        <v>42933</v>
      </c>
      <c r="C1063" s="11">
        <v>0.47714120370370372</v>
      </c>
      <c r="D1063" s="12">
        <v>0.47728009259259258</v>
      </c>
      <c r="E1063" s="20">
        <f t="shared" si="160"/>
        <v>1.3888888888885509E-4</v>
      </c>
      <c r="F1063" t="str">
        <f t="shared" si="161"/>
        <v>stacjonarny</v>
      </c>
      <c r="G1063" s="23">
        <f t="shared" si="168"/>
        <v>372338</v>
      </c>
      <c r="H1063">
        <f t="shared" si="169"/>
        <v>120954</v>
      </c>
      <c r="I1063">
        <f t="shared" si="162"/>
        <v>0</v>
      </c>
      <c r="J1063">
        <f t="shared" si="163"/>
        <v>0</v>
      </c>
      <c r="K1063">
        <f t="shared" si="164"/>
        <v>493292</v>
      </c>
      <c r="L1063">
        <f t="shared" si="165"/>
        <v>0</v>
      </c>
      <c r="M1063">
        <f t="shared" si="166"/>
        <v>12</v>
      </c>
      <c r="N1063">
        <f t="shared" si="167"/>
        <v>0</v>
      </c>
    </row>
    <row r="1064" spans="1:14" x14ac:dyDescent="0.35">
      <c r="A1064" s="5">
        <v>59864989</v>
      </c>
      <c r="B1064" s="6">
        <v>42933</v>
      </c>
      <c r="C1064" s="7">
        <v>0.48119212962962965</v>
      </c>
      <c r="D1064" s="8">
        <v>0.49038194444444444</v>
      </c>
      <c r="E1064" s="20">
        <f t="shared" si="160"/>
        <v>9.1898148148147896E-3</v>
      </c>
      <c r="F1064" t="str">
        <f t="shared" si="161"/>
        <v>komorkowy</v>
      </c>
      <c r="G1064" s="23">
        <f t="shared" si="168"/>
        <v>372338</v>
      </c>
      <c r="H1064">
        <f t="shared" si="169"/>
        <v>121748</v>
      </c>
      <c r="I1064">
        <f t="shared" si="162"/>
        <v>0</v>
      </c>
      <c r="J1064">
        <f t="shared" si="163"/>
        <v>0</v>
      </c>
      <c r="K1064">
        <f t="shared" si="164"/>
        <v>494086</v>
      </c>
      <c r="L1064">
        <f t="shared" si="165"/>
        <v>0</v>
      </c>
      <c r="M1064">
        <f t="shared" si="166"/>
        <v>0</v>
      </c>
      <c r="N1064">
        <f t="shared" si="167"/>
        <v>794</v>
      </c>
    </row>
    <row r="1065" spans="1:14" x14ac:dyDescent="0.35">
      <c r="A1065" s="9">
        <v>2741017</v>
      </c>
      <c r="B1065" s="10">
        <v>42933</v>
      </c>
      <c r="C1065" s="11">
        <v>0.4838425925925926</v>
      </c>
      <c r="D1065" s="12">
        <v>0.49107638888888888</v>
      </c>
      <c r="E1065" s="20">
        <f t="shared" si="160"/>
        <v>7.2337962962962798E-3</v>
      </c>
      <c r="F1065" t="str">
        <f t="shared" si="161"/>
        <v>stacjonarny</v>
      </c>
      <c r="G1065" s="23">
        <f t="shared" si="168"/>
        <v>372963</v>
      </c>
      <c r="H1065">
        <f t="shared" si="169"/>
        <v>121748</v>
      </c>
      <c r="I1065">
        <f t="shared" si="162"/>
        <v>0</v>
      </c>
      <c r="J1065">
        <f t="shared" si="163"/>
        <v>0</v>
      </c>
      <c r="K1065">
        <f t="shared" si="164"/>
        <v>494711</v>
      </c>
      <c r="L1065">
        <f t="shared" si="165"/>
        <v>0</v>
      </c>
      <c r="M1065">
        <f t="shared" si="166"/>
        <v>625</v>
      </c>
      <c r="N1065">
        <f t="shared" si="167"/>
        <v>0</v>
      </c>
    </row>
    <row r="1066" spans="1:14" x14ac:dyDescent="0.35">
      <c r="A1066" s="5">
        <v>1092699</v>
      </c>
      <c r="B1066" s="6">
        <v>42933</v>
      </c>
      <c r="C1066" s="7">
        <v>0.48430555555555554</v>
      </c>
      <c r="D1066" s="8">
        <v>0.49372685185185183</v>
      </c>
      <c r="E1066" s="20">
        <f t="shared" si="160"/>
        <v>9.4212962962962887E-3</v>
      </c>
      <c r="F1066" t="str">
        <f t="shared" si="161"/>
        <v>stacjonarny</v>
      </c>
      <c r="G1066" s="23">
        <f t="shared" si="168"/>
        <v>373777</v>
      </c>
      <c r="H1066">
        <f t="shared" si="169"/>
        <v>121748</v>
      </c>
      <c r="I1066">
        <f t="shared" si="162"/>
        <v>0</v>
      </c>
      <c r="J1066">
        <f t="shared" si="163"/>
        <v>0</v>
      </c>
      <c r="K1066">
        <f t="shared" si="164"/>
        <v>495525</v>
      </c>
      <c r="L1066">
        <f t="shared" si="165"/>
        <v>0</v>
      </c>
      <c r="M1066">
        <f t="shared" si="166"/>
        <v>814</v>
      </c>
      <c r="N1066">
        <f t="shared" si="167"/>
        <v>0</v>
      </c>
    </row>
    <row r="1067" spans="1:14" x14ac:dyDescent="0.35">
      <c r="A1067" s="9">
        <v>3284714</v>
      </c>
      <c r="B1067" s="10">
        <v>42933</v>
      </c>
      <c r="C1067" s="11">
        <v>0.48533564814814817</v>
      </c>
      <c r="D1067" s="12">
        <v>0.49689814814814814</v>
      </c>
      <c r="E1067" s="20">
        <f t="shared" si="160"/>
        <v>1.1562499999999976E-2</v>
      </c>
      <c r="F1067" t="str">
        <f t="shared" si="161"/>
        <v>stacjonarny</v>
      </c>
      <c r="G1067" s="23">
        <f t="shared" si="168"/>
        <v>374776</v>
      </c>
      <c r="H1067">
        <f t="shared" si="169"/>
        <v>121748</v>
      </c>
      <c r="I1067">
        <f t="shared" si="162"/>
        <v>0</v>
      </c>
      <c r="J1067">
        <f t="shared" si="163"/>
        <v>0</v>
      </c>
      <c r="K1067">
        <f t="shared" si="164"/>
        <v>496524</v>
      </c>
      <c r="L1067">
        <f t="shared" si="165"/>
        <v>0</v>
      </c>
      <c r="M1067">
        <f t="shared" si="166"/>
        <v>999</v>
      </c>
      <c r="N1067">
        <f t="shared" si="167"/>
        <v>0</v>
      </c>
    </row>
    <row r="1068" spans="1:14" x14ac:dyDescent="0.35">
      <c r="A1068" s="5">
        <v>1822675725</v>
      </c>
      <c r="B1068" s="6">
        <v>42933</v>
      </c>
      <c r="C1068" s="7">
        <v>0.48542824074074076</v>
      </c>
      <c r="D1068" s="8">
        <v>0.49109953703703701</v>
      </c>
      <c r="E1068" s="20">
        <f t="shared" si="160"/>
        <v>5.6712962962962576E-3</v>
      </c>
      <c r="F1068" t="str">
        <f t="shared" si="161"/>
        <v>zagraniczny</v>
      </c>
      <c r="G1068" s="23">
        <f t="shared" si="168"/>
        <v>374776</v>
      </c>
      <c r="H1068">
        <f t="shared" si="169"/>
        <v>121748</v>
      </c>
      <c r="I1068">
        <f t="shared" si="162"/>
        <v>490</v>
      </c>
      <c r="J1068">
        <f t="shared" si="163"/>
        <v>9</v>
      </c>
      <c r="K1068">
        <f t="shared" si="164"/>
        <v>496524</v>
      </c>
      <c r="L1068">
        <f t="shared" si="165"/>
        <v>0</v>
      </c>
      <c r="M1068">
        <f t="shared" si="166"/>
        <v>0</v>
      </c>
      <c r="N1068">
        <f t="shared" si="167"/>
        <v>0</v>
      </c>
    </row>
    <row r="1069" spans="1:14" x14ac:dyDescent="0.35">
      <c r="A1069" s="9">
        <v>9595194</v>
      </c>
      <c r="B1069" s="10">
        <v>42933</v>
      </c>
      <c r="C1069" s="11">
        <v>0.48833333333333334</v>
      </c>
      <c r="D1069" s="12">
        <v>0.49960648148148146</v>
      </c>
      <c r="E1069" s="20">
        <f t="shared" si="160"/>
        <v>1.1273148148148115E-2</v>
      </c>
      <c r="F1069" t="str">
        <f t="shared" si="161"/>
        <v>stacjonarny</v>
      </c>
      <c r="G1069" s="23">
        <f t="shared" si="168"/>
        <v>375750</v>
      </c>
      <c r="H1069">
        <f t="shared" si="169"/>
        <v>121748</v>
      </c>
      <c r="I1069">
        <f t="shared" si="162"/>
        <v>0</v>
      </c>
      <c r="J1069">
        <f t="shared" si="163"/>
        <v>0</v>
      </c>
      <c r="K1069">
        <f t="shared" si="164"/>
        <v>497498</v>
      </c>
      <c r="L1069">
        <f t="shared" si="165"/>
        <v>0</v>
      </c>
      <c r="M1069">
        <f t="shared" si="166"/>
        <v>974</v>
      </c>
      <c r="N1069">
        <f t="shared" si="167"/>
        <v>0</v>
      </c>
    </row>
    <row r="1070" spans="1:14" x14ac:dyDescent="0.35">
      <c r="A1070" s="5">
        <v>5015921</v>
      </c>
      <c r="B1070" s="6">
        <v>42933</v>
      </c>
      <c r="C1070" s="7">
        <v>0.49362268518518521</v>
      </c>
      <c r="D1070" s="8">
        <v>0.49859953703703702</v>
      </c>
      <c r="E1070" s="20">
        <f t="shared" si="160"/>
        <v>4.9768518518518157E-3</v>
      </c>
      <c r="F1070" t="str">
        <f t="shared" si="161"/>
        <v>stacjonarny</v>
      </c>
      <c r="G1070" s="23">
        <f t="shared" si="168"/>
        <v>376180</v>
      </c>
      <c r="H1070">
        <f t="shared" si="169"/>
        <v>121748</v>
      </c>
      <c r="I1070">
        <f t="shared" si="162"/>
        <v>0</v>
      </c>
      <c r="J1070">
        <f t="shared" si="163"/>
        <v>0</v>
      </c>
      <c r="K1070">
        <f t="shared" si="164"/>
        <v>497928</v>
      </c>
      <c r="L1070">
        <f t="shared" si="165"/>
        <v>0</v>
      </c>
      <c r="M1070">
        <f t="shared" si="166"/>
        <v>430</v>
      </c>
      <c r="N1070">
        <f t="shared" si="167"/>
        <v>0</v>
      </c>
    </row>
    <row r="1071" spans="1:14" x14ac:dyDescent="0.35">
      <c r="A1071" s="9">
        <v>1015521</v>
      </c>
      <c r="B1071" s="10">
        <v>42933</v>
      </c>
      <c r="C1071" s="11">
        <v>0.49658564814814815</v>
      </c>
      <c r="D1071" s="12">
        <v>0.49866898148148148</v>
      </c>
      <c r="E1071" s="20">
        <f t="shared" si="160"/>
        <v>2.0833333333333259E-3</v>
      </c>
      <c r="F1071" t="str">
        <f t="shared" si="161"/>
        <v>stacjonarny</v>
      </c>
      <c r="G1071" s="23">
        <f t="shared" si="168"/>
        <v>376360</v>
      </c>
      <c r="H1071">
        <f t="shared" si="169"/>
        <v>121748</v>
      </c>
      <c r="I1071">
        <f t="shared" si="162"/>
        <v>0</v>
      </c>
      <c r="J1071">
        <f t="shared" si="163"/>
        <v>0</v>
      </c>
      <c r="K1071">
        <f t="shared" si="164"/>
        <v>498108</v>
      </c>
      <c r="L1071">
        <f t="shared" si="165"/>
        <v>0</v>
      </c>
      <c r="M1071">
        <f t="shared" si="166"/>
        <v>180</v>
      </c>
      <c r="N1071">
        <f t="shared" si="167"/>
        <v>0</v>
      </c>
    </row>
    <row r="1072" spans="1:14" x14ac:dyDescent="0.35">
      <c r="A1072" s="5">
        <v>4452201</v>
      </c>
      <c r="B1072" s="6">
        <v>42933</v>
      </c>
      <c r="C1072" s="7">
        <v>0.49760416666666668</v>
      </c>
      <c r="D1072" s="8">
        <v>0.50249999999999995</v>
      </c>
      <c r="E1072" s="20">
        <f t="shared" si="160"/>
        <v>4.895833333333266E-3</v>
      </c>
      <c r="F1072" t="str">
        <f t="shared" si="161"/>
        <v>stacjonarny</v>
      </c>
      <c r="G1072" s="23">
        <f t="shared" si="168"/>
        <v>376783</v>
      </c>
      <c r="H1072">
        <f t="shared" si="169"/>
        <v>121748</v>
      </c>
      <c r="I1072">
        <f t="shared" si="162"/>
        <v>0</v>
      </c>
      <c r="J1072">
        <f t="shared" si="163"/>
        <v>0</v>
      </c>
      <c r="K1072">
        <f t="shared" si="164"/>
        <v>498531</v>
      </c>
      <c r="L1072">
        <f t="shared" si="165"/>
        <v>0</v>
      </c>
      <c r="M1072">
        <f t="shared" si="166"/>
        <v>423</v>
      </c>
      <c r="N1072">
        <f t="shared" si="167"/>
        <v>0</v>
      </c>
    </row>
    <row r="1073" spans="1:14" x14ac:dyDescent="0.35">
      <c r="A1073" s="9">
        <v>6801890</v>
      </c>
      <c r="B1073" s="10">
        <v>42933</v>
      </c>
      <c r="C1073" s="11">
        <v>0.50284722222222222</v>
      </c>
      <c r="D1073" s="12">
        <v>0.50736111111111115</v>
      </c>
      <c r="E1073" s="20">
        <f t="shared" si="160"/>
        <v>4.5138888888889284E-3</v>
      </c>
      <c r="F1073" t="str">
        <f t="shared" si="161"/>
        <v>stacjonarny</v>
      </c>
      <c r="G1073" s="23">
        <f t="shared" si="168"/>
        <v>377173</v>
      </c>
      <c r="H1073">
        <f t="shared" si="169"/>
        <v>121748</v>
      </c>
      <c r="I1073">
        <f t="shared" si="162"/>
        <v>0</v>
      </c>
      <c r="J1073">
        <f t="shared" si="163"/>
        <v>0</v>
      </c>
      <c r="K1073">
        <f t="shared" si="164"/>
        <v>498921</v>
      </c>
      <c r="L1073">
        <f t="shared" si="165"/>
        <v>0</v>
      </c>
      <c r="M1073">
        <f t="shared" si="166"/>
        <v>390</v>
      </c>
      <c r="N1073">
        <f t="shared" si="167"/>
        <v>0</v>
      </c>
    </row>
    <row r="1074" spans="1:14" x14ac:dyDescent="0.35">
      <c r="A1074" s="5">
        <v>19638469</v>
      </c>
      <c r="B1074" s="6">
        <v>42933</v>
      </c>
      <c r="C1074" s="7">
        <v>0.50768518518518524</v>
      </c>
      <c r="D1074" s="8">
        <v>0.51817129629629632</v>
      </c>
      <c r="E1074" s="20">
        <f t="shared" si="160"/>
        <v>1.0486111111111085E-2</v>
      </c>
      <c r="F1074" t="str">
        <f t="shared" si="161"/>
        <v>komorkowy</v>
      </c>
      <c r="G1074" s="23">
        <f t="shared" si="168"/>
        <v>377173</v>
      </c>
      <c r="H1074">
        <f t="shared" si="169"/>
        <v>122654</v>
      </c>
      <c r="I1074">
        <f t="shared" si="162"/>
        <v>0</v>
      </c>
      <c r="J1074">
        <f t="shared" si="163"/>
        <v>0</v>
      </c>
      <c r="K1074">
        <f t="shared" si="164"/>
        <v>499827</v>
      </c>
      <c r="L1074">
        <f t="shared" si="165"/>
        <v>0</v>
      </c>
      <c r="M1074">
        <f t="shared" si="166"/>
        <v>0</v>
      </c>
      <c r="N1074">
        <f t="shared" si="167"/>
        <v>906</v>
      </c>
    </row>
    <row r="1075" spans="1:14" x14ac:dyDescent="0.35">
      <c r="A1075" s="9">
        <v>43897696</v>
      </c>
      <c r="B1075" s="10">
        <v>42933</v>
      </c>
      <c r="C1075" s="11">
        <v>0.51271990740740736</v>
      </c>
      <c r="D1075" s="12">
        <v>0.51616898148148149</v>
      </c>
      <c r="E1075" s="20">
        <f t="shared" si="160"/>
        <v>3.4490740740741321E-3</v>
      </c>
      <c r="F1075" t="str">
        <f t="shared" si="161"/>
        <v>komorkowy</v>
      </c>
      <c r="G1075" s="23">
        <f t="shared" si="168"/>
        <v>377173</v>
      </c>
      <c r="H1075">
        <f t="shared" si="169"/>
        <v>122952</v>
      </c>
      <c r="I1075">
        <f t="shared" si="162"/>
        <v>0</v>
      </c>
      <c r="J1075">
        <f t="shared" si="163"/>
        <v>0</v>
      </c>
      <c r="K1075">
        <f t="shared" si="164"/>
        <v>500125</v>
      </c>
      <c r="L1075">
        <f t="shared" si="165"/>
        <v>0</v>
      </c>
      <c r="M1075">
        <f t="shared" si="166"/>
        <v>0</v>
      </c>
      <c r="N1075">
        <f t="shared" si="167"/>
        <v>298</v>
      </c>
    </row>
    <row r="1076" spans="1:14" x14ac:dyDescent="0.35">
      <c r="A1076" s="5">
        <v>8253162</v>
      </c>
      <c r="B1076" s="6">
        <v>42933</v>
      </c>
      <c r="C1076" s="7">
        <v>0.51468749999999996</v>
      </c>
      <c r="D1076" s="8">
        <v>0.5204050925925926</v>
      </c>
      <c r="E1076" s="20">
        <f t="shared" si="160"/>
        <v>5.7175925925926352E-3</v>
      </c>
      <c r="F1076" t="str">
        <f t="shared" si="161"/>
        <v>stacjonarny</v>
      </c>
      <c r="G1076" s="23">
        <f t="shared" si="168"/>
        <v>377667</v>
      </c>
      <c r="H1076">
        <f t="shared" si="169"/>
        <v>122952</v>
      </c>
      <c r="I1076">
        <f t="shared" si="162"/>
        <v>0</v>
      </c>
      <c r="J1076">
        <f t="shared" si="163"/>
        <v>0</v>
      </c>
      <c r="K1076">
        <f t="shared" si="164"/>
        <v>500619</v>
      </c>
      <c r="L1076">
        <f t="shared" si="165"/>
        <v>0</v>
      </c>
      <c r="M1076">
        <f t="shared" si="166"/>
        <v>494</v>
      </c>
      <c r="N1076">
        <f t="shared" si="167"/>
        <v>0</v>
      </c>
    </row>
    <row r="1077" spans="1:14" x14ac:dyDescent="0.35">
      <c r="A1077" s="9">
        <v>42038927</v>
      </c>
      <c r="B1077" s="10">
        <v>42933</v>
      </c>
      <c r="C1077" s="11">
        <v>0.51894675925925926</v>
      </c>
      <c r="D1077" s="12">
        <v>0.52336805555555554</v>
      </c>
      <c r="E1077" s="20">
        <f t="shared" si="160"/>
        <v>4.4212962962962843E-3</v>
      </c>
      <c r="F1077" t="str">
        <f t="shared" si="161"/>
        <v>komorkowy</v>
      </c>
      <c r="G1077" s="23">
        <f t="shared" si="168"/>
        <v>377667</v>
      </c>
      <c r="H1077">
        <f t="shared" si="169"/>
        <v>123334</v>
      </c>
      <c r="I1077">
        <f t="shared" si="162"/>
        <v>0</v>
      </c>
      <c r="J1077">
        <f t="shared" si="163"/>
        <v>0</v>
      </c>
      <c r="K1077">
        <f t="shared" si="164"/>
        <v>501001</v>
      </c>
      <c r="L1077">
        <f t="shared" si="165"/>
        <v>0</v>
      </c>
      <c r="M1077">
        <f t="shared" si="166"/>
        <v>0</v>
      </c>
      <c r="N1077">
        <f t="shared" si="167"/>
        <v>382</v>
      </c>
    </row>
    <row r="1078" spans="1:14" x14ac:dyDescent="0.35">
      <c r="A1078" s="5">
        <v>5758962</v>
      </c>
      <c r="B1078" s="6">
        <v>42933</v>
      </c>
      <c r="C1078" s="7">
        <v>0.52460648148148148</v>
      </c>
      <c r="D1078" s="8">
        <v>0.53292824074074074</v>
      </c>
      <c r="E1078" s="20">
        <f t="shared" si="160"/>
        <v>8.3217592592592649E-3</v>
      </c>
      <c r="F1078" t="str">
        <f t="shared" si="161"/>
        <v>stacjonarny</v>
      </c>
      <c r="G1078" s="23">
        <f t="shared" si="168"/>
        <v>378386</v>
      </c>
      <c r="H1078">
        <f t="shared" si="169"/>
        <v>123334</v>
      </c>
      <c r="I1078">
        <f t="shared" si="162"/>
        <v>0</v>
      </c>
      <c r="J1078">
        <f t="shared" si="163"/>
        <v>0</v>
      </c>
      <c r="K1078">
        <f t="shared" si="164"/>
        <v>501720</v>
      </c>
      <c r="L1078">
        <f t="shared" si="165"/>
        <v>0</v>
      </c>
      <c r="M1078">
        <f t="shared" si="166"/>
        <v>719</v>
      </c>
      <c r="N1078">
        <f t="shared" si="167"/>
        <v>0</v>
      </c>
    </row>
    <row r="1079" spans="1:14" x14ac:dyDescent="0.35">
      <c r="A1079" s="9">
        <v>77096634</v>
      </c>
      <c r="B1079" s="10">
        <v>42933</v>
      </c>
      <c r="C1079" s="11">
        <v>0.52500000000000002</v>
      </c>
      <c r="D1079" s="12">
        <v>0.53071759259259255</v>
      </c>
      <c r="E1079" s="20">
        <f t="shared" si="160"/>
        <v>5.7175925925925242E-3</v>
      </c>
      <c r="F1079" t="str">
        <f t="shared" si="161"/>
        <v>komorkowy</v>
      </c>
      <c r="G1079" s="23">
        <f t="shared" si="168"/>
        <v>378386</v>
      </c>
      <c r="H1079">
        <f t="shared" si="169"/>
        <v>123828</v>
      </c>
      <c r="I1079">
        <f t="shared" si="162"/>
        <v>0</v>
      </c>
      <c r="J1079">
        <f t="shared" si="163"/>
        <v>0</v>
      </c>
      <c r="K1079">
        <f t="shared" si="164"/>
        <v>502214</v>
      </c>
      <c r="L1079">
        <f t="shared" si="165"/>
        <v>0</v>
      </c>
      <c r="M1079">
        <f t="shared" si="166"/>
        <v>0</v>
      </c>
      <c r="N1079">
        <f t="shared" si="167"/>
        <v>494</v>
      </c>
    </row>
    <row r="1080" spans="1:14" x14ac:dyDescent="0.35">
      <c r="A1080" s="5">
        <v>8041809</v>
      </c>
      <c r="B1080" s="6">
        <v>42933</v>
      </c>
      <c r="C1080" s="7">
        <v>0.52508101851851852</v>
      </c>
      <c r="D1080" s="8">
        <v>0.53238425925925925</v>
      </c>
      <c r="E1080" s="20">
        <f t="shared" si="160"/>
        <v>7.3032407407407351E-3</v>
      </c>
      <c r="F1080" t="str">
        <f t="shared" si="161"/>
        <v>stacjonarny</v>
      </c>
      <c r="G1080" s="23">
        <f t="shared" si="168"/>
        <v>379017</v>
      </c>
      <c r="H1080">
        <f t="shared" si="169"/>
        <v>123828</v>
      </c>
      <c r="I1080">
        <f t="shared" si="162"/>
        <v>0</v>
      </c>
      <c r="J1080">
        <f t="shared" si="163"/>
        <v>0</v>
      </c>
      <c r="K1080">
        <f t="shared" si="164"/>
        <v>502845</v>
      </c>
      <c r="L1080">
        <f t="shared" si="165"/>
        <v>0</v>
      </c>
      <c r="M1080">
        <f t="shared" si="166"/>
        <v>631</v>
      </c>
      <c r="N1080">
        <f t="shared" si="167"/>
        <v>0</v>
      </c>
    </row>
    <row r="1081" spans="1:14" x14ac:dyDescent="0.35">
      <c r="A1081" s="9">
        <v>6735390</v>
      </c>
      <c r="B1081" s="10">
        <v>42933</v>
      </c>
      <c r="C1081" s="11">
        <v>0.52612268518518523</v>
      </c>
      <c r="D1081" s="12">
        <v>0.52849537037037042</v>
      </c>
      <c r="E1081" s="20">
        <f t="shared" si="160"/>
        <v>2.372685185185186E-3</v>
      </c>
      <c r="F1081" t="str">
        <f t="shared" si="161"/>
        <v>stacjonarny</v>
      </c>
      <c r="G1081" s="23">
        <f t="shared" si="168"/>
        <v>379222</v>
      </c>
      <c r="H1081">
        <f t="shared" si="169"/>
        <v>123828</v>
      </c>
      <c r="I1081">
        <f t="shared" si="162"/>
        <v>0</v>
      </c>
      <c r="J1081">
        <f t="shared" si="163"/>
        <v>0</v>
      </c>
      <c r="K1081">
        <f t="shared" si="164"/>
        <v>503050</v>
      </c>
      <c r="L1081">
        <f t="shared" si="165"/>
        <v>0</v>
      </c>
      <c r="M1081">
        <f t="shared" si="166"/>
        <v>205</v>
      </c>
      <c r="N1081">
        <f t="shared" si="167"/>
        <v>0</v>
      </c>
    </row>
    <row r="1082" spans="1:14" x14ac:dyDescent="0.35">
      <c r="A1082" s="5">
        <v>93811207</v>
      </c>
      <c r="B1082" s="6">
        <v>42933</v>
      </c>
      <c r="C1082" s="7">
        <v>0.52707175925925931</v>
      </c>
      <c r="D1082" s="8">
        <v>0.53460648148148149</v>
      </c>
      <c r="E1082" s="20">
        <f t="shared" si="160"/>
        <v>7.5347222222221788E-3</v>
      </c>
      <c r="F1082" t="str">
        <f t="shared" si="161"/>
        <v>komorkowy</v>
      </c>
      <c r="G1082" s="23">
        <f t="shared" si="168"/>
        <v>379222</v>
      </c>
      <c r="H1082">
        <f t="shared" si="169"/>
        <v>124479</v>
      </c>
      <c r="I1082">
        <f t="shared" si="162"/>
        <v>0</v>
      </c>
      <c r="J1082">
        <f t="shared" si="163"/>
        <v>0</v>
      </c>
      <c r="K1082">
        <f t="shared" si="164"/>
        <v>503701</v>
      </c>
      <c r="L1082">
        <f t="shared" si="165"/>
        <v>0</v>
      </c>
      <c r="M1082">
        <f t="shared" si="166"/>
        <v>0</v>
      </c>
      <c r="N1082">
        <f t="shared" si="167"/>
        <v>651</v>
      </c>
    </row>
    <row r="1083" spans="1:14" x14ac:dyDescent="0.35">
      <c r="A1083" s="9">
        <v>8079505</v>
      </c>
      <c r="B1083" s="10">
        <v>42933</v>
      </c>
      <c r="C1083" s="11">
        <v>0.52788194444444447</v>
      </c>
      <c r="D1083" s="12">
        <v>0.52908564814814818</v>
      </c>
      <c r="E1083" s="20">
        <f t="shared" si="160"/>
        <v>1.2037037037037068E-3</v>
      </c>
      <c r="F1083" t="str">
        <f t="shared" si="161"/>
        <v>stacjonarny</v>
      </c>
      <c r="G1083" s="23">
        <f t="shared" si="168"/>
        <v>379326</v>
      </c>
      <c r="H1083">
        <f t="shared" si="169"/>
        <v>124479</v>
      </c>
      <c r="I1083">
        <f t="shared" si="162"/>
        <v>0</v>
      </c>
      <c r="J1083">
        <f t="shared" si="163"/>
        <v>0</v>
      </c>
      <c r="K1083">
        <f t="shared" si="164"/>
        <v>503805</v>
      </c>
      <c r="L1083">
        <f t="shared" si="165"/>
        <v>0</v>
      </c>
      <c r="M1083">
        <f t="shared" si="166"/>
        <v>104</v>
      </c>
      <c r="N1083">
        <f t="shared" si="167"/>
        <v>0</v>
      </c>
    </row>
    <row r="1084" spans="1:14" x14ac:dyDescent="0.35">
      <c r="A1084" s="5">
        <v>3348581</v>
      </c>
      <c r="B1084" s="6">
        <v>42933</v>
      </c>
      <c r="C1084" s="7">
        <v>0.53150462962962963</v>
      </c>
      <c r="D1084" s="8">
        <v>0.54208333333333336</v>
      </c>
      <c r="E1084" s="20">
        <f t="shared" si="160"/>
        <v>1.0578703703703729E-2</v>
      </c>
      <c r="F1084" t="str">
        <f t="shared" si="161"/>
        <v>stacjonarny</v>
      </c>
      <c r="G1084" s="23">
        <f t="shared" si="168"/>
        <v>380240</v>
      </c>
      <c r="H1084">
        <f t="shared" si="169"/>
        <v>124479</v>
      </c>
      <c r="I1084">
        <f t="shared" si="162"/>
        <v>0</v>
      </c>
      <c r="J1084">
        <f t="shared" si="163"/>
        <v>0</v>
      </c>
      <c r="K1084">
        <f t="shared" si="164"/>
        <v>504719</v>
      </c>
      <c r="L1084">
        <f t="shared" si="165"/>
        <v>0</v>
      </c>
      <c r="M1084">
        <f t="shared" si="166"/>
        <v>914</v>
      </c>
      <c r="N1084">
        <f t="shared" si="167"/>
        <v>0</v>
      </c>
    </row>
    <row r="1085" spans="1:14" x14ac:dyDescent="0.35">
      <c r="A1085" s="9">
        <v>13484133</v>
      </c>
      <c r="B1085" s="10">
        <v>42933</v>
      </c>
      <c r="C1085" s="11">
        <v>0.53174768518518523</v>
      </c>
      <c r="D1085" s="12">
        <v>0.53931712962962963</v>
      </c>
      <c r="E1085" s="20">
        <f t="shared" si="160"/>
        <v>7.5694444444444065E-3</v>
      </c>
      <c r="F1085" t="str">
        <f t="shared" si="161"/>
        <v>komorkowy</v>
      </c>
      <c r="G1085" s="23">
        <f t="shared" si="168"/>
        <v>380240</v>
      </c>
      <c r="H1085">
        <f t="shared" si="169"/>
        <v>125133</v>
      </c>
      <c r="I1085">
        <f t="shared" si="162"/>
        <v>0</v>
      </c>
      <c r="J1085">
        <f t="shared" si="163"/>
        <v>0</v>
      </c>
      <c r="K1085">
        <f t="shared" si="164"/>
        <v>505373</v>
      </c>
      <c r="L1085">
        <f t="shared" si="165"/>
        <v>0</v>
      </c>
      <c r="M1085">
        <f t="shared" si="166"/>
        <v>0</v>
      </c>
      <c r="N1085">
        <f t="shared" si="167"/>
        <v>654</v>
      </c>
    </row>
    <row r="1086" spans="1:14" x14ac:dyDescent="0.35">
      <c r="A1086" s="5">
        <v>3017523</v>
      </c>
      <c r="B1086" s="6">
        <v>42933</v>
      </c>
      <c r="C1086" s="7">
        <v>0.53241898148148148</v>
      </c>
      <c r="D1086" s="8">
        <v>0.54011574074074076</v>
      </c>
      <c r="E1086" s="20">
        <f t="shared" si="160"/>
        <v>7.6967592592592782E-3</v>
      </c>
      <c r="F1086" t="str">
        <f t="shared" si="161"/>
        <v>stacjonarny</v>
      </c>
      <c r="G1086" s="23">
        <f t="shared" si="168"/>
        <v>380905</v>
      </c>
      <c r="H1086">
        <f t="shared" si="169"/>
        <v>125133</v>
      </c>
      <c r="I1086">
        <f t="shared" si="162"/>
        <v>0</v>
      </c>
      <c r="J1086">
        <f t="shared" si="163"/>
        <v>0</v>
      </c>
      <c r="K1086">
        <f t="shared" si="164"/>
        <v>506038</v>
      </c>
      <c r="L1086">
        <f t="shared" si="165"/>
        <v>0</v>
      </c>
      <c r="M1086">
        <f t="shared" si="166"/>
        <v>665</v>
      </c>
      <c r="N1086">
        <f t="shared" si="167"/>
        <v>0</v>
      </c>
    </row>
    <row r="1087" spans="1:14" x14ac:dyDescent="0.35">
      <c r="A1087" s="9">
        <v>5464497</v>
      </c>
      <c r="B1087" s="10">
        <v>42933</v>
      </c>
      <c r="C1087" s="11">
        <v>0.53608796296296302</v>
      </c>
      <c r="D1087" s="12">
        <v>0.53657407407407409</v>
      </c>
      <c r="E1087" s="20">
        <f t="shared" si="160"/>
        <v>4.8611111111107608E-4</v>
      </c>
      <c r="F1087" t="str">
        <f t="shared" si="161"/>
        <v>stacjonarny</v>
      </c>
      <c r="G1087" s="23">
        <f t="shared" si="168"/>
        <v>380947</v>
      </c>
      <c r="H1087">
        <f t="shared" si="169"/>
        <v>125133</v>
      </c>
      <c r="I1087">
        <f t="shared" si="162"/>
        <v>0</v>
      </c>
      <c r="J1087">
        <f t="shared" si="163"/>
        <v>0</v>
      </c>
      <c r="K1087">
        <f t="shared" si="164"/>
        <v>506080</v>
      </c>
      <c r="L1087">
        <f t="shared" si="165"/>
        <v>0</v>
      </c>
      <c r="M1087">
        <f t="shared" si="166"/>
        <v>42</v>
      </c>
      <c r="N1087">
        <f t="shared" si="167"/>
        <v>0</v>
      </c>
    </row>
    <row r="1088" spans="1:14" x14ac:dyDescent="0.35">
      <c r="A1088" s="5">
        <v>5744567</v>
      </c>
      <c r="B1088" s="6">
        <v>42933</v>
      </c>
      <c r="C1088" s="7">
        <v>0.54048611111111111</v>
      </c>
      <c r="D1088" s="8">
        <v>0.54954861111111108</v>
      </c>
      <c r="E1088" s="20">
        <f t="shared" si="160"/>
        <v>9.0624999999999734E-3</v>
      </c>
      <c r="F1088" t="str">
        <f t="shared" si="161"/>
        <v>stacjonarny</v>
      </c>
      <c r="G1088" s="23">
        <f t="shared" si="168"/>
        <v>381730</v>
      </c>
      <c r="H1088">
        <f t="shared" si="169"/>
        <v>125133</v>
      </c>
      <c r="I1088">
        <f t="shared" si="162"/>
        <v>0</v>
      </c>
      <c r="J1088">
        <f t="shared" si="163"/>
        <v>0</v>
      </c>
      <c r="K1088">
        <f t="shared" si="164"/>
        <v>506863</v>
      </c>
      <c r="L1088">
        <f t="shared" si="165"/>
        <v>0</v>
      </c>
      <c r="M1088">
        <f t="shared" si="166"/>
        <v>783</v>
      </c>
      <c r="N1088">
        <f t="shared" si="167"/>
        <v>0</v>
      </c>
    </row>
    <row r="1089" spans="1:14" x14ac:dyDescent="0.35">
      <c r="A1089" s="9">
        <v>5107477025</v>
      </c>
      <c r="B1089" s="10">
        <v>42933</v>
      </c>
      <c r="C1089" s="11">
        <v>0.54495370370370366</v>
      </c>
      <c r="D1089" s="12">
        <v>0.5471759259259259</v>
      </c>
      <c r="E1089" s="20">
        <f t="shared" si="160"/>
        <v>2.2222222222222365E-3</v>
      </c>
      <c r="F1089" t="str">
        <f t="shared" si="161"/>
        <v>zagraniczny</v>
      </c>
      <c r="G1089" s="23">
        <f t="shared" si="168"/>
        <v>381730</v>
      </c>
      <c r="H1089">
        <f t="shared" si="169"/>
        <v>125133</v>
      </c>
      <c r="I1089">
        <f t="shared" si="162"/>
        <v>192</v>
      </c>
      <c r="J1089">
        <f t="shared" si="163"/>
        <v>4</v>
      </c>
      <c r="K1089">
        <f t="shared" si="164"/>
        <v>506863</v>
      </c>
      <c r="L1089">
        <f t="shared" si="165"/>
        <v>0</v>
      </c>
      <c r="M1089">
        <f t="shared" si="166"/>
        <v>0</v>
      </c>
      <c r="N1089">
        <f t="shared" si="167"/>
        <v>0</v>
      </c>
    </row>
    <row r="1090" spans="1:14" x14ac:dyDescent="0.35">
      <c r="A1090" s="5">
        <v>1332884</v>
      </c>
      <c r="B1090" s="6">
        <v>42933</v>
      </c>
      <c r="C1090" s="7">
        <v>0.546412037037037</v>
      </c>
      <c r="D1090" s="8">
        <v>0.54829861111111111</v>
      </c>
      <c r="E1090" s="20">
        <f t="shared" si="160"/>
        <v>1.8865740740741099E-3</v>
      </c>
      <c r="F1090" t="str">
        <f t="shared" si="161"/>
        <v>stacjonarny</v>
      </c>
      <c r="G1090" s="23">
        <f t="shared" si="168"/>
        <v>381893</v>
      </c>
      <c r="H1090">
        <f t="shared" si="169"/>
        <v>125133</v>
      </c>
      <c r="I1090">
        <f t="shared" si="162"/>
        <v>0</v>
      </c>
      <c r="J1090">
        <f t="shared" si="163"/>
        <v>0</v>
      </c>
      <c r="K1090">
        <f t="shared" si="164"/>
        <v>507026</v>
      </c>
      <c r="L1090">
        <f t="shared" si="165"/>
        <v>0</v>
      </c>
      <c r="M1090">
        <f t="shared" si="166"/>
        <v>163</v>
      </c>
      <c r="N1090">
        <f t="shared" si="167"/>
        <v>0</v>
      </c>
    </row>
    <row r="1091" spans="1:14" x14ac:dyDescent="0.35">
      <c r="A1091" s="9">
        <v>38823305</v>
      </c>
      <c r="B1091" s="10">
        <v>42933</v>
      </c>
      <c r="C1091" s="11">
        <v>0.54907407407407405</v>
      </c>
      <c r="D1091" s="12">
        <v>0.55969907407407404</v>
      </c>
      <c r="E1091" s="20">
        <f t="shared" ref="E1091:E1154" si="170">D1091-C1091</f>
        <v>1.0624999999999996E-2</v>
      </c>
      <c r="F1091" t="str">
        <f t="shared" ref="F1091:F1154" si="171">IF(LEN(A1091)=7,"stacjonarny",IF(LEN(A1091)=8,"komorkowy","zagraniczny"))</f>
        <v>komorkowy</v>
      </c>
      <c r="G1091" s="23">
        <f t="shared" si="168"/>
        <v>381893</v>
      </c>
      <c r="H1091">
        <f t="shared" si="169"/>
        <v>126051</v>
      </c>
      <c r="I1091">
        <f t="shared" ref="I1091:I1154" si="172">IF(F1091="zagraniczny",MINUTE(E1091)*60+SECOND(E1091)+HOUR(E1091)*3600,0)</f>
        <v>0</v>
      </c>
      <c r="J1091">
        <f t="shared" ref="J1091:J1154" si="173">ROUNDUP(I1091/60,0)</f>
        <v>0</v>
      </c>
      <c r="K1091">
        <f t="shared" ref="K1091:K1154" si="174">G1091+H1091</f>
        <v>507944</v>
      </c>
      <c r="L1091">
        <f t="shared" ref="L1091:L1154" si="175">IF(K1091&lt;=48000,1,0)</f>
        <v>0</v>
      </c>
      <c r="M1091">
        <f t="shared" ref="M1091:M1154" si="176">IF(AND(L1091=0,F1091="stacjonarny"),SECOND(E1091)+60*MINUTE(E1091),0)</f>
        <v>0</v>
      </c>
      <c r="N1091">
        <f t="shared" ref="N1091:N1154" si="177">IF(AND(L1091=0,F1091="komorkowy"),SECOND(E1091)+60*MINUTE(E1091),0)</f>
        <v>918</v>
      </c>
    </row>
    <row r="1092" spans="1:14" x14ac:dyDescent="0.35">
      <c r="A1092" s="5">
        <v>7160339</v>
      </c>
      <c r="B1092" s="6">
        <v>42933</v>
      </c>
      <c r="C1092" s="7">
        <v>0.55456018518518524</v>
      </c>
      <c r="D1092" s="8">
        <v>0.5642476851851852</v>
      </c>
      <c r="E1092" s="20">
        <f t="shared" si="170"/>
        <v>9.68749999999996E-3</v>
      </c>
      <c r="F1092" t="str">
        <f t="shared" si="171"/>
        <v>stacjonarny</v>
      </c>
      <c r="G1092" s="23">
        <f t="shared" ref="G1092:G1155" si="178">IF(F1092="stacjonarny",MINUTE(E1092)*60+SECOND(E1092)+G1091,G1091)</f>
        <v>382730</v>
      </c>
      <c r="H1092">
        <f t="shared" ref="H1092:H1155" si="179">IF(F1092="komorkowy",MINUTE(E1092)*60+SECOND(E1092)+H1091,H1091)</f>
        <v>126051</v>
      </c>
      <c r="I1092">
        <f t="shared" si="172"/>
        <v>0</v>
      </c>
      <c r="J1092">
        <f t="shared" si="173"/>
        <v>0</v>
      </c>
      <c r="K1092">
        <f t="shared" si="174"/>
        <v>508781</v>
      </c>
      <c r="L1092">
        <f t="shared" si="175"/>
        <v>0</v>
      </c>
      <c r="M1092">
        <f t="shared" si="176"/>
        <v>837</v>
      </c>
      <c r="N1092">
        <f t="shared" si="177"/>
        <v>0</v>
      </c>
    </row>
    <row r="1093" spans="1:14" x14ac:dyDescent="0.35">
      <c r="A1093" s="9">
        <v>43277353</v>
      </c>
      <c r="B1093" s="10">
        <v>42933</v>
      </c>
      <c r="C1093" s="11">
        <v>0.55519675925925926</v>
      </c>
      <c r="D1093" s="12">
        <v>0.55809027777777775</v>
      </c>
      <c r="E1093" s="20">
        <f t="shared" si="170"/>
        <v>2.8935185185184897E-3</v>
      </c>
      <c r="F1093" t="str">
        <f t="shared" si="171"/>
        <v>komorkowy</v>
      </c>
      <c r="G1093" s="23">
        <f t="shared" si="178"/>
        <v>382730</v>
      </c>
      <c r="H1093">
        <f t="shared" si="179"/>
        <v>126301</v>
      </c>
      <c r="I1093">
        <f t="shared" si="172"/>
        <v>0</v>
      </c>
      <c r="J1093">
        <f t="shared" si="173"/>
        <v>0</v>
      </c>
      <c r="K1093">
        <f t="shared" si="174"/>
        <v>509031</v>
      </c>
      <c r="L1093">
        <f t="shared" si="175"/>
        <v>0</v>
      </c>
      <c r="M1093">
        <f t="shared" si="176"/>
        <v>0</v>
      </c>
      <c r="N1093">
        <f t="shared" si="177"/>
        <v>250</v>
      </c>
    </row>
    <row r="1094" spans="1:14" x14ac:dyDescent="0.35">
      <c r="A1094" s="5">
        <v>8749135</v>
      </c>
      <c r="B1094" s="6">
        <v>42933</v>
      </c>
      <c r="C1094" s="7">
        <v>0.56083333333333329</v>
      </c>
      <c r="D1094" s="8">
        <v>0.56415509259259256</v>
      </c>
      <c r="E1094" s="20">
        <f t="shared" si="170"/>
        <v>3.3217592592592604E-3</v>
      </c>
      <c r="F1094" t="str">
        <f t="shared" si="171"/>
        <v>stacjonarny</v>
      </c>
      <c r="G1094" s="23">
        <f t="shared" si="178"/>
        <v>383017</v>
      </c>
      <c r="H1094">
        <f t="shared" si="179"/>
        <v>126301</v>
      </c>
      <c r="I1094">
        <f t="shared" si="172"/>
        <v>0</v>
      </c>
      <c r="J1094">
        <f t="shared" si="173"/>
        <v>0</v>
      </c>
      <c r="K1094">
        <f t="shared" si="174"/>
        <v>509318</v>
      </c>
      <c r="L1094">
        <f t="shared" si="175"/>
        <v>0</v>
      </c>
      <c r="M1094">
        <f t="shared" si="176"/>
        <v>287</v>
      </c>
      <c r="N1094">
        <f t="shared" si="177"/>
        <v>0</v>
      </c>
    </row>
    <row r="1095" spans="1:14" x14ac:dyDescent="0.35">
      <c r="A1095" s="9">
        <v>16977213</v>
      </c>
      <c r="B1095" s="10">
        <v>42933</v>
      </c>
      <c r="C1095" s="11">
        <v>0.56462962962962959</v>
      </c>
      <c r="D1095" s="12">
        <v>0.56841435185185185</v>
      </c>
      <c r="E1095" s="20">
        <f t="shared" si="170"/>
        <v>3.7847222222222587E-3</v>
      </c>
      <c r="F1095" t="str">
        <f t="shared" si="171"/>
        <v>komorkowy</v>
      </c>
      <c r="G1095" s="23">
        <f t="shared" si="178"/>
        <v>383017</v>
      </c>
      <c r="H1095">
        <f t="shared" si="179"/>
        <v>126628</v>
      </c>
      <c r="I1095">
        <f t="shared" si="172"/>
        <v>0</v>
      </c>
      <c r="J1095">
        <f t="shared" si="173"/>
        <v>0</v>
      </c>
      <c r="K1095">
        <f t="shared" si="174"/>
        <v>509645</v>
      </c>
      <c r="L1095">
        <f t="shared" si="175"/>
        <v>0</v>
      </c>
      <c r="M1095">
        <f t="shared" si="176"/>
        <v>0</v>
      </c>
      <c r="N1095">
        <f t="shared" si="177"/>
        <v>327</v>
      </c>
    </row>
    <row r="1096" spans="1:14" x14ac:dyDescent="0.35">
      <c r="A1096" s="5">
        <v>13221411</v>
      </c>
      <c r="B1096" s="6">
        <v>42933</v>
      </c>
      <c r="C1096" s="7">
        <v>0.56511574074074078</v>
      </c>
      <c r="D1096" s="8">
        <v>0.57498842592592592</v>
      </c>
      <c r="E1096" s="20">
        <f t="shared" si="170"/>
        <v>9.8726851851851372E-3</v>
      </c>
      <c r="F1096" t="str">
        <f t="shared" si="171"/>
        <v>komorkowy</v>
      </c>
      <c r="G1096" s="23">
        <f t="shared" si="178"/>
        <v>383017</v>
      </c>
      <c r="H1096">
        <f t="shared" si="179"/>
        <v>127481</v>
      </c>
      <c r="I1096">
        <f t="shared" si="172"/>
        <v>0</v>
      </c>
      <c r="J1096">
        <f t="shared" si="173"/>
        <v>0</v>
      </c>
      <c r="K1096">
        <f t="shared" si="174"/>
        <v>510498</v>
      </c>
      <c r="L1096">
        <f t="shared" si="175"/>
        <v>0</v>
      </c>
      <c r="M1096">
        <f t="shared" si="176"/>
        <v>0</v>
      </c>
      <c r="N1096">
        <f t="shared" si="177"/>
        <v>853</v>
      </c>
    </row>
    <row r="1097" spans="1:14" x14ac:dyDescent="0.35">
      <c r="A1097" s="9">
        <v>2653312</v>
      </c>
      <c r="B1097" s="10">
        <v>42933</v>
      </c>
      <c r="C1097" s="11">
        <v>0.56893518518518515</v>
      </c>
      <c r="D1097" s="12">
        <v>0.57289351851851855</v>
      </c>
      <c r="E1097" s="20">
        <f t="shared" si="170"/>
        <v>3.958333333333397E-3</v>
      </c>
      <c r="F1097" t="str">
        <f t="shared" si="171"/>
        <v>stacjonarny</v>
      </c>
      <c r="G1097" s="23">
        <f t="shared" si="178"/>
        <v>383359</v>
      </c>
      <c r="H1097">
        <f t="shared" si="179"/>
        <v>127481</v>
      </c>
      <c r="I1097">
        <f t="shared" si="172"/>
        <v>0</v>
      </c>
      <c r="J1097">
        <f t="shared" si="173"/>
        <v>0</v>
      </c>
      <c r="K1097">
        <f t="shared" si="174"/>
        <v>510840</v>
      </c>
      <c r="L1097">
        <f t="shared" si="175"/>
        <v>0</v>
      </c>
      <c r="M1097">
        <f t="shared" si="176"/>
        <v>342</v>
      </c>
      <c r="N1097">
        <f t="shared" si="177"/>
        <v>0</v>
      </c>
    </row>
    <row r="1098" spans="1:14" x14ac:dyDescent="0.35">
      <c r="A1098" s="5">
        <v>4187727</v>
      </c>
      <c r="B1098" s="6">
        <v>42933</v>
      </c>
      <c r="C1098" s="7">
        <v>0.57038194444444446</v>
      </c>
      <c r="D1098" s="8">
        <v>0.57341435185185186</v>
      </c>
      <c r="E1098" s="20">
        <f t="shared" si="170"/>
        <v>3.0324074074074003E-3</v>
      </c>
      <c r="F1098" t="str">
        <f t="shared" si="171"/>
        <v>stacjonarny</v>
      </c>
      <c r="G1098" s="23">
        <f t="shared" si="178"/>
        <v>383621</v>
      </c>
      <c r="H1098">
        <f t="shared" si="179"/>
        <v>127481</v>
      </c>
      <c r="I1098">
        <f t="shared" si="172"/>
        <v>0</v>
      </c>
      <c r="J1098">
        <f t="shared" si="173"/>
        <v>0</v>
      </c>
      <c r="K1098">
        <f t="shared" si="174"/>
        <v>511102</v>
      </c>
      <c r="L1098">
        <f t="shared" si="175"/>
        <v>0</v>
      </c>
      <c r="M1098">
        <f t="shared" si="176"/>
        <v>262</v>
      </c>
      <c r="N1098">
        <f t="shared" si="177"/>
        <v>0</v>
      </c>
    </row>
    <row r="1099" spans="1:14" x14ac:dyDescent="0.35">
      <c r="A1099" s="9">
        <v>4370146</v>
      </c>
      <c r="B1099" s="10">
        <v>42933</v>
      </c>
      <c r="C1099" s="11">
        <v>0.57170138888888888</v>
      </c>
      <c r="D1099" s="12">
        <v>0.58212962962962966</v>
      </c>
      <c r="E1099" s="20">
        <f t="shared" si="170"/>
        <v>1.042824074074078E-2</v>
      </c>
      <c r="F1099" t="str">
        <f t="shared" si="171"/>
        <v>stacjonarny</v>
      </c>
      <c r="G1099" s="23">
        <f t="shared" si="178"/>
        <v>384522</v>
      </c>
      <c r="H1099">
        <f t="shared" si="179"/>
        <v>127481</v>
      </c>
      <c r="I1099">
        <f t="shared" si="172"/>
        <v>0</v>
      </c>
      <c r="J1099">
        <f t="shared" si="173"/>
        <v>0</v>
      </c>
      <c r="K1099">
        <f t="shared" si="174"/>
        <v>512003</v>
      </c>
      <c r="L1099">
        <f t="shared" si="175"/>
        <v>0</v>
      </c>
      <c r="M1099">
        <f t="shared" si="176"/>
        <v>901</v>
      </c>
      <c r="N1099">
        <f t="shared" si="177"/>
        <v>0</v>
      </c>
    </row>
    <row r="1100" spans="1:14" x14ac:dyDescent="0.35">
      <c r="A1100" s="5">
        <v>5725773</v>
      </c>
      <c r="B1100" s="6">
        <v>42933</v>
      </c>
      <c r="C1100" s="7">
        <v>0.57466435185185183</v>
      </c>
      <c r="D1100" s="8">
        <v>0.58538194444444447</v>
      </c>
      <c r="E1100" s="20">
        <f t="shared" si="170"/>
        <v>1.071759259259264E-2</v>
      </c>
      <c r="F1100" t="str">
        <f t="shared" si="171"/>
        <v>stacjonarny</v>
      </c>
      <c r="G1100" s="23">
        <f t="shared" si="178"/>
        <v>385448</v>
      </c>
      <c r="H1100">
        <f t="shared" si="179"/>
        <v>127481</v>
      </c>
      <c r="I1100">
        <f t="shared" si="172"/>
        <v>0</v>
      </c>
      <c r="J1100">
        <f t="shared" si="173"/>
        <v>0</v>
      </c>
      <c r="K1100">
        <f t="shared" si="174"/>
        <v>512929</v>
      </c>
      <c r="L1100">
        <f t="shared" si="175"/>
        <v>0</v>
      </c>
      <c r="M1100">
        <f t="shared" si="176"/>
        <v>926</v>
      </c>
      <c r="N1100">
        <f t="shared" si="177"/>
        <v>0</v>
      </c>
    </row>
    <row r="1101" spans="1:14" x14ac:dyDescent="0.35">
      <c r="A1101" s="9">
        <v>6345014</v>
      </c>
      <c r="B1101" s="10">
        <v>42933</v>
      </c>
      <c r="C1101" s="11">
        <v>0.58010416666666664</v>
      </c>
      <c r="D1101" s="12">
        <v>0.58166666666666667</v>
      </c>
      <c r="E1101" s="20">
        <f t="shared" si="170"/>
        <v>1.5625000000000222E-3</v>
      </c>
      <c r="F1101" t="str">
        <f t="shared" si="171"/>
        <v>stacjonarny</v>
      </c>
      <c r="G1101" s="23">
        <f t="shared" si="178"/>
        <v>385583</v>
      </c>
      <c r="H1101">
        <f t="shared" si="179"/>
        <v>127481</v>
      </c>
      <c r="I1101">
        <f t="shared" si="172"/>
        <v>0</v>
      </c>
      <c r="J1101">
        <f t="shared" si="173"/>
        <v>0</v>
      </c>
      <c r="K1101">
        <f t="shared" si="174"/>
        <v>513064</v>
      </c>
      <c r="L1101">
        <f t="shared" si="175"/>
        <v>0</v>
      </c>
      <c r="M1101">
        <f t="shared" si="176"/>
        <v>135</v>
      </c>
      <c r="N1101">
        <f t="shared" si="177"/>
        <v>0</v>
      </c>
    </row>
    <row r="1102" spans="1:14" x14ac:dyDescent="0.35">
      <c r="A1102" s="5">
        <v>7507831</v>
      </c>
      <c r="B1102" s="6">
        <v>42933</v>
      </c>
      <c r="C1102" s="7">
        <v>0.58545138888888892</v>
      </c>
      <c r="D1102" s="8">
        <v>0.59214120370370371</v>
      </c>
      <c r="E1102" s="20">
        <f t="shared" si="170"/>
        <v>6.6898148148147873E-3</v>
      </c>
      <c r="F1102" t="str">
        <f t="shared" si="171"/>
        <v>stacjonarny</v>
      </c>
      <c r="G1102" s="23">
        <f t="shared" si="178"/>
        <v>386161</v>
      </c>
      <c r="H1102">
        <f t="shared" si="179"/>
        <v>127481</v>
      </c>
      <c r="I1102">
        <f t="shared" si="172"/>
        <v>0</v>
      </c>
      <c r="J1102">
        <f t="shared" si="173"/>
        <v>0</v>
      </c>
      <c r="K1102">
        <f t="shared" si="174"/>
        <v>513642</v>
      </c>
      <c r="L1102">
        <f t="shared" si="175"/>
        <v>0</v>
      </c>
      <c r="M1102">
        <f t="shared" si="176"/>
        <v>578</v>
      </c>
      <c r="N1102">
        <f t="shared" si="177"/>
        <v>0</v>
      </c>
    </row>
    <row r="1103" spans="1:14" x14ac:dyDescent="0.35">
      <c r="A1103" s="9">
        <v>1198407</v>
      </c>
      <c r="B1103" s="10">
        <v>42933</v>
      </c>
      <c r="C1103" s="11">
        <v>0.59004629629629635</v>
      </c>
      <c r="D1103" s="12">
        <v>0.59799768518518515</v>
      </c>
      <c r="E1103" s="20">
        <f t="shared" si="170"/>
        <v>7.9513888888887996E-3</v>
      </c>
      <c r="F1103" t="str">
        <f t="shared" si="171"/>
        <v>stacjonarny</v>
      </c>
      <c r="G1103" s="23">
        <f t="shared" si="178"/>
        <v>386848</v>
      </c>
      <c r="H1103">
        <f t="shared" si="179"/>
        <v>127481</v>
      </c>
      <c r="I1103">
        <f t="shared" si="172"/>
        <v>0</v>
      </c>
      <c r="J1103">
        <f t="shared" si="173"/>
        <v>0</v>
      </c>
      <c r="K1103">
        <f t="shared" si="174"/>
        <v>514329</v>
      </c>
      <c r="L1103">
        <f t="shared" si="175"/>
        <v>0</v>
      </c>
      <c r="M1103">
        <f t="shared" si="176"/>
        <v>687</v>
      </c>
      <c r="N1103">
        <f t="shared" si="177"/>
        <v>0</v>
      </c>
    </row>
    <row r="1104" spans="1:14" x14ac:dyDescent="0.35">
      <c r="A1104" s="5">
        <v>4055319</v>
      </c>
      <c r="B1104" s="6">
        <v>42933</v>
      </c>
      <c r="C1104" s="7">
        <v>0.59471064814814811</v>
      </c>
      <c r="D1104" s="8">
        <v>0.60624999999999996</v>
      </c>
      <c r="E1104" s="20">
        <f t="shared" si="170"/>
        <v>1.1539351851851842E-2</v>
      </c>
      <c r="F1104" t="str">
        <f t="shared" si="171"/>
        <v>stacjonarny</v>
      </c>
      <c r="G1104" s="23">
        <f t="shared" si="178"/>
        <v>387845</v>
      </c>
      <c r="H1104">
        <f t="shared" si="179"/>
        <v>127481</v>
      </c>
      <c r="I1104">
        <f t="shared" si="172"/>
        <v>0</v>
      </c>
      <c r="J1104">
        <f t="shared" si="173"/>
        <v>0</v>
      </c>
      <c r="K1104">
        <f t="shared" si="174"/>
        <v>515326</v>
      </c>
      <c r="L1104">
        <f t="shared" si="175"/>
        <v>0</v>
      </c>
      <c r="M1104">
        <f t="shared" si="176"/>
        <v>997</v>
      </c>
      <c r="N1104">
        <f t="shared" si="177"/>
        <v>0</v>
      </c>
    </row>
    <row r="1105" spans="1:14" x14ac:dyDescent="0.35">
      <c r="A1105" s="9">
        <v>70730125</v>
      </c>
      <c r="B1105" s="10">
        <v>42933</v>
      </c>
      <c r="C1105" s="11">
        <v>0.59578703703703706</v>
      </c>
      <c r="D1105" s="12">
        <v>0.59671296296296295</v>
      </c>
      <c r="E1105" s="20">
        <f t="shared" si="170"/>
        <v>9.2592592592588563E-4</v>
      </c>
      <c r="F1105" t="str">
        <f t="shared" si="171"/>
        <v>komorkowy</v>
      </c>
      <c r="G1105" s="23">
        <f t="shared" si="178"/>
        <v>387845</v>
      </c>
      <c r="H1105">
        <f t="shared" si="179"/>
        <v>127561</v>
      </c>
      <c r="I1105">
        <f t="shared" si="172"/>
        <v>0</v>
      </c>
      <c r="J1105">
        <f t="shared" si="173"/>
        <v>0</v>
      </c>
      <c r="K1105">
        <f t="shared" si="174"/>
        <v>515406</v>
      </c>
      <c r="L1105">
        <f t="shared" si="175"/>
        <v>0</v>
      </c>
      <c r="M1105">
        <f t="shared" si="176"/>
        <v>0</v>
      </c>
      <c r="N1105">
        <f t="shared" si="177"/>
        <v>80</v>
      </c>
    </row>
    <row r="1106" spans="1:14" x14ac:dyDescent="0.35">
      <c r="A1106" s="5">
        <v>45158089</v>
      </c>
      <c r="B1106" s="6">
        <v>42933</v>
      </c>
      <c r="C1106" s="7">
        <v>0.5962615740740741</v>
      </c>
      <c r="D1106" s="8">
        <v>0.59780092592592593</v>
      </c>
      <c r="E1106" s="20">
        <f t="shared" si="170"/>
        <v>1.5393518518518334E-3</v>
      </c>
      <c r="F1106" t="str">
        <f t="shared" si="171"/>
        <v>komorkowy</v>
      </c>
      <c r="G1106" s="23">
        <f t="shared" si="178"/>
        <v>387845</v>
      </c>
      <c r="H1106">
        <f t="shared" si="179"/>
        <v>127694</v>
      </c>
      <c r="I1106">
        <f t="shared" si="172"/>
        <v>0</v>
      </c>
      <c r="J1106">
        <f t="shared" si="173"/>
        <v>0</v>
      </c>
      <c r="K1106">
        <f t="shared" si="174"/>
        <v>515539</v>
      </c>
      <c r="L1106">
        <f t="shared" si="175"/>
        <v>0</v>
      </c>
      <c r="M1106">
        <f t="shared" si="176"/>
        <v>0</v>
      </c>
      <c r="N1106">
        <f t="shared" si="177"/>
        <v>133</v>
      </c>
    </row>
    <row r="1107" spans="1:14" x14ac:dyDescent="0.35">
      <c r="A1107" s="9">
        <v>8159631</v>
      </c>
      <c r="B1107" s="10">
        <v>42933</v>
      </c>
      <c r="C1107" s="11">
        <v>0.59650462962962958</v>
      </c>
      <c r="D1107" s="12">
        <v>0.60144675925925928</v>
      </c>
      <c r="E1107" s="20">
        <f t="shared" si="170"/>
        <v>4.942129629629699E-3</v>
      </c>
      <c r="F1107" t="str">
        <f t="shared" si="171"/>
        <v>stacjonarny</v>
      </c>
      <c r="G1107" s="23">
        <f t="shared" si="178"/>
        <v>388272</v>
      </c>
      <c r="H1107">
        <f t="shared" si="179"/>
        <v>127694</v>
      </c>
      <c r="I1107">
        <f t="shared" si="172"/>
        <v>0</v>
      </c>
      <c r="J1107">
        <f t="shared" si="173"/>
        <v>0</v>
      </c>
      <c r="K1107">
        <f t="shared" si="174"/>
        <v>515966</v>
      </c>
      <c r="L1107">
        <f t="shared" si="175"/>
        <v>0</v>
      </c>
      <c r="M1107">
        <f t="shared" si="176"/>
        <v>427</v>
      </c>
      <c r="N1107">
        <f t="shared" si="177"/>
        <v>0</v>
      </c>
    </row>
    <row r="1108" spans="1:14" x14ac:dyDescent="0.35">
      <c r="A1108" s="5">
        <v>2645518</v>
      </c>
      <c r="B1108" s="6">
        <v>42933</v>
      </c>
      <c r="C1108" s="7">
        <v>0.60025462962962961</v>
      </c>
      <c r="D1108" s="8">
        <v>0.60699074074074078</v>
      </c>
      <c r="E1108" s="20">
        <f t="shared" si="170"/>
        <v>6.7361111111111649E-3</v>
      </c>
      <c r="F1108" t="str">
        <f t="shared" si="171"/>
        <v>stacjonarny</v>
      </c>
      <c r="G1108" s="23">
        <f t="shared" si="178"/>
        <v>388854</v>
      </c>
      <c r="H1108">
        <f t="shared" si="179"/>
        <v>127694</v>
      </c>
      <c r="I1108">
        <f t="shared" si="172"/>
        <v>0</v>
      </c>
      <c r="J1108">
        <f t="shared" si="173"/>
        <v>0</v>
      </c>
      <c r="K1108">
        <f t="shared" si="174"/>
        <v>516548</v>
      </c>
      <c r="L1108">
        <f t="shared" si="175"/>
        <v>0</v>
      </c>
      <c r="M1108">
        <f t="shared" si="176"/>
        <v>582</v>
      </c>
      <c r="N1108">
        <f t="shared" si="177"/>
        <v>0</v>
      </c>
    </row>
    <row r="1109" spans="1:14" x14ac:dyDescent="0.35">
      <c r="A1109" s="9">
        <v>5199929</v>
      </c>
      <c r="B1109" s="10">
        <v>42933</v>
      </c>
      <c r="C1109" s="11">
        <v>0.60083333333333333</v>
      </c>
      <c r="D1109" s="12">
        <v>0.60971064814814813</v>
      </c>
      <c r="E1109" s="20">
        <f t="shared" si="170"/>
        <v>8.8773148148147962E-3</v>
      </c>
      <c r="F1109" t="str">
        <f t="shared" si="171"/>
        <v>stacjonarny</v>
      </c>
      <c r="G1109" s="23">
        <f t="shared" si="178"/>
        <v>389621</v>
      </c>
      <c r="H1109">
        <f t="shared" si="179"/>
        <v>127694</v>
      </c>
      <c r="I1109">
        <f t="shared" si="172"/>
        <v>0</v>
      </c>
      <c r="J1109">
        <f t="shared" si="173"/>
        <v>0</v>
      </c>
      <c r="K1109">
        <f t="shared" si="174"/>
        <v>517315</v>
      </c>
      <c r="L1109">
        <f t="shared" si="175"/>
        <v>0</v>
      </c>
      <c r="M1109">
        <f t="shared" si="176"/>
        <v>767</v>
      </c>
      <c r="N1109">
        <f t="shared" si="177"/>
        <v>0</v>
      </c>
    </row>
    <row r="1110" spans="1:14" x14ac:dyDescent="0.35">
      <c r="A1110" s="5">
        <v>4039284</v>
      </c>
      <c r="B1110" s="6">
        <v>42933</v>
      </c>
      <c r="C1110" s="7">
        <v>0.6021643518518518</v>
      </c>
      <c r="D1110" s="8">
        <v>0.60636574074074079</v>
      </c>
      <c r="E1110" s="20">
        <f t="shared" si="170"/>
        <v>4.2013888888889905E-3</v>
      </c>
      <c r="F1110" t="str">
        <f t="shared" si="171"/>
        <v>stacjonarny</v>
      </c>
      <c r="G1110" s="23">
        <f t="shared" si="178"/>
        <v>389984</v>
      </c>
      <c r="H1110">
        <f t="shared" si="179"/>
        <v>127694</v>
      </c>
      <c r="I1110">
        <f t="shared" si="172"/>
        <v>0</v>
      </c>
      <c r="J1110">
        <f t="shared" si="173"/>
        <v>0</v>
      </c>
      <c r="K1110">
        <f t="shared" si="174"/>
        <v>517678</v>
      </c>
      <c r="L1110">
        <f t="shared" si="175"/>
        <v>0</v>
      </c>
      <c r="M1110">
        <f t="shared" si="176"/>
        <v>363</v>
      </c>
      <c r="N1110">
        <f t="shared" si="177"/>
        <v>0</v>
      </c>
    </row>
    <row r="1111" spans="1:14" x14ac:dyDescent="0.35">
      <c r="A1111" s="9">
        <v>1431491</v>
      </c>
      <c r="B1111" s="10">
        <v>42933</v>
      </c>
      <c r="C1111" s="11">
        <v>0.60495370370370372</v>
      </c>
      <c r="D1111" s="12">
        <v>0.61153935185185182</v>
      </c>
      <c r="E1111" s="20">
        <f t="shared" si="170"/>
        <v>6.5856481481481044E-3</v>
      </c>
      <c r="F1111" t="str">
        <f t="shared" si="171"/>
        <v>stacjonarny</v>
      </c>
      <c r="G1111" s="23">
        <f t="shared" si="178"/>
        <v>390553</v>
      </c>
      <c r="H1111">
        <f t="shared" si="179"/>
        <v>127694</v>
      </c>
      <c r="I1111">
        <f t="shared" si="172"/>
        <v>0</v>
      </c>
      <c r="J1111">
        <f t="shared" si="173"/>
        <v>0</v>
      </c>
      <c r="K1111">
        <f t="shared" si="174"/>
        <v>518247</v>
      </c>
      <c r="L1111">
        <f t="shared" si="175"/>
        <v>0</v>
      </c>
      <c r="M1111">
        <f t="shared" si="176"/>
        <v>569</v>
      </c>
      <c r="N1111">
        <f t="shared" si="177"/>
        <v>0</v>
      </c>
    </row>
    <row r="1112" spans="1:14" x14ac:dyDescent="0.35">
      <c r="A1112" s="5">
        <v>39848401</v>
      </c>
      <c r="B1112" s="6">
        <v>42933</v>
      </c>
      <c r="C1112" s="7">
        <v>0.60783564814814817</v>
      </c>
      <c r="D1112" s="8">
        <v>0.60846064814814815</v>
      </c>
      <c r="E1112" s="20">
        <f t="shared" si="170"/>
        <v>6.2499999999998668E-4</v>
      </c>
      <c r="F1112" t="str">
        <f t="shared" si="171"/>
        <v>komorkowy</v>
      </c>
      <c r="G1112" s="23">
        <f t="shared" si="178"/>
        <v>390553</v>
      </c>
      <c r="H1112">
        <f t="shared" si="179"/>
        <v>127748</v>
      </c>
      <c r="I1112">
        <f t="shared" si="172"/>
        <v>0</v>
      </c>
      <c r="J1112">
        <f t="shared" si="173"/>
        <v>0</v>
      </c>
      <c r="K1112">
        <f t="shared" si="174"/>
        <v>518301</v>
      </c>
      <c r="L1112">
        <f t="shared" si="175"/>
        <v>0</v>
      </c>
      <c r="M1112">
        <f t="shared" si="176"/>
        <v>0</v>
      </c>
      <c r="N1112">
        <f t="shared" si="177"/>
        <v>54</v>
      </c>
    </row>
    <row r="1113" spans="1:14" x14ac:dyDescent="0.35">
      <c r="A1113" s="9">
        <v>9225807</v>
      </c>
      <c r="B1113" s="10">
        <v>42933</v>
      </c>
      <c r="C1113" s="11">
        <v>0.61261574074074077</v>
      </c>
      <c r="D1113" s="12">
        <v>0.62048611111111107</v>
      </c>
      <c r="E1113" s="20">
        <f t="shared" si="170"/>
        <v>7.8703703703703054E-3</v>
      </c>
      <c r="F1113" t="str">
        <f t="shared" si="171"/>
        <v>stacjonarny</v>
      </c>
      <c r="G1113" s="23">
        <f t="shared" si="178"/>
        <v>391233</v>
      </c>
      <c r="H1113">
        <f t="shared" si="179"/>
        <v>127748</v>
      </c>
      <c r="I1113">
        <f t="shared" si="172"/>
        <v>0</v>
      </c>
      <c r="J1113">
        <f t="shared" si="173"/>
        <v>0</v>
      </c>
      <c r="K1113">
        <f t="shared" si="174"/>
        <v>518981</v>
      </c>
      <c r="L1113">
        <f t="shared" si="175"/>
        <v>0</v>
      </c>
      <c r="M1113">
        <f t="shared" si="176"/>
        <v>680</v>
      </c>
      <c r="N1113">
        <f t="shared" si="177"/>
        <v>0</v>
      </c>
    </row>
    <row r="1114" spans="1:14" x14ac:dyDescent="0.35">
      <c r="A1114" s="5">
        <v>7986409</v>
      </c>
      <c r="B1114" s="6">
        <v>42933</v>
      </c>
      <c r="C1114" s="7">
        <v>0.61473379629629632</v>
      </c>
      <c r="D1114" s="8">
        <v>0.61660879629629628</v>
      </c>
      <c r="E1114" s="20">
        <f t="shared" si="170"/>
        <v>1.87499999999996E-3</v>
      </c>
      <c r="F1114" t="str">
        <f t="shared" si="171"/>
        <v>stacjonarny</v>
      </c>
      <c r="G1114" s="23">
        <f t="shared" si="178"/>
        <v>391395</v>
      </c>
      <c r="H1114">
        <f t="shared" si="179"/>
        <v>127748</v>
      </c>
      <c r="I1114">
        <f t="shared" si="172"/>
        <v>0</v>
      </c>
      <c r="J1114">
        <f t="shared" si="173"/>
        <v>0</v>
      </c>
      <c r="K1114">
        <f t="shared" si="174"/>
        <v>519143</v>
      </c>
      <c r="L1114">
        <f t="shared" si="175"/>
        <v>0</v>
      </c>
      <c r="M1114">
        <f t="shared" si="176"/>
        <v>162</v>
      </c>
      <c r="N1114">
        <f t="shared" si="177"/>
        <v>0</v>
      </c>
    </row>
    <row r="1115" spans="1:14" x14ac:dyDescent="0.35">
      <c r="A1115" s="9">
        <v>54554135</v>
      </c>
      <c r="B1115" s="10">
        <v>42933</v>
      </c>
      <c r="C1115" s="11">
        <v>0.61943287037037043</v>
      </c>
      <c r="D1115" s="12">
        <v>0.62100694444444449</v>
      </c>
      <c r="E1115" s="20">
        <f t="shared" si="170"/>
        <v>1.5740740740740611E-3</v>
      </c>
      <c r="F1115" t="str">
        <f t="shared" si="171"/>
        <v>komorkowy</v>
      </c>
      <c r="G1115" s="23">
        <f t="shared" si="178"/>
        <v>391395</v>
      </c>
      <c r="H1115">
        <f t="shared" si="179"/>
        <v>127884</v>
      </c>
      <c r="I1115">
        <f t="shared" si="172"/>
        <v>0</v>
      </c>
      <c r="J1115">
        <f t="shared" si="173"/>
        <v>0</v>
      </c>
      <c r="K1115">
        <f t="shared" si="174"/>
        <v>519279</v>
      </c>
      <c r="L1115">
        <f t="shared" si="175"/>
        <v>0</v>
      </c>
      <c r="M1115">
        <f t="shared" si="176"/>
        <v>0</v>
      </c>
      <c r="N1115">
        <f t="shared" si="177"/>
        <v>136</v>
      </c>
    </row>
    <row r="1116" spans="1:14" x14ac:dyDescent="0.35">
      <c r="A1116" s="5">
        <v>1263080</v>
      </c>
      <c r="B1116" s="6">
        <v>42933</v>
      </c>
      <c r="C1116" s="7">
        <v>0.62292824074074071</v>
      </c>
      <c r="D1116" s="8">
        <v>0.63358796296296294</v>
      </c>
      <c r="E1116" s="20">
        <f t="shared" si="170"/>
        <v>1.0659722222222223E-2</v>
      </c>
      <c r="F1116" t="str">
        <f t="shared" si="171"/>
        <v>stacjonarny</v>
      </c>
      <c r="G1116" s="23">
        <f t="shared" si="178"/>
        <v>392316</v>
      </c>
      <c r="H1116">
        <f t="shared" si="179"/>
        <v>127884</v>
      </c>
      <c r="I1116">
        <f t="shared" si="172"/>
        <v>0</v>
      </c>
      <c r="J1116">
        <f t="shared" si="173"/>
        <v>0</v>
      </c>
      <c r="K1116">
        <f t="shared" si="174"/>
        <v>520200</v>
      </c>
      <c r="L1116">
        <f t="shared" si="175"/>
        <v>0</v>
      </c>
      <c r="M1116">
        <f t="shared" si="176"/>
        <v>921</v>
      </c>
      <c r="N1116">
        <f t="shared" si="177"/>
        <v>0</v>
      </c>
    </row>
    <row r="1117" spans="1:14" x14ac:dyDescent="0.35">
      <c r="A1117" s="9">
        <v>97953696</v>
      </c>
      <c r="B1117" s="10">
        <v>42933</v>
      </c>
      <c r="C1117" s="11">
        <v>0.62657407407407406</v>
      </c>
      <c r="D1117" s="12">
        <v>0.62818287037037035</v>
      </c>
      <c r="E1117" s="20">
        <f t="shared" si="170"/>
        <v>1.6087962962962887E-3</v>
      </c>
      <c r="F1117" t="str">
        <f t="shared" si="171"/>
        <v>komorkowy</v>
      </c>
      <c r="G1117" s="23">
        <f t="shared" si="178"/>
        <v>392316</v>
      </c>
      <c r="H1117">
        <f t="shared" si="179"/>
        <v>128023</v>
      </c>
      <c r="I1117">
        <f t="shared" si="172"/>
        <v>0</v>
      </c>
      <c r="J1117">
        <f t="shared" si="173"/>
        <v>0</v>
      </c>
      <c r="K1117">
        <f t="shared" si="174"/>
        <v>520339</v>
      </c>
      <c r="L1117">
        <f t="shared" si="175"/>
        <v>0</v>
      </c>
      <c r="M1117">
        <f t="shared" si="176"/>
        <v>0</v>
      </c>
      <c r="N1117">
        <f t="shared" si="177"/>
        <v>139</v>
      </c>
    </row>
    <row r="1118" spans="1:14" x14ac:dyDescent="0.35">
      <c r="A1118" s="5">
        <v>9772824</v>
      </c>
      <c r="B1118" s="6">
        <v>42934</v>
      </c>
      <c r="C1118" s="7">
        <v>0.33355324074074072</v>
      </c>
      <c r="D1118" s="8">
        <v>0.33859953703703705</v>
      </c>
      <c r="E1118" s="20">
        <f t="shared" si="170"/>
        <v>5.0462962962963265E-3</v>
      </c>
      <c r="F1118" t="str">
        <f t="shared" si="171"/>
        <v>stacjonarny</v>
      </c>
      <c r="G1118" s="23">
        <f t="shared" si="178"/>
        <v>392752</v>
      </c>
      <c r="H1118">
        <f t="shared" si="179"/>
        <v>128023</v>
      </c>
      <c r="I1118">
        <f t="shared" si="172"/>
        <v>0</v>
      </c>
      <c r="J1118">
        <f t="shared" si="173"/>
        <v>0</v>
      </c>
      <c r="K1118">
        <f t="shared" si="174"/>
        <v>520775</v>
      </c>
      <c r="L1118">
        <f t="shared" si="175"/>
        <v>0</v>
      </c>
      <c r="M1118">
        <f t="shared" si="176"/>
        <v>436</v>
      </c>
      <c r="N1118">
        <f t="shared" si="177"/>
        <v>0</v>
      </c>
    </row>
    <row r="1119" spans="1:14" x14ac:dyDescent="0.35">
      <c r="A1119" s="9">
        <v>1157434</v>
      </c>
      <c r="B1119" s="10">
        <v>42934</v>
      </c>
      <c r="C1119" s="11">
        <v>0.33582175925925928</v>
      </c>
      <c r="D1119" s="12">
        <v>0.34681712962962963</v>
      </c>
      <c r="E1119" s="20">
        <f t="shared" si="170"/>
        <v>1.099537037037035E-2</v>
      </c>
      <c r="F1119" t="str">
        <f t="shared" si="171"/>
        <v>stacjonarny</v>
      </c>
      <c r="G1119" s="23">
        <f t="shared" si="178"/>
        <v>393702</v>
      </c>
      <c r="H1119">
        <f t="shared" si="179"/>
        <v>128023</v>
      </c>
      <c r="I1119">
        <f t="shared" si="172"/>
        <v>0</v>
      </c>
      <c r="J1119">
        <f t="shared" si="173"/>
        <v>0</v>
      </c>
      <c r="K1119">
        <f t="shared" si="174"/>
        <v>521725</v>
      </c>
      <c r="L1119">
        <f t="shared" si="175"/>
        <v>0</v>
      </c>
      <c r="M1119">
        <f t="shared" si="176"/>
        <v>950</v>
      </c>
      <c r="N1119">
        <f t="shared" si="177"/>
        <v>0</v>
      </c>
    </row>
    <row r="1120" spans="1:14" x14ac:dyDescent="0.35">
      <c r="A1120" s="5">
        <v>8799928507</v>
      </c>
      <c r="B1120" s="6">
        <v>42934</v>
      </c>
      <c r="C1120" s="7">
        <v>0.34134259259259259</v>
      </c>
      <c r="D1120" s="8">
        <v>0.34931712962962963</v>
      </c>
      <c r="E1120" s="20">
        <f t="shared" si="170"/>
        <v>7.9745370370370439E-3</v>
      </c>
      <c r="F1120" t="str">
        <f t="shared" si="171"/>
        <v>zagraniczny</v>
      </c>
      <c r="G1120" s="23">
        <f t="shared" si="178"/>
        <v>393702</v>
      </c>
      <c r="H1120">
        <f t="shared" si="179"/>
        <v>128023</v>
      </c>
      <c r="I1120">
        <f t="shared" si="172"/>
        <v>689</v>
      </c>
      <c r="J1120">
        <f t="shared" si="173"/>
        <v>12</v>
      </c>
      <c r="K1120">
        <f t="shared" si="174"/>
        <v>521725</v>
      </c>
      <c r="L1120">
        <f t="shared" si="175"/>
        <v>0</v>
      </c>
      <c r="M1120">
        <f t="shared" si="176"/>
        <v>0</v>
      </c>
      <c r="N1120">
        <f t="shared" si="177"/>
        <v>0</v>
      </c>
    </row>
    <row r="1121" spans="1:14" x14ac:dyDescent="0.35">
      <c r="A1121" s="9">
        <v>5372891</v>
      </c>
      <c r="B1121" s="10">
        <v>42934</v>
      </c>
      <c r="C1121" s="11">
        <v>0.34586805555555555</v>
      </c>
      <c r="D1121" s="12">
        <v>0.34684027777777776</v>
      </c>
      <c r="E1121" s="20">
        <f t="shared" si="170"/>
        <v>9.7222222222220767E-4</v>
      </c>
      <c r="F1121" t="str">
        <f t="shared" si="171"/>
        <v>stacjonarny</v>
      </c>
      <c r="G1121" s="23">
        <f t="shared" si="178"/>
        <v>393786</v>
      </c>
      <c r="H1121">
        <f t="shared" si="179"/>
        <v>128023</v>
      </c>
      <c r="I1121">
        <f t="shared" si="172"/>
        <v>0</v>
      </c>
      <c r="J1121">
        <f t="shared" si="173"/>
        <v>0</v>
      </c>
      <c r="K1121">
        <f t="shared" si="174"/>
        <v>521809</v>
      </c>
      <c r="L1121">
        <f t="shared" si="175"/>
        <v>0</v>
      </c>
      <c r="M1121">
        <f t="shared" si="176"/>
        <v>84</v>
      </c>
      <c r="N1121">
        <f t="shared" si="177"/>
        <v>0</v>
      </c>
    </row>
    <row r="1122" spans="1:14" x14ac:dyDescent="0.35">
      <c r="A1122" s="5">
        <v>2663800</v>
      </c>
      <c r="B1122" s="6">
        <v>42934</v>
      </c>
      <c r="C1122" s="7">
        <v>0.35076388888888888</v>
      </c>
      <c r="D1122" s="8">
        <v>0.35863425925925924</v>
      </c>
      <c r="E1122" s="20">
        <f t="shared" si="170"/>
        <v>7.8703703703703609E-3</v>
      </c>
      <c r="F1122" t="str">
        <f t="shared" si="171"/>
        <v>stacjonarny</v>
      </c>
      <c r="G1122" s="23">
        <f t="shared" si="178"/>
        <v>394466</v>
      </c>
      <c r="H1122">
        <f t="shared" si="179"/>
        <v>128023</v>
      </c>
      <c r="I1122">
        <f t="shared" si="172"/>
        <v>0</v>
      </c>
      <c r="J1122">
        <f t="shared" si="173"/>
        <v>0</v>
      </c>
      <c r="K1122">
        <f t="shared" si="174"/>
        <v>522489</v>
      </c>
      <c r="L1122">
        <f t="shared" si="175"/>
        <v>0</v>
      </c>
      <c r="M1122">
        <f t="shared" si="176"/>
        <v>680</v>
      </c>
      <c r="N1122">
        <f t="shared" si="177"/>
        <v>0</v>
      </c>
    </row>
    <row r="1123" spans="1:14" x14ac:dyDescent="0.35">
      <c r="A1123" s="9">
        <v>32779069</v>
      </c>
      <c r="B1123" s="10">
        <v>42934</v>
      </c>
      <c r="C1123" s="11">
        <v>0.35430555555555554</v>
      </c>
      <c r="D1123" s="12">
        <v>0.36318287037037039</v>
      </c>
      <c r="E1123" s="20">
        <f t="shared" si="170"/>
        <v>8.8773148148148517E-3</v>
      </c>
      <c r="F1123" t="str">
        <f t="shared" si="171"/>
        <v>komorkowy</v>
      </c>
      <c r="G1123" s="23">
        <f t="shared" si="178"/>
        <v>394466</v>
      </c>
      <c r="H1123">
        <f t="shared" si="179"/>
        <v>128790</v>
      </c>
      <c r="I1123">
        <f t="shared" si="172"/>
        <v>0</v>
      </c>
      <c r="J1123">
        <f t="shared" si="173"/>
        <v>0</v>
      </c>
      <c r="K1123">
        <f t="shared" si="174"/>
        <v>523256</v>
      </c>
      <c r="L1123">
        <f t="shared" si="175"/>
        <v>0</v>
      </c>
      <c r="M1123">
        <f t="shared" si="176"/>
        <v>0</v>
      </c>
      <c r="N1123">
        <f t="shared" si="177"/>
        <v>767</v>
      </c>
    </row>
    <row r="1124" spans="1:14" x14ac:dyDescent="0.35">
      <c r="A1124" s="5">
        <v>8261808</v>
      </c>
      <c r="B1124" s="6">
        <v>42934</v>
      </c>
      <c r="C1124" s="7">
        <v>0.35718749999999999</v>
      </c>
      <c r="D1124" s="8">
        <v>0.36684027777777778</v>
      </c>
      <c r="E1124" s="20">
        <f t="shared" si="170"/>
        <v>9.6527777777777879E-3</v>
      </c>
      <c r="F1124" t="str">
        <f t="shared" si="171"/>
        <v>stacjonarny</v>
      </c>
      <c r="G1124" s="23">
        <f t="shared" si="178"/>
        <v>395300</v>
      </c>
      <c r="H1124">
        <f t="shared" si="179"/>
        <v>128790</v>
      </c>
      <c r="I1124">
        <f t="shared" si="172"/>
        <v>0</v>
      </c>
      <c r="J1124">
        <f t="shared" si="173"/>
        <v>0</v>
      </c>
      <c r="K1124">
        <f t="shared" si="174"/>
        <v>524090</v>
      </c>
      <c r="L1124">
        <f t="shared" si="175"/>
        <v>0</v>
      </c>
      <c r="M1124">
        <f t="shared" si="176"/>
        <v>834</v>
      </c>
      <c r="N1124">
        <f t="shared" si="177"/>
        <v>0</v>
      </c>
    </row>
    <row r="1125" spans="1:14" x14ac:dyDescent="0.35">
      <c r="A1125" s="9">
        <v>7321543</v>
      </c>
      <c r="B1125" s="10">
        <v>42934</v>
      </c>
      <c r="C1125" s="11">
        <v>0.36151620370370369</v>
      </c>
      <c r="D1125" s="12">
        <v>0.3712037037037037</v>
      </c>
      <c r="E1125" s="20">
        <f t="shared" si="170"/>
        <v>9.6875000000000155E-3</v>
      </c>
      <c r="F1125" t="str">
        <f t="shared" si="171"/>
        <v>stacjonarny</v>
      </c>
      <c r="G1125" s="23">
        <f t="shared" si="178"/>
        <v>396137</v>
      </c>
      <c r="H1125">
        <f t="shared" si="179"/>
        <v>128790</v>
      </c>
      <c r="I1125">
        <f t="shared" si="172"/>
        <v>0</v>
      </c>
      <c r="J1125">
        <f t="shared" si="173"/>
        <v>0</v>
      </c>
      <c r="K1125">
        <f t="shared" si="174"/>
        <v>524927</v>
      </c>
      <c r="L1125">
        <f t="shared" si="175"/>
        <v>0</v>
      </c>
      <c r="M1125">
        <f t="shared" si="176"/>
        <v>837</v>
      </c>
      <c r="N1125">
        <f t="shared" si="177"/>
        <v>0</v>
      </c>
    </row>
    <row r="1126" spans="1:14" x14ac:dyDescent="0.35">
      <c r="A1126" s="5">
        <v>7513392</v>
      </c>
      <c r="B1126" s="6">
        <v>42934</v>
      </c>
      <c r="C1126" s="7">
        <v>0.36421296296296296</v>
      </c>
      <c r="D1126" s="8">
        <v>0.36640046296296297</v>
      </c>
      <c r="E1126" s="20">
        <f t="shared" si="170"/>
        <v>2.1875000000000089E-3</v>
      </c>
      <c r="F1126" t="str">
        <f t="shared" si="171"/>
        <v>stacjonarny</v>
      </c>
      <c r="G1126" s="23">
        <f t="shared" si="178"/>
        <v>396326</v>
      </c>
      <c r="H1126">
        <f t="shared" si="179"/>
        <v>128790</v>
      </c>
      <c r="I1126">
        <f t="shared" si="172"/>
        <v>0</v>
      </c>
      <c r="J1126">
        <f t="shared" si="173"/>
        <v>0</v>
      </c>
      <c r="K1126">
        <f t="shared" si="174"/>
        <v>525116</v>
      </c>
      <c r="L1126">
        <f t="shared" si="175"/>
        <v>0</v>
      </c>
      <c r="M1126">
        <f t="shared" si="176"/>
        <v>189</v>
      </c>
      <c r="N1126">
        <f t="shared" si="177"/>
        <v>0</v>
      </c>
    </row>
    <row r="1127" spans="1:14" x14ac:dyDescent="0.35">
      <c r="A1127" s="9">
        <v>77036136</v>
      </c>
      <c r="B1127" s="10">
        <v>42934</v>
      </c>
      <c r="C1127" s="11">
        <v>0.36937500000000001</v>
      </c>
      <c r="D1127" s="12">
        <v>0.37585648148148149</v>
      </c>
      <c r="E1127" s="20">
        <f t="shared" si="170"/>
        <v>6.481481481481477E-3</v>
      </c>
      <c r="F1127" t="str">
        <f t="shared" si="171"/>
        <v>komorkowy</v>
      </c>
      <c r="G1127" s="23">
        <f t="shared" si="178"/>
        <v>396326</v>
      </c>
      <c r="H1127">
        <f t="shared" si="179"/>
        <v>129350</v>
      </c>
      <c r="I1127">
        <f t="shared" si="172"/>
        <v>0</v>
      </c>
      <c r="J1127">
        <f t="shared" si="173"/>
        <v>0</v>
      </c>
      <c r="K1127">
        <f t="shared" si="174"/>
        <v>525676</v>
      </c>
      <c r="L1127">
        <f t="shared" si="175"/>
        <v>0</v>
      </c>
      <c r="M1127">
        <f t="shared" si="176"/>
        <v>0</v>
      </c>
      <c r="N1127">
        <f t="shared" si="177"/>
        <v>560</v>
      </c>
    </row>
    <row r="1128" spans="1:14" x14ac:dyDescent="0.35">
      <c r="A1128" s="5">
        <v>1700508</v>
      </c>
      <c r="B1128" s="6">
        <v>42934</v>
      </c>
      <c r="C1128" s="7">
        <v>0.37179398148148146</v>
      </c>
      <c r="D1128" s="8">
        <v>0.3828125</v>
      </c>
      <c r="E1128" s="20">
        <f t="shared" si="170"/>
        <v>1.1018518518518539E-2</v>
      </c>
      <c r="F1128" t="str">
        <f t="shared" si="171"/>
        <v>stacjonarny</v>
      </c>
      <c r="G1128" s="23">
        <f t="shared" si="178"/>
        <v>397278</v>
      </c>
      <c r="H1128">
        <f t="shared" si="179"/>
        <v>129350</v>
      </c>
      <c r="I1128">
        <f t="shared" si="172"/>
        <v>0</v>
      </c>
      <c r="J1128">
        <f t="shared" si="173"/>
        <v>0</v>
      </c>
      <c r="K1128">
        <f t="shared" si="174"/>
        <v>526628</v>
      </c>
      <c r="L1128">
        <f t="shared" si="175"/>
        <v>0</v>
      </c>
      <c r="M1128">
        <f t="shared" si="176"/>
        <v>952</v>
      </c>
      <c r="N1128">
        <f t="shared" si="177"/>
        <v>0</v>
      </c>
    </row>
    <row r="1129" spans="1:14" x14ac:dyDescent="0.35">
      <c r="A1129" s="9">
        <v>7872182</v>
      </c>
      <c r="B1129" s="10">
        <v>42934</v>
      </c>
      <c r="C1129" s="11">
        <v>0.3772800925925926</v>
      </c>
      <c r="D1129" s="12">
        <v>0.3837962962962963</v>
      </c>
      <c r="E1129" s="20">
        <f t="shared" si="170"/>
        <v>6.5162037037037046E-3</v>
      </c>
      <c r="F1129" t="str">
        <f t="shared" si="171"/>
        <v>stacjonarny</v>
      </c>
      <c r="G1129" s="23">
        <f t="shared" si="178"/>
        <v>397841</v>
      </c>
      <c r="H1129">
        <f t="shared" si="179"/>
        <v>129350</v>
      </c>
      <c r="I1129">
        <f t="shared" si="172"/>
        <v>0</v>
      </c>
      <c r="J1129">
        <f t="shared" si="173"/>
        <v>0</v>
      </c>
      <c r="K1129">
        <f t="shared" si="174"/>
        <v>527191</v>
      </c>
      <c r="L1129">
        <f t="shared" si="175"/>
        <v>0</v>
      </c>
      <c r="M1129">
        <f t="shared" si="176"/>
        <v>563</v>
      </c>
      <c r="N1129">
        <f t="shared" si="177"/>
        <v>0</v>
      </c>
    </row>
    <row r="1130" spans="1:14" x14ac:dyDescent="0.35">
      <c r="A1130" s="5">
        <v>84513035</v>
      </c>
      <c r="B1130" s="6">
        <v>42934</v>
      </c>
      <c r="C1130" s="7">
        <v>0.38017361111111109</v>
      </c>
      <c r="D1130" s="8">
        <v>0.38291666666666668</v>
      </c>
      <c r="E1130" s="20">
        <f t="shared" si="170"/>
        <v>2.7430555555555958E-3</v>
      </c>
      <c r="F1130" t="str">
        <f t="shared" si="171"/>
        <v>komorkowy</v>
      </c>
      <c r="G1130" s="23">
        <f t="shared" si="178"/>
        <v>397841</v>
      </c>
      <c r="H1130">
        <f t="shared" si="179"/>
        <v>129587</v>
      </c>
      <c r="I1130">
        <f t="shared" si="172"/>
        <v>0</v>
      </c>
      <c r="J1130">
        <f t="shared" si="173"/>
        <v>0</v>
      </c>
      <c r="K1130">
        <f t="shared" si="174"/>
        <v>527428</v>
      </c>
      <c r="L1130">
        <f t="shared" si="175"/>
        <v>0</v>
      </c>
      <c r="M1130">
        <f t="shared" si="176"/>
        <v>0</v>
      </c>
      <c r="N1130">
        <f t="shared" si="177"/>
        <v>237</v>
      </c>
    </row>
    <row r="1131" spans="1:14" x14ac:dyDescent="0.35">
      <c r="A1131" s="9">
        <v>1775586</v>
      </c>
      <c r="B1131" s="10">
        <v>42934</v>
      </c>
      <c r="C1131" s="11">
        <v>0.38452546296296297</v>
      </c>
      <c r="D1131" s="12">
        <v>0.38978009259259261</v>
      </c>
      <c r="E1131" s="20">
        <f t="shared" si="170"/>
        <v>5.2546296296296369E-3</v>
      </c>
      <c r="F1131" t="str">
        <f t="shared" si="171"/>
        <v>stacjonarny</v>
      </c>
      <c r="G1131" s="23">
        <f t="shared" si="178"/>
        <v>398295</v>
      </c>
      <c r="H1131">
        <f t="shared" si="179"/>
        <v>129587</v>
      </c>
      <c r="I1131">
        <f t="shared" si="172"/>
        <v>0</v>
      </c>
      <c r="J1131">
        <f t="shared" si="173"/>
        <v>0</v>
      </c>
      <c r="K1131">
        <f t="shared" si="174"/>
        <v>527882</v>
      </c>
      <c r="L1131">
        <f t="shared" si="175"/>
        <v>0</v>
      </c>
      <c r="M1131">
        <f t="shared" si="176"/>
        <v>454</v>
      </c>
      <c r="N1131">
        <f t="shared" si="177"/>
        <v>0</v>
      </c>
    </row>
    <row r="1132" spans="1:14" x14ac:dyDescent="0.35">
      <c r="A1132" s="5">
        <v>1225082</v>
      </c>
      <c r="B1132" s="6">
        <v>42934</v>
      </c>
      <c r="C1132" s="7">
        <v>0.38516203703703705</v>
      </c>
      <c r="D1132" s="8">
        <v>0.38653935185185184</v>
      </c>
      <c r="E1132" s="20">
        <f t="shared" si="170"/>
        <v>1.3773148148147896E-3</v>
      </c>
      <c r="F1132" t="str">
        <f t="shared" si="171"/>
        <v>stacjonarny</v>
      </c>
      <c r="G1132" s="23">
        <f t="shared" si="178"/>
        <v>398414</v>
      </c>
      <c r="H1132">
        <f t="shared" si="179"/>
        <v>129587</v>
      </c>
      <c r="I1132">
        <f t="shared" si="172"/>
        <v>0</v>
      </c>
      <c r="J1132">
        <f t="shared" si="173"/>
        <v>0</v>
      </c>
      <c r="K1132">
        <f t="shared" si="174"/>
        <v>528001</v>
      </c>
      <c r="L1132">
        <f t="shared" si="175"/>
        <v>0</v>
      </c>
      <c r="M1132">
        <f t="shared" si="176"/>
        <v>119</v>
      </c>
      <c r="N1132">
        <f t="shared" si="177"/>
        <v>0</v>
      </c>
    </row>
    <row r="1133" spans="1:14" x14ac:dyDescent="0.35">
      <c r="A1133" s="9">
        <v>1586675</v>
      </c>
      <c r="B1133" s="10">
        <v>42934</v>
      </c>
      <c r="C1133" s="11">
        <v>0.39093749999999999</v>
      </c>
      <c r="D1133" s="12">
        <v>0.39787037037037037</v>
      </c>
      <c r="E1133" s="20">
        <f t="shared" si="170"/>
        <v>6.9328703703703809E-3</v>
      </c>
      <c r="F1133" t="str">
        <f t="shared" si="171"/>
        <v>stacjonarny</v>
      </c>
      <c r="G1133" s="23">
        <f t="shared" si="178"/>
        <v>399013</v>
      </c>
      <c r="H1133">
        <f t="shared" si="179"/>
        <v>129587</v>
      </c>
      <c r="I1133">
        <f t="shared" si="172"/>
        <v>0</v>
      </c>
      <c r="J1133">
        <f t="shared" si="173"/>
        <v>0</v>
      </c>
      <c r="K1133">
        <f t="shared" si="174"/>
        <v>528600</v>
      </c>
      <c r="L1133">
        <f t="shared" si="175"/>
        <v>0</v>
      </c>
      <c r="M1133">
        <f t="shared" si="176"/>
        <v>599</v>
      </c>
      <c r="N1133">
        <f t="shared" si="177"/>
        <v>0</v>
      </c>
    </row>
    <row r="1134" spans="1:14" x14ac:dyDescent="0.35">
      <c r="A1134" s="5">
        <v>2672229</v>
      </c>
      <c r="B1134" s="6">
        <v>42934</v>
      </c>
      <c r="C1134" s="7">
        <v>0.39552083333333332</v>
      </c>
      <c r="D1134" s="8">
        <v>0.4007175925925926</v>
      </c>
      <c r="E1134" s="20">
        <f t="shared" si="170"/>
        <v>5.196759259259276E-3</v>
      </c>
      <c r="F1134" t="str">
        <f t="shared" si="171"/>
        <v>stacjonarny</v>
      </c>
      <c r="G1134" s="23">
        <f t="shared" si="178"/>
        <v>399462</v>
      </c>
      <c r="H1134">
        <f t="shared" si="179"/>
        <v>129587</v>
      </c>
      <c r="I1134">
        <f t="shared" si="172"/>
        <v>0</v>
      </c>
      <c r="J1134">
        <f t="shared" si="173"/>
        <v>0</v>
      </c>
      <c r="K1134">
        <f t="shared" si="174"/>
        <v>529049</v>
      </c>
      <c r="L1134">
        <f t="shared" si="175"/>
        <v>0</v>
      </c>
      <c r="M1134">
        <f t="shared" si="176"/>
        <v>449</v>
      </c>
      <c r="N1134">
        <f t="shared" si="177"/>
        <v>0</v>
      </c>
    </row>
    <row r="1135" spans="1:14" x14ac:dyDescent="0.35">
      <c r="A1135" s="9">
        <v>2443869</v>
      </c>
      <c r="B1135" s="10">
        <v>42934</v>
      </c>
      <c r="C1135" s="11">
        <v>0.39964120370370371</v>
      </c>
      <c r="D1135" s="12">
        <v>0.4074652777777778</v>
      </c>
      <c r="E1135" s="20">
        <f t="shared" si="170"/>
        <v>7.8240740740740944E-3</v>
      </c>
      <c r="F1135" t="str">
        <f t="shared" si="171"/>
        <v>stacjonarny</v>
      </c>
      <c r="G1135" s="23">
        <f t="shared" si="178"/>
        <v>400138</v>
      </c>
      <c r="H1135">
        <f t="shared" si="179"/>
        <v>129587</v>
      </c>
      <c r="I1135">
        <f t="shared" si="172"/>
        <v>0</v>
      </c>
      <c r="J1135">
        <f t="shared" si="173"/>
        <v>0</v>
      </c>
      <c r="K1135">
        <f t="shared" si="174"/>
        <v>529725</v>
      </c>
      <c r="L1135">
        <f t="shared" si="175"/>
        <v>0</v>
      </c>
      <c r="M1135">
        <f t="shared" si="176"/>
        <v>676</v>
      </c>
      <c r="N1135">
        <f t="shared" si="177"/>
        <v>0</v>
      </c>
    </row>
    <row r="1136" spans="1:14" x14ac:dyDescent="0.35">
      <c r="A1136" s="5">
        <v>7166411</v>
      </c>
      <c r="B1136" s="6">
        <v>42934</v>
      </c>
      <c r="C1136" s="7">
        <v>0.40263888888888888</v>
      </c>
      <c r="D1136" s="8">
        <v>0.40846064814814814</v>
      </c>
      <c r="E1136" s="20">
        <f t="shared" si="170"/>
        <v>5.8217592592592626E-3</v>
      </c>
      <c r="F1136" t="str">
        <f t="shared" si="171"/>
        <v>stacjonarny</v>
      </c>
      <c r="G1136" s="23">
        <f t="shared" si="178"/>
        <v>400641</v>
      </c>
      <c r="H1136">
        <f t="shared" si="179"/>
        <v>129587</v>
      </c>
      <c r="I1136">
        <f t="shared" si="172"/>
        <v>0</v>
      </c>
      <c r="J1136">
        <f t="shared" si="173"/>
        <v>0</v>
      </c>
      <c r="K1136">
        <f t="shared" si="174"/>
        <v>530228</v>
      </c>
      <c r="L1136">
        <f t="shared" si="175"/>
        <v>0</v>
      </c>
      <c r="M1136">
        <f t="shared" si="176"/>
        <v>503</v>
      </c>
      <c r="N1136">
        <f t="shared" si="177"/>
        <v>0</v>
      </c>
    </row>
    <row r="1137" spans="1:14" x14ac:dyDescent="0.35">
      <c r="A1137" s="9">
        <v>4657345</v>
      </c>
      <c r="B1137" s="10">
        <v>42934</v>
      </c>
      <c r="C1137" s="11">
        <v>0.40328703703703705</v>
      </c>
      <c r="D1137" s="12">
        <v>0.4140625</v>
      </c>
      <c r="E1137" s="20">
        <f t="shared" si="170"/>
        <v>1.0775462962962945E-2</v>
      </c>
      <c r="F1137" t="str">
        <f t="shared" si="171"/>
        <v>stacjonarny</v>
      </c>
      <c r="G1137" s="23">
        <f t="shared" si="178"/>
        <v>401572</v>
      </c>
      <c r="H1137">
        <f t="shared" si="179"/>
        <v>129587</v>
      </c>
      <c r="I1137">
        <f t="shared" si="172"/>
        <v>0</v>
      </c>
      <c r="J1137">
        <f t="shared" si="173"/>
        <v>0</v>
      </c>
      <c r="K1137">
        <f t="shared" si="174"/>
        <v>531159</v>
      </c>
      <c r="L1137">
        <f t="shared" si="175"/>
        <v>0</v>
      </c>
      <c r="M1137">
        <f t="shared" si="176"/>
        <v>931</v>
      </c>
      <c r="N1137">
        <f t="shared" si="177"/>
        <v>0</v>
      </c>
    </row>
    <row r="1138" spans="1:14" x14ac:dyDescent="0.35">
      <c r="A1138" s="5">
        <v>6070329</v>
      </c>
      <c r="B1138" s="6">
        <v>42934</v>
      </c>
      <c r="C1138" s="7">
        <v>0.40337962962962964</v>
      </c>
      <c r="D1138" s="8">
        <v>0.41432870370370373</v>
      </c>
      <c r="E1138" s="20">
        <f t="shared" si="170"/>
        <v>1.0949074074074083E-2</v>
      </c>
      <c r="F1138" t="str">
        <f t="shared" si="171"/>
        <v>stacjonarny</v>
      </c>
      <c r="G1138" s="23">
        <f t="shared" si="178"/>
        <v>402518</v>
      </c>
      <c r="H1138">
        <f t="shared" si="179"/>
        <v>129587</v>
      </c>
      <c r="I1138">
        <f t="shared" si="172"/>
        <v>0</v>
      </c>
      <c r="J1138">
        <f t="shared" si="173"/>
        <v>0</v>
      </c>
      <c r="K1138">
        <f t="shared" si="174"/>
        <v>532105</v>
      </c>
      <c r="L1138">
        <f t="shared" si="175"/>
        <v>0</v>
      </c>
      <c r="M1138">
        <f t="shared" si="176"/>
        <v>946</v>
      </c>
      <c r="N1138">
        <f t="shared" si="177"/>
        <v>0</v>
      </c>
    </row>
    <row r="1139" spans="1:14" x14ac:dyDescent="0.35">
      <c r="A1139" s="9">
        <v>4845362</v>
      </c>
      <c r="B1139" s="10">
        <v>42934</v>
      </c>
      <c r="C1139" s="11">
        <v>0.4034490740740741</v>
      </c>
      <c r="D1139" s="12">
        <v>0.40371527777777777</v>
      </c>
      <c r="E1139" s="20">
        <f t="shared" si="170"/>
        <v>2.662037037036713E-4</v>
      </c>
      <c r="F1139" t="str">
        <f t="shared" si="171"/>
        <v>stacjonarny</v>
      </c>
      <c r="G1139" s="23">
        <f t="shared" si="178"/>
        <v>402541</v>
      </c>
      <c r="H1139">
        <f t="shared" si="179"/>
        <v>129587</v>
      </c>
      <c r="I1139">
        <f t="shared" si="172"/>
        <v>0</v>
      </c>
      <c r="J1139">
        <f t="shared" si="173"/>
        <v>0</v>
      </c>
      <c r="K1139">
        <f t="shared" si="174"/>
        <v>532128</v>
      </c>
      <c r="L1139">
        <f t="shared" si="175"/>
        <v>0</v>
      </c>
      <c r="M1139">
        <f t="shared" si="176"/>
        <v>23</v>
      </c>
      <c r="N1139">
        <f t="shared" si="177"/>
        <v>0</v>
      </c>
    </row>
    <row r="1140" spans="1:14" x14ac:dyDescent="0.35">
      <c r="A1140" s="5">
        <v>6333341</v>
      </c>
      <c r="B1140" s="6">
        <v>42934</v>
      </c>
      <c r="C1140" s="7">
        <v>0.40690972222222221</v>
      </c>
      <c r="D1140" s="8">
        <v>0.4103472222222222</v>
      </c>
      <c r="E1140" s="20">
        <f t="shared" si="170"/>
        <v>3.4374999999999822E-3</v>
      </c>
      <c r="F1140" t="str">
        <f t="shared" si="171"/>
        <v>stacjonarny</v>
      </c>
      <c r="G1140" s="23">
        <f t="shared" si="178"/>
        <v>402838</v>
      </c>
      <c r="H1140">
        <f t="shared" si="179"/>
        <v>129587</v>
      </c>
      <c r="I1140">
        <f t="shared" si="172"/>
        <v>0</v>
      </c>
      <c r="J1140">
        <f t="shared" si="173"/>
        <v>0</v>
      </c>
      <c r="K1140">
        <f t="shared" si="174"/>
        <v>532425</v>
      </c>
      <c r="L1140">
        <f t="shared" si="175"/>
        <v>0</v>
      </c>
      <c r="M1140">
        <f t="shared" si="176"/>
        <v>297</v>
      </c>
      <c r="N1140">
        <f t="shared" si="177"/>
        <v>0</v>
      </c>
    </row>
    <row r="1141" spans="1:14" x14ac:dyDescent="0.35">
      <c r="A1141" s="9">
        <v>5060909</v>
      </c>
      <c r="B1141" s="10">
        <v>42934</v>
      </c>
      <c r="C1141" s="11">
        <v>0.40699074074074076</v>
      </c>
      <c r="D1141" s="12">
        <v>0.41368055555555555</v>
      </c>
      <c r="E1141" s="20">
        <f t="shared" si="170"/>
        <v>6.6898148148147873E-3</v>
      </c>
      <c r="F1141" t="str">
        <f t="shared" si="171"/>
        <v>stacjonarny</v>
      </c>
      <c r="G1141" s="23">
        <f t="shared" si="178"/>
        <v>403416</v>
      </c>
      <c r="H1141">
        <f t="shared" si="179"/>
        <v>129587</v>
      </c>
      <c r="I1141">
        <f t="shared" si="172"/>
        <v>0</v>
      </c>
      <c r="J1141">
        <f t="shared" si="173"/>
        <v>0</v>
      </c>
      <c r="K1141">
        <f t="shared" si="174"/>
        <v>533003</v>
      </c>
      <c r="L1141">
        <f t="shared" si="175"/>
        <v>0</v>
      </c>
      <c r="M1141">
        <f t="shared" si="176"/>
        <v>578</v>
      </c>
      <c r="N1141">
        <f t="shared" si="177"/>
        <v>0</v>
      </c>
    </row>
    <row r="1142" spans="1:14" x14ac:dyDescent="0.35">
      <c r="A1142" s="5">
        <v>4673703944</v>
      </c>
      <c r="B1142" s="6">
        <v>42934</v>
      </c>
      <c r="C1142" s="7">
        <v>0.40822916666666664</v>
      </c>
      <c r="D1142" s="8">
        <v>0.41090277777777778</v>
      </c>
      <c r="E1142" s="20">
        <f t="shared" si="170"/>
        <v>2.6736111111111405E-3</v>
      </c>
      <c r="F1142" t="str">
        <f t="shared" si="171"/>
        <v>zagraniczny</v>
      </c>
      <c r="G1142" s="23">
        <f t="shared" si="178"/>
        <v>403416</v>
      </c>
      <c r="H1142">
        <f t="shared" si="179"/>
        <v>129587</v>
      </c>
      <c r="I1142">
        <f t="shared" si="172"/>
        <v>231</v>
      </c>
      <c r="J1142">
        <f t="shared" si="173"/>
        <v>4</v>
      </c>
      <c r="K1142">
        <f t="shared" si="174"/>
        <v>533003</v>
      </c>
      <c r="L1142">
        <f t="shared" si="175"/>
        <v>0</v>
      </c>
      <c r="M1142">
        <f t="shared" si="176"/>
        <v>0</v>
      </c>
      <c r="N1142">
        <f t="shared" si="177"/>
        <v>0</v>
      </c>
    </row>
    <row r="1143" spans="1:14" x14ac:dyDescent="0.35">
      <c r="A1143" s="9">
        <v>3178616</v>
      </c>
      <c r="B1143" s="10">
        <v>42934</v>
      </c>
      <c r="C1143" s="11">
        <v>0.40974537037037034</v>
      </c>
      <c r="D1143" s="12">
        <v>0.41177083333333331</v>
      </c>
      <c r="E1143" s="20">
        <f t="shared" si="170"/>
        <v>2.025462962962965E-3</v>
      </c>
      <c r="F1143" t="str">
        <f t="shared" si="171"/>
        <v>stacjonarny</v>
      </c>
      <c r="G1143" s="23">
        <f t="shared" si="178"/>
        <v>403591</v>
      </c>
      <c r="H1143">
        <f t="shared" si="179"/>
        <v>129587</v>
      </c>
      <c r="I1143">
        <f t="shared" si="172"/>
        <v>0</v>
      </c>
      <c r="J1143">
        <f t="shared" si="173"/>
        <v>0</v>
      </c>
      <c r="K1143">
        <f t="shared" si="174"/>
        <v>533178</v>
      </c>
      <c r="L1143">
        <f t="shared" si="175"/>
        <v>0</v>
      </c>
      <c r="M1143">
        <f t="shared" si="176"/>
        <v>175</v>
      </c>
      <c r="N1143">
        <f t="shared" si="177"/>
        <v>0</v>
      </c>
    </row>
    <row r="1144" spans="1:14" x14ac:dyDescent="0.35">
      <c r="A1144" s="5">
        <v>2079170589</v>
      </c>
      <c r="B1144" s="6">
        <v>42934</v>
      </c>
      <c r="C1144" s="7">
        <v>0.41120370370370368</v>
      </c>
      <c r="D1144" s="8">
        <v>0.41769675925925925</v>
      </c>
      <c r="E1144" s="20">
        <f t="shared" si="170"/>
        <v>6.4930555555555713E-3</v>
      </c>
      <c r="F1144" t="str">
        <f t="shared" si="171"/>
        <v>zagraniczny</v>
      </c>
      <c r="G1144" s="23">
        <f t="shared" si="178"/>
        <v>403591</v>
      </c>
      <c r="H1144">
        <f t="shared" si="179"/>
        <v>129587</v>
      </c>
      <c r="I1144">
        <f t="shared" si="172"/>
        <v>561</v>
      </c>
      <c r="J1144">
        <f t="shared" si="173"/>
        <v>10</v>
      </c>
      <c r="K1144">
        <f t="shared" si="174"/>
        <v>533178</v>
      </c>
      <c r="L1144">
        <f t="shared" si="175"/>
        <v>0</v>
      </c>
      <c r="M1144">
        <f t="shared" si="176"/>
        <v>0</v>
      </c>
      <c r="N1144">
        <f t="shared" si="177"/>
        <v>0</v>
      </c>
    </row>
    <row r="1145" spans="1:14" x14ac:dyDescent="0.35">
      <c r="A1145" s="9">
        <v>9815754</v>
      </c>
      <c r="B1145" s="10">
        <v>42934</v>
      </c>
      <c r="C1145" s="11">
        <v>0.41260416666666666</v>
      </c>
      <c r="D1145" s="12">
        <v>0.41688657407407409</v>
      </c>
      <c r="E1145" s="20">
        <f t="shared" si="170"/>
        <v>4.2824074074074292E-3</v>
      </c>
      <c r="F1145" t="str">
        <f t="shared" si="171"/>
        <v>stacjonarny</v>
      </c>
      <c r="G1145" s="23">
        <f t="shared" si="178"/>
        <v>403961</v>
      </c>
      <c r="H1145">
        <f t="shared" si="179"/>
        <v>129587</v>
      </c>
      <c r="I1145">
        <f t="shared" si="172"/>
        <v>0</v>
      </c>
      <c r="J1145">
        <f t="shared" si="173"/>
        <v>0</v>
      </c>
      <c r="K1145">
        <f t="shared" si="174"/>
        <v>533548</v>
      </c>
      <c r="L1145">
        <f t="shared" si="175"/>
        <v>0</v>
      </c>
      <c r="M1145">
        <f t="shared" si="176"/>
        <v>370</v>
      </c>
      <c r="N1145">
        <f t="shared" si="177"/>
        <v>0</v>
      </c>
    </row>
    <row r="1146" spans="1:14" x14ac:dyDescent="0.35">
      <c r="A1146" s="5">
        <v>4111617</v>
      </c>
      <c r="B1146" s="6">
        <v>42934</v>
      </c>
      <c r="C1146" s="7">
        <v>0.41450231481481481</v>
      </c>
      <c r="D1146" s="8">
        <v>0.41574074074074074</v>
      </c>
      <c r="E1146" s="20">
        <f t="shared" si="170"/>
        <v>1.2384259259259345E-3</v>
      </c>
      <c r="F1146" t="str">
        <f t="shared" si="171"/>
        <v>stacjonarny</v>
      </c>
      <c r="G1146" s="23">
        <f t="shared" si="178"/>
        <v>404068</v>
      </c>
      <c r="H1146">
        <f t="shared" si="179"/>
        <v>129587</v>
      </c>
      <c r="I1146">
        <f t="shared" si="172"/>
        <v>0</v>
      </c>
      <c r="J1146">
        <f t="shared" si="173"/>
        <v>0</v>
      </c>
      <c r="K1146">
        <f t="shared" si="174"/>
        <v>533655</v>
      </c>
      <c r="L1146">
        <f t="shared" si="175"/>
        <v>0</v>
      </c>
      <c r="M1146">
        <f t="shared" si="176"/>
        <v>107</v>
      </c>
      <c r="N1146">
        <f t="shared" si="177"/>
        <v>0</v>
      </c>
    </row>
    <row r="1147" spans="1:14" x14ac:dyDescent="0.35">
      <c r="A1147" s="9">
        <v>1117628</v>
      </c>
      <c r="B1147" s="10">
        <v>42934</v>
      </c>
      <c r="C1147" s="11">
        <v>0.41652777777777777</v>
      </c>
      <c r="D1147" s="12">
        <v>0.42443287037037036</v>
      </c>
      <c r="E1147" s="20">
        <f t="shared" si="170"/>
        <v>7.9050925925925886E-3</v>
      </c>
      <c r="F1147" t="str">
        <f t="shared" si="171"/>
        <v>stacjonarny</v>
      </c>
      <c r="G1147" s="23">
        <f t="shared" si="178"/>
        <v>404751</v>
      </c>
      <c r="H1147">
        <f t="shared" si="179"/>
        <v>129587</v>
      </c>
      <c r="I1147">
        <f t="shared" si="172"/>
        <v>0</v>
      </c>
      <c r="J1147">
        <f t="shared" si="173"/>
        <v>0</v>
      </c>
      <c r="K1147">
        <f t="shared" si="174"/>
        <v>534338</v>
      </c>
      <c r="L1147">
        <f t="shared" si="175"/>
        <v>0</v>
      </c>
      <c r="M1147">
        <f t="shared" si="176"/>
        <v>683</v>
      </c>
      <c r="N1147">
        <f t="shared" si="177"/>
        <v>0</v>
      </c>
    </row>
    <row r="1148" spans="1:14" x14ac:dyDescent="0.35">
      <c r="A1148" s="5">
        <v>5487496</v>
      </c>
      <c r="B1148" s="6">
        <v>42934</v>
      </c>
      <c r="C1148" s="7">
        <v>0.42114583333333333</v>
      </c>
      <c r="D1148" s="8">
        <v>0.4230902777777778</v>
      </c>
      <c r="E1148" s="20">
        <f t="shared" si="170"/>
        <v>1.9444444444444708E-3</v>
      </c>
      <c r="F1148" t="str">
        <f t="shared" si="171"/>
        <v>stacjonarny</v>
      </c>
      <c r="G1148" s="23">
        <f t="shared" si="178"/>
        <v>404919</v>
      </c>
      <c r="H1148">
        <f t="shared" si="179"/>
        <v>129587</v>
      </c>
      <c r="I1148">
        <f t="shared" si="172"/>
        <v>0</v>
      </c>
      <c r="J1148">
        <f t="shared" si="173"/>
        <v>0</v>
      </c>
      <c r="K1148">
        <f t="shared" si="174"/>
        <v>534506</v>
      </c>
      <c r="L1148">
        <f t="shared" si="175"/>
        <v>0</v>
      </c>
      <c r="M1148">
        <f t="shared" si="176"/>
        <v>168</v>
      </c>
      <c r="N1148">
        <f t="shared" si="177"/>
        <v>0</v>
      </c>
    </row>
    <row r="1149" spans="1:14" x14ac:dyDescent="0.35">
      <c r="A1149" s="9">
        <v>1472682</v>
      </c>
      <c r="B1149" s="10">
        <v>42934</v>
      </c>
      <c r="C1149" s="11">
        <v>0.42533564814814817</v>
      </c>
      <c r="D1149" s="12">
        <v>0.43167824074074074</v>
      </c>
      <c r="E1149" s="20">
        <f t="shared" si="170"/>
        <v>6.3425925925925664E-3</v>
      </c>
      <c r="F1149" t="str">
        <f t="shared" si="171"/>
        <v>stacjonarny</v>
      </c>
      <c r="G1149" s="23">
        <f t="shared" si="178"/>
        <v>405467</v>
      </c>
      <c r="H1149">
        <f t="shared" si="179"/>
        <v>129587</v>
      </c>
      <c r="I1149">
        <f t="shared" si="172"/>
        <v>0</v>
      </c>
      <c r="J1149">
        <f t="shared" si="173"/>
        <v>0</v>
      </c>
      <c r="K1149">
        <f t="shared" si="174"/>
        <v>535054</v>
      </c>
      <c r="L1149">
        <f t="shared" si="175"/>
        <v>0</v>
      </c>
      <c r="M1149">
        <f t="shared" si="176"/>
        <v>548</v>
      </c>
      <c r="N1149">
        <f t="shared" si="177"/>
        <v>0</v>
      </c>
    </row>
    <row r="1150" spans="1:14" x14ac:dyDescent="0.35">
      <c r="A1150" s="5">
        <v>43885630</v>
      </c>
      <c r="B1150" s="6">
        <v>42934</v>
      </c>
      <c r="C1150" s="7">
        <v>0.42988425925925927</v>
      </c>
      <c r="D1150" s="8">
        <v>0.43424768518518519</v>
      </c>
      <c r="E1150" s="20">
        <f t="shared" si="170"/>
        <v>4.3634259259259234E-3</v>
      </c>
      <c r="F1150" t="str">
        <f t="shared" si="171"/>
        <v>komorkowy</v>
      </c>
      <c r="G1150" s="23">
        <f t="shared" si="178"/>
        <v>405467</v>
      </c>
      <c r="H1150">
        <f t="shared" si="179"/>
        <v>129964</v>
      </c>
      <c r="I1150">
        <f t="shared" si="172"/>
        <v>0</v>
      </c>
      <c r="J1150">
        <f t="shared" si="173"/>
        <v>0</v>
      </c>
      <c r="K1150">
        <f t="shared" si="174"/>
        <v>535431</v>
      </c>
      <c r="L1150">
        <f t="shared" si="175"/>
        <v>0</v>
      </c>
      <c r="M1150">
        <f t="shared" si="176"/>
        <v>0</v>
      </c>
      <c r="N1150">
        <f t="shared" si="177"/>
        <v>377</v>
      </c>
    </row>
    <row r="1151" spans="1:14" x14ac:dyDescent="0.35">
      <c r="A1151" s="9">
        <v>5543741</v>
      </c>
      <c r="B1151" s="10">
        <v>42934</v>
      </c>
      <c r="C1151" s="11">
        <v>0.42997685185185186</v>
      </c>
      <c r="D1151" s="12">
        <v>0.43590277777777775</v>
      </c>
      <c r="E1151" s="20">
        <f t="shared" si="170"/>
        <v>5.9259259259258901E-3</v>
      </c>
      <c r="F1151" t="str">
        <f t="shared" si="171"/>
        <v>stacjonarny</v>
      </c>
      <c r="G1151" s="23">
        <f t="shared" si="178"/>
        <v>405979</v>
      </c>
      <c r="H1151">
        <f t="shared" si="179"/>
        <v>129964</v>
      </c>
      <c r="I1151">
        <f t="shared" si="172"/>
        <v>0</v>
      </c>
      <c r="J1151">
        <f t="shared" si="173"/>
        <v>0</v>
      </c>
      <c r="K1151">
        <f t="shared" si="174"/>
        <v>535943</v>
      </c>
      <c r="L1151">
        <f t="shared" si="175"/>
        <v>0</v>
      </c>
      <c r="M1151">
        <f t="shared" si="176"/>
        <v>512</v>
      </c>
      <c r="N1151">
        <f t="shared" si="177"/>
        <v>0</v>
      </c>
    </row>
    <row r="1152" spans="1:14" x14ac:dyDescent="0.35">
      <c r="A1152" s="5">
        <v>2590674</v>
      </c>
      <c r="B1152" s="6">
        <v>42934</v>
      </c>
      <c r="C1152" s="7">
        <v>0.43025462962962963</v>
      </c>
      <c r="D1152" s="8">
        <v>0.43677083333333333</v>
      </c>
      <c r="E1152" s="20">
        <f t="shared" si="170"/>
        <v>6.5162037037037046E-3</v>
      </c>
      <c r="F1152" t="str">
        <f t="shared" si="171"/>
        <v>stacjonarny</v>
      </c>
      <c r="G1152" s="23">
        <f t="shared" si="178"/>
        <v>406542</v>
      </c>
      <c r="H1152">
        <f t="shared" si="179"/>
        <v>129964</v>
      </c>
      <c r="I1152">
        <f t="shared" si="172"/>
        <v>0</v>
      </c>
      <c r="J1152">
        <f t="shared" si="173"/>
        <v>0</v>
      </c>
      <c r="K1152">
        <f t="shared" si="174"/>
        <v>536506</v>
      </c>
      <c r="L1152">
        <f t="shared" si="175"/>
        <v>0</v>
      </c>
      <c r="M1152">
        <f t="shared" si="176"/>
        <v>563</v>
      </c>
      <c r="N1152">
        <f t="shared" si="177"/>
        <v>0</v>
      </c>
    </row>
    <row r="1153" spans="1:14" x14ac:dyDescent="0.35">
      <c r="A1153" s="9">
        <v>4212838</v>
      </c>
      <c r="B1153" s="10">
        <v>42934</v>
      </c>
      <c r="C1153" s="11">
        <v>0.43420138888888887</v>
      </c>
      <c r="D1153" s="12">
        <v>0.43973379629629628</v>
      </c>
      <c r="E1153" s="20">
        <f t="shared" si="170"/>
        <v>5.5324074074074026E-3</v>
      </c>
      <c r="F1153" t="str">
        <f t="shared" si="171"/>
        <v>stacjonarny</v>
      </c>
      <c r="G1153" s="23">
        <f t="shared" si="178"/>
        <v>407020</v>
      </c>
      <c r="H1153">
        <f t="shared" si="179"/>
        <v>129964</v>
      </c>
      <c r="I1153">
        <f t="shared" si="172"/>
        <v>0</v>
      </c>
      <c r="J1153">
        <f t="shared" si="173"/>
        <v>0</v>
      </c>
      <c r="K1153">
        <f t="shared" si="174"/>
        <v>536984</v>
      </c>
      <c r="L1153">
        <f t="shared" si="175"/>
        <v>0</v>
      </c>
      <c r="M1153">
        <f t="shared" si="176"/>
        <v>478</v>
      </c>
      <c r="N1153">
        <f t="shared" si="177"/>
        <v>0</v>
      </c>
    </row>
    <row r="1154" spans="1:14" x14ac:dyDescent="0.35">
      <c r="A1154" s="5">
        <v>7836418</v>
      </c>
      <c r="B1154" s="6">
        <v>42934</v>
      </c>
      <c r="C1154" s="7">
        <v>0.4354513888888889</v>
      </c>
      <c r="D1154" s="8">
        <v>0.43745370370370368</v>
      </c>
      <c r="E1154" s="20">
        <f t="shared" si="170"/>
        <v>2.0023148148147762E-3</v>
      </c>
      <c r="F1154" t="str">
        <f t="shared" si="171"/>
        <v>stacjonarny</v>
      </c>
      <c r="G1154" s="23">
        <f t="shared" si="178"/>
        <v>407193</v>
      </c>
      <c r="H1154">
        <f t="shared" si="179"/>
        <v>129964</v>
      </c>
      <c r="I1154">
        <f t="shared" si="172"/>
        <v>0</v>
      </c>
      <c r="J1154">
        <f t="shared" si="173"/>
        <v>0</v>
      </c>
      <c r="K1154">
        <f t="shared" si="174"/>
        <v>537157</v>
      </c>
      <c r="L1154">
        <f t="shared" si="175"/>
        <v>0</v>
      </c>
      <c r="M1154">
        <f t="shared" si="176"/>
        <v>173</v>
      </c>
      <c r="N1154">
        <f t="shared" si="177"/>
        <v>0</v>
      </c>
    </row>
    <row r="1155" spans="1:14" x14ac:dyDescent="0.35">
      <c r="A1155" s="9">
        <v>2844911</v>
      </c>
      <c r="B1155" s="10">
        <v>42934</v>
      </c>
      <c r="C1155" s="11">
        <v>0.43821759259259258</v>
      </c>
      <c r="D1155" s="12">
        <v>0.44969907407407406</v>
      </c>
      <c r="E1155" s="20">
        <f t="shared" ref="E1155:E1218" si="180">D1155-C1155</f>
        <v>1.1481481481481481E-2</v>
      </c>
      <c r="F1155" t="str">
        <f t="shared" ref="F1155:F1218" si="181">IF(LEN(A1155)=7,"stacjonarny",IF(LEN(A1155)=8,"komorkowy","zagraniczny"))</f>
        <v>stacjonarny</v>
      </c>
      <c r="G1155" s="23">
        <f t="shared" si="178"/>
        <v>408185</v>
      </c>
      <c r="H1155">
        <f t="shared" si="179"/>
        <v>129964</v>
      </c>
      <c r="I1155">
        <f t="shared" ref="I1155:I1218" si="182">IF(F1155="zagraniczny",MINUTE(E1155)*60+SECOND(E1155)+HOUR(E1155)*3600,0)</f>
        <v>0</v>
      </c>
      <c r="J1155">
        <f t="shared" ref="J1155:J1218" si="183">ROUNDUP(I1155/60,0)</f>
        <v>0</v>
      </c>
      <c r="K1155">
        <f t="shared" ref="K1155:K1218" si="184">G1155+H1155</f>
        <v>538149</v>
      </c>
      <c r="L1155">
        <f t="shared" ref="L1155:L1218" si="185">IF(K1155&lt;=48000,1,0)</f>
        <v>0</v>
      </c>
      <c r="M1155">
        <f t="shared" ref="M1155:M1218" si="186">IF(AND(L1155=0,F1155="stacjonarny"),SECOND(E1155)+60*MINUTE(E1155),0)</f>
        <v>992</v>
      </c>
      <c r="N1155">
        <f t="shared" ref="N1155:N1218" si="187">IF(AND(L1155=0,F1155="komorkowy"),SECOND(E1155)+60*MINUTE(E1155),0)</f>
        <v>0</v>
      </c>
    </row>
    <row r="1156" spans="1:14" x14ac:dyDescent="0.35">
      <c r="A1156" s="5">
        <v>2861766</v>
      </c>
      <c r="B1156" s="6">
        <v>42934</v>
      </c>
      <c r="C1156" s="7">
        <v>0.4403125</v>
      </c>
      <c r="D1156" s="8">
        <v>0.4490972222222222</v>
      </c>
      <c r="E1156" s="20">
        <f t="shared" si="180"/>
        <v>8.7847222222222077E-3</v>
      </c>
      <c r="F1156" t="str">
        <f t="shared" si="181"/>
        <v>stacjonarny</v>
      </c>
      <c r="G1156" s="23">
        <f t="shared" ref="G1156:G1219" si="188">IF(F1156="stacjonarny",MINUTE(E1156)*60+SECOND(E1156)+G1155,G1155)</f>
        <v>408944</v>
      </c>
      <c r="H1156">
        <f t="shared" ref="H1156:H1219" si="189">IF(F1156="komorkowy",MINUTE(E1156)*60+SECOND(E1156)+H1155,H1155)</f>
        <v>129964</v>
      </c>
      <c r="I1156">
        <f t="shared" si="182"/>
        <v>0</v>
      </c>
      <c r="J1156">
        <f t="shared" si="183"/>
        <v>0</v>
      </c>
      <c r="K1156">
        <f t="shared" si="184"/>
        <v>538908</v>
      </c>
      <c r="L1156">
        <f t="shared" si="185"/>
        <v>0</v>
      </c>
      <c r="M1156">
        <f t="shared" si="186"/>
        <v>759</v>
      </c>
      <c r="N1156">
        <f t="shared" si="187"/>
        <v>0</v>
      </c>
    </row>
    <row r="1157" spans="1:14" x14ac:dyDescent="0.35">
      <c r="A1157" s="9">
        <v>9655946</v>
      </c>
      <c r="B1157" s="10">
        <v>42934</v>
      </c>
      <c r="C1157" s="11">
        <v>0.44385416666666666</v>
      </c>
      <c r="D1157" s="12">
        <v>0.45193287037037039</v>
      </c>
      <c r="E1157" s="20">
        <f t="shared" si="180"/>
        <v>8.0787037037037268E-3</v>
      </c>
      <c r="F1157" t="str">
        <f t="shared" si="181"/>
        <v>stacjonarny</v>
      </c>
      <c r="G1157" s="23">
        <f t="shared" si="188"/>
        <v>409642</v>
      </c>
      <c r="H1157">
        <f t="shared" si="189"/>
        <v>129964</v>
      </c>
      <c r="I1157">
        <f t="shared" si="182"/>
        <v>0</v>
      </c>
      <c r="J1157">
        <f t="shared" si="183"/>
        <v>0</v>
      </c>
      <c r="K1157">
        <f t="shared" si="184"/>
        <v>539606</v>
      </c>
      <c r="L1157">
        <f t="shared" si="185"/>
        <v>0</v>
      </c>
      <c r="M1157">
        <f t="shared" si="186"/>
        <v>698</v>
      </c>
      <c r="N1157">
        <f t="shared" si="187"/>
        <v>0</v>
      </c>
    </row>
    <row r="1158" spans="1:14" x14ac:dyDescent="0.35">
      <c r="A1158" s="5">
        <v>6050570</v>
      </c>
      <c r="B1158" s="6">
        <v>42934</v>
      </c>
      <c r="C1158" s="7">
        <v>0.44744212962962965</v>
      </c>
      <c r="D1158" s="8">
        <v>0.45751157407407406</v>
      </c>
      <c r="E1158" s="20">
        <f t="shared" si="180"/>
        <v>1.0069444444444409E-2</v>
      </c>
      <c r="F1158" t="str">
        <f t="shared" si="181"/>
        <v>stacjonarny</v>
      </c>
      <c r="G1158" s="23">
        <f t="shared" si="188"/>
        <v>410512</v>
      </c>
      <c r="H1158">
        <f t="shared" si="189"/>
        <v>129964</v>
      </c>
      <c r="I1158">
        <f t="shared" si="182"/>
        <v>0</v>
      </c>
      <c r="J1158">
        <f t="shared" si="183"/>
        <v>0</v>
      </c>
      <c r="K1158">
        <f t="shared" si="184"/>
        <v>540476</v>
      </c>
      <c r="L1158">
        <f t="shared" si="185"/>
        <v>0</v>
      </c>
      <c r="M1158">
        <f t="shared" si="186"/>
        <v>870</v>
      </c>
      <c r="N1158">
        <f t="shared" si="187"/>
        <v>0</v>
      </c>
    </row>
    <row r="1159" spans="1:14" x14ac:dyDescent="0.35">
      <c r="A1159" s="9">
        <v>1607422</v>
      </c>
      <c r="B1159" s="10">
        <v>42934</v>
      </c>
      <c r="C1159" s="11">
        <v>0.45238425925925924</v>
      </c>
      <c r="D1159" s="12">
        <v>0.45937499999999998</v>
      </c>
      <c r="E1159" s="20">
        <f t="shared" si="180"/>
        <v>6.9907407407407418E-3</v>
      </c>
      <c r="F1159" t="str">
        <f t="shared" si="181"/>
        <v>stacjonarny</v>
      </c>
      <c r="G1159" s="23">
        <f t="shared" si="188"/>
        <v>411116</v>
      </c>
      <c r="H1159">
        <f t="shared" si="189"/>
        <v>129964</v>
      </c>
      <c r="I1159">
        <f t="shared" si="182"/>
        <v>0</v>
      </c>
      <c r="J1159">
        <f t="shared" si="183"/>
        <v>0</v>
      </c>
      <c r="K1159">
        <f t="shared" si="184"/>
        <v>541080</v>
      </c>
      <c r="L1159">
        <f t="shared" si="185"/>
        <v>0</v>
      </c>
      <c r="M1159">
        <f t="shared" si="186"/>
        <v>604</v>
      </c>
      <c r="N1159">
        <f t="shared" si="187"/>
        <v>0</v>
      </c>
    </row>
    <row r="1160" spans="1:14" x14ac:dyDescent="0.35">
      <c r="A1160" s="5">
        <v>1192412</v>
      </c>
      <c r="B1160" s="6">
        <v>42934</v>
      </c>
      <c r="C1160" s="7">
        <v>0.45417824074074076</v>
      </c>
      <c r="D1160" s="8">
        <v>0.46438657407407408</v>
      </c>
      <c r="E1160" s="20">
        <f t="shared" si="180"/>
        <v>1.0208333333333319E-2</v>
      </c>
      <c r="F1160" t="str">
        <f t="shared" si="181"/>
        <v>stacjonarny</v>
      </c>
      <c r="G1160" s="23">
        <f t="shared" si="188"/>
        <v>411998</v>
      </c>
      <c r="H1160">
        <f t="shared" si="189"/>
        <v>129964</v>
      </c>
      <c r="I1160">
        <f t="shared" si="182"/>
        <v>0</v>
      </c>
      <c r="J1160">
        <f t="shared" si="183"/>
        <v>0</v>
      </c>
      <c r="K1160">
        <f t="shared" si="184"/>
        <v>541962</v>
      </c>
      <c r="L1160">
        <f t="shared" si="185"/>
        <v>0</v>
      </c>
      <c r="M1160">
        <f t="shared" si="186"/>
        <v>882</v>
      </c>
      <c r="N1160">
        <f t="shared" si="187"/>
        <v>0</v>
      </c>
    </row>
    <row r="1161" spans="1:14" x14ac:dyDescent="0.35">
      <c r="A1161" s="9">
        <v>4959551431</v>
      </c>
      <c r="B1161" s="10">
        <v>42934</v>
      </c>
      <c r="C1161" s="11">
        <v>0.45437499999999997</v>
      </c>
      <c r="D1161" s="12">
        <v>0.45770833333333333</v>
      </c>
      <c r="E1161" s="20">
        <f t="shared" si="180"/>
        <v>3.3333333333333548E-3</v>
      </c>
      <c r="F1161" t="str">
        <f t="shared" si="181"/>
        <v>zagraniczny</v>
      </c>
      <c r="G1161" s="23">
        <f t="shared" si="188"/>
        <v>411998</v>
      </c>
      <c r="H1161">
        <f t="shared" si="189"/>
        <v>129964</v>
      </c>
      <c r="I1161">
        <f t="shared" si="182"/>
        <v>288</v>
      </c>
      <c r="J1161">
        <f t="shared" si="183"/>
        <v>5</v>
      </c>
      <c r="K1161">
        <f t="shared" si="184"/>
        <v>541962</v>
      </c>
      <c r="L1161">
        <f t="shared" si="185"/>
        <v>0</v>
      </c>
      <c r="M1161">
        <f t="shared" si="186"/>
        <v>0</v>
      </c>
      <c r="N1161">
        <f t="shared" si="187"/>
        <v>0</v>
      </c>
    </row>
    <row r="1162" spans="1:14" x14ac:dyDescent="0.35">
      <c r="A1162" s="5">
        <v>9808221</v>
      </c>
      <c r="B1162" s="6">
        <v>42934</v>
      </c>
      <c r="C1162" s="7">
        <v>0.45680555555555558</v>
      </c>
      <c r="D1162" s="8">
        <v>0.4636689814814815</v>
      </c>
      <c r="E1162" s="20">
        <f t="shared" si="180"/>
        <v>6.8634259259259256E-3</v>
      </c>
      <c r="F1162" t="str">
        <f t="shared" si="181"/>
        <v>stacjonarny</v>
      </c>
      <c r="G1162" s="23">
        <f t="shared" si="188"/>
        <v>412591</v>
      </c>
      <c r="H1162">
        <f t="shared" si="189"/>
        <v>129964</v>
      </c>
      <c r="I1162">
        <f t="shared" si="182"/>
        <v>0</v>
      </c>
      <c r="J1162">
        <f t="shared" si="183"/>
        <v>0</v>
      </c>
      <c r="K1162">
        <f t="shared" si="184"/>
        <v>542555</v>
      </c>
      <c r="L1162">
        <f t="shared" si="185"/>
        <v>0</v>
      </c>
      <c r="M1162">
        <f t="shared" si="186"/>
        <v>593</v>
      </c>
      <c r="N1162">
        <f t="shared" si="187"/>
        <v>0</v>
      </c>
    </row>
    <row r="1163" spans="1:14" x14ac:dyDescent="0.35">
      <c r="A1163" s="9">
        <v>8672623</v>
      </c>
      <c r="B1163" s="10">
        <v>42934</v>
      </c>
      <c r="C1163" s="11">
        <v>0.45947916666666666</v>
      </c>
      <c r="D1163" s="12">
        <v>0.46460648148148148</v>
      </c>
      <c r="E1163" s="20">
        <f t="shared" si="180"/>
        <v>5.1273148148148207E-3</v>
      </c>
      <c r="F1163" t="str">
        <f t="shared" si="181"/>
        <v>stacjonarny</v>
      </c>
      <c r="G1163" s="23">
        <f t="shared" si="188"/>
        <v>413034</v>
      </c>
      <c r="H1163">
        <f t="shared" si="189"/>
        <v>129964</v>
      </c>
      <c r="I1163">
        <f t="shared" si="182"/>
        <v>0</v>
      </c>
      <c r="J1163">
        <f t="shared" si="183"/>
        <v>0</v>
      </c>
      <c r="K1163">
        <f t="shared" si="184"/>
        <v>542998</v>
      </c>
      <c r="L1163">
        <f t="shared" si="185"/>
        <v>0</v>
      </c>
      <c r="M1163">
        <f t="shared" si="186"/>
        <v>443</v>
      </c>
      <c r="N1163">
        <f t="shared" si="187"/>
        <v>0</v>
      </c>
    </row>
    <row r="1164" spans="1:14" x14ac:dyDescent="0.35">
      <c r="A1164" s="5">
        <v>3862016</v>
      </c>
      <c r="B1164" s="6">
        <v>42934</v>
      </c>
      <c r="C1164" s="7">
        <v>0.46127314814814813</v>
      </c>
      <c r="D1164" s="8">
        <v>0.46726851851851853</v>
      </c>
      <c r="E1164" s="20">
        <f t="shared" si="180"/>
        <v>5.9953703703704009E-3</v>
      </c>
      <c r="F1164" t="str">
        <f t="shared" si="181"/>
        <v>stacjonarny</v>
      </c>
      <c r="G1164" s="23">
        <f t="shared" si="188"/>
        <v>413552</v>
      </c>
      <c r="H1164">
        <f t="shared" si="189"/>
        <v>129964</v>
      </c>
      <c r="I1164">
        <f t="shared" si="182"/>
        <v>0</v>
      </c>
      <c r="J1164">
        <f t="shared" si="183"/>
        <v>0</v>
      </c>
      <c r="K1164">
        <f t="shared" si="184"/>
        <v>543516</v>
      </c>
      <c r="L1164">
        <f t="shared" si="185"/>
        <v>0</v>
      </c>
      <c r="M1164">
        <f t="shared" si="186"/>
        <v>518</v>
      </c>
      <c r="N1164">
        <f t="shared" si="187"/>
        <v>0</v>
      </c>
    </row>
    <row r="1165" spans="1:14" x14ac:dyDescent="0.35">
      <c r="A1165" s="9">
        <v>16580449</v>
      </c>
      <c r="B1165" s="10">
        <v>42934</v>
      </c>
      <c r="C1165" s="11">
        <v>0.46130787037037035</v>
      </c>
      <c r="D1165" s="12">
        <v>0.47226851851851853</v>
      </c>
      <c r="E1165" s="20">
        <f t="shared" si="180"/>
        <v>1.0960648148148178E-2</v>
      </c>
      <c r="F1165" t="str">
        <f t="shared" si="181"/>
        <v>komorkowy</v>
      </c>
      <c r="G1165" s="23">
        <f t="shared" si="188"/>
        <v>413552</v>
      </c>
      <c r="H1165">
        <f t="shared" si="189"/>
        <v>130911</v>
      </c>
      <c r="I1165">
        <f t="shared" si="182"/>
        <v>0</v>
      </c>
      <c r="J1165">
        <f t="shared" si="183"/>
        <v>0</v>
      </c>
      <c r="K1165">
        <f t="shared" si="184"/>
        <v>544463</v>
      </c>
      <c r="L1165">
        <f t="shared" si="185"/>
        <v>0</v>
      </c>
      <c r="M1165">
        <f t="shared" si="186"/>
        <v>0</v>
      </c>
      <c r="N1165">
        <f t="shared" si="187"/>
        <v>947</v>
      </c>
    </row>
    <row r="1166" spans="1:14" x14ac:dyDescent="0.35">
      <c r="A1166" s="5">
        <v>67064385</v>
      </c>
      <c r="B1166" s="6">
        <v>42934</v>
      </c>
      <c r="C1166" s="7">
        <v>0.46574074074074073</v>
      </c>
      <c r="D1166" s="8">
        <v>0.47495370370370371</v>
      </c>
      <c r="E1166" s="20">
        <f t="shared" si="180"/>
        <v>9.2129629629629783E-3</v>
      </c>
      <c r="F1166" t="str">
        <f t="shared" si="181"/>
        <v>komorkowy</v>
      </c>
      <c r="G1166" s="23">
        <f t="shared" si="188"/>
        <v>413552</v>
      </c>
      <c r="H1166">
        <f t="shared" si="189"/>
        <v>131707</v>
      </c>
      <c r="I1166">
        <f t="shared" si="182"/>
        <v>0</v>
      </c>
      <c r="J1166">
        <f t="shared" si="183"/>
        <v>0</v>
      </c>
      <c r="K1166">
        <f t="shared" si="184"/>
        <v>545259</v>
      </c>
      <c r="L1166">
        <f t="shared" si="185"/>
        <v>0</v>
      </c>
      <c r="M1166">
        <f t="shared" si="186"/>
        <v>0</v>
      </c>
      <c r="N1166">
        <f t="shared" si="187"/>
        <v>796</v>
      </c>
    </row>
    <row r="1167" spans="1:14" x14ac:dyDescent="0.35">
      <c r="A1167" s="9">
        <v>2078150</v>
      </c>
      <c r="B1167" s="10">
        <v>42934</v>
      </c>
      <c r="C1167" s="11">
        <v>0.46872685185185187</v>
      </c>
      <c r="D1167" s="12">
        <v>0.47244212962962961</v>
      </c>
      <c r="E1167" s="20">
        <f t="shared" si="180"/>
        <v>3.7152777777777479E-3</v>
      </c>
      <c r="F1167" t="str">
        <f t="shared" si="181"/>
        <v>stacjonarny</v>
      </c>
      <c r="G1167" s="23">
        <f t="shared" si="188"/>
        <v>413873</v>
      </c>
      <c r="H1167">
        <f t="shared" si="189"/>
        <v>131707</v>
      </c>
      <c r="I1167">
        <f t="shared" si="182"/>
        <v>0</v>
      </c>
      <c r="J1167">
        <f t="shared" si="183"/>
        <v>0</v>
      </c>
      <c r="K1167">
        <f t="shared" si="184"/>
        <v>545580</v>
      </c>
      <c r="L1167">
        <f t="shared" si="185"/>
        <v>0</v>
      </c>
      <c r="M1167">
        <f t="shared" si="186"/>
        <v>321</v>
      </c>
      <c r="N1167">
        <f t="shared" si="187"/>
        <v>0</v>
      </c>
    </row>
    <row r="1168" spans="1:14" x14ac:dyDescent="0.35">
      <c r="A1168" s="5">
        <v>5094248</v>
      </c>
      <c r="B1168" s="6">
        <v>42934</v>
      </c>
      <c r="C1168" s="7">
        <v>0.47074074074074074</v>
      </c>
      <c r="D1168" s="8">
        <v>0.47409722222222223</v>
      </c>
      <c r="E1168" s="20">
        <f t="shared" si="180"/>
        <v>3.3564814814814881E-3</v>
      </c>
      <c r="F1168" t="str">
        <f t="shared" si="181"/>
        <v>stacjonarny</v>
      </c>
      <c r="G1168" s="23">
        <f t="shared" si="188"/>
        <v>414163</v>
      </c>
      <c r="H1168">
        <f t="shared" si="189"/>
        <v>131707</v>
      </c>
      <c r="I1168">
        <f t="shared" si="182"/>
        <v>0</v>
      </c>
      <c r="J1168">
        <f t="shared" si="183"/>
        <v>0</v>
      </c>
      <c r="K1168">
        <f t="shared" si="184"/>
        <v>545870</v>
      </c>
      <c r="L1168">
        <f t="shared" si="185"/>
        <v>0</v>
      </c>
      <c r="M1168">
        <f t="shared" si="186"/>
        <v>290</v>
      </c>
      <c r="N1168">
        <f t="shared" si="187"/>
        <v>0</v>
      </c>
    </row>
    <row r="1169" spans="1:14" x14ac:dyDescent="0.35">
      <c r="A1169" s="9">
        <v>2584185</v>
      </c>
      <c r="B1169" s="10">
        <v>42934</v>
      </c>
      <c r="C1169" s="11">
        <v>0.47208333333333335</v>
      </c>
      <c r="D1169" s="12">
        <v>0.48284722222222221</v>
      </c>
      <c r="E1169" s="20">
        <f t="shared" si="180"/>
        <v>1.0763888888888851E-2</v>
      </c>
      <c r="F1169" t="str">
        <f t="shared" si="181"/>
        <v>stacjonarny</v>
      </c>
      <c r="G1169" s="23">
        <f t="shared" si="188"/>
        <v>415093</v>
      </c>
      <c r="H1169">
        <f t="shared" si="189"/>
        <v>131707</v>
      </c>
      <c r="I1169">
        <f t="shared" si="182"/>
        <v>0</v>
      </c>
      <c r="J1169">
        <f t="shared" si="183"/>
        <v>0</v>
      </c>
      <c r="K1169">
        <f t="shared" si="184"/>
        <v>546800</v>
      </c>
      <c r="L1169">
        <f t="shared" si="185"/>
        <v>0</v>
      </c>
      <c r="M1169">
        <f t="shared" si="186"/>
        <v>930</v>
      </c>
      <c r="N1169">
        <f t="shared" si="187"/>
        <v>0</v>
      </c>
    </row>
    <row r="1170" spans="1:14" x14ac:dyDescent="0.35">
      <c r="A1170" s="5">
        <v>3346801494</v>
      </c>
      <c r="B1170" s="6">
        <v>42934</v>
      </c>
      <c r="C1170" s="7">
        <v>0.47394675925925928</v>
      </c>
      <c r="D1170" s="8">
        <v>0.48170138888888892</v>
      </c>
      <c r="E1170" s="20">
        <f t="shared" si="180"/>
        <v>7.7546296296296391E-3</v>
      </c>
      <c r="F1170" t="str">
        <f t="shared" si="181"/>
        <v>zagraniczny</v>
      </c>
      <c r="G1170" s="23">
        <f t="shared" si="188"/>
        <v>415093</v>
      </c>
      <c r="H1170">
        <f t="shared" si="189"/>
        <v>131707</v>
      </c>
      <c r="I1170">
        <f t="shared" si="182"/>
        <v>670</v>
      </c>
      <c r="J1170">
        <f t="shared" si="183"/>
        <v>12</v>
      </c>
      <c r="K1170">
        <f t="shared" si="184"/>
        <v>546800</v>
      </c>
      <c r="L1170">
        <f t="shared" si="185"/>
        <v>0</v>
      </c>
      <c r="M1170">
        <f t="shared" si="186"/>
        <v>0</v>
      </c>
      <c r="N1170">
        <f t="shared" si="187"/>
        <v>0</v>
      </c>
    </row>
    <row r="1171" spans="1:14" x14ac:dyDescent="0.35">
      <c r="A1171" s="9">
        <v>4535172</v>
      </c>
      <c r="B1171" s="10">
        <v>42934</v>
      </c>
      <c r="C1171" s="11">
        <v>0.4750462962962963</v>
      </c>
      <c r="D1171" s="12">
        <v>0.47592592592592592</v>
      </c>
      <c r="E1171" s="20">
        <f t="shared" si="180"/>
        <v>8.796296296296191E-4</v>
      </c>
      <c r="F1171" t="str">
        <f t="shared" si="181"/>
        <v>stacjonarny</v>
      </c>
      <c r="G1171" s="23">
        <f t="shared" si="188"/>
        <v>415169</v>
      </c>
      <c r="H1171">
        <f t="shared" si="189"/>
        <v>131707</v>
      </c>
      <c r="I1171">
        <f t="shared" si="182"/>
        <v>0</v>
      </c>
      <c r="J1171">
        <f t="shared" si="183"/>
        <v>0</v>
      </c>
      <c r="K1171">
        <f t="shared" si="184"/>
        <v>546876</v>
      </c>
      <c r="L1171">
        <f t="shared" si="185"/>
        <v>0</v>
      </c>
      <c r="M1171">
        <f t="shared" si="186"/>
        <v>76</v>
      </c>
      <c r="N1171">
        <f t="shared" si="187"/>
        <v>0</v>
      </c>
    </row>
    <row r="1172" spans="1:14" x14ac:dyDescent="0.35">
      <c r="A1172" s="5">
        <v>8723323</v>
      </c>
      <c r="B1172" s="6">
        <v>42934</v>
      </c>
      <c r="C1172" s="7">
        <v>0.47505787037037039</v>
      </c>
      <c r="D1172" s="8">
        <v>0.48318287037037039</v>
      </c>
      <c r="E1172" s="20">
        <f t="shared" si="180"/>
        <v>8.1249999999999933E-3</v>
      </c>
      <c r="F1172" t="str">
        <f t="shared" si="181"/>
        <v>stacjonarny</v>
      </c>
      <c r="G1172" s="23">
        <f t="shared" si="188"/>
        <v>415871</v>
      </c>
      <c r="H1172">
        <f t="shared" si="189"/>
        <v>131707</v>
      </c>
      <c r="I1172">
        <f t="shared" si="182"/>
        <v>0</v>
      </c>
      <c r="J1172">
        <f t="shared" si="183"/>
        <v>0</v>
      </c>
      <c r="K1172">
        <f t="shared" si="184"/>
        <v>547578</v>
      </c>
      <c r="L1172">
        <f t="shared" si="185"/>
        <v>0</v>
      </c>
      <c r="M1172">
        <f t="shared" si="186"/>
        <v>702</v>
      </c>
      <c r="N1172">
        <f t="shared" si="187"/>
        <v>0</v>
      </c>
    </row>
    <row r="1173" spans="1:14" x14ac:dyDescent="0.35">
      <c r="A1173" s="9">
        <v>76845076</v>
      </c>
      <c r="B1173" s="10">
        <v>42934</v>
      </c>
      <c r="C1173" s="11">
        <v>0.47949074074074072</v>
      </c>
      <c r="D1173" s="12">
        <v>0.48335648148148147</v>
      </c>
      <c r="E1173" s="20">
        <f t="shared" si="180"/>
        <v>3.8657407407407529E-3</v>
      </c>
      <c r="F1173" t="str">
        <f t="shared" si="181"/>
        <v>komorkowy</v>
      </c>
      <c r="G1173" s="23">
        <f t="shared" si="188"/>
        <v>415871</v>
      </c>
      <c r="H1173">
        <f t="shared" si="189"/>
        <v>132041</v>
      </c>
      <c r="I1173">
        <f t="shared" si="182"/>
        <v>0</v>
      </c>
      <c r="J1173">
        <f t="shared" si="183"/>
        <v>0</v>
      </c>
      <c r="K1173">
        <f t="shared" si="184"/>
        <v>547912</v>
      </c>
      <c r="L1173">
        <f t="shared" si="185"/>
        <v>0</v>
      </c>
      <c r="M1173">
        <f t="shared" si="186"/>
        <v>0</v>
      </c>
      <c r="N1173">
        <f t="shared" si="187"/>
        <v>334</v>
      </c>
    </row>
    <row r="1174" spans="1:14" x14ac:dyDescent="0.35">
      <c r="A1174" s="5">
        <v>12063341</v>
      </c>
      <c r="B1174" s="6">
        <v>42934</v>
      </c>
      <c r="C1174" s="7">
        <v>0.48378472222222224</v>
      </c>
      <c r="D1174" s="8">
        <v>0.48681712962962964</v>
      </c>
      <c r="E1174" s="20">
        <f t="shared" si="180"/>
        <v>3.0324074074074003E-3</v>
      </c>
      <c r="F1174" t="str">
        <f t="shared" si="181"/>
        <v>komorkowy</v>
      </c>
      <c r="G1174" s="23">
        <f t="shared" si="188"/>
        <v>415871</v>
      </c>
      <c r="H1174">
        <f t="shared" si="189"/>
        <v>132303</v>
      </c>
      <c r="I1174">
        <f t="shared" si="182"/>
        <v>0</v>
      </c>
      <c r="J1174">
        <f t="shared" si="183"/>
        <v>0</v>
      </c>
      <c r="K1174">
        <f t="shared" si="184"/>
        <v>548174</v>
      </c>
      <c r="L1174">
        <f t="shared" si="185"/>
        <v>0</v>
      </c>
      <c r="M1174">
        <f t="shared" si="186"/>
        <v>0</v>
      </c>
      <c r="N1174">
        <f t="shared" si="187"/>
        <v>262</v>
      </c>
    </row>
    <row r="1175" spans="1:14" x14ac:dyDescent="0.35">
      <c r="A1175" s="9">
        <v>9866204</v>
      </c>
      <c r="B1175" s="10">
        <v>42934</v>
      </c>
      <c r="C1175" s="11">
        <v>0.48379629629629628</v>
      </c>
      <c r="D1175" s="12">
        <v>0.49018518518518517</v>
      </c>
      <c r="E1175" s="20">
        <f t="shared" si="180"/>
        <v>6.3888888888888884E-3</v>
      </c>
      <c r="F1175" t="str">
        <f t="shared" si="181"/>
        <v>stacjonarny</v>
      </c>
      <c r="G1175" s="23">
        <f t="shared" si="188"/>
        <v>416423</v>
      </c>
      <c r="H1175">
        <f t="shared" si="189"/>
        <v>132303</v>
      </c>
      <c r="I1175">
        <f t="shared" si="182"/>
        <v>0</v>
      </c>
      <c r="J1175">
        <f t="shared" si="183"/>
        <v>0</v>
      </c>
      <c r="K1175">
        <f t="shared" si="184"/>
        <v>548726</v>
      </c>
      <c r="L1175">
        <f t="shared" si="185"/>
        <v>0</v>
      </c>
      <c r="M1175">
        <f t="shared" si="186"/>
        <v>552</v>
      </c>
      <c r="N1175">
        <f t="shared" si="187"/>
        <v>0</v>
      </c>
    </row>
    <row r="1176" spans="1:14" x14ac:dyDescent="0.35">
      <c r="A1176" s="5">
        <v>9364912</v>
      </c>
      <c r="B1176" s="6">
        <v>42934</v>
      </c>
      <c r="C1176" s="7">
        <v>0.48715277777777777</v>
      </c>
      <c r="D1176" s="8">
        <v>0.49586805555555558</v>
      </c>
      <c r="E1176" s="20">
        <f t="shared" si="180"/>
        <v>8.7152777777778079E-3</v>
      </c>
      <c r="F1176" t="str">
        <f t="shared" si="181"/>
        <v>stacjonarny</v>
      </c>
      <c r="G1176" s="23">
        <f t="shared" si="188"/>
        <v>417176</v>
      </c>
      <c r="H1176">
        <f t="shared" si="189"/>
        <v>132303</v>
      </c>
      <c r="I1176">
        <f t="shared" si="182"/>
        <v>0</v>
      </c>
      <c r="J1176">
        <f t="shared" si="183"/>
        <v>0</v>
      </c>
      <c r="K1176">
        <f t="shared" si="184"/>
        <v>549479</v>
      </c>
      <c r="L1176">
        <f t="shared" si="185"/>
        <v>0</v>
      </c>
      <c r="M1176">
        <f t="shared" si="186"/>
        <v>753</v>
      </c>
      <c r="N1176">
        <f t="shared" si="187"/>
        <v>0</v>
      </c>
    </row>
    <row r="1177" spans="1:14" x14ac:dyDescent="0.35">
      <c r="A1177" s="9">
        <v>9975977</v>
      </c>
      <c r="B1177" s="10">
        <v>42934</v>
      </c>
      <c r="C1177" s="11">
        <v>0.48723379629629632</v>
      </c>
      <c r="D1177" s="12">
        <v>0.4914351851851852</v>
      </c>
      <c r="E1177" s="20">
        <f t="shared" si="180"/>
        <v>4.2013888888888795E-3</v>
      </c>
      <c r="F1177" t="str">
        <f t="shared" si="181"/>
        <v>stacjonarny</v>
      </c>
      <c r="G1177" s="23">
        <f t="shared" si="188"/>
        <v>417539</v>
      </c>
      <c r="H1177">
        <f t="shared" si="189"/>
        <v>132303</v>
      </c>
      <c r="I1177">
        <f t="shared" si="182"/>
        <v>0</v>
      </c>
      <c r="J1177">
        <f t="shared" si="183"/>
        <v>0</v>
      </c>
      <c r="K1177">
        <f t="shared" si="184"/>
        <v>549842</v>
      </c>
      <c r="L1177">
        <f t="shared" si="185"/>
        <v>0</v>
      </c>
      <c r="M1177">
        <f t="shared" si="186"/>
        <v>363</v>
      </c>
      <c r="N1177">
        <f t="shared" si="187"/>
        <v>0</v>
      </c>
    </row>
    <row r="1178" spans="1:14" x14ac:dyDescent="0.35">
      <c r="A1178" s="5">
        <v>8802222</v>
      </c>
      <c r="B1178" s="6">
        <v>42934</v>
      </c>
      <c r="C1178" s="7">
        <v>0.48899305555555556</v>
      </c>
      <c r="D1178" s="8">
        <v>0.49456018518518519</v>
      </c>
      <c r="E1178" s="20">
        <f t="shared" si="180"/>
        <v>5.5671296296296302E-3</v>
      </c>
      <c r="F1178" t="str">
        <f t="shared" si="181"/>
        <v>stacjonarny</v>
      </c>
      <c r="G1178" s="23">
        <f t="shared" si="188"/>
        <v>418020</v>
      </c>
      <c r="H1178">
        <f t="shared" si="189"/>
        <v>132303</v>
      </c>
      <c r="I1178">
        <f t="shared" si="182"/>
        <v>0</v>
      </c>
      <c r="J1178">
        <f t="shared" si="183"/>
        <v>0</v>
      </c>
      <c r="K1178">
        <f t="shared" si="184"/>
        <v>550323</v>
      </c>
      <c r="L1178">
        <f t="shared" si="185"/>
        <v>0</v>
      </c>
      <c r="M1178">
        <f t="shared" si="186"/>
        <v>481</v>
      </c>
      <c r="N1178">
        <f t="shared" si="187"/>
        <v>0</v>
      </c>
    </row>
    <row r="1179" spans="1:14" x14ac:dyDescent="0.35">
      <c r="A1179" s="9">
        <v>1552877</v>
      </c>
      <c r="B1179" s="10">
        <v>42934</v>
      </c>
      <c r="C1179" s="11">
        <v>0.49277777777777776</v>
      </c>
      <c r="D1179" s="12">
        <v>0.49600694444444443</v>
      </c>
      <c r="E1179" s="20">
        <f t="shared" si="180"/>
        <v>3.2291666666666718E-3</v>
      </c>
      <c r="F1179" t="str">
        <f t="shared" si="181"/>
        <v>stacjonarny</v>
      </c>
      <c r="G1179" s="23">
        <f t="shared" si="188"/>
        <v>418299</v>
      </c>
      <c r="H1179">
        <f t="shared" si="189"/>
        <v>132303</v>
      </c>
      <c r="I1179">
        <f t="shared" si="182"/>
        <v>0</v>
      </c>
      <c r="J1179">
        <f t="shared" si="183"/>
        <v>0</v>
      </c>
      <c r="K1179">
        <f t="shared" si="184"/>
        <v>550602</v>
      </c>
      <c r="L1179">
        <f t="shared" si="185"/>
        <v>0</v>
      </c>
      <c r="M1179">
        <f t="shared" si="186"/>
        <v>279</v>
      </c>
      <c r="N1179">
        <f t="shared" si="187"/>
        <v>0</v>
      </c>
    </row>
    <row r="1180" spans="1:14" x14ac:dyDescent="0.35">
      <c r="A1180" s="5">
        <v>6516534288</v>
      </c>
      <c r="B1180" s="6">
        <v>42934</v>
      </c>
      <c r="C1180" s="7">
        <v>0.49465277777777777</v>
      </c>
      <c r="D1180" s="8">
        <v>0.49899305555555556</v>
      </c>
      <c r="E1180" s="20">
        <f t="shared" si="180"/>
        <v>4.3402777777777901E-3</v>
      </c>
      <c r="F1180" t="str">
        <f t="shared" si="181"/>
        <v>zagraniczny</v>
      </c>
      <c r="G1180" s="23">
        <f t="shared" si="188"/>
        <v>418299</v>
      </c>
      <c r="H1180">
        <f t="shared" si="189"/>
        <v>132303</v>
      </c>
      <c r="I1180">
        <f t="shared" si="182"/>
        <v>375</v>
      </c>
      <c r="J1180">
        <f t="shared" si="183"/>
        <v>7</v>
      </c>
      <c r="K1180">
        <f t="shared" si="184"/>
        <v>550602</v>
      </c>
      <c r="L1180">
        <f t="shared" si="185"/>
        <v>0</v>
      </c>
      <c r="M1180">
        <f t="shared" si="186"/>
        <v>0</v>
      </c>
      <c r="N1180">
        <f t="shared" si="187"/>
        <v>0</v>
      </c>
    </row>
    <row r="1181" spans="1:14" x14ac:dyDescent="0.35">
      <c r="A1181" s="9">
        <v>68647777</v>
      </c>
      <c r="B1181" s="10">
        <v>42934</v>
      </c>
      <c r="C1181" s="11">
        <v>0.49968750000000001</v>
      </c>
      <c r="D1181" s="12">
        <v>0.50692129629629634</v>
      </c>
      <c r="E1181" s="20">
        <f t="shared" si="180"/>
        <v>7.2337962962963354E-3</v>
      </c>
      <c r="F1181" t="str">
        <f t="shared" si="181"/>
        <v>komorkowy</v>
      </c>
      <c r="G1181" s="23">
        <f t="shared" si="188"/>
        <v>418299</v>
      </c>
      <c r="H1181">
        <f t="shared" si="189"/>
        <v>132928</v>
      </c>
      <c r="I1181">
        <f t="shared" si="182"/>
        <v>0</v>
      </c>
      <c r="J1181">
        <f t="shared" si="183"/>
        <v>0</v>
      </c>
      <c r="K1181">
        <f t="shared" si="184"/>
        <v>551227</v>
      </c>
      <c r="L1181">
        <f t="shared" si="185"/>
        <v>0</v>
      </c>
      <c r="M1181">
        <f t="shared" si="186"/>
        <v>0</v>
      </c>
      <c r="N1181">
        <f t="shared" si="187"/>
        <v>625</v>
      </c>
    </row>
    <row r="1182" spans="1:14" x14ac:dyDescent="0.35">
      <c r="A1182" s="5">
        <v>3360951</v>
      </c>
      <c r="B1182" s="6">
        <v>42934</v>
      </c>
      <c r="C1182" s="7">
        <v>0.50384259259259256</v>
      </c>
      <c r="D1182" s="8">
        <v>0.50868055555555558</v>
      </c>
      <c r="E1182" s="20">
        <f t="shared" si="180"/>
        <v>4.8379629629630161E-3</v>
      </c>
      <c r="F1182" t="str">
        <f t="shared" si="181"/>
        <v>stacjonarny</v>
      </c>
      <c r="G1182" s="23">
        <f t="shared" si="188"/>
        <v>418717</v>
      </c>
      <c r="H1182">
        <f t="shared" si="189"/>
        <v>132928</v>
      </c>
      <c r="I1182">
        <f t="shared" si="182"/>
        <v>0</v>
      </c>
      <c r="J1182">
        <f t="shared" si="183"/>
        <v>0</v>
      </c>
      <c r="K1182">
        <f t="shared" si="184"/>
        <v>551645</v>
      </c>
      <c r="L1182">
        <f t="shared" si="185"/>
        <v>0</v>
      </c>
      <c r="M1182">
        <f t="shared" si="186"/>
        <v>418</v>
      </c>
      <c r="N1182">
        <f t="shared" si="187"/>
        <v>0</v>
      </c>
    </row>
    <row r="1183" spans="1:14" x14ac:dyDescent="0.35">
      <c r="A1183" s="9">
        <v>9127211929</v>
      </c>
      <c r="B1183" s="10">
        <v>42934</v>
      </c>
      <c r="C1183" s="11">
        <v>0.50648148148148153</v>
      </c>
      <c r="D1183" s="12">
        <v>0.51042824074074078</v>
      </c>
      <c r="E1183" s="20">
        <f t="shared" si="180"/>
        <v>3.9467592592592471E-3</v>
      </c>
      <c r="F1183" t="str">
        <f t="shared" si="181"/>
        <v>zagraniczny</v>
      </c>
      <c r="G1183" s="23">
        <f t="shared" si="188"/>
        <v>418717</v>
      </c>
      <c r="H1183">
        <f t="shared" si="189"/>
        <v>132928</v>
      </c>
      <c r="I1183">
        <f t="shared" si="182"/>
        <v>341</v>
      </c>
      <c r="J1183">
        <f t="shared" si="183"/>
        <v>6</v>
      </c>
      <c r="K1183">
        <f t="shared" si="184"/>
        <v>551645</v>
      </c>
      <c r="L1183">
        <f t="shared" si="185"/>
        <v>0</v>
      </c>
      <c r="M1183">
        <f t="shared" si="186"/>
        <v>0</v>
      </c>
      <c r="N1183">
        <f t="shared" si="187"/>
        <v>0</v>
      </c>
    </row>
    <row r="1184" spans="1:14" x14ac:dyDescent="0.35">
      <c r="A1184" s="5">
        <v>9647309</v>
      </c>
      <c r="B1184" s="6">
        <v>42934</v>
      </c>
      <c r="C1184" s="7">
        <v>0.50979166666666664</v>
      </c>
      <c r="D1184" s="8">
        <v>0.51483796296296291</v>
      </c>
      <c r="E1184" s="20">
        <f t="shared" si="180"/>
        <v>5.046296296296271E-3</v>
      </c>
      <c r="F1184" t="str">
        <f t="shared" si="181"/>
        <v>stacjonarny</v>
      </c>
      <c r="G1184" s="23">
        <f t="shared" si="188"/>
        <v>419153</v>
      </c>
      <c r="H1184">
        <f t="shared" si="189"/>
        <v>132928</v>
      </c>
      <c r="I1184">
        <f t="shared" si="182"/>
        <v>0</v>
      </c>
      <c r="J1184">
        <f t="shared" si="183"/>
        <v>0</v>
      </c>
      <c r="K1184">
        <f t="shared" si="184"/>
        <v>552081</v>
      </c>
      <c r="L1184">
        <f t="shared" si="185"/>
        <v>0</v>
      </c>
      <c r="M1184">
        <f t="shared" si="186"/>
        <v>436</v>
      </c>
      <c r="N1184">
        <f t="shared" si="187"/>
        <v>0</v>
      </c>
    </row>
    <row r="1185" spans="1:14" x14ac:dyDescent="0.35">
      <c r="A1185" s="9">
        <v>6024447</v>
      </c>
      <c r="B1185" s="10">
        <v>42934</v>
      </c>
      <c r="C1185" s="11">
        <v>0.51164351851851853</v>
      </c>
      <c r="D1185" s="12">
        <v>0.51975694444444442</v>
      </c>
      <c r="E1185" s="20">
        <f t="shared" si="180"/>
        <v>8.113425925925899E-3</v>
      </c>
      <c r="F1185" t="str">
        <f t="shared" si="181"/>
        <v>stacjonarny</v>
      </c>
      <c r="G1185" s="23">
        <f t="shared" si="188"/>
        <v>419854</v>
      </c>
      <c r="H1185">
        <f t="shared" si="189"/>
        <v>132928</v>
      </c>
      <c r="I1185">
        <f t="shared" si="182"/>
        <v>0</v>
      </c>
      <c r="J1185">
        <f t="shared" si="183"/>
        <v>0</v>
      </c>
      <c r="K1185">
        <f t="shared" si="184"/>
        <v>552782</v>
      </c>
      <c r="L1185">
        <f t="shared" si="185"/>
        <v>0</v>
      </c>
      <c r="M1185">
        <f t="shared" si="186"/>
        <v>701</v>
      </c>
      <c r="N1185">
        <f t="shared" si="187"/>
        <v>0</v>
      </c>
    </row>
    <row r="1186" spans="1:14" x14ac:dyDescent="0.35">
      <c r="A1186" s="5">
        <v>12919749</v>
      </c>
      <c r="B1186" s="6">
        <v>42934</v>
      </c>
      <c r="C1186" s="7">
        <v>0.5161458333333333</v>
      </c>
      <c r="D1186" s="8">
        <v>0.5222106481481481</v>
      </c>
      <c r="E1186" s="20">
        <f t="shared" si="180"/>
        <v>6.0648148148148007E-3</v>
      </c>
      <c r="F1186" t="str">
        <f t="shared" si="181"/>
        <v>komorkowy</v>
      </c>
      <c r="G1186" s="23">
        <f t="shared" si="188"/>
        <v>419854</v>
      </c>
      <c r="H1186">
        <f t="shared" si="189"/>
        <v>133452</v>
      </c>
      <c r="I1186">
        <f t="shared" si="182"/>
        <v>0</v>
      </c>
      <c r="J1186">
        <f t="shared" si="183"/>
        <v>0</v>
      </c>
      <c r="K1186">
        <f t="shared" si="184"/>
        <v>553306</v>
      </c>
      <c r="L1186">
        <f t="shared" si="185"/>
        <v>0</v>
      </c>
      <c r="M1186">
        <f t="shared" si="186"/>
        <v>0</v>
      </c>
      <c r="N1186">
        <f t="shared" si="187"/>
        <v>524</v>
      </c>
    </row>
    <row r="1187" spans="1:14" x14ac:dyDescent="0.35">
      <c r="A1187" s="9">
        <v>3287315</v>
      </c>
      <c r="B1187" s="10">
        <v>42934</v>
      </c>
      <c r="C1187" s="11">
        <v>0.51627314814814818</v>
      </c>
      <c r="D1187" s="12">
        <v>0.51844907407407403</v>
      </c>
      <c r="E1187" s="20">
        <f t="shared" si="180"/>
        <v>2.175925925925859E-3</v>
      </c>
      <c r="F1187" t="str">
        <f t="shared" si="181"/>
        <v>stacjonarny</v>
      </c>
      <c r="G1187" s="23">
        <f t="shared" si="188"/>
        <v>420042</v>
      </c>
      <c r="H1187">
        <f t="shared" si="189"/>
        <v>133452</v>
      </c>
      <c r="I1187">
        <f t="shared" si="182"/>
        <v>0</v>
      </c>
      <c r="J1187">
        <f t="shared" si="183"/>
        <v>0</v>
      </c>
      <c r="K1187">
        <f t="shared" si="184"/>
        <v>553494</v>
      </c>
      <c r="L1187">
        <f t="shared" si="185"/>
        <v>0</v>
      </c>
      <c r="M1187">
        <f t="shared" si="186"/>
        <v>188</v>
      </c>
      <c r="N1187">
        <f t="shared" si="187"/>
        <v>0</v>
      </c>
    </row>
    <row r="1188" spans="1:14" x14ac:dyDescent="0.35">
      <c r="A1188" s="5">
        <v>9953379</v>
      </c>
      <c r="B1188" s="6">
        <v>42934</v>
      </c>
      <c r="C1188" s="7">
        <v>0.52061342592592597</v>
      </c>
      <c r="D1188" s="8">
        <v>0.52561342592592597</v>
      </c>
      <c r="E1188" s="20">
        <f t="shared" si="180"/>
        <v>5.0000000000000044E-3</v>
      </c>
      <c r="F1188" t="str">
        <f t="shared" si="181"/>
        <v>stacjonarny</v>
      </c>
      <c r="G1188" s="23">
        <f t="shared" si="188"/>
        <v>420474</v>
      </c>
      <c r="H1188">
        <f t="shared" si="189"/>
        <v>133452</v>
      </c>
      <c r="I1188">
        <f t="shared" si="182"/>
        <v>0</v>
      </c>
      <c r="J1188">
        <f t="shared" si="183"/>
        <v>0</v>
      </c>
      <c r="K1188">
        <f t="shared" si="184"/>
        <v>553926</v>
      </c>
      <c r="L1188">
        <f t="shared" si="185"/>
        <v>0</v>
      </c>
      <c r="M1188">
        <f t="shared" si="186"/>
        <v>432</v>
      </c>
      <c r="N1188">
        <f t="shared" si="187"/>
        <v>0</v>
      </c>
    </row>
    <row r="1189" spans="1:14" x14ac:dyDescent="0.35">
      <c r="A1189" s="9">
        <v>97558765</v>
      </c>
      <c r="B1189" s="10">
        <v>42934</v>
      </c>
      <c r="C1189" s="11">
        <v>0.5259490740740741</v>
      </c>
      <c r="D1189" s="12">
        <v>0.53439814814814812</v>
      </c>
      <c r="E1189" s="20">
        <f t="shared" si="180"/>
        <v>8.4490740740740256E-3</v>
      </c>
      <c r="F1189" t="str">
        <f t="shared" si="181"/>
        <v>komorkowy</v>
      </c>
      <c r="G1189" s="23">
        <f t="shared" si="188"/>
        <v>420474</v>
      </c>
      <c r="H1189">
        <f t="shared" si="189"/>
        <v>134182</v>
      </c>
      <c r="I1189">
        <f t="shared" si="182"/>
        <v>0</v>
      </c>
      <c r="J1189">
        <f t="shared" si="183"/>
        <v>0</v>
      </c>
      <c r="K1189">
        <f t="shared" si="184"/>
        <v>554656</v>
      </c>
      <c r="L1189">
        <f t="shared" si="185"/>
        <v>0</v>
      </c>
      <c r="M1189">
        <f t="shared" si="186"/>
        <v>0</v>
      </c>
      <c r="N1189">
        <f t="shared" si="187"/>
        <v>730</v>
      </c>
    </row>
    <row r="1190" spans="1:14" x14ac:dyDescent="0.35">
      <c r="A1190" s="5">
        <v>2722706</v>
      </c>
      <c r="B1190" s="6">
        <v>42934</v>
      </c>
      <c r="C1190" s="7">
        <v>0.53025462962962966</v>
      </c>
      <c r="D1190" s="8">
        <v>0.53217592592592589</v>
      </c>
      <c r="E1190" s="20">
        <f t="shared" si="180"/>
        <v>1.9212962962962266E-3</v>
      </c>
      <c r="F1190" t="str">
        <f t="shared" si="181"/>
        <v>stacjonarny</v>
      </c>
      <c r="G1190" s="23">
        <f t="shared" si="188"/>
        <v>420640</v>
      </c>
      <c r="H1190">
        <f t="shared" si="189"/>
        <v>134182</v>
      </c>
      <c r="I1190">
        <f t="shared" si="182"/>
        <v>0</v>
      </c>
      <c r="J1190">
        <f t="shared" si="183"/>
        <v>0</v>
      </c>
      <c r="K1190">
        <f t="shared" si="184"/>
        <v>554822</v>
      </c>
      <c r="L1190">
        <f t="shared" si="185"/>
        <v>0</v>
      </c>
      <c r="M1190">
        <f t="shared" si="186"/>
        <v>166</v>
      </c>
      <c r="N1190">
        <f t="shared" si="187"/>
        <v>0</v>
      </c>
    </row>
    <row r="1191" spans="1:14" x14ac:dyDescent="0.35">
      <c r="A1191" s="9">
        <v>97876188</v>
      </c>
      <c r="B1191" s="10">
        <v>42934</v>
      </c>
      <c r="C1191" s="11">
        <v>0.53412037037037041</v>
      </c>
      <c r="D1191" s="12">
        <v>0.53467592592592594</v>
      </c>
      <c r="E1191" s="20">
        <f t="shared" si="180"/>
        <v>5.5555555555553138E-4</v>
      </c>
      <c r="F1191" t="str">
        <f t="shared" si="181"/>
        <v>komorkowy</v>
      </c>
      <c r="G1191" s="23">
        <f t="shared" si="188"/>
        <v>420640</v>
      </c>
      <c r="H1191">
        <f t="shared" si="189"/>
        <v>134230</v>
      </c>
      <c r="I1191">
        <f t="shared" si="182"/>
        <v>0</v>
      </c>
      <c r="J1191">
        <f t="shared" si="183"/>
        <v>0</v>
      </c>
      <c r="K1191">
        <f t="shared" si="184"/>
        <v>554870</v>
      </c>
      <c r="L1191">
        <f t="shared" si="185"/>
        <v>0</v>
      </c>
      <c r="M1191">
        <f t="shared" si="186"/>
        <v>0</v>
      </c>
      <c r="N1191">
        <f t="shared" si="187"/>
        <v>48</v>
      </c>
    </row>
    <row r="1192" spans="1:14" x14ac:dyDescent="0.35">
      <c r="A1192" s="5">
        <v>4068728</v>
      </c>
      <c r="B1192" s="6">
        <v>42934</v>
      </c>
      <c r="C1192" s="7">
        <v>0.53760416666666666</v>
      </c>
      <c r="D1192" s="8">
        <v>0.546412037037037</v>
      </c>
      <c r="E1192" s="20">
        <f t="shared" si="180"/>
        <v>8.8078703703703409E-3</v>
      </c>
      <c r="F1192" t="str">
        <f t="shared" si="181"/>
        <v>stacjonarny</v>
      </c>
      <c r="G1192" s="23">
        <f t="shared" si="188"/>
        <v>421401</v>
      </c>
      <c r="H1192">
        <f t="shared" si="189"/>
        <v>134230</v>
      </c>
      <c r="I1192">
        <f t="shared" si="182"/>
        <v>0</v>
      </c>
      <c r="J1192">
        <f t="shared" si="183"/>
        <v>0</v>
      </c>
      <c r="K1192">
        <f t="shared" si="184"/>
        <v>555631</v>
      </c>
      <c r="L1192">
        <f t="shared" si="185"/>
        <v>0</v>
      </c>
      <c r="M1192">
        <f t="shared" si="186"/>
        <v>761</v>
      </c>
      <c r="N1192">
        <f t="shared" si="187"/>
        <v>0</v>
      </c>
    </row>
    <row r="1193" spans="1:14" x14ac:dyDescent="0.35">
      <c r="A1193" s="9">
        <v>7624070</v>
      </c>
      <c r="B1193" s="10">
        <v>42934</v>
      </c>
      <c r="C1193" s="11">
        <v>0.54335648148148152</v>
      </c>
      <c r="D1193" s="12">
        <v>0.55396990740740737</v>
      </c>
      <c r="E1193" s="20">
        <f t="shared" si="180"/>
        <v>1.0613425925925846E-2</v>
      </c>
      <c r="F1193" t="str">
        <f t="shared" si="181"/>
        <v>stacjonarny</v>
      </c>
      <c r="G1193" s="23">
        <f t="shared" si="188"/>
        <v>422318</v>
      </c>
      <c r="H1193">
        <f t="shared" si="189"/>
        <v>134230</v>
      </c>
      <c r="I1193">
        <f t="shared" si="182"/>
        <v>0</v>
      </c>
      <c r="J1193">
        <f t="shared" si="183"/>
        <v>0</v>
      </c>
      <c r="K1193">
        <f t="shared" si="184"/>
        <v>556548</v>
      </c>
      <c r="L1193">
        <f t="shared" si="185"/>
        <v>0</v>
      </c>
      <c r="M1193">
        <f t="shared" si="186"/>
        <v>917</v>
      </c>
      <c r="N1193">
        <f t="shared" si="187"/>
        <v>0</v>
      </c>
    </row>
    <row r="1194" spans="1:14" x14ac:dyDescent="0.35">
      <c r="A1194" s="5">
        <v>2419247</v>
      </c>
      <c r="B1194" s="6">
        <v>42934</v>
      </c>
      <c r="C1194" s="7">
        <v>0.54686342592592596</v>
      </c>
      <c r="D1194" s="8">
        <v>0.54782407407407407</v>
      </c>
      <c r="E1194" s="20">
        <f t="shared" si="180"/>
        <v>9.6064814814811328E-4</v>
      </c>
      <c r="F1194" t="str">
        <f t="shared" si="181"/>
        <v>stacjonarny</v>
      </c>
      <c r="G1194" s="23">
        <f t="shared" si="188"/>
        <v>422401</v>
      </c>
      <c r="H1194">
        <f t="shared" si="189"/>
        <v>134230</v>
      </c>
      <c r="I1194">
        <f t="shared" si="182"/>
        <v>0</v>
      </c>
      <c r="J1194">
        <f t="shared" si="183"/>
        <v>0</v>
      </c>
      <c r="K1194">
        <f t="shared" si="184"/>
        <v>556631</v>
      </c>
      <c r="L1194">
        <f t="shared" si="185"/>
        <v>0</v>
      </c>
      <c r="M1194">
        <f t="shared" si="186"/>
        <v>83</v>
      </c>
      <c r="N1194">
        <f t="shared" si="187"/>
        <v>0</v>
      </c>
    </row>
    <row r="1195" spans="1:14" x14ac:dyDescent="0.35">
      <c r="A1195" s="9">
        <v>5244597</v>
      </c>
      <c r="B1195" s="10">
        <v>42934</v>
      </c>
      <c r="C1195" s="11">
        <v>0.55008101851851854</v>
      </c>
      <c r="D1195" s="12">
        <v>0.55730324074074078</v>
      </c>
      <c r="E1195" s="20">
        <f t="shared" si="180"/>
        <v>7.222222222222241E-3</v>
      </c>
      <c r="F1195" t="str">
        <f t="shared" si="181"/>
        <v>stacjonarny</v>
      </c>
      <c r="G1195" s="23">
        <f t="shared" si="188"/>
        <v>423025</v>
      </c>
      <c r="H1195">
        <f t="shared" si="189"/>
        <v>134230</v>
      </c>
      <c r="I1195">
        <f t="shared" si="182"/>
        <v>0</v>
      </c>
      <c r="J1195">
        <f t="shared" si="183"/>
        <v>0</v>
      </c>
      <c r="K1195">
        <f t="shared" si="184"/>
        <v>557255</v>
      </c>
      <c r="L1195">
        <f t="shared" si="185"/>
        <v>0</v>
      </c>
      <c r="M1195">
        <f t="shared" si="186"/>
        <v>624</v>
      </c>
      <c r="N1195">
        <f t="shared" si="187"/>
        <v>0</v>
      </c>
    </row>
    <row r="1196" spans="1:14" x14ac:dyDescent="0.35">
      <c r="A1196" s="5">
        <v>2005653</v>
      </c>
      <c r="B1196" s="6">
        <v>42934</v>
      </c>
      <c r="C1196" s="7">
        <v>0.55039351851851848</v>
      </c>
      <c r="D1196" s="8">
        <v>0.5572569444444444</v>
      </c>
      <c r="E1196" s="20">
        <f t="shared" si="180"/>
        <v>6.8634259259259256E-3</v>
      </c>
      <c r="F1196" t="str">
        <f t="shared" si="181"/>
        <v>stacjonarny</v>
      </c>
      <c r="G1196" s="23">
        <f t="shared" si="188"/>
        <v>423618</v>
      </c>
      <c r="H1196">
        <f t="shared" si="189"/>
        <v>134230</v>
      </c>
      <c r="I1196">
        <f t="shared" si="182"/>
        <v>0</v>
      </c>
      <c r="J1196">
        <f t="shared" si="183"/>
        <v>0</v>
      </c>
      <c r="K1196">
        <f t="shared" si="184"/>
        <v>557848</v>
      </c>
      <c r="L1196">
        <f t="shared" si="185"/>
        <v>0</v>
      </c>
      <c r="M1196">
        <f t="shared" si="186"/>
        <v>593</v>
      </c>
      <c r="N1196">
        <f t="shared" si="187"/>
        <v>0</v>
      </c>
    </row>
    <row r="1197" spans="1:14" x14ac:dyDescent="0.35">
      <c r="A1197" s="9">
        <v>7203715</v>
      </c>
      <c r="B1197" s="10">
        <v>42934</v>
      </c>
      <c r="C1197" s="11">
        <v>0.55447916666666663</v>
      </c>
      <c r="D1197" s="12">
        <v>0.56332175925925931</v>
      </c>
      <c r="E1197" s="20">
        <f t="shared" si="180"/>
        <v>8.8425925925926796E-3</v>
      </c>
      <c r="F1197" t="str">
        <f t="shared" si="181"/>
        <v>stacjonarny</v>
      </c>
      <c r="G1197" s="23">
        <f t="shared" si="188"/>
        <v>424382</v>
      </c>
      <c r="H1197">
        <f t="shared" si="189"/>
        <v>134230</v>
      </c>
      <c r="I1197">
        <f t="shared" si="182"/>
        <v>0</v>
      </c>
      <c r="J1197">
        <f t="shared" si="183"/>
        <v>0</v>
      </c>
      <c r="K1197">
        <f t="shared" si="184"/>
        <v>558612</v>
      </c>
      <c r="L1197">
        <f t="shared" si="185"/>
        <v>0</v>
      </c>
      <c r="M1197">
        <f t="shared" si="186"/>
        <v>764</v>
      </c>
      <c r="N1197">
        <f t="shared" si="187"/>
        <v>0</v>
      </c>
    </row>
    <row r="1198" spans="1:14" x14ac:dyDescent="0.35">
      <c r="A1198" s="5">
        <v>4520463</v>
      </c>
      <c r="B1198" s="6">
        <v>42934</v>
      </c>
      <c r="C1198" s="7">
        <v>0.55645833333333339</v>
      </c>
      <c r="D1198" s="8">
        <v>0.55648148148148147</v>
      </c>
      <c r="E1198" s="20">
        <f t="shared" si="180"/>
        <v>2.3148148148077752E-5</v>
      </c>
      <c r="F1198" t="str">
        <f t="shared" si="181"/>
        <v>stacjonarny</v>
      </c>
      <c r="G1198" s="23">
        <f t="shared" si="188"/>
        <v>424384</v>
      </c>
      <c r="H1198">
        <f t="shared" si="189"/>
        <v>134230</v>
      </c>
      <c r="I1198">
        <f t="shared" si="182"/>
        <v>0</v>
      </c>
      <c r="J1198">
        <f t="shared" si="183"/>
        <v>0</v>
      </c>
      <c r="K1198">
        <f t="shared" si="184"/>
        <v>558614</v>
      </c>
      <c r="L1198">
        <f t="shared" si="185"/>
        <v>0</v>
      </c>
      <c r="M1198">
        <f t="shared" si="186"/>
        <v>2</v>
      </c>
      <c r="N1198">
        <f t="shared" si="187"/>
        <v>0</v>
      </c>
    </row>
    <row r="1199" spans="1:14" x14ac:dyDescent="0.35">
      <c r="A1199" s="9">
        <v>4454837</v>
      </c>
      <c r="B1199" s="10">
        <v>42934</v>
      </c>
      <c r="C1199" s="11">
        <v>0.5621990740740741</v>
      </c>
      <c r="D1199" s="12">
        <v>0.56353009259259257</v>
      </c>
      <c r="E1199" s="20">
        <f t="shared" si="180"/>
        <v>1.3310185185184675E-3</v>
      </c>
      <c r="F1199" t="str">
        <f t="shared" si="181"/>
        <v>stacjonarny</v>
      </c>
      <c r="G1199" s="23">
        <f t="shared" si="188"/>
        <v>424499</v>
      </c>
      <c r="H1199">
        <f t="shared" si="189"/>
        <v>134230</v>
      </c>
      <c r="I1199">
        <f t="shared" si="182"/>
        <v>0</v>
      </c>
      <c r="J1199">
        <f t="shared" si="183"/>
        <v>0</v>
      </c>
      <c r="K1199">
        <f t="shared" si="184"/>
        <v>558729</v>
      </c>
      <c r="L1199">
        <f t="shared" si="185"/>
        <v>0</v>
      </c>
      <c r="M1199">
        <f t="shared" si="186"/>
        <v>115</v>
      </c>
      <c r="N1199">
        <f t="shared" si="187"/>
        <v>0</v>
      </c>
    </row>
    <row r="1200" spans="1:14" x14ac:dyDescent="0.35">
      <c r="A1200" s="5">
        <v>6999348</v>
      </c>
      <c r="B1200" s="6">
        <v>42934</v>
      </c>
      <c r="C1200" s="7">
        <v>0.56714120370370369</v>
      </c>
      <c r="D1200" s="8">
        <v>0.56869212962962967</v>
      </c>
      <c r="E1200" s="20">
        <f t="shared" si="180"/>
        <v>1.5509259259259833E-3</v>
      </c>
      <c r="F1200" t="str">
        <f t="shared" si="181"/>
        <v>stacjonarny</v>
      </c>
      <c r="G1200" s="23">
        <f t="shared" si="188"/>
        <v>424633</v>
      </c>
      <c r="H1200">
        <f t="shared" si="189"/>
        <v>134230</v>
      </c>
      <c r="I1200">
        <f t="shared" si="182"/>
        <v>0</v>
      </c>
      <c r="J1200">
        <f t="shared" si="183"/>
        <v>0</v>
      </c>
      <c r="K1200">
        <f t="shared" si="184"/>
        <v>558863</v>
      </c>
      <c r="L1200">
        <f t="shared" si="185"/>
        <v>0</v>
      </c>
      <c r="M1200">
        <f t="shared" si="186"/>
        <v>134</v>
      </c>
      <c r="N1200">
        <f t="shared" si="187"/>
        <v>0</v>
      </c>
    </row>
    <row r="1201" spans="1:14" x14ac:dyDescent="0.35">
      <c r="A1201" s="9">
        <v>90884366</v>
      </c>
      <c r="B1201" s="10">
        <v>42934</v>
      </c>
      <c r="C1201" s="11">
        <v>0.57276620370370368</v>
      </c>
      <c r="D1201" s="12">
        <v>0.57995370370370369</v>
      </c>
      <c r="E1201" s="20">
        <f t="shared" si="180"/>
        <v>7.1875000000000133E-3</v>
      </c>
      <c r="F1201" t="str">
        <f t="shared" si="181"/>
        <v>komorkowy</v>
      </c>
      <c r="G1201" s="23">
        <f t="shared" si="188"/>
        <v>424633</v>
      </c>
      <c r="H1201">
        <f t="shared" si="189"/>
        <v>134851</v>
      </c>
      <c r="I1201">
        <f t="shared" si="182"/>
        <v>0</v>
      </c>
      <c r="J1201">
        <f t="shared" si="183"/>
        <v>0</v>
      </c>
      <c r="K1201">
        <f t="shared" si="184"/>
        <v>559484</v>
      </c>
      <c r="L1201">
        <f t="shared" si="185"/>
        <v>0</v>
      </c>
      <c r="M1201">
        <f t="shared" si="186"/>
        <v>0</v>
      </c>
      <c r="N1201">
        <f t="shared" si="187"/>
        <v>621</v>
      </c>
    </row>
    <row r="1202" spans="1:14" x14ac:dyDescent="0.35">
      <c r="A1202" s="5">
        <v>3121640</v>
      </c>
      <c r="B1202" s="6">
        <v>42934</v>
      </c>
      <c r="C1202" s="7">
        <v>0.57841435185185186</v>
      </c>
      <c r="D1202" s="8">
        <v>0.58364583333333331</v>
      </c>
      <c r="E1202" s="20">
        <f t="shared" si="180"/>
        <v>5.2314814814814481E-3</v>
      </c>
      <c r="F1202" t="str">
        <f t="shared" si="181"/>
        <v>stacjonarny</v>
      </c>
      <c r="G1202" s="23">
        <f t="shared" si="188"/>
        <v>425085</v>
      </c>
      <c r="H1202">
        <f t="shared" si="189"/>
        <v>134851</v>
      </c>
      <c r="I1202">
        <f t="shared" si="182"/>
        <v>0</v>
      </c>
      <c r="J1202">
        <f t="shared" si="183"/>
        <v>0</v>
      </c>
      <c r="K1202">
        <f t="shared" si="184"/>
        <v>559936</v>
      </c>
      <c r="L1202">
        <f t="shared" si="185"/>
        <v>0</v>
      </c>
      <c r="M1202">
        <f t="shared" si="186"/>
        <v>452</v>
      </c>
      <c r="N1202">
        <f t="shared" si="187"/>
        <v>0</v>
      </c>
    </row>
    <row r="1203" spans="1:14" x14ac:dyDescent="0.35">
      <c r="A1203" s="9">
        <v>5912710</v>
      </c>
      <c r="B1203" s="10">
        <v>42934</v>
      </c>
      <c r="C1203" s="11">
        <v>0.57988425925925924</v>
      </c>
      <c r="D1203" s="12">
        <v>0.58928240740740745</v>
      </c>
      <c r="E1203" s="20">
        <f t="shared" si="180"/>
        <v>9.398148148148211E-3</v>
      </c>
      <c r="F1203" t="str">
        <f t="shared" si="181"/>
        <v>stacjonarny</v>
      </c>
      <c r="G1203" s="23">
        <f t="shared" si="188"/>
        <v>425897</v>
      </c>
      <c r="H1203">
        <f t="shared" si="189"/>
        <v>134851</v>
      </c>
      <c r="I1203">
        <f t="shared" si="182"/>
        <v>0</v>
      </c>
      <c r="J1203">
        <f t="shared" si="183"/>
        <v>0</v>
      </c>
      <c r="K1203">
        <f t="shared" si="184"/>
        <v>560748</v>
      </c>
      <c r="L1203">
        <f t="shared" si="185"/>
        <v>0</v>
      </c>
      <c r="M1203">
        <f t="shared" si="186"/>
        <v>812</v>
      </c>
      <c r="N1203">
        <f t="shared" si="187"/>
        <v>0</v>
      </c>
    </row>
    <row r="1204" spans="1:14" x14ac:dyDescent="0.35">
      <c r="A1204" s="5">
        <v>7118082</v>
      </c>
      <c r="B1204" s="6">
        <v>42934</v>
      </c>
      <c r="C1204" s="7">
        <v>0.58524305555555556</v>
      </c>
      <c r="D1204" s="8">
        <v>0.591400462962963</v>
      </c>
      <c r="E1204" s="20">
        <f t="shared" si="180"/>
        <v>6.1574074074074447E-3</v>
      </c>
      <c r="F1204" t="str">
        <f t="shared" si="181"/>
        <v>stacjonarny</v>
      </c>
      <c r="G1204" s="23">
        <f t="shared" si="188"/>
        <v>426429</v>
      </c>
      <c r="H1204">
        <f t="shared" si="189"/>
        <v>134851</v>
      </c>
      <c r="I1204">
        <f t="shared" si="182"/>
        <v>0</v>
      </c>
      <c r="J1204">
        <f t="shared" si="183"/>
        <v>0</v>
      </c>
      <c r="K1204">
        <f t="shared" si="184"/>
        <v>561280</v>
      </c>
      <c r="L1204">
        <f t="shared" si="185"/>
        <v>0</v>
      </c>
      <c r="M1204">
        <f t="shared" si="186"/>
        <v>532</v>
      </c>
      <c r="N1204">
        <f t="shared" si="187"/>
        <v>0</v>
      </c>
    </row>
    <row r="1205" spans="1:14" x14ac:dyDescent="0.35">
      <c r="A1205" s="9">
        <v>9100303</v>
      </c>
      <c r="B1205" s="10">
        <v>42934</v>
      </c>
      <c r="C1205" s="11">
        <v>0.58543981481481477</v>
      </c>
      <c r="D1205" s="12">
        <v>0.58929398148148149</v>
      </c>
      <c r="E1205" s="20">
        <f t="shared" si="180"/>
        <v>3.854166666666714E-3</v>
      </c>
      <c r="F1205" t="str">
        <f t="shared" si="181"/>
        <v>stacjonarny</v>
      </c>
      <c r="G1205" s="23">
        <f t="shared" si="188"/>
        <v>426762</v>
      </c>
      <c r="H1205">
        <f t="shared" si="189"/>
        <v>134851</v>
      </c>
      <c r="I1205">
        <f t="shared" si="182"/>
        <v>0</v>
      </c>
      <c r="J1205">
        <f t="shared" si="183"/>
        <v>0</v>
      </c>
      <c r="K1205">
        <f t="shared" si="184"/>
        <v>561613</v>
      </c>
      <c r="L1205">
        <f t="shared" si="185"/>
        <v>0</v>
      </c>
      <c r="M1205">
        <f t="shared" si="186"/>
        <v>333</v>
      </c>
      <c r="N1205">
        <f t="shared" si="187"/>
        <v>0</v>
      </c>
    </row>
    <row r="1206" spans="1:14" x14ac:dyDescent="0.35">
      <c r="A1206" s="5">
        <v>25581178</v>
      </c>
      <c r="B1206" s="6">
        <v>42934</v>
      </c>
      <c r="C1206" s="7">
        <v>0.58942129629629625</v>
      </c>
      <c r="D1206" s="8">
        <v>0.59734953703703708</v>
      </c>
      <c r="E1206" s="20">
        <f t="shared" si="180"/>
        <v>7.9282407407408328E-3</v>
      </c>
      <c r="F1206" t="str">
        <f t="shared" si="181"/>
        <v>komorkowy</v>
      </c>
      <c r="G1206" s="23">
        <f t="shared" si="188"/>
        <v>426762</v>
      </c>
      <c r="H1206">
        <f t="shared" si="189"/>
        <v>135536</v>
      </c>
      <c r="I1206">
        <f t="shared" si="182"/>
        <v>0</v>
      </c>
      <c r="J1206">
        <f t="shared" si="183"/>
        <v>0</v>
      </c>
      <c r="K1206">
        <f t="shared" si="184"/>
        <v>562298</v>
      </c>
      <c r="L1206">
        <f t="shared" si="185"/>
        <v>0</v>
      </c>
      <c r="M1206">
        <f t="shared" si="186"/>
        <v>0</v>
      </c>
      <c r="N1206">
        <f t="shared" si="187"/>
        <v>685</v>
      </c>
    </row>
    <row r="1207" spans="1:14" x14ac:dyDescent="0.35">
      <c r="A1207" s="9">
        <v>78976022</v>
      </c>
      <c r="B1207" s="10">
        <v>42934</v>
      </c>
      <c r="C1207" s="11">
        <v>0.59495370370370371</v>
      </c>
      <c r="D1207" s="12">
        <v>0.5965625</v>
      </c>
      <c r="E1207" s="20">
        <f t="shared" si="180"/>
        <v>1.6087962962962887E-3</v>
      </c>
      <c r="F1207" t="str">
        <f t="shared" si="181"/>
        <v>komorkowy</v>
      </c>
      <c r="G1207" s="23">
        <f t="shared" si="188"/>
        <v>426762</v>
      </c>
      <c r="H1207">
        <f t="shared" si="189"/>
        <v>135675</v>
      </c>
      <c r="I1207">
        <f t="shared" si="182"/>
        <v>0</v>
      </c>
      <c r="J1207">
        <f t="shared" si="183"/>
        <v>0</v>
      </c>
      <c r="K1207">
        <f t="shared" si="184"/>
        <v>562437</v>
      </c>
      <c r="L1207">
        <f t="shared" si="185"/>
        <v>0</v>
      </c>
      <c r="M1207">
        <f t="shared" si="186"/>
        <v>0</v>
      </c>
      <c r="N1207">
        <f t="shared" si="187"/>
        <v>139</v>
      </c>
    </row>
    <row r="1208" spans="1:14" x14ac:dyDescent="0.35">
      <c r="A1208" s="5">
        <v>7781904</v>
      </c>
      <c r="B1208" s="6">
        <v>42934</v>
      </c>
      <c r="C1208" s="7">
        <v>0.59964120370370366</v>
      </c>
      <c r="D1208" s="8">
        <v>0.60444444444444445</v>
      </c>
      <c r="E1208" s="20">
        <f t="shared" si="180"/>
        <v>4.8032407407407884E-3</v>
      </c>
      <c r="F1208" t="str">
        <f t="shared" si="181"/>
        <v>stacjonarny</v>
      </c>
      <c r="G1208" s="23">
        <f t="shared" si="188"/>
        <v>427177</v>
      </c>
      <c r="H1208">
        <f t="shared" si="189"/>
        <v>135675</v>
      </c>
      <c r="I1208">
        <f t="shared" si="182"/>
        <v>0</v>
      </c>
      <c r="J1208">
        <f t="shared" si="183"/>
        <v>0</v>
      </c>
      <c r="K1208">
        <f t="shared" si="184"/>
        <v>562852</v>
      </c>
      <c r="L1208">
        <f t="shared" si="185"/>
        <v>0</v>
      </c>
      <c r="M1208">
        <f t="shared" si="186"/>
        <v>415</v>
      </c>
      <c r="N1208">
        <f t="shared" si="187"/>
        <v>0</v>
      </c>
    </row>
    <row r="1209" spans="1:14" x14ac:dyDescent="0.35">
      <c r="A1209" s="9">
        <v>7473804</v>
      </c>
      <c r="B1209" s="10">
        <v>42934</v>
      </c>
      <c r="C1209" s="11">
        <v>0.60268518518518521</v>
      </c>
      <c r="D1209" s="12">
        <v>0.60929398148148151</v>
      </c>
      <c r="E1209" s="20">
        <f t="shared" si="180"/>
        <v>6.6087962962962932E-3</v>
      </c>
      <c r="F1209" t="str">
        <f t="shared" si="181"/>
        <v>stacjonarny</v>
      </c>
      <c r="G1209" s="23">
        <f t="shared" si="188"/>
        <v>427748</v>
      </c>
      <c r="H1209">
        <f t="shared" si="189"/>
        <v>135675</v>
      </c>
      <c r="I1209">
        <f t="shared" si="182"/>
        <v>0</v>
      </c>
      <c r="J1209">
        <f t="shared" si="183"/>
        <v>0</v>
      </c>
      <c r="K1209">
        <f t="shared" si="184"/>
        <v>563423</v>
      </c>
      <c r="L1209">
        <f t="shared" si="185"/>
        <v>0</v>
      </c>
      <c r="M1209">
        <f t="shared" si="186"/>
        <v>571</v>
      </c>
      <c r="N1209">
        <f t="shared" si="187"/>
        <v>0</v>
      </c>
    </row>
    <row r="1210" spans="1:14" x14ac:dyDescent="0.35">
      <c r="A1210" s="5">
        <v>8474693946</v>
      </c>
      <c r="B1210" s="6">
        <v>42934</v>
      </c>
      <c r="C1210" s="7">
        <v>0.60423611111111108</v>
      </c>
      <c r="D1210" s="8">
        <v>0.61535879629629631</v>
      </c>
      <c r="E1210" s="20">
        <f t="shared" si="180"/>
        <v>1.1122685185185222E-2</v>
      </c>
      <c r="F1210" t="str">
        <f t="shared" si="181"/>
        <v>zagraniczny</v>
      </c>
      <c r="G1210" s="23">
        <f t="shared" si="188"/>
        <v>427748</v>
      </c>
      <c r="H1210">
        <f t="shared" si="189"/>
        <v>135675</v>
      </c>
      <c r="I1210">
        <f t="shared" si="182"/>
        <v>961</v>
      </c>
      <c r="J1210">
        <f t="shared" si="183"/>
        <v>17</v>
      </c>
      <c r="K1210">
        <f t="shared" si="184"/>
        <v>563423</v>
      </c>
      <c r="L1210">
        <f t="shared" si="185"/>
        <v>0</v>
      </c>
      <c r="M1210">
        <f t="shared" si="186"/>
        <v>0</v>
      </c>
      <c r="N1210">
        <f t="shared" si="187"/>
        <v>0</v>
      </c>
    </row>
    <row r="1211" spans="1:14" x14ac:dyDescent="0.35">
      <c r="A1211" s="9">
        <v>8984769</v>
      </c>
      <c r="B1211" s="10">
        <v>42934</v>
      </c>
      <c r="C1211" s="11">
        <v>0.60932870370370373</v>
      </c>
      <c r="D1211" s="12">
        <v>0.61124999999999996</v>
      </c>
      <c r="E1211" s="20">
        <f t="shared" si="180"/>
        <v>1.9212962962962266E-3</v>
      </c>
      <c r="F1211" t="str">
        <f t="shared" si="181"/>
        <v>stacjonarny</v>
      </c>
      <c r="G1211" s="23">
        <f t="shared" si="188"/>
        <v>427914</v>
      </c>
      <c r="H1211">
        <f t="shared" si="189"/>
        <v>135675</v>
      </c>
      <c r="I1211">
        <f t="shared" si="182"/>
        <v>0</v>
      </c>
      <c r="J1211">
        <f t="shared" si="183"/>
        <v>0</v>
      </c>
      <c r="K1211">
        <f t="shared" si="184"/>
        <v>563589</v>
      </c>
      <c r="L1211">
        <f t="shared" si="185"/>
        <v>0</v>
      </c>
      <c r="M1211">
        <f t="shared" si="186"/>
        <v>166</v>
      </c>
      <c r="N1211">
        <f t="shared" si="187"/>
        <v>0</v>
      </c>
    </row>
    <row r="1212" spans="1:14" x14ac:dyDescent="0.35">
      <c r="A1212" s="5">
        <v>40395856</v>
      </c>
      <c r="B1212" s="6">
        <v>42934</v>
      </c>
      <c r="C1212" s="7">
        <v>0.61365740740740737</v>
      </c>
      <c r="D1212" s="8">
        <v>0.61829861111111106</v>
      </c>
      <c r="E1212" s="20">
        <f t="shared" si="180"/>
        <v>4.6412037037036891E-3</v>
      </c>
      <c r="F1212" t="str">
        <f t="shared" si="181"/>
        <v>komorkowy</v>
      </c>
      <c r="G1212" s="23">
        <f t="shared" si="188"/>
        <v>427914</v>
      </c>
      <c r="H1212">
        <f t="shared" si="189"/>
        <v>136076</v>
      </c>
      <c r="I1212">
        <f t="shared" si="182"/>
        <v>0</v>
      </c>
      <c r="J1212">
        <f t="shared" si="183"/>
        <v>0</v>
      </c>
      <c r="K1212">
        <f t="shared" si="184"/>
        <v>563990</v>
      </c>
      <c r="L1212">
        <f t="shared" si="185"/>
        <v>0</v>
      </c>
      <c r="M1212">
        <f t="shared" si="186"/>
        <v>0</v>
      </c>
      <c r="N1212">
        <f t="shared" si="187"/>
        <v>401</v>
      </c>
    </row>
    <row r="1213" spans="1:14" x14ac:dyDescent="0.35">
      <c r="A1213" s="9">
        <v>9728932</v>
      </c>
      <c r="B1213" s="10">
        <v>42934</v>
      </c>
      <c r="C1213" s="11">
        <v>0.61675925925925923</v>
      </c>
      <c r="D1213" s="12">
        <v>0.61790509259259263</v>
      </c>
      <c r="E1213" s="20">
        <f t="shared" si="180"/>
        <v>1.1458333333334014E-3</v>
      </c>
      <c r="F1213" t="str">
        <f t="shared" si="181"/>
        <v>stacjonarny</v>
      </c>
      <c r="G1213" s="23">
        <f t="shared" si="188"/>
        <v>428013</v>
      </c>
      <c r="H1213">
        <f t="shared" si="189"/>
        <v>136076</v>
      </c>
      <c r="I1213">
        <f t="shared" si="182"/>
        <v>0</v>
      </c>
      <c r="J1213">
        <f t="shared" si="183"/>
        <v>0</v>
      </c>
      <c r="K1213">
        <f t="shared" si="184"/>
        <v>564089</v>
      </c>
      <c r="L1213">
        <f t="shared" si="185"/>
        <v>0</v>
      </c>
      <c r="M1213">
        <f t="shared" si="186"/>
        <v>99</v>
      </c>
      <c r="N1213">
        <f t="shared" si="187"/>
        <v>0</v>
      </c>
    </row>
    <row r="1214" spans="1:14" x14ac:dyDescent="0.35">
      <c r="A1214" s="5">
        <v>8135542</v>
      </c>
      <c r="B1214" s="6">
        <v>42934</v>
      </c>
      <c r="C1214" s="7">
        <v>0.62184027777777773</v>
      </c>
      <c r="D1214" s="8">
        <v>0.63255787037037037</v>
      </c>
      <c r="E1214" s="20">
        <f t="shared" si="180"/>
        <v>1.071759259259264E-2</v>
      </c>
      <c r="F1214" t="str">
        <f t="shared" si="181"/>
        <v>stacjonarny</v>
      </c>
      <c r="G1214" s="23">
        <f t="shared" si="188"/>
        <v>428939</v>
      </c>
      <c r="H1214">
        <f t="shared" si="189"/>
        <v>136076</v>
      </c>
      <c r="I1214">
        <f t="shared" si="182"/>
        <v>0</v>
      </c>
      <c r="J1214">
        <f t="shared" si="183"/>
        <v>0</v>
      </c>
      <c r="K1214">
        <f t="shared" si="184"/>
        <v>565015</v>
      </c>
      <c r="L1214">
        <f t="shared" si="185"/>
        <v>0</v>
      </c>
      <c r="M1214">
        <f t="shared" si="186"/>
        <v>926</v>
      </c>
      <c r="N1214">
        <f t="shared" si="187"/>
        <v>0</v>
      </c>
    </row>
    <row r="1215" spans="1:14" x14ac:dyDescent="0.35">
      <c r="A1215" s="9">
        <v>10093488</v>
      </c>
      <c r="B1215" s="10">
        <v>42934</v>
      </c>
      <c r="C1215" s="11">
        <v>0.62197916666666664</v>
      </c>
      <c r="D1215" s="12">
        <v>0.62238425925925922</v>
      </c>
      <c r="E1215" s="20">
        <f t="shared" si="180"/>
        <v>4.050925925925819E-4</v>
      </c>
      <c r="F1215" t="str">
        <f t="shared" si="181"/>
        <v>komorkowy</v>
      </c>
      <c r="G1215" s="23">
        <f t="shared" si="188"/>
        <v>428939</v>
      </c>
      <c r="H1215">
        <f t="shared" si="189"/>
        <v>136111</v>
      </c>
      <c r="I1215">
        <f t="shared" si="182"/>
        <v>0</v>
      </c>
      <c r="J1215">
        <f t="shared" si="183"/>
        <v>0</v>
      </c>
      <c r="K1215">
        <f t="shared" si="184"/>
        <v>565050</v>
      </c>
      <c r="L1215">
        <f t="shared" si="185"/>
        <v>0</v>
      </c>
      <c r="M1215">
        <f t="shared" si="186"/>
        <v>0</v>
      </c>
      <c r="N1215">
        <f t="shared" si="187"/>
        <v>35</v>
      </c>
    </row>
    <row r="1216" spans="1:14" x14ac:dyDescent="0.35">
      <c r="A1216" s="5">
        <v>4203418</v>
      </c>
      <c r="B1216" s="6">
        <v>42934</v>
      </c>
      <c r="C1216" s="7">
        <v>0.62556712962962968</v>
      </c>
      <c r="D1216" s="8">
        <v>0.63491898148148151</v>
      </c>
      <c r="E1216" s="20">
        <f t="shared" si="180"/>
        <v>9.3518518518518334E-3</v>
      </c>
      <c r="F1216" t="str">
        <f t="shared" si="181"/>
        <v>stacjonarny</v>
      </c>
      <c r="G1216" s="23">
        <f t="shared" si="188"/>
        <v>429747</v>
      </c>
      <c r="H1216">
        <f t="shared" si="189"/>
        <v>136111</v>
      </c>
      <c r="I1216">
        <f t="shared" si="182"/>
        <v>0</v>
      </c>
      <c r="J1216">
        <f t="shared" si="183"/>
        <v>0</v>
      </c>
      <c r="K1216">
        <f t="shared" si="184"/>
        <v>565858</v>
      </c>
      <c r="L1216">
        <f t="shared" si="185"/>
        <v>0</v>
      </c>
      <c r="M1216">
        <f t="shared" si="186"/>
        <v>808</v>
      </c>
      <c r="N1216">
        <f t="shared" si="187"/>
        <v>0</v>
      </c>
    </row>
    <row r="1217" spans="1:14" x14ac:dyDescent="0.35">
      <c r="A1217" s="9">
        <v>2456290</v>
      </c>
      <c r="B1217" s="10">
        <v>42935</v>
      </c>
      <c r="C1217" s="11">
        <v>0.33592592592592591</v>
      </c>
      <c r="D1217" s="12">
        <v>0.34680555555555553</v>
      </c>
      <c r="E1217" s="20">
        <f t="shared" si="180"/>
        <v>1.0879629629629628E-2</v>
      </c>
      <c r="F1217" t="str">
        <f t="shared" si="181"/>
        <v>stacjonarny</v>
      </c>
      <c r="G1217" s="23">
        <f t="shared" si="188"/>
        <v>430687</v>
      </c>
      <c r="H1217">
        <f t="shared" si="189"/>
        <v>136111</v>
      </c>
      <c r="I1217">
        <f t="shared" si="182"/>
        <v>0</v>
      </c>
      <c r="J1217">
        <f t="shared" si="183"/>
        <v>0</v>
      </c>
      <c r="K1217">
        <f t="shared" si="184"/>
        <v>566798</v>
      </c>
      <c r="L1217">
        <f t="shared" si="185"/>
        <v>0</v>
      </c>
      <c r="M1217">
        <f t="shared" si="186"/>
        <v>940</v>
      </c>
      <c r="N1217">
        <f t="shared" si="187"/>
        <v>0</v>
      </c>
    </row>
    <row r="1218" spans="1:14" x14ac:dyDescent="0.35">
      <c r="A1218" s="5">
        <v>27610972</v>
      </c>
      <c r="B1218" s="6">
        <v>42935</v>
      </c>
      <c r="C1218" s="7">
        <v>0.33888888888888891</v>
      </c>
      <c r="D1218" s="8">
        <v>0.3502777777777778</v>
      </c>
      <c r="E1218" s="20">
        <f t="shared" si="180"/>
        <v>1.1388888888888893E-2</v>
      </c>
      <c r="F1218" t="str">
        <f t="shared" si="181"/>
        <v>komorkowy</v>
      </c>
      <c r="G1218" s="23">
        <f t="shared" si="188"/>
        <v>430687</v>
      </c>
      <c r="H1218">
        <f t="shared" si="189"/>
        <v>137095</v>
      </c>
      <c r="I1218">
        <f t="shared" si="182"/>
        <v>0</v>
      </c>
      <c r="J1218">
        <f t="shared" si="183"/>
        <v>0</v>
      </c>
      <c r="K1218">
        <f t="shared" si="184"/>
        <v>567782</v>
      </c>
      <c r="L1218">
        <f t="shared" si="185"/>
        <v>0</v>
      </c>
      <c r="M1218">
        <f t="shared" si="186"/>
        <v>0</v>
      </c>
      <c r="N1218">
        <f t="shared" si="187"/>
        <v>984</v>
      </c>
    </row>
    <row r="1219" spans="1:14" x14ac:dyDescent="0.35">
      <c r="A1219" s="9">
        <v>3073815</v>
      </c>
      <c r="B1219" s="10">
        <v>42935</v>
      </c>
      <c r="C1219" s="11">
        <v>0.34309027777777779</v>
      </c>
      <c r="D1219" s="12">
        <v>0.34798611111111111</v>
      </c>
      <c r="E1219" s="20">
        <f t="shared" ref="E1219:E1282" si="190">D1219-C1219</f>
        <v>4.8958333333333215E-3</v>
      </c>
      <c r="F1219" t="str">
        <f t="shared" ref="F1219:F1282" si="191">IF(LEN(A1219)=7,"stacjonarny",IF(LEN(A1219)=8,"komorkowy","zagraniczny"))</f>
        <v>stacjonarny</v>
      </c>
      <c r="G1219" s="23">
        <f t="shared" si="188"/>
        <v>431110</v>
      </c>
      <c r="H1219">
        <f t="shared" si="189"/>
        <v>137095</v>
      </c>
      <c r="I1219">
        <f t="shared" ref="I1219:I1282" si="192">IF(F1219="zagraniczny",MINUTE(E1219)*60+SECOND(E1219)+HOUR(E1219)*3600,0)</f>
        <v>0</v>
      </c>
      <c r="J1219">
        <f t="shared" ref="J1219:J1282" si="193">ROUNDUP(I1219/60,0)</f>
        <v>0</v>
      </c>
      <c r="K1219">
        <f t="shared" ref="K1219:K1282" si="194">G1219+H1219</f>
        <v>568205</v>
      </c>
      <c r="L1219">
        <f t="shared" ref="L1219:L1282" si="195">IF(K1219&lt;=48000,1,0)</f>
        <v>0</v>
      </c>
      <c r="M1219">
        <f t="shared" ref="M1219:M1282" si="196">IF(AND(L1219=0,F1219="stacjonarny"),SECOND(E1219)+60*MINUTE(E1219),0)</f>
        <v>423</v>
      </c>
      <c r="N1219">
        <f t="shared" ref="N1219:N1282" si="197">IF(AND(L1219=0,F1219="komorkowy"),SECOND(E1219)+60*MINUTE(E1219),0)</f>
        <v>0</v>
      </c>
    </row>
    <row r="1220" spans="1:14" x14ac:dyDescent="0.35">
      <c r="A1220" s="5">
        <v>9776810</v>
      </c>
      <c r="B1220" s="6">
        <v>42935</v>
      </c>
      <c r="C1220" s="7">
        <v>0.34704861111111113</v>
      </c>
      <c r="D1220" s="8">
        <v>0.35386574074074073</v>
      </c>
      <c r="E1220" s="20">
        <f t="shared" si="190"/>
        <v>6.8171296296296036E-3</v>
      </c>
      <c r="F1220" t="str">
        <f t="shared" si="191"/>
        <v>stacjonarny</v>
      </c>
      <c r="G1220" s="23">
        <f t="shared" ref="G1220:G1283" si="198">IF(F1220="stacjonarny",MINUTE(E1220)*60+SECOND(E1220)+G1219,G1219)</f>
        <v>431699</v>
      </c>
      <c r="H1220">
        <f t="shared" ref="H1220:H1283" si="199">IF(F1220="komorkowy",MINUTE(E1220)*60+SECOND(E1220)+H1219,H1219)</f>
        <v>137095</v>
      </c>
      <c r="I1220">
        <f t="shared" si="192"/>
        <v>0</v>
      </c>
      <c r="J1220">
        <f t="shared" si="193"/>
        <v>0</v>
      </c>
      <c r="K1220">
        <f t="shared" si="194"/>
        <v>568794</v>
      </c>
      <c r="L1220">
        <f t="shared" si="195"/>
        <v>0</v>
      </c>
      <c r="M1220">
        <f t="shared" si="196"/>
        <v>589</v>
      </c>
      <c r="N1220">
        <f t="shared" si="197"/>
        <v>0</v>
      </c>
    </row>
    <row r="1221" spans="1:14" x14ac:dyDescent="0.35">
      <c r="A1221" s="9">
        <v>6763741</v>
      </c>
      <c r="B1221" s="10">
        <v>42935</v>
      </c>
      <c r="C1221" s="11">
        <v>0.35040509259259262</v>
      </c>
      <c r="D1221" s="12">
        <v>0.35600694444444442</v>
      </c>
      <c r="E1221" s="20">
        <f t="shared" si="190"/>
        <v>5.6018518518518023E-3</v>
      </c>
      <c r="F1221" t="str">
        <f t="shared" si="191"/>
        <v>stacjonarny</v>
      </c>
      <c r="G1221" s="23">
        <f t="shared" si="198"/>
        <v>432183</v>
      </c>
      <c r="H1221">
        <f t="shared" si="199"/>
        <v>137095</v>
      </c>
      <c r="I1221">
        <f t="shared" si="192"/>
        <v>0</v>
      </c>
      <c r="J1221">
        <f t="shared" si="193"/>
        <v>0</v>
      </c>
      <c r="K1221">
        <f t="shared" si="194"/>
        <v>569278</v>
      </c>
      <c r="L1221">
        <f t="shared" si="195"/>
        <v>0</v>
      </c>
      <c r="M1221">
        <f t="shared" si="196"/>
        <v>484</v>
      </c>
      <c r="N1221">
        <f t="shared" si="197"/>
        <v>0</v>
      </c>
    </row>
    <row r="1222" spans="1:14" x14ac:dyDescent="0.35">
      <c r="A1222" s="5">
        <v>2309436</v>
      </c>
      <c r="B1222" s="6">
        <v>42935</v>
      </c>
      <c r="C1222" s="7">
        <v>0.35304398148148147</v>
      </c>
      <c r="D1222" s="8">
        <v>0.35793981481481479</v>
      </c>
      <c r="E1222" s="20">
        <f t="shared" si="190"/>
        <v>4.8958333333333215E-3</v>
      </c>
      <c r="F1222" t="str">
        <f t="shared" si="191"/>
        <v>stacjonarny</v>
      </c>
      <c r="G1222" s="23">
        <f t="shared" si="198"/>
        <v>432606</v>
      </c>
      <c r="H1222">
        <f t="shared" si="199"/>
        <v>137095</v>
      </c>
      <c r="I1222">
        <f t="shared" si="192"/>
        <v>0</v>
      </c>
      <c r="J1222">
        <f t="shared" si="193"/>
        <v>0</v>
      </c>
      <c r="K1222">
        <f t="shared" si="194"/>
        <v>569701</v>
      </c>
      <c r="L1222">
        <f t="shared" si="195"/>
        <v>0</v>
      </c>
      <c r="M1222">
        <f t="shared" si="196"/>
        <v>423</v>
      </c>
      <c r="N1222">
        <f t="shared" si="197"/>
        <v>0</v>
      </c>
    </row>
    <row r="1223" spans="1:14" x14ac:dyDescent="0.35">
      <c r="A1223" s="9">
        <v>3131883</v>
      </c>
      <c r="B1223" s="10">
        <v>42935</v>
      </c>
      <c r="C1223" s="11">
        <v>0.35712962962962963</v>
      </c>
      <c r="D1223" s="12">
        <v>0.36243055555555553</v>
      </c>
      <c r="E1223" s="20">
        <f t="shared" si="190"/>
        <v>5.3009259259259034E-3</v>
      </c>
      <c r="F1223" t="str">
        <f t="shared" si="191"/>
        <v>stacjonarny</v>
      </c>
      <c r="G1223" s="23">
        <f t="shared" si="198"/>
        <v>433064</v>
      </c>
      <c r="H1223">
        <f t="shared" si="199"/>
        <v>137095</v>
      </c>
      <c r="I1223">
        <f t="shared" si="192"/>
        <v>0</v>
      </c>
      <c r="J1223">
        <f t="shared" si="193"/>
        <v>0</v>
      </c>
      <c r="K1223">
        <f t="shared" si="194"/>
        <v>570159</v>
      </c>
      <c r="L1223">
        <f t="shared" si="195"/>
        <v>0</v>
      </c>
      <c r="M1223">
        <f t="shared" si="196"/>
        <v>458</v>
      </c>
      <c r="N1223">
        <f t="shared" si="197"/>
        <v>0</v>
      </c>
    </row>
    <row r="1224" spans="1:14" x14ac:dyDescent="0.35">
      <c r="A1224" s="5">
        <v>69001821</v>
      </c>
      <c r="B1224" s="6">
        <v>42935</v>
      </c>
      <c r="C1224" s="7">
        <v>0.35835648148148147</v>
      </c>
      <c r="D1224" s="8">
        <v>0.36712962962962964</v>
      </c>
      <c r="E1224" s="20">
        <f t="shared" si="190"/>
        <v>8.7731481481481688E-3</v>
      </c>
      <c r="F1224" t="str">
        <f t="shared" si="191"/>
        <v>komorkowy</v>
      </c>
      <c r="G1224" s="23">
        <f t="shared" si="198"/>
        <v>433064</v>
      </c>
      <c r="H1224">
        <f t="shared" si="199"/>
        <v>137853</v>
      </c>
      <c r="I1224">
        <f t="shared" si="192"/>
        <v>0</v>
      </c>
      <c r="J1224">
        <f t="shared" si="193"/>
        <v>0</v>
      </c>
      <c r="K1224">
        <f t="shared" si="194"/>
        <v>570917</v>
      </c>
      <c r="L1224">
        <f t="shared" si="195"/>
        <v>0</v>
      </c>
      <c r="M1224">
        <f t="shared" si="196"/>
        <v>0</v>
      </c>
      <c r="N1224">
        <f t="shared" si="197"/>
        <v>758</v>
      </c>
    </row>
    <row r="1225" spans="1:14" x14ac:dyDescent="0.35">
      <c r="A1225" s="9">
        <v>2150051</v>
      </c>
      <c r="B1225" s="10">
        <v>42935</v>
      </c>
      <c r="C1225" s="11">
        <v>0.36310185185185184</v>
      </c>
      <c r="D1225" s="12">
        <v>0.36723379629629632</v>
      </c>
      <c r="E1225" s="20">
        <f t="shared" si="190"/>
        <v>4.1319444444444797E-3</v>
      </c>
      <c r="F1225" t="str">
        <f t="shared" si="191"/>
        <v>stacjonarny</v>
      </c>
      <c r="G1225" s="23">
        <f t="shared" si="198"/>
        <v>433421</v>
      </c>
      <c r="H1225">
        <f t="shared" si="199"/>
        <v>137853</v>
      </c>
      <c r="I1225">
        <f t="shared" si="192"/>
        <v>0</v>
      </c>
      <c r="J1225">
        <f t="shared" si="193"/>
        <v>0</v>
      </c>
      <c r="K1225">
        <f t="shared" si="194"/>
        <v>571274</v>
      </c>
      <c r="L1225">
        <f t="shared" si="195"/>
        <v>0</v>
      </c>
      <c r="M1225">
        <f t="shared" si="196"/>
        <v>357</v>
      </c>
      <c r="N1225">
        <f t="shared" si="197"/>
        <v>0</v>
      </c>
    </row>
    <row r="1226" spans="1:14" x14ac:dyDescent="0.35">
      <c r="A1226" s="5">
        <v>9967523741</v>
      </c>
      <c r="B1226" s="6">
        <v>42935</v>
      </c>
      <c r="C1226" s="7">
        <v>0.36886574074074074</v>
      </c>
      <c r="D1226" s="8">
        <v>0.37324074074074076</v>
      </c>
      <c r="E1226" s="20">
        <f t="shared" si="190"/>
        <v>4.3750000000000178E-3</v>
      </c>
      <c r="F1226" t="str">
        <f t="shared" si="191"/>
        <v>zagraniczny</v>
      </c>
      <c r="G1226" s="23">
        <f t="shared" si="198"/>
        <v>433421</v>
      </c>
      <c r="H1226">
        <f t="shared" si="199"/>
        <v>137853</v>
      </c>
      <c r="I1226">
        <f t="shared" si="192"/>
        <v>378</v>
      </c>
      <c r="J1226">
        <f t="shared" si="193"/>
        <v>7</v>
      </c>
      <c r="K1226">
        <f t="shared" si="194"/>
        <v>571274</v>
      </c>
      <c r="L1226">
        <f t="shared" si="195"/>
        <v>0</v>
      </c>
      <c r="M1226">
        <f t="shared" si="196"/>
        <v>0</v>
      </c>
      <c r="N1226">
        <f t="shared" si="197"/>
        <v>0</v>
      </c>
    </row>
    <row r="1227" spans="1:14" x14ac:dyDescent="0.35">
      <c r="A1227" s="9">
        <v>23300236</v>
      </c>
      <c r="B1227" s="10">
        <v>42935</v>
      </c>
      <c r="C1227" s="11">
        <v>0.37094907407407407</v>
      </c>
      <c r="D1227" s="12">
        <v>0.37517361111111114</v>
      </c>
      <c r="E1227" s="20">
        <f t="shared" si="190"/>
        <v>4.2245370370370683E-3</v>
      </c>
      <c r="F1227" t="str">
        <f t="shared" si="191"/>
        <v>komorkowy</v>
      </c>
      <c r="G1227" s="23">
        <f t="shared" si="198"/>
        <v>433421</v>
      </c>
      <c r="H1227">
        <f t="shared" si="199"/>
        <v>138218</v>
      </c>
      <c r="I1227">
        <f t="shared" si="192"/>
        <v>0</v>
      </c>
      <c r="J1227">
        <f t="shared" si="193"/>
        <v>0</v>
      </c>
      <c r="K1227">
        <f t="shared" si="194"/>
        <v>571639</v>
      </c>
      <c r="L1227">
        <f t="shared" si="195"/>
        <v>0</v>
      </c>
      <c r="M1227">
        <f t="shared" si="196"/>
        <v>0</v>
      </c>
      <c r="N1227">
        <f t="shared" si="197"/>
        <v>365</v>
      </c>
    </row>
    <row r="1228" spans="1:14" x14ac:dyDescent="0.35">
      <c r="A1228" s="5">
        <v>4714815</v>
      </c>
      <c r="B1228" s="6">
        <v>42935</v>
      </c>
      <c r="C1228" s="7">
        <v>0.37484953703703705</v>
      </c>
      <c r="D1228" s="8">
        <v>0.38143518518518521</v>
      </c>
      <c r="E1228" s="20">
        <f t="shared" si="190"/>
        <v>6.5856481481481599E-3</v>
      </c>
      <c r="F1228" t="str">
        <f t="shared" si="191"/>
        <v>stacjonarny</v>
      </c>
      <c r="G1228" s="23">
        <f t="shared" si="198"/>
        <v>433990</v>
      </c>
      <c r="H1228">
        <f t="shared" si="199"/>
        <v>138218</v>
      </c>
      <c r="I1228">
        <f t="shared" si="192"/>
        <v>0</v>
      </c>
      <c r="J1228">
        <f t="shared" si="193"/>
        <v>0</v>
      </c>
      <c r="K1228">
        <f t="shared" si="194"/>
        <v>572208</v>
      </c>
      <c r="L1228">
        <f t="shared" si="195"/>
        <v>0</v>
      </c>
      <c r="M1228">
        <f t="shared" si="196"/>
        <v>569</v>
      </c>
      <c r="N1228">
        <f t="shared" si="197"/>
        <v>0</v>
      </c>
    </row>
    <row r="1229" spans="1:14" x14ac:dyDescent="0.35">
      <c r="A1229" s="9">
        <v>80038636</v>
      </c>
      <c r="B1229" s="10">
        <v>42935</v>
      </c>
      <c r="C1229" s="11">
        <v>0.38028935185185186</v>
      </c>
      <c r="D1229" s="12">
        <v>0.38239583333333332</v>
      </c>
      <c r="E1229" s="20">
        <f t="shared" si="190"/>
        <v>2.1064814814814592E-3</v>
      </c>
      <c r="F1229" t="str">
        <f t="shared" si="191"/>
        <v>komorkowy</v>
      </c>
      <c r="G1229" s="23">
        <f t="shared" si="198"/>
        <v>433990</v>
      </c>
      <c r="H1229">
        <f t="shared" si="199"/>
        <v>138400</v>
      </c>
      <c r="I1229">
        <f t="shared" si="192"/>
        <v>0</v>
      </c>
      <c r="J1229">
        <f t="shared" si="193"/>
        <v>0</v>
      </c>
      <c r="K1229">
        <f t="shared" si="194"/>
        <v>572390</v>
      </c>
      <c r="L1229">
        <f t="shared" si="195"/>
        <v>0</v>
      </c>
      <c r="M1229">
        <f t="shared" si="196"/>
        <v>0</v>
      </c>
      <c r="N1229">
        <f t="shared" si="197"/>
        <v>182</v>
      </c>
    </row>
    <row r="1230" spans="1:14" x14ac:dyDescent="0.35">
      <c r="A1230" s="5">
        <v>47596793</v>
      </c>
      <c r="B1230" s="6">
        <v>42935</v>
      </c>
      <c r="C1230" s="7">
        <v>0.38059027777777776</v>
      </c>
      <c r="D1230" s="8">
        <v>0.38280092592592591</v>
      </c>
      <c r="E1230" s="20">
        <f t="shared" si="190"/>
        <v>2.2106481481481421E-3</v>
      </c>
      <c r="F1230" t="str">
        <f t="shared" si="191"/>
        <v>komorkowy</v>
      </c>
      <c r="G1230" s="23">
        <f t="shared" si="198"/>
        <v>433990</v>
      </c>
      <c r="H1230">
        <f t="shared" si="199"/>
        <v>138591</v>
      </c>
      <c r="I1230">
        <f t="shared" si="192"/>
        <v>0</v>
      </c>
      <c r="J1230">
        <f t="shared" si="193"/>
        <v>0</v>
      </c>
      <c r="K1230">
        <f t="shared" si="194"/>
        <v>572581</v>
      </c>
      <c r="L1230">
        <f t="shared" si="195"/>
        <v>0</v>
      </c>
      <c r="M1230">
        <f t="shared" si="196"/>
        <v>0</v>
      </c>
      <c r="N1230">
        <f t="shared" si="197"/>
        <v>191</v>
      </c>
    </row>
    <row r="1231" spans="1:14" x14ac:dyDescent="0.35">
      <c r="A1231" s="9">
        <v>6574044</v>
      </c>
      <c r="B1231" s="10">
        <v>42935</v>
      </c>
      <c r="C1231" s="11">
        <v>0.38173611111111111</v>
      </c>
      <c r="D1231" s="12">
        <v>0.38915509259259257</v>
      </c>
      <c r="E1231" s="20">
        <f t="shared" si="190"/>
        <v>7.418981481481457E-3</v>
      </c>
      <c r="F1231" t="str">
        <f t="shared" si="191"/>
        <v>stacjonarny</v>
      </c>
      <c r="G1231" s="23">
        <f t="shared" si="198"/>
        <v>434631</v>
      </c>
      <c r="H1231">
        <f t="shared" si="199"/>
        <v>138591</v>
      </c>
      <c r="I1231">
        <f t="shared" si="192"/>
        <v>0</v>
      </c>
      <c r="J1231">
        <f t="shared" si="193"/>
        <v>0</v>
      </c>
      <c r="K1231">
        <f t="shared" si="194"/>
        <v>573222</v>
      </c>
      <c r="L1231">
        <f t="shared" si="195"/>
        <v>0</v>
      </c>
      <c r="M1231">
        <f t="shared" si="196"/>
        <v>641</v>
      </c>
      <c r="N1231">
        <f t="shared" si="197"/>
        <v>0</v>
      </c>
    </row>
    <row r="1232" spans="1:14" x14ac:dyDescent="0.35">
      <c r="A1232" s="5">
        <v>9475290</v>
      </c>
      <c r="B1232" s="6">
        <v>42935</v>
      </c>
      <c r="C1232" s="7">
        <v>0.38512731481481483</v>
      </c>
      <c r="D1232" s="8">
        <v>0.3947222222222222</v>
      </c>
      <c r="E1232" s="20">
        <f t="shared" si="190"/>
        <v>9.5949074074073715E-3</v>
      </c>
      <c r="F1232" t="str">
        <f t="shared" si="191"/>
        <v>stacjonarny</v>
      </c>
      <c r="G1232" s="23">
        <f t="shared" si="198"/>
        <v>435460</v>
      </c>
      <c r="H1232">
        <f t="shared" si="199"/>
        <v>138591</v>
      </c>
      <c r="I1232">
        <f t="shared" si="192"/>
        <v>0</v>
      </c>
      <c r="J1232">
        <f t="shared" si="193"/>
        <v>0</v>
      </c>
      <c r="K1232">
        <f t="shared" si="194"/>
        <v>574051</v>
      </c>
      <c r="L1232">
        <f t="shared" si="195"/>
        <v>0</v>
      </c>
      <c r="M1232">
        <f t="shared" si="196"/>
        <v>829</v>
      </c>
      <c r="N1232">
        <f t="shared" si="197"/>
        <v>0</v>
      </c>
    </row>
    <row r="1233" spans="1:14" x14ac:dyDescent="0.35">
      <c r="A1233" s="9">
        <v>4458725</v>
      </c>
      <c r="B1233" s="10">
        <v>42935</v>
      </c>
      <c r="C1233" s="11">
        <v>0.38533564814814814</v>
      </c>
      <c r="D1233" s="12">
        <v>0.39521990740740742</v>
      </c>
      <c r="E1233" s="20">
        <f t="shared" si="190"/>
        <v>9.8842592592592871E-3</v>
      </c>
      <c r="F1233" t="str">
        <f t="shared" si="191"/>
        <v>stacjonarny</v>
      </c>
      <c r="G1233" s="23">
        <f t="shared" si="198"/>
        <v>436314</v>
      </c>
      <c r="H1233">
        <f t="shared" si="199"/>
        <v>138591</v>
      </c>
      <c r="I1233">
        <f t="shared" si="192"/>
        <v>0</v>
      </c>
      <c r="J1233">
        <f t="shared" si="193"/>
        <v>0</v>
      </c>
      <c r="K1233">
        <f t="shared" si="194"/>
        <v>574905</v>
      </c>
      <c r="L1233">
        <f t="shared" si="195"/>
        <v>0</v>
      </c>
      <c r="M1233">
        <f t="shared" si="196"/>
        <v>854</v>
      </c>
      <c r="N1233">
        <f t="shared" si="197"/>
        <v>0</v>
      </c>
    </row>
    <row r="1234" spans="1:14" x14ac:dyDescent="0.35">
      <c r="A1234" s="5">
        <v>4785864</v>
      </c>
      <c r="B1234" s="6">
        <v>42935</v>
      </c>
      <c r="C1234" s="7">
        <v>0.38833333333333331</v>
      </c>
      <c r="D1234" s="8">
        <v>0.39069444444444446</v>
      </c>
      <c r="E1234" s="20">
        <f t="shared" si="190"/>
        <v>2.3611111111111471E-3</v>
      </c>
      <c r="F1234" t="str">
        <f t="shared" si="191"/>
        <v>stacjonarny</v>
      </c>
      <c r="G1234" s="23">
        <f t="shared" si="198"/>
        <v>436518</v>
      </c>
      <c r="H1234">
        <f t="shared" si="199"/>
        <v>138591</v>
      </c>
      <c r="I1234">
        <f t="shared" si="192"/>
        <v>0</v>
      </c>
      <c r="J1234">
        <f t="shared" si="193"/>
        <v>0</v>
      </c>
      <c r="K1234">
        <f t="shared" si="194"/>
        <v>575109</v>
      </c>
      <c r="L1234">
        <f t="shared" si="195"/>
        <v>0</v>
      </c>
      <c r="M1234">
        <f t="shared" si="196"/>
        <v>204</v>
      </c>
      <c r="N1234">
        <f t="shared" si="197"/>
        <v>0</v>
      </c>
    </row>
    <row r="1235" spans="1:14" x14ac:dyDescent="0.35">
      <c r="A1235" s="9">
        <v>3109039</v>
      </c>
      <c r="B1235" s="10">
        <v>42935</v>
      </c>
      <c r="C1235" s="11">
        <v>0.38979166666666665</v>
      </c>
      <c r="D1235" s="12">
        <v>0.39171296296296299</v>
      </c>
      <c r="E1235" s="20">
        <f t="shared" si="190"/>
        <v>1.9212962962963376E-3</v>
      </c>
      <c r="F1235" t="str">
        <f t="shared" si="191"/>
        <v>stacjonarny</v>
      </c>
      <c r="G1235" s="23">
        <f t="shared" si="198"/>
        <v>436684</v>
      </c>
      <c r="H1235">
        <f t="shared" si="199"/>
        <v>138591</v>
      </c>
      <c r="I1235">
        <f t="shared" si="192"/>
        <v>0</v>
      </c>
      <c r="J1235">
        <f t="shared" si="193"/>
        <v>0</v>
      </c>
      <c r="K1235">
        <f t="shared" si="194"/>
        <v>575275</v>
      </c>
      <c r="L1235">
        <f t="shared" si="195"/>
        <v>0</v>
      </c>
      <c r="M1235">
        <f t="shared" si="196"/>
        <v>166</v>
      </c>
      <c r="N1235">
        <f t="shared" si="197"/>
        <v>0</v>
      </c>
    </row>
    <row r="1236" spans="1:14" x14ac:dyDescent="0.35">
      <c r="A1236" s="5">
        <v>7340326</v>
      </c>
      <c r="B1236" s="6">
        <v>42935</v>
      </c>
      <c r="C1236" s="7">
        <v>0.3898611111111111</v>
      </c>
      <c r="D1236" s="8">
        <v>0.39067129629629632</v>
      </c>
      <c r="E1236" s="20">
        <f t="shared" si="190"/>
        <v>8.1018518518521931E-4</v>
      </c>
      <c r="F1236" t="str">
        <f t="shared" si="191"/>
        <v>stacjonarny</v>
      </c>
      <c r="G1236" s="23">
        <f t="shared" si="198"/>
        <v>436754</v>
      </c>
      <c r="H1236">
        <f t="shared" si="199"/>
        <v>138591</v>
      </c>
      <c r="I1236">
        <f t="shared" si="192"/>
        <v>0</v>
      </c>
      <c r="J1236">
        <f t="shared" si="193"/>
        <v>0</v>
      </c>
      <c r="K1236">
        <f t="shared" si="194"/>
        <v>575345</v>
      </c>
      <c r="L1236">
        <f t="shared" si="195"/>
        <v>0</v>
      </c>
      <c r="M1236">
        <f t="shared" si="196"/>
        <v>70</v>
      </c>
      <c r="N1236">
        <f t="shared" si="197"/>
        <v>0</v>
      </c>
    </row>
    <row r="1237" spans="1:14" x14ac:dyDescent="0.35">
      <c r="A1237" s="9">
        <v>7865428</v>
      </c>
      <c r="B1237" s="10">
        <v>42935</v>
      </c>
      <c r="C1237" s="11">
        <v>0.3941898148148148</v>
      </c>
      <c r="D1237" s="12">
        <v>0.40530092592592593</v>
      </c>
      <c r="E1237" s="20">
        <f t="shared" si="190"/>
        <v>1.1111111111111127E-2</v>
      </c>
      <c r="F1237" t="str">
        <f t="shared" si="191"/>
        <v>stacjonarny</v>
      </c>
      <c r="G1237" s="23">
        <f t="shared" si="198"/>
        <v>437714</v>
      </c>
      <c r="H1237">
        <f t="shared" si="199"/>
        <v>138591</v>
      </c>
      <c r="I1237">
        <f t="shared" si="192"/>
        <v>0</v>
      </c>
      <c r="J1237">
        <f t="shared" si="193"/>
        <v>0</v>
      </c>
      <c r="K1237">
        <f t="shared" si="194"/>
        <v>576305</v>
      </c>
      <c r="L1237">
        <f t="shared" si="195"/>
        <v>0</v>
      </c>
      <c r="M1237">
        <f t="shared" si="196"/>
        <v>960</v>
      </c>
      <c r="N1237">
        <f t="shared" si="197"/>
        <v>0</v>
      </c>
    </row>
    <row r="1238" spans="1:14" x14ac:dyDescent="0.35">
      <c r="A1238" s="5">
        <v>1467591</v>
      </c>
      <c r="B1238" s="6">
        <v>42935</v>
      </c>
      <c r="C1238" s="7">
        <v>0.39607638888888891</v>
      </c>
      <c r="D1238" s="8">
        <v>0.40442129629629631</v>
      </c>
      <c r="E1238" s="20">
        <f t="shared" si="190"/>
        <v>8.3449074074073981E-3</v>
      </c>
      <c r="F1238" t="str">
        <f t="shared" si="191"/>
        <v>stacjonarny</v>
      </c>
      <c r="G1238" s="23">
        <f t="shared" si="198"/>
        <v>438435</v>
      </c>
      <c r="H1238">
        <f t="shared" si="199"/>
        <v>138591</v>
      </c>
      <c r="I1238">
        <f t="shared" si="192"/>
        <v>0</v>
      </c>
      <c r="J1238">
        <f t="shared" si="193"/>
        <v>0</v>
      </c>
      <c r="K1238">
        <f t="shared" si="194"/>
        <v>577026</v>
      </c>
      <c r="L1238">
        <f t="shared" si="195"/>
        <v>0</v>
      </c>
      <c r="M1238">
        <f t="shared" si="196"/>
        <v>721</v>
      </c>
      <c r="N1238">
        <f t="shared" si="197"/>
        <v>0</v>
      </c>
    </row>
    <row r="1239" spans="1:14" x14ac:dyDescent="0.35">
      <c r="A1239" s="9">
        <v>2475157</v>
      </c>
      <c r="B1239" s="10">
        <v>42935</v>
      </c>
      <c r="C1239" s="11">
        <v>0.39937499999999998</v>
      </c>
      <c r="D1239" s="12">
        <v>0.40332175925925928</v>
      </c>
      <c r="E1239" s="20">
        <f t="shared" si="190"/>
        <v>3.9467592592593026E-3</v>
      </c>
      <c r="F1239" t="str">
        <f t="shared" si="191"/>
        <v>stacjonarny</v>
      </c>
      <c r="G1239" s="23">
        <f t="shared" si="198"/>
        <v>438776</v>
      </c>
      <c r="H1239">
        <f t="shared" si="199"/>
        <v>138591</v>
      </c>
      <c r="I1239">
        <f t="shared" si="192"/>
        <v>0</v>
      </c>
      <c r="J1239">
        <f t="shared" si="193"/>
        <v>0</v>
      </c>
      <c r="K1239">
        <f t="shared" si="194"/>
        <v>577367</v>
      </c>
      <c r="L1239">
        <f t="shared" si="195"/>
        <v>0</v>
      </c>
      <c r="M1239">
        <f t="shared" si="196"/>
        <v>341</v>
      </c>
      <c r="N1239">
        <f t="shared" si="197"/>
        <v>0</v>
      </c>
    </row>
    <row r="1240" spans="1:14" x14ac:dyDescent="0.35">
      <c r="A1240" s="5">
        <v>6023049</v>
      </c>
      <c r="B1240" s="6">
        <v>42935</v>
      </c>
      <c r="C1240" s="7">
        <v>0.39959490740740738</v>
      </c>
      <c r="D1240" s="8">
        <v>0.41099537037037037</v>
      </c>
      <c r="E1240" s="20">
        <f t="shared" si="190"/>
        <v>1.1400462962962987E-2</v>
      </c>
      <c r="F1240" t="str">
        <f t="shared" si="191"/>
        <v>stacjonarny</v>
      </c>
      <c r="G1240" s="23">
        <f t="shared" si="198"/>
        <v>439761</v>
      </c>
      <c r="H1240">
        <f t="shared" si="199"/>
        <v>138591</v>
      </c>
      <c r="I1240">
        <f t="shared" si="192"/>
        <v>0</v>
      </c>
      <c r="J1240">
        <f t="shared" si="193"/>
        <v>0</v>
      </c>
      <c r="K1240">
        <f t="shared" si="194"/>
        <v>578352</v>
      </c>
      <c r="L1240">
        <f t="shared" si="195"/>
        <v>0</v>
      </c>
      <c r="M1240">
        <f t="shared" si="196"/>
        <v>985</v>
      </c>
      <c r="N1240">
        <f t="shared" si="197"/>
        <v>0</v>
      </c>
    </row>
    <row r="1241" spans="1:14" x14ac:dyDescent="0.35">
      <c r="A1241" s="9">
        <v>39210366</v>
      </c>
      <c r="B1241" s="10">
        <v>42935</v>
      </c>
      <c r="C1241" s="11">
        <v>0.40234953703703702</v>
      </c>
      <c r="D1241" s="12">
        <v>0.40469907407407407</v>
      </c>
      <c r="E1241" s="20">
        <f t="shared" si="190"/>
        <v>2.3495370370370527E-3</v>
      </c>
      <c r="F1241" t="str">
        <f t="shared" si="191"/>
        <v>komorkowy</v>
      </c>
      <c r="G1241" s="23">
        <f t="shared" si="198"/>
        <v>439761</v>
      </c>
      <c r="H1241">
        <f t="shared" si="199"/>
        <v>138794</v>
      </c>
      <c r="I1241">
        <f t="shared" si="192"/>
        <v>0</v>
      </c>
      <c r="J1241">
        <f t="shared" si="193"/>
        <v>0</v>
      </c>
      <c r="K1241">
        <f t="shared" si="194"/>
        <v>578555</v>
      </c>
      <c r="L1241">
        <f t="shared" si="195"/>
        <v>0</v>
      </c>
      <c r="M1241">
        <f t="shared" si="196"/>
        <v>0</v>
      </c>
      <c r="N1241">
        <f t="shared" si="197"/>
        <v>203</v>
      </c>
    </row>
    <row r="1242" spans="1:14" x14ac:dyDescent="0.35">
      <c r="A1242" s="5">
        <v>90880011</v>
      </c>
      <c r="B1242" s="6">
        <v>42935</v>
      </c>
      <c r="C1242" s="7">
        <v>0.40743055555555557</v>
      </c>
      <c r="D1242" s="8">
        <v>0.41255787037037039</v>
      </c>
      <c r="E1242" s="20">
        <f t="shared" si="190"/>
        <v>5.1273148148148207E-3</v>
      </c>
      <c r="F1242" t="str">
        <f t="shared" si="191"/>
        <v>komorkowy</v>
      </c>
      <c r="G1242" s="23">
        <f t="shared" si="198"/>
        <v>439761</v>
      </c>
      <c r="H1242">
        <f t="shared" si="199"/>
        <v>139237</v>
      </c>
      <c r="I1242">
        <f t="shared" si="192"/>
        <v>0</v>
      </c>
      <c r="J1242">
        <f t="shared" si="193"/>
        <v>0</v>
      </c>
      <c r="K1242">
        <f t="shared" si="194"/>
        <v>578998</v>
      </c>
      <c r="L1242">
        <f t="shared" si="195"/>
        <v>0</v>
      </c>
      <c r="M1242">
        <f t="shared" si="196"/>
        <v>0</v>
      </c>
      <c r="N1242">
        <f t="shared" si="197"/>
        <v>443</v>
      </c>
    </row>
    <row r="1243" spans="1:14" x14ac:dyDescent="0.35">
      <c r="A1243" s="9">
        <v>4469748</v>
      </c>
      <c r="B1243" s="10">
        <v>42935</v>
      </c>
      <c r="C1243" s="11">
        <v>0.41121527777777778</v>
      </c>
      <c r="D1243" s="12">
        <v>0.41483796296296294</v>
      </c>
      <c r="E1243" s="20">
        <f t="shared" si="190"/>
        <v>3.6226851851851594E-3</v>
      </c>
      <c r="F1243" t="str">
        <f t="shared" si="191"/>
        <v>stacjonarny</v>
      </c>
      <c r="G1243" s="23">
        <f t="shared" si="198"/>
        <v>440074</v>
      </c>
      <c r="H1243">
        <f t="shared" si="199"/>
        <v>139237</v>
      </c>
      <c r="I1243">
        <f t="shared" si="192"/>
        <v>0</v>
      </c>
      <c r="J1243">
        <f t="shared" si="193"/>
        <v>0</v>
      </c>
      <c r="K1243">
        <f t="shared" si="194"/>
        <v>579311</v>
      </c>
      <c r="L1243">
        <f t="shared" si="195"/>
        <v>0</v>
      </c>
      <c r="M1243">
        <f t="shared" si="196"/>
        <v>313</v>
      </c>
      <c r="N1243">
        <f t="shared" si="197"/>
        <v>0</v>
      </c>
    </row>
    <row r="1244" spans="1:14" x14ac:dyDescent="0.35">
      <c r="A1244" s="5">
        <v>3931739393</v>
      </c>
      <c r="B1244" s="6">
        <v>42935</v>
      </c>
      <c r="C1244" s="7">
        <v>0.4127662037037037</v>
      </c>
      <c r="D1244" s="8">
        <v>0.42182870370370368</v>
      </c>
      <c r="E1244" s="20">
        <f t="shared" si="190"/>
        <v>9.0624999999999734E-3</v>
      </c>
      <c r="F1244" t="str">
        <f t="shared" si="191"/>
        <v>zagraniczny</v>
      </c>
      <c r="G1244" s="23">
        <f t="shared" si="198"/>
        <v>440074</v>
      </c>
      <c r="H1244">
        <f t="shared" si="199"/>
        <v>139237</v>
      </c>
      <c r="I1244">
        <f t="shared" si="192"/>
        <v>783</v>
      </c>
      <c r="J1244">
        <f t="shared" si="193"/>
        <v>14</v>
      </c>
      <c r="K1244">
        <f t="shared" si="194"/>
        <v>579311</v>
      </c>
      <c r="L1244">
        <f t="shared" si="195"/>
        <v>0</v>
      </c>
      <c r="M1244">
        <f t="shared" si="196"/>
        <v>0</v>
      </c>
      <c r="N1244">
        <f t="shared" si="197"/>
        <v>0</v>
      </c>
    </row>
    <row r="1245" spans="1:14" x14ac:dyDescent="0.35">
      <c r="A1245" s="9">
        <v>4079013</v>
      </c>
      <c r="B1245" s="10">
        <v>42935</v>
      </c>
      <c r="C1245" s="11">
        <v>0.41616898148148146</v>
      </c>
      <c r="D1245" s="12">
        <v>0.41717592592592595</v>
      </c>
      <c r="E1245" s="20">
        <f t="shared" si="190"/>
        <v>1.0069444444444908E-3</v>
      </c>
      <c r="F1245" t="str">
        <f t="shared" si="191"/>
        <v>stacjonarny</v>
      </c>
      <c r="G1245" s="23">
        <f t="shared" si="198"/>
        <v>440161</v>
      </c>
      <c r="H1245">
        <f t="shared" si="199"/>
        <v>139237</v>
      </c>
      <c r="I1245">
        <f t="shared" si="192"/>
        <v>0</v>
      </c>
      <c r="J1245">
        <f t="shared" si="193"/>
        <v>0</v>
      </c>
      <c r="K1245">
        <f t="shared" si="194"/>
        <v>579398</v>
      </c>
      <c r="L1245">
        <f t="shared" si="195"/>
        <v>0</v>
      </c>
      <c r="M1245">
        <f t="shared" si="196"/>
        <v>87</v>
      </c>
      <c r="N1245">
        <f t="shared" si="197"/>
        <v>0</v>
      </c>
    </row>
    <row r="1246" spans="1:14" x14ac:dyDescent="0.35">
      <c r="A1246" s="5">
        <v>7751076</v>
      </c>
      <c r="B1246" s="6">
        <v>42935</v>
      </c>
      <c r="C1246" s="7">
        <v>0.41996527777777776</v>
      </c>
      <c r="D1246" s="8">
        <v>0.42766203703703703</v>
      </c>
      <c r="E1246" s="20">
        <f t="shared" si="190"/>
        <v>7.6967592592592782E-3</v>
      </c>
      <c r="F1246" t="str">
        <f t="shared" si="191"/>
        <v>stacjonarny</v>
      </c>
      <c r="G1246" s="23">
        <f t="shared" si="198"/>
        <v>440826</v>
      </c>
      <c r="H1246">
        <f t="shared" si="199"/>
        <v>139237</v>
      </c>
      <c r="I1246">
        <f t="shared" si="192"/>
        <v>0</v>
      </c>
      <c r="J1246">
        <f t="shared" si="193"/>
        <v>0</v>
      </c>
      <c r="K1246">
        <f t="shared" si="194"/>
        <v>580063</v>
      </c>
      <c r="L1246">
        <f t="shared" si="195"/>
        <v>0</v>
      </c>
      <c r="M1246">
        <f t="shared" si="196"/>
        <v>665</v>
      </c>
      <c r="N1246">
        <f t="shared" si="197"/>
        <v>0</v>
      </c>
    </row>
    <row r="1247" spans="1:14" x14ac:dyDescent="0.35">
      <c r="A1247" s="9">
        <v>27684909</v>
      </c>
      <c r="B1247" s="10">
        <v>42935</v>
      </c>
      <c r="C1247" s="11">
        <v>0.42166666666666669</v>
      </c>
      <c r="D1247" s="12">
        <v>0.43111111111111111</v>
      </c>
      <c r="E1247" s="20">
        <f t="shared" si="190"/>
        <v>9.444444444444422E-3</v>
      </c>
      <c r="F1247" t="str">
        <f t="shared" si="191"/>
        <v>komorkowy</v>
      </c>
      <c r="G1247" s="23">
        <f t="shared" si="198"/>
        <v>440826</v>
      </c>
      <c r="H1247">
        <f t="shared" si="199"/>
        <v>140053</v>
      </c>
      <c r="I1247">
        <f t="shared" si="192"/>
        <v>0</v>
      </c>
      <c r="J1247">
        <f t="shared" si="193"/>
        <v>0</v>
      </c>
      <c r="K1247">
        <f t="shared" si="194"/>
        <v>580879</v>
      </c>
      <c r="L1247">
        <f t="shared" si="195"/>
        <v>0</v>
      </c>
      <c r="M1247">
        <f t="shared" si="196"/>
        <v>0</v>
      </c>
      <c r="N1247">
        <f t="shared" si="197"/>
        <v>816</v>
      </c>
    </row>
    <row r="1248" spans="1:14" x14ac:dyDescent="0.35">
      <c r="A1248" s="5">
        <v>1588418</v>
      </c>
      <c r="B1248" s="6">
        <v>42935</v>
      </c>
      <c r="C1248" s="7">
        <v>0.42422453703703705</v>
      </c>
      <c r="D1248" s="8">
        <v>0.43512731481481481</v>
      </c>
      <c r="E1248" s="20">
        <f t="shared" si="190"/>
        <v>1.0902777777777761E-2</v>
      </c>
      <c r="F1248" t="str">
        <f t="shared" si="191"/>
        <v>stacjonarny</v>
      </c>
      <c r="G1248" s="23">
        <f t="shared" si="198"/>
        <v>441768</v>
      </c>
      <c r="H1248">
        <f t="shared" si="199"/>
        <v>140053</v>
      </c>
      <c r="I1248">
        <f t="shared" si="192"/>
        <v>0</v>
      </c>
      <c r="J1248">
        <f t="shared" si="193"/>
        <v>0</v>
      </c>
      <c r="K1248">
        <f t="shared" si="194"/>
        <v>581821</v>
      </c>
      <c r="L1248">
        <f t="shared" si="195"/>
        <v>0</v>
      </c>
      <c r="M1248">
        <f t="shared" si="196"/>
        <v>942</v>
      </c>
      <c r="N1248">
        <f t="shared" si="197"/>
        <v>0</v>
      </c>
    </row>
    <row r="1249" spans="1:14" x14ac:dyDescent="0.35">
      <c r="A1249" s="9">
        <v>5333653356</v>
      </c>
      <c r="B1249" s="10">
        <v>42935</v>
      </c>
      <c r="C1249" s="11">
        <v>0.42684027777777778</v>
      </c>
      <c r="D1249" s="12">
        <v>0.43207175925925928</v>
      </c>
      <c r="E1249" s="20">
        <f t="shared" si="190"/>
        <v>5.2314814814815036E-3</v>
      </c>
      <c r="F1249" t="str">
        <f t="shared" si="191"/>
        <v>zagraniczny</v>
      </c>
      <c r="G1249" s="23">
        <f t="shared" si="198"/>
        <v>441768</v>
      </c>
      <c r="H1249">
        <f t="shared" si="199"/>
        <v>140053</v>
      </c>
      <c r="I1249">
        <f t="shared" si="192"/>
        <v>452</v>
      </c>
      <c r="J1249">
        <f t="shared" si="193"/>
        <v>8</v>
      </c>
      <c r="K1249">
        <f t="shared" si="194"/>
        <v>581821</v>
      </c>
      <c r="L1249">
        <f t="shared" si="195"/>
        <v>0</v>
      </c>
      <c r="M1249">
        <f t="shared" si="196"/>
        <v>0</v>
      </c>
      <c r="N1249">
        <f t="shared" si="197"/>
        <v>0</v>
      </c>
    </row>
    <row r="1250" spans="1:14" x14ac:dyDescent="0.35">
      <c r="A1250" s="5">
        <v>6305758</v>
      </c>
      <c r="B1250" s="6">
        <v>42935</v>
      </c>
      <c r="C1250" s="7">
        <v>0.42912037037037037</v>
      </c>
      <c r="D1250" s="8">
        <v>0.43425925925925923</v>
      </c>
      <c r="E1250" s="20">
        <f t="shared" si="190"/>
        <v>5.1388888888888595E-3</v>
      </c>
      <c r="F1250" t="str">
        <f t="shared" si="191"/>
        <v>stacjonarny</v>
      </c>
      <c r="G1250" s="23">
        <f t="shared" si="198"/>
        <v>442212</v>
      </c>
      <c r="H1250">
        <f t="shared" si="199"/>
        <v>140053</v>
      </c>
      <c r="I1250">
        <f t="shared" si="192"/>
        <v>0</v>
      </c>
      <c r="J1250">
        <f t="shared" si="193"/>
        <v>0</v>
      </c>
      <c r="K1250">
        <f t="shared" si="194"/>
        <v>582265</v>
      </c>
      <c r="L1250">
        <f t="shared" si="195"/>
        <v>0</v>
      </c>
      <c r="M1250">
        <f t="shared" si="196"/>
        <v>444</v>
      </c>
      <c r="N1250">
        <f t="shared" si="197"/>
        <v>0</v>
      </c>
    </row>
    <row r="1251" spans="1:14" x14ac:dyDescent="0.35">
      <c r="A1251" s="9">
        <v>45373038</v>
      </c>
      <c r="B1251" s="10">
        <v>42935</v>
      </c>
      <c r="C1251" s="11">
        <v>0.43180555555555555</v>
      </c>
      <c r="D1251" s="12">
        <v>0.44175925925925924</v>
      </c>
      <c r="E1251" s="20">
        <f t="shared" si="190"/>
        <v>9.9537037037036868E-3</v>
      </c>
      <c r="F1251" t="str">
        <f t="shared" si="191"/>
        <v>komorkowy</v>
      </c>
      <c r="G1251" s="23">
        <f t="shared" si="198"/>
        <v>442212</v>
      </c>
      <c r="H1251">
        <f t="shared" si="199"/>
        <v>140913</v>
      </c>
      <c r="I1251">
        <f t="shared" si="192"/>
        <v>0</v>
      </c>
      <c r="J1251">
        <f t="shared" si="193"/>
        <v>0</v>
      </c>
      <c r="K1251">
        <f t="shared" si="194"/>
        <v>583125</v>
      </c>
      <c r="L1251">
        <f t="shared" si="195"/>
        <v>0</v>
      </c>
      <c r="M1251">
        <f t="shared" si="196"/>
        <v>0</v>
      </c>
      <c r="N1251">
        <f t="shared" si="197"/>
        <v>860</v>
      </c>
    </row>
    <row r="1252" spans="1:14" x14ac:dyDescent="0.35">
      <c r="A1252" s="5">
        <v>7589993</v>
      </c>
      <c r="B1252" s="6">
        <v>42935</v>
      </c>
      <c r="C1252" s="7">
        <v>0.43185185185185188</v>
      </c>
      <c r="D1252" s="8">
        <v>0.4382638888888889</v>
      </c>
      <c r="E1252" s="20">
        <f t="shared" si="190"/>
        <v>6.4120370370370217E-3</v>
      </c>
      <c r="F1252" t="str">
        <f t="shared" si="191"/>
        <v>stacjonarny</v>
      </c>
      <c r="G1252" s="23">
        <f t="shared" si="198"/>
        <v>442766</v>
      </c>
      <c r="H1252">
        <f t="shared" si="199"/>
        <v>140913</v>
      </c>
      <c r="I1252">
        <f t="shared" si="192"/>
        <v>0</v>
      </c>
      <c r="J1252">
        <f t="shared" si="193"/>
        <v>0</v>
      </c>
      <c r="K1252">
        <f t="shared" si="194"/>
        <v>583679</v>
      </c>
      <c r="L1252">
        <f t="shared" si="195"/>
        <v>0</v>
      </c>
      <c r="M1252">
        <f t="shared" si="196"/>
        <v>554</v>
      </c>
      <c r="N1252">
        <f t="shared" si="197"/>
        <v>0</v>
      </c>
    </row>
    <row r="1253" spans="1:14" x14ac:dyDescent="0.35">
      <c r="A1253" s="9">
        <v>5588421</v>
      </c>
      <c r="B1253" s="10">
        <v>42935</v>
      </c>
      <c r="C1253" s="11">
        <v>0.43365740740740738</v>
      </c>
      <c r="D1253" s="12">
        <v>0.43964120370370369</v>
      </c>
      <c r="E1253" s="20">
        <f t="shared" si="190"/>
        <v>5.9837962962963065E-3</v>
      </c>
      <c r="F1253" t="str">
        <f t="shared" si="191"/>
        <v>stacjonarny</v>
      </c>
      <c r="G1253" s="23">
        <f t="shared" si="198"/>
        <v>443283</v>
      </c>
      <c r="H1253">
        <f t="shared" si="199"/>
        <v>140913</v>
      </c>
      <c r="I1253">
        <f t="shared" si="192"/>
        <v>0</v>
      </c>
      <c r="J1253">
        <f t="shared" si="193"/>
        <v>0</v>
      </c>
      <c r="K1253">
        <f t="shared" si="194"/>
        <v>584196</v>
      </c>
      <c r="L1253">
        <f t="shared" si="195"/>
        <v>0</v>
      </c>
      <c r="M1253">
        <f t="shared" si="196"/>
        <v>517</v>
      </c>
      <c r="N1253">
        <f t="shared" si="197"/>
        <v>0</v>
      </c>
    </row>
    <row r="1254" spans="1:14" x14ac:dyDescent="0.35">
      <c r="A1254" s="5">
        <v>9662407</v>
      </c>
      <c r="B1254" s="6">
        <v>42935</v>
      </c>
      <c r="C1254" s="7">
        <v>0.43509259259259259</v>
      </c>
      <c r="D1254" s="8">
        <v>0.44364583333333335</v>
      </c>
      <c r="E1254" s="20">
        <f t="shared" si="190"/>
        <v>8.553240740740764E-3</v>
      </c>
      <c r="F1254" t="str">
        <f t="shared" si="191"/>
        <v>stacjonarny</v>
      </c>
      <c r="G1254" s="23">
        <f t="shared" si="198"/>
        <v>444022</v>
      </c>
      <c r="H1254">
        <f t="shared" si="199"/>
        <v>140913</v>
      </c>
      <c r="I1254">
        <f t="shared" si="192"/>
        <v>0</v>
      </c>
      <c r="J1254">
        <f t="shared" si="193"/>
        <v>0</v>
      </c>
      <c r="K1254">
        <f t="shared" si="194"/>
        <v>584935</v>
      </c>
      <c r="L1254">
        <f t="shared" si="195"/>
        <v>0</v>
      </c>
      <c r="M1254">
        <f t="shared" si="196"/>
        <v>739</v>
      </c>
      <c r="N1254">
        <f t="shared" si="197"/>
        <v>0</v>
      </c>
    </row>
    <row r="1255" spans="1:14" x14ac:dyDescent="0.35">
      <c r="A1255" s="9">
        <v>3422062</v>
      </c>
      <c r="B1255" s="10">
        <v>42935</v>
      </c>
      <c r="C1255" s="11">
        <v>0.43734953703703705</v>
      </c>
      <c r="D1255" s="12">
        <v>0.44071759259259258</v>
      </c>
      <c r="E1255" s="20">
        <f t="shared" si="190"/>
        <v>3.3680555555555269E-3</v>
      </c>
      <c r="F1255" t="str">
        <f t="shared" si="191"/>
        <v>stacjonarny</v>
      </c>
      <c r="G1255" s="23">
        <f t="shared" si="198"/>
        <v>444313</v>
      </c>
      <c r="H1255">
        <f t="shared" si="199"/>
        <v>140913</v>
      </c>
      <c r="I1255">
        <f t="shared" si="192"/>
        <v>0</v>
      </c>
      <c r="J1255">
        <f t="shared" si="193"/>
        <v>0</v>
      </c>
      <c r="K1255">
        <f t="shared" si="194"/>
        <v>585226</v>
      </c>
      <c r="L1255">
        <f t="shared" si="195"/>
        <v>0</v>
      </c>
      <c r="M1255">
        <f t="shared" si="196"/>
        <v>291</v>
      </c>
      <c r="N1255">
        <f t="shared" si="197"/>
        <v>0</v>
      </c>
    </row>
    <row r="1256" spans="1:14" x14ac:dyDescent="0.35">
      <c r="A1256" s="5">
        <v>9305031</v>
      </c>
      <c r="B1256" s="6">
        <v>42935</v>
      </c>
      <c r="C1256" s="7">
        <v>0.43827546296296294</v>
      </c>
      <c r="D1256" s="8">
        <v>0.44968750000000002</v>
      </c>
      <c r="E1256" s="20">
        <f t="shared" si="190"/>
        <v>1.1412037037037082E-2</v>
      </c>
      <c r="F1256" t="str">
        <f t="shared" si="191"/>
        <v>stacjonarny</v>
      </c>
      <c r="G1256" s="23">
        <f t="shared" si="198"/>
        <v>445299</v>
      </c>
      <c r="H1256">
        <f t="shared" si="199"/>
        <v>140913</v>
      </c>
      <c r="I1256">
        <f t="shared" si="192"/>
        <v>0</v>
      </c>
      <c r="J1256">
        <f t="shared" si="193"/>
        <v>0</v>
      </c>
      <c r="K1256">
        <f t="shared" si="194"/>
        <v>586212</v>
      </c>
      <c r="L1256">
        <f t="shared" si="195"/>
        <v>0</v>
      </c>
      <c r="M1256">
        <f t="shared" si="196"/>
        <v>986</v>
      </c>
      <c r="N1256">
        <f t="shared" si="197"/>
        <v>0</v>
      </c>
    </row>
    <row r="1257" spans="1:14" x14ac:dyDescent="0.35">
      <c r="A1257" s="9">
        <v>4911005</v>
      </c>
      <c r="B1257" s="10">
        <v>42935</v>
      </c>
      <c r="C1257" s="11">
        <v>0.44305555555555554</v>
      </c>
      <c r="D1257" s="12">
        <v>0.45006944444444447</v>
      </c>
      <c r="E1257" s="20">
        <f t="shared" si="190"/>
        <v>7.0138888888889306E-3</v>
      </c>
      <c r="F1257" t="str">
        <f t="shared" si="191"/>
        <v>stacjonarny</v>
      </c>
      <c r="G1257" s="23">
        <f t="shared" si="198"/>
        <v>445905</v>
      </c>
      <c r="H1257">
        <f t="shared" si="199"/>
        <v>140913</v>
      </c>
      <c r="I1257">
        <f t="shared" si="192"/>
        <v>0</v>
      </c>
      <c r="J1257">
        <f t="shared" si="193"/>
        <v>0</v>
      </c>
      <c r="K1257">
        <f t="shared" si="194"/>
        <v>586818</v>
      </c>
      <c r="L1257">
        <f t="shared" si="195"/>
        <v>0</v>
      </c>
      <c r="M1257">
        <f t="shared" si="196"/>
        <v>606</v>
      </c>
      <c r="N1257">
        <f t="shared" si="197"/>
        <v>0</v>
      </c>
    </row>
    <row r="1258" spans="1:14" x14ac:dyDescent="0.35">
      <c r="A1258" s="5">
        <v>1391272</v>
      </c>
      <c r="B1258" s="6">
        <v>42935</v>
      </c>
      <c r="C1258" s="7">
        <v>0.44664351851851852</v>
      </c>
      <c r="D1258" s="8">
        <v>0.45725694444444442</v>
      </c>
      <c r="E1258" s="20">
        <f t="shared" si="190"/>
        <v>1.0613425925925901E-2</v>
      </c>
      <c r="F1258" t="str">
        <f t="shared" si="191"/>
        <v>stacjonarny</v>
      </c>
      <c r="G1258" s="23">
        <f t="shared" si="198"/>
        <v>446822</v>
      </c>
      <c r="H1258">
        <f t="shared" si="199"/>
        <v>140913</v>
      </c>
      <c r="I1258">
        <f t="shared" si="192"/>
        <v>0</v>
      </c>
      <c r="J1258">
        <f t="shared" si="193"/>
        <v>0</v>
      </c>
      <c r="K1258">
        <f t="shared" si="194"/>
        <v>587735</v>
      </c>
      <c r="L1258">
        <f t="shared" si="195"/>
        <v>0</v>
      </c>
      <c r="M1258">
        <f t="shared" si="196"/>
        <v>917</v>
      </c>
      <c r="N1258">
        <f t="shared" si="197"/>
        <v>0</v>
      </c>
    </row>
    <row r="1259" spans="1:14" x14ac:dyDescent="0.35">
      <c r="A1259" s="9">
        <v>5027404</v>
      </c>
      <c r="B1259" s="10">
        <v>42935</v>
      </c>
      <c r="C1259" s="11">
        <v>0.45211805555555556</v>
      </c>
      <c r="D1259" s="12">
        <v>0.4598726851851852</v>
      </c>
      <c r="E1259" s="20">
        <f t="shared" si="190"/>
        <v>7.7546296296296391E-3</v>
      </c>
      <c r="F1259" t="str">
        <f t="shared" si="191"/>
        <v>stacjonarny</v>
      </c>
      <c r="G1259" s="23">
        <f t="shared" si="198"/>
        <v>447492</v>
      </c>
      <c r="H1259">
        <f t="shared" si="199"/>
        <v>140913</v>
      </c>
      <c r="I1259">
        <f t="shared" si="192"/>
        <v>0</v>
      </c>
      <c r="J1259">
        <f t="shared" si="193"/>
        <v>0</v>
      </c>
      <c r="K1259">
        <f t="shared" si="194"/>
        <v>588405</v>
      </c>
      <c r="L1259">
        <f t="shared" si="195"/>
        <v>0</v>
      </c>
      <c r="M1259">
        <f t="shared" si="196"/>
        <v>670</v>
      </c>
      <c r="N1259">
        <f t="shared" si="197"/>
        <v>0</v>
      </c>
    </row>
    <row r="1260" spans="1:14" x14ac:dyDescent="0.35">
      <c r="A1260" s="5">
        <v>38244568</v>
      </c>
      <c r="B1260" s="6">
        <v>42935</v>
      </c>
      <c r="C1260" s="7">
        <v>0.45768518518518519</v>
      </c>
      <c r="D1260" s="8">
        <v>0.45837962962962964</v>
      </c>
      <c r="E1260" s="20">
        <f t="shared" si="190"/>
        <v>6.9444444444444198E-4</v>
      </c>
      <c r="F1260" t="str">
        <f t="shared" si="191"/>
        <v>komorkowy</v>
      </c>
      <c r="G1260" s="23">
        <f t="shared" si="198"/>
        <v>447492</v>
      </c>
      <c r="H1260">
        <f t="shared" si="199"/>
        <v>140973</v>
      </c>
      <c r="I1260">
        <f t="shared" si="192"/>
        <v>0</v>
      </c>
      <c r="J1260">
        <f t="shared" si="193"/>
        <v>0</v>
      </c>
      <c r="K1260">
        <f t="shared" si="194"/>
        <v>588465</v>
      </c>
      <c r="L1260">
        <f t="shared" si="195"/>
        <v>0</v>
      </c>
      <c r="M1260">
        <f t="shared" si="196"/>
        <v>0</v>
      </c>
      <c r="N1260">
        <f t="shared" si="197"/>
        <v>60</v>
      </c>
    </row>
    <row r="1261" spans="1:14" x14ac:dyDescent="0.35">
      <c r="A1261" s="9">
        <v>64900068</v>
      </c>
      <c r="B1261" s="10">
        <v>42935</v>
      </c>
      <c r="C1261" s="11">
        <v>0.46217592592592593</v>
      </c>
      <c r="D1261" s="12">
        <v>0.46263888888888888</v>
      </c>
      <c r="E1261" s="20">
        <f t="shared" si="190"/>
        <v>4.6296296296294281E-4</v>
      </c>
      <c r="F1261" t="str">
        <f t="shared" si="191"/>
        <v>komorkowy</v>
      </c>
      <c r="G1261" s="23">
        <f t="shared" si="198"/>
        <v>447492</v>
      </c>
      <c r="H1261">
        <f t="shared" si="199"/>
        <v>141013</v>
      </c>
      <c r="I1261">
        <f t="shared" si="192"/>
        <v>0</v>
      </c>
      <c r="J1261">
        <f t="shared" si="193"/>
        <v>0</v>
      </c>
      <c r="K1261">
        <f t="shared" si="194"/>
        <v>588505</v>
      </c>
      <c r="L1261">
        <f t="shared" si="195"/>
        <v>0</v>
      </c>
      <c r="M1261">
        <f t="shared" si="196"/>
        <v>0</v>
      </c>
      <c r="N1261">
        <f t="shared" si="197"/>
        <v>40</v>
      </c>
    </row>
    <row r="1262" spans="1:14" x14ac:dyDescent="0.35">
      <c r="A1262" s="5">
        <v>45015009</v>
      </c>
      <c r="B1262" s="6">
        <v>42935</v>
      </c>
      <c r="C1262" s="7">
        <v>0.46546296296296297</v>
      </c>
      <c r="D1262" s="8">
        <v>0.4740509259259259</v>
      </c>
      <c r="E1262" s="20">
        <f t="shared" si="190"/>
        <v>8.5879629629629362E-3</v>
      </c>
      <c r="F1262" t="str">
        <f t="shared" si="191"/>
        <v>komorkowy</v>
      </c>
      <c r="G1262" s="23">
        <f t="shared" si="198"/>
        <v>447492</v>
      </c>
      <c r="H1262">
        <f t="shared" si="199"/>
        <v>141755</v>
      </c>
      <c r="I1262">
        <f t="shared" si="192"/>
        <v>0</v>
      </c>
      <c r="J1262">
        <f t="shared" si="193"/>
        <v>0</v>
      </c>
      <c r="K1262">
        <f t="shared" si="194"/>
        <v>589247</v>
      </c>
      <c r="L1262">
        <f t="shared" si="195"/>
        <v>0</v>
      </c>
      <c r="M1262">
        <f t="shared" si="196"/>
        <v>0</v>
      </c>
      <c r="N1262">
        <f t="shared" si="197"/>
        <v>742</v>
      </c>
    </row>
    <row r="1263" spans="1:14" x14ac:dyDescent="0.35">
      <c r="A1263" s="9">
        <v>20424852</v>
      </c>
      <c r="B1263" s="10">
        <v>42935</v>
      </c>
      <c r="C1263" s="11">
        <v>0.46773148148148147</v>
      </c>
      <c r="D1263" s="12">
        <v>0.47054398148148147</v>
      </c>
      <c r="E1263" s="20">
        <f t="shared" si="190"/>
        <v>2.8124999999999956E-3</v>
      </c>
      <c r="F1263" t="str">
        <f t="shared" si="191"/>
        <v>komorkowy</v>
      </c>
      <c r="G1263" s="23">
        <f t="shared" si="198"/>
        <v>447492</v>
      </c>
      <c r="H1263">
        <f t="shared" si="199"/>
        <v>141998</v>
      </c>
      <c r="I1263">
        <f t="shared" si="192"/>
        <v>0</v>
      </c>
      <c r="J1263">
        <f t="shared" si="193"/>
        <v>0</v>
      </c>
      <c r="K1263">
        <f t="shared" si="194"/>
        <v>589490</v>
      </c>
      <c r="L1263">
        <f t="shared" si="195"/>
        <v>0</v>
      </c>
      <c r="M1263">
        <f t="shared" si="196"/>
        <v>0</v>
      </c>
      <c r="N1263">
        <f t="shared" si="197"/>
        <v>243</v>
      </c>
    </row>
    <row r="1264" spans="1:14" x14ac:dyDescent="0.35">
      <c r="A1264" s="5">
        <v>4471203</v>
      </c>
      <c r="B1264" s="6">
        <v>42935</v>
      </c>
      <c r="C1264" s="7">
        <v>0.47298611111111111</v>
      </c>
      <c r="D1264" s="8">
        <v>0.48247685185185185</v>
      </c>
      <c r="E1264" s="20">
        <f t="shared" si="190"/>
        <v>9.490740740740744E-3</v>
      </c>
      <c r="F1264" t="str">
        <f t="shared" si="191"/>
        <v>stacjonarny</v>
      </c>
      <c r="G1264" s="23">
        <f t="shared" si="198"/>
        <v>448312</v>
      </c>
      <c r="H1264">
        <f t="shared" si="199"/>
        <v>141998</v>
      </c>
      <c r="I1264">
        <f t="shared" si="192"/>
        <v>0</v>
      </c>
      <c r="J1264">
        <f t="shared" si="193"/>
        <v>0</v>
      </c>
      <c r="K1264">
        <f t="shared" si="194"/>
        <v>590310</v>
      </c>
      <c r="L1264">
        <f t="shared" si="195"/>
        <v>0</v>
      </c>
      <c r="M1264">
        <f t="shared" si="196"/>
        <v>820</v>
      </c>
      <c r="N1264">
        <f t="shared" si="197"/>
        <v>0</v>
      </c>
    </row>
    <row r="1265" spans="1:14" x14ac:dyDescent="0.35">
      <c r="A1265" s="9">
        <v>8250018</v>
      </c>
      <c r="B1265" s="10">
        <v>42935</v>
      </c>
      <c r="C1265" s="11">
        <v>0.47843750000000002</v>
      </c>
      <c r="D1265" s="12">
        <v>0.48951388888888892</v>
      </c>
      <c r="E1265" s="20">
        <f t="shared" si="190"/>
        <v>1.1076388888888899E-2</v>
      </c>
      <c r="F1265" t="str">
        <f t="shared" si="191"/>
        <v>stacjonarny</v>
      </c>
      <c r="G1265" s="23">
        <f t="shared" si="198"/>
        <v>449269</v>
      </c>
      <c r="H1265">
        <f t="shared" si="199"/>
        <v>141998</v>
      </c>
      <c r="I1265">
        <f t="shared" si="192"/>
        <v>0</v>
      </c>
      <c r="J1265">
        <f t="shared" si="193"/>
        <v>0</v>
      </c>
      <c r="K1265">
        <f t="shared" si="194"/>
        <v>591267</v>
      </c>
      <c r="L1265">
        <f t="shared" si="195"/>
        <v>0</v>
      </c>
      <c r="M1265">
        <f t="shared" si="196"/>
        <v>957</v>
      </c>
      <c r="N1265">
        <f t="shared" si="197"/>
        <v>0</v>
      </c>
    </row>
    <row r="1266" spans="1:14" x14ac:dyDescent="0.35">
      <c r="A1266" s="5">
        <v>1161028310</v>
      </c>
      <c r="B1266" s="6">
        <v>42935</v>
      </c>
      <c r="C1266" s="7">
        <v>0.47843750000000002</v>
      </c>
      <c r="D1266" s="8">
        <v>0.48879629629629628</v>
      </c>
      <c r="E1266" s="20">
        <f t="shared" si="190"/>
        <v>1.0358796296296269E-2</v>
      </c>
      <c r="F1266" t="str">
        <f t="shared" si="191"/>
        <v>zagraniczny</v>
      </c>
      <c r="G1266" s="23">
        <f t="shared" si="198"/>
        <v>449269</v>
      </c>
      <c r="H1266">
        <f t="shared" si="199"/>
        <v>141998</v>
      </c>
      <c r="I1266">
        <f t="shared" si="192"/>
        <v>895</v>
      </c>
      <c r="J1266">
        <f t="shared" si="193"/>
        <v>15</v>
      </c>
      <c r="K1266">
        <f t="shared" si="194"/>
        <v>591267</v>
      </c>
      <c r="L1266">
        <f t="shared" si="195"/>
        <v>0</v>
      </c>
      <c r="M1266">
        <f t="shared" si="196"/>
        <v>0</v>
      </c>
      <c r="N1266">
        <f t="shared" si="197"/>
        <v>0</v>
      </c>
    </row>
    <row r="1267" spans="1:14" x14ac:dyDescent="0.35">
      <c r="A1267" s="9">
        <v>66465215</v>
      </c>
      <c r="B1267" s="10">
        <v>42935</v>
      </c>
      <c r="C1267" s="11">
        <v>0.48381944444444447</v>
      </c>
      <c r="D1267" s="12">
        <v>0.49505787037037036</v>
      </c>
      <c r="E1267" s="20">
        <f t="shared" si="190"/>
        <v>1.1238425925925888E-2</v>
      </c>
      <c r="F1267" t="str">
        <f t="shared" si="191"/>
        <v>komorkowy</v>
      </c>
      <c r="G1267" s="23">
        <f t="shared" si="198"/>
        <v>449269</v>
      </c>
      <c r="H1267">
        <f t="shared" si="199"/>
        <v>142969</v>
      </c>
      <c r="I1267">
        <f t="shared" si="192"/>
        <v>0</v>
      </c>
      <c r="J1267">
        <f t="shared" si="193"/>
        <v>0</v>
      </c>
      <c r="K1267">
        <f t="shared" si="194"/>
        <v>592238</v>
      </c>
      <c r="L1267">
        <f t="shared" si="195"/>
        <v>0</v>
      </c>
      <c r="M1267">
        <f t="shared" si="196"/>
        <v>0</v>
      </c>
      <c r="N1267">
        <f t="shared" si="197"/>
        <v>971</v>
      </c>
    </row>
    <row r="1268" spans="1:14" x14ac:dyDescent="0.35">
      <c r="A1268" s="5">
        <v>6386788</v>
      </c>
      <c r="B1268" s="6">
        <v>42935</v>
      </c>
      <c r="C1268" s="7">
        <v>0.48822916666666666</v>
      </c>
      <c r="D1268" s="8">
        <v>0.49540509259259258</v>
      </c>
      <c r="E1268" s="20">
        <f t="shared" si="190"/>
        <v>7.1759259259259189E-3</v>
      </c>
      <c r="F1268" t="str">
        <f t="shared" si="191"/>
        <v>stacjonarny</v>
      </c>
      <c r="G1268" s="23">
        <f t="shared" si="198"/>
        <v>449889</v>
      </c>
      <c r="H1268">
        <f t="shared" si="199"/>
        <v>142969</v>
      </c>
      <c r="I1268">
        <f t="shared" si="192"/>
        <v>0</v>
      </c>
      <c r="J1268">
        <f t="shared" si="193"/>
        <v>0</v>
      </c>
      <c r="K1268">
        <f t="shared" si="194"/>
        <v>592858</v>
      </c>
      <c r="L1268">
        <f t="shared" si="195"/>
        <v>0</v>
      </c>
      <c r="M1268">
        <f t="shared" si="196"/>
        <v>620</v>
      </c>
      <c r="N1268">
        <f t="shared" si="197"/>
        <v>0</v>
      </c>
    </row>
    <row r="1269" spans="1:14" x14ac:dyDescent="0.35">
      <c r="A1269" s="9">
        <v>3589291</v>
      </c>
      <c r="B1269" s="10">
        <v>42935</v>
      </c>
      <c r="C1269" s="11">
        <v>0.4896064814814815</v>
      </c>
      <c r="D1269" s="12">
        <v>0.49828703703703703</v>
      </c>
      <c r="E1269" s="20">
        <f t="shared" si="190"/>
        <v>8.6805555555555247E-3</v>
      </c>
      <c r="F1269" t="str">
        <f t="shared" si="191"/>
        <v>stacjonarny</v>
      </c>
      <c r="G1269" s="23">
        <f t="shared" si="198"/>
        <v>450639</v>
      </c>
      <c r="H1269">
        <f t="shared" si="199"/>
        <v>142969</v>
      </c>
      <c r="I1269">
        <f t="shared" si="192"/>
        <v>0</v>
      </c>
      <c r="J1269">
        <f t="shared" si="193"/>
        <v>0</v>
      </c>
      <c r="K1269">
        <f t="shared" si="194"/>
        <v>593608</v>
      </c>
      <c r="L1269">
        <f t="shared" si="195"/>
        <v>0</v>
      </c>
      <c r="M1269">
        <f t="shared" si="196"/>
        <v>750</v>
      </c>
      <c r="N1269">
        <f t="shared" si="197"/>
        <v>0</v>
      </c>
    </row>
    <row r="1270" spans="1:14" x14ac:dyDescent="0.35">
      <c r="A1270" s="5">
        <v>9254070</v>
      </c>
      <c r="B1270" s="6">
        <v>42935</v>
      </c>
      <c r="C1270" s="7">
        <v>0.49270833333333336</v>
      </c>
      <c r="D1270" s="8">
        <v>0.49774305555555554</v>
      </c>
      <c r="E1270" s="20">
        <f t="shared" si="190"/>
        <v>5.0347222222221766E-3</v>
      </c>
      <c r="F1270" t="str">
        <f t="shared" si="191"/>
        <v>stacjonarny</v>
      </c>
      <c r="G1270" s="23">
        <f t="shared" si="198"/>
        <v>451074</v>
      </c>
      <c r="H1270">
        <f t="shared" si="199"/>
        <v>142969</v>
      </c>
      <c r="I1270">
        <f t="shared" si="192"/>
        <v>0</v>
      </c>
      <c r="J1270">
        <f t="shared" si="193"/>
        <v>0</v>
      </c>
      <c r="K1270">
        <f t="shared" si="194"/>
        <v>594043</v>
      </c>
      <c r="L1270">
        <f t="shared" si="195"/>
        <v>0</v>
      </c>
      <c r="M1270">
        <f t="shared" si="196"/>
        <v>435</v>
      </c>
      <c r="N1270">
        <f t="shared" si="197"/>
        <v>0</v>
      </c>
    </row>
    <row r="1271" spans="1:14" x14ac:dyDescent="0.35">
      <c r="A1271" s="9">
        <v>6337931</v>
      </c>
      <c r="B1271" s="10">
        <v>42935</v>
      </c>
      <c r="C1271" s="11">
        <v>0.49625000000000002</v>
      </c>
      <c r="D1271" s="12">
        <v>0.5058449074074074</v>
      </c>
      <c r="E1271" s="20">
        <f t="shared" si="190"/>
        <v>9.5949074074073715E-3</v>
      </c>
      <c r="F1271" t="str">
        <f t="shared" si="191"/>
        <v>stacjonarny</v>
      </c>
      <c r="G1271" s="23">
        <f t="shared" si="198"/>
        <v>451903</v>
      </c>
      <c r="H1271">
        <f t="shared" si="199"/>
        <v>142969</v>
      </c>
      <c r="I1271">
        <f t="shared" si="192"/>
        <v>0</v>
      </c>
      <c r="J1271">
        <f t="shared" si="193"/>
        <v>0</v>
      </c>
      <c r="K1271">
        <f t="shared" si="194"/>
        <v>594872</v>
      </c>
      <c r="L1271">
        <f t="shared" si="195"/>
        <v>0</v>
      </c>
      <c r="M1271">
        <f t="shared" si="196"/>
        <v>829</v>
      </c>
      <c r="N1271">
        <f t="shared" si="197"/>
        <v>0</v>
      </c>
    </row>
    <row r="1272" spans="1:14" x14ac:dyDescent="0.35">
      <c r="A1272" s="5">
        <v>3563037</v>
      </c>
      <c r="B1272" s="6">
        <v>42935</v>
      </c>
      <c r="C1272" s="7">
        <v>0.50173611111111116</v>
      </c>
      <c r="D1272" s="8">
        <v>0.5130555555555556</v>
      </c>
      <c r="E1272" s="20">
        <f t="shared" si="190"/>
        <v>1.1319444444444438E-2</v>
      </c>
      <c r="F1272" t="str">
        <f t="shared" si="191"/>
        <v>stacjonarny</v>
      </c>
      <c r="G1272" s="23">
        <f t="shared" si="198"/>
        <v>452881</v>
      </c>
      <c r="H1272">
        <f t="shared" si="199"/>
        <v>142969</v>
      </c>
      <c r="I1272">
        <f t="shared" si="192"/>
        <v>0</v>
      </c>
      <c r="J1272">
        <f t="shared" si="193"/>
        <v>0</v>
      </c>
      <c r="K1272">
        <f t="shared" si="194"/>
        <v>595850</v>
      </c>
      <c r="L1272">
        <f t="shared" si="195"/>
        <v>0</v>
      </c>
      <c r="M1272">
        <f t="shared" si="196"/>
        <v>978</v>
      </c>
      <c r="N1272">
        <f t="shared" si="197"/>
        <v>0</v>
      </c>
    </row>
    <row r="1273" spans="1:14" x14ac:dyDescent="0.35">
      <c r="A1273" s="9">
        <v>2302227</v>
      </c>
      <c r="B1273" s="10">
        <v>42935</v>
      </c>
      <c r="C1273" s="11">
        <v>0.50219907407407405</v>
      </c>
      <c r="D1273" s="12">
        <v>0.50804398148148144</v>
      </c>
      <c r="E1273" s="20">
        <f t="shared" si="190"/>
        <v>5.8449074074073959E-3</v>
      </c>
      <c r="F1273" t="str">
        <f t="shared" si="191"/>
        <v>stacjonarny</v>
      </c>
      <c r="G1273" s="23">
        <f t="shared" si="198"/>
        <v>453386</v>
      </c>
      <c r="H1273">
        <f t="shared" si="199"/>
        <v>142969</v>
      </c>
      <c r="I1273">
        <f t="shared" si="192"/>
        <v>0</v>
      </c>
      <c r="J1273">
        <f t="shared" si="193"/>
        <v>0</v>
      </c>
      <c r="K1273">
        <f t="shared" si="194"/>
        <v>596355</v>
      </c>
      <c r="L1273">
        <f t="shared" si="195"/>
        <v>0</v>
      </c>
      <c r="M1273">
        <f t="shared" si="196"/>
        <v>505</v>
      </c>
      <c r="N1273">
        <f t="shared" si="197"/>
        <v>0</v>
      </c>
    </row>
    <row r="1274" spans="1:14" x14ac:dyDescent="0.35">
      <c r="A1274" s="5">
        <v>24454566</v>
      </c>
      <c r="B1274" s="6">
        <v>42935</v>
      </c>
      <c r="C1274" s="7">
        <v>0.50749999999999995</v>
      </c>
      <c r="D1274" s="8">
        <v>0.51290509259259254</v>
      </c>
      <c r="E1274" s="20">
        <f t="shared" si="190"/>
        <v>5.4050925925925863E-3</v>
      </c>
      <c r="F1274" t="str">
        <f t="shared" si="191"/>
        <v>komorkowy</v>
      </c>
      <c r="G1274" s="23">
        <f t="shared" si="198"/>
        <v>453386</v>
      </c>
      <c r="H1274">
        <f t="shared" si="199"/>
        <v>143436</v>
      </c>
      <c r="I1274">
        <f t="shared" si="192"/>
        <v>0</v>
      </c>
      <c r="J1274">
        <f t="shared" si="193"/>
        <v>0</v>
      </c>
      <c r="K1274">
        <f t="shared" si="194"/>
        <v>596822</v>
      </c>
      <c r="L1274">
        <f t="shared" si="195"/>
        <v>0</v>
      </c>
      <c r="M1274">
        <f t="shared" si="196"/>
        <v>0</v>
      </c>
      <c r="N1274">
        <f t="shared" si="197"/>
        <v>467</v>
      </c>
    </row>
    <row r="1275" spans="1:14" x14ac:dyDescent="0.35">
      <c r="A1275" s="9">
        <v>6551880</v>
      </c>
      <c r="B1275" s="10">
        <v>42935</v>
      </c>
      <c r="C1275" s="11">
        <v>0.50756944444444441</v>
      </c>
      <c r="D1275" s="12">
        <v>0.51126157407407402</v>
      </c>
      <c r="E1275" s="20">
        <f t="shared" si="190"/>
        <v>3.6921296296296147E-3</v>
      </c>
      <c r="F1275" t="str">
        <f t="shared" si="191"/>
        <v>stacjonarny</v>
      </c>
      <c r="G1275" s="23">
        <f t="shared" si="198"/>
        <v>453705</v>
      </c>
      <c r="H1275">
        <f t="shared" si="199"/>
        <v>143436</v>
      </c>
      <c r="I1275">
        <f t="shared" si="192"/>
        <v>0</v>
      </c>
      <c r="J1275">
        <f t="shared" si="193"/>
        <v>0</v>
      </c>
      <c r="K1275">
        <f t="shared" si="194"/>
        <v>597141</v>
      </c>
      <c r="L1275">
        <f t="shared" si="195"/>
        <v>0</v>
      </c>
      <c r="M1275">
        <f t="shared" si="196"/>
        <v>319</v>
      </c>
      <c r="N1275">
        <f t="shared" si="197"/>
        <v>0</v>
      </c>
    </row>
    <row r="1276" spans="1:14" x14ac:dyDescent="0.35">
      <c r="A1276" s="5">
        <v>6616163</v>
      </c>
      <c r="B1276" s="6">
        <v>42935</v>
      </c>
      <c r="C1276" s="7">
        <v>0.51325231481481481</v>
      </c>
      <c r="D1276" s="8">
        <v>0.51627314814814818</v>
      </c>
      <c r="E1276" s="20">
        <f t="shared" si="190"/>
        <v>3.0208333333333615E-3</v>
      </c>
      <c r="F1276" t="str">
        <f t="shared" si="191"/>
        <v>stacjonarny</v>
      </c>
      <c r="G1276" s="23">
        <f t="shared" si="198"/>
        <v>453966</v>
      </c>
      <c r="H1276">
        <f t="shared" si="199"/>
        <v>143436</v>
      </c>
      <c r="I1276">
        <f t="shared" si="192"/>
        <v>0</v>
      </c>
      <c r="J1276">
        <f t="shared" si="193"/>
        <v>0</v>
      </c>
      <c r="K1276">
        <f t="shared" si="194"/>
        <v>597402</v>
      </c>
      <c r="L1276">
        <f t="shared" si="195"/>
        <v>0</v>
      </c>
      <c r="M1276">
        <f t="shared" si="196"/>
        <v>261</v>
      </c>
      <c r="N1276">
        <f t="shared" si="197"/>
        <v>0</v>
      </c>
    </row>
    <row r="1277" spans="1:14" x14ac:dyDescent="0.35">
      <c r="A1277" s="9">
        <v>96381896</v>
      </c>
      <c r="B1277" s="10">
        <v>42935</v>
      </c>
      <c r="C1277" s="11">
        <v>0.5173726851851852</v>
      </c>
      <c r="D1277" s="12">
        <v>0.52055555555555555</v>
      </c>
      <c r="E1277" s="20">
        <f t="shared" si="190"/>
        <v>3.1828703703703498E-3</v>
      </c>
      <c r="F1277" t="str">
        <f t="shared" si="191"/>
        <v>komorkowy</v>
      </c>
      <c r="G1277" s="23">
        <f t="shared" si="198"/>
        <v>453966</v>
      </c>
      <c r="H1277">
        <f t="shared" si="199"/>
        <v>143711</v>
      </c>
      <c r="I1277">
        <f t="shared" si="192"/>
        <v>0</v>
      </c>
      <c r="J1277">
        <f t="shared" si="193"/>
        <v>0</v>
      </c>
      <c r="K1277">
        <f t="shared" si="194"/>
        <v>597677</v>
      </c>
      <c r="L1277">
        <f t="shared" si="195"/>
        <v>0</v>
      </c>
      <c r="M1277">
        <f t="shared" si="196"/>
        <v>0</v>
      </c>
      <c r="N1277">
        <f t="shared" si="197"/>
        <v>275</v>
      </c>
    </row>
    <row r="1278" spans="1:14" x14ac:dyDescent="0.35">
      <c r="A1278" s="5">
        <v>6892980</v>
      </c>
      <c r="B1278" s="6">
        <v>42935</v>
      </c>
      <c r="C1278" s="7">
        <v>0.52288194444444447</v>
      </c>
      <c r="D1278" s="8">
        <v>0.52722222222222226</v>
      </c>
      <c r="E1278" s="20">
        <f t="shared" si="190"/>
        <v>4.3402777777777901E-3</v>
      </c>
      <c r="F1278" t="str">
        <f t="shared" si="191"/>
        <v>stacjonarny</v>
      </c>
      <c r="G1278" s="23">
        <f t="shared" si="198"/>
        <v>454341</v>
      </c>
      <c r="H1278">
        <f t="shared" si="199"/>
        <v>143711</v>
      </c>
      <c r="I1278">
        <f t="shared" si="192"/>
        <v>0</v>
      </c>
      <c r="J1278">
        <f t="shared" si="193"/>
        <v>0</v>
      </c>
      <c r="K1278">
        <f t="shared" si="194"/>
        <v>598052</v>
      </c>
      <c r="L1278">
        <f t="shared" si="195"/>
        <v>0</v>
      </c>
      <c r="M1278">
        <f t="shared" si="196"/>
        <v>375</v>
      </c>
      <c r="N1278">
        <f t="shared" si="197"/>
        <v>0</v>
      </c>
    </row>
    <row r="1279" spans="1:14" x14ac:dyDescent="0.35">
      <c r="A1279" s="9">
        <v>5341697748</v>
      </c>
      <c r="B1279" s="10">
        <v>42935</v>
      </c>
      <c r="C1279" s="11">
        <v>0.52349537037037042</v>
      </c>
      <c r="D1279" s="12">
        <v>0.53362268518518519</v>
      </c>
      <c r="E1279" s="20">
        <f t="shared" si="190"/>
        <v>1.012731481481477E-2</v>
      </c>
      <c r="F1279" t="str">
        <f t="shared" si="191"/>
        <v>zagraniczny</v>
      </c>
      <c r="G1279" s="23">
        <f t="shared" si="198"/>
        <v>454341</v>
      </c>
      <c r="H1279">
        <f t="shared" si="199"/>
        <v>143711</v>
      </c>
      <c r="I1279">
        <f t="shared" si="192"/>
        <v>875</v>
      </c>
      <c r="J1279">
        <f t="shared" si="193"/>
        <v>15</v>
      </c>
      <c r="K1279">
        <f t="shared" si="194"/>
        <v>598052</v>
      </c>
      <c r="L1279">
        <f t="shared" si="195"/>
        <v>0</v>
      </c>
      <c r="M1279">
        <f t="shared" si="196"/>
        <v>0</v>
      </c>
      <c r="N1279">
        <f t="shared" si="197"/>
        <v>0</v>
      </c>
    </row>
    <row r="1280" spans="1:14" x14ac:dyDescent="0.35">
      <c r="A1280" s="5">
        <v>52064221</v>
      </c>
      <c r="B1280" s="6">
        <v>42935</v>
      </c>
      <c r="C1280" s="7">
        <v>0.52766203703703707</v>
      </c>
      <c r="D1280" s="8">
        <v>0.53917824074074072</v>
      </c>
      <c r="E1280" s="20">
        <f t="shared" si="190"/>
        <v>1.1516203703703654E-2</v>
      </c>
      <c r="F1280" t="str">
        <f t="shared" si="191"/>
        <v>komorkowy</v>
      </c>
      <c r="G1280" s="23">
        <f t="shared" si="198"/>
        <v>454341</v>
      </c>
      <c r="H1280">
        <f t="shared" si="199"/>
        <v>144706</v>
      </c>
      <c r="I1280">
        <f t="shared" si="192"/>
        <v>0</v>
      </c>
      <c r="J1280">
        <f t="shared" si="193"/>
        <v>0</v>
      </c>
      <c r="K1280">
        <f t="shared" si="194"/>
        <v>599047</v>
      </c>
      <c r="L1280">
        <f t="shared" si="195"/>
        <v>0</v>
      </c>
      <c r="M1280">
        <f t="shared" si="196"/>
        <v>0</v>
      </c>
      <c r="N1280">
        <f t="shared" si="197"/>
        <v>995</v>
      </c>
    </row>
    <row r="1281" spans="1:14" x14ac:dyDescent="0.35">
      <c r="A1281" s="9">
        <v>5111892302</v>
      </c>
      <c r="B1281" s="10">
        <v>42935</v>
      </c>
      <c r="C1281" s="11">
        <v>0.53209490740740739</v>
      </c>
      <c r="D1281" s="12">
        <v>0.53931712962962963</v>
      </c>
      <c r="E1281" s="20">
        <f t="shared" si="190"/>
        <v>7.222222222222241E-3</v>
      </c>
      <c r="F1281" t="str">
        <f t="shared" si="191"/>
        <v>zagraniczny</v>
      </c>
      <c r="G1281" s="23">
        <f t="shared" si="198"/>
        <v>454341</v>
      </c>
      <c r="H1281">
        <f t="shared" si="199"/>
        <v>144706</v>
      </c>
      <c r="I1281">
        <f t="shared" si="192"/>
        <v>624</v>
      </c>
      <c r="J1281">
        <f t="shared" si="193"/>
        <v>11</v>
      </c>
      <c r="K1281">
        <f t="shared" si="194"/>
        <v>599047</v>
      </c>
      <c r="L1281">
        <f t="shared" si="195"/>
        <v>0</v>
      </c>
      <c r="M1281">
        <f t="shared" si="196"/>
        <v>0</v>
      </c>
      <c r="N1281">
        <f t="shared" si="197"/>
        <v>0</v>
      </c>
    </row>
    <row r="1282" spans="1:14" x14ac:dyDescent="0.35">
      <c r="A1282" s="5">
        <v>7571642</v>
      </c>
      <c r="B1282" s="6">
        <v>42935</v>
      </c>
      <c r="C1282" s="7">
        <v>0.53540509259259261</v>
      </c>
      <c r="D1282" s="8">
        <v>0.53540509259259261</v>
      </c>
      <c r="E1282" s="20">
        <f t="shared" si="190"/>
        <v>0</v>
      </c>
      <c r="F1282" t="str">
        <f t="shared" si="191"/>
        <v>stacjonarny</v>
      </c>
      <c r="G1282" s="23">
        <f t="shared" si="198"/>
        <v>454341</v>
      </c>
      <c r="H1282">
        <f t="shared" si="199"/>
        <v>144706</v>
      </c>
      <c r="I1282">
        <f t="shared" si="192"/>
        <v>0</v>
      </c>
      <c r="J1282">
        <f t="shared" si="193"/>
        <v>0</v>
      </c>
      <c r="K1282">
        <f t="shared" si="194"/>
        <v>599047</v>
      </c>
      <c r="L1282">
        <f t="shared" si="195"/>
        <v>0</v>
      </c>
      <c r="M1282">
        <f t="shared" si="196"/>
        <v>0</v>
      </c>
      <c r="N1282">
        <f t="shared" si="197"/>
        <v>0</v>
      </c>
    </row>
    <row r="1283" spans="1:14" x14ac:dyDescent="0.35">
      <c r="A1283" s="9">
        <v>9570286</v>
      </c>
      <c r="B1283" s="10">
        <v>42935</v>
      </c>
      <c r="C1283" s="11">
        <v>0.53594907407407411</v>
      </c>
      <c r="D1283" s="12">
        <v>0.54584490740740743</v>
      </c>
      <c r="E1283" s="20">
        <f t="shared" ref="E1283:E1346" si="200">D1283-C1283</f>
        <v>9.8958333333333259E-3</v>
      </c>
      <c r="F1283" t="str">
        <f t="shared" ref="F1283:F1346" si="201">IF(LEN(A1283)=7,"stacjonarny",IF(LEN(A1283)=8,"komorkowy","zagraniczny"))</f>
        <v>stacjonarny</v>
      </c>
      <c r="G1283" s="23">
        <f t="shared" si="198"/>
        <v>455196</v>
      </c>
      <c r="H1283">
        <f t="shared" si="199"/>
        <v>144706</v>
      </c>
      <c r="I1283">
        <f t="shared" ref="I1283:I1346" si="202">IF(F1283="zagraniczny",MINUTE(E1283)*60+SECOND(E1283)+HOUR(E1283)*3600,0)</f>
        <v>0</v>
      </c>
      <c r="J1283">
        <f t="shared" ref="J1283:J1346" si="203">ROUNDUP(I1283/60,0)</f>
        <v>0</v>
      </c>
      <c r="K1283">
        <f t="shared" ref="K1283:K1346" si="204">G1283+H1283</f>
        <v>599902</v>
      </c>
      <c r="L1283">
        <f t="shared" ref="L1283:L1346" si="205">IF(K1283&lt;=48000,1,0)</f>
        <v>0</v>
      </c>
      <c r="M1283">
        <f t="shared" ref="M1283:M1346" si="206">IF(AND(L1283=0,F1283="stacjonarny"),SECOND(E1283)+60*MINUTE(E1283),0)</f>
        <v>855</v>
      </c>
      <c r="N1283">
        <f t="shared" ref="N1283:N1346" si="207">IF(AND(L1283=0,F1283="komorkowy"),SECOND(E1283)+60*MINUTE(E1283),0)</f>
        <v>0</v>
      </c>
    </row>
    <row r="1284" spans="1:14" x14ac:dyDescent="0.35">
      <c r="A1284" s="5">
        <v>7632647</v>
      </c>
      <c r="B1284" s="6">
        <v>42935</v>
      </c>
      <c r="C1284" s="7">
        <v>0.54052083333333334</v>
      </c>
      <c r="D1284" s="8">
        <v>0.54195601851851849</v>
      </c>
      <c r="E1284" s="20">
        <f t="shared" si="200"/>
        <v>1.4351851851851505E-3</v>
      </c>
      <c r="F1284" t="str">
        <f t="shared" si="201"/>
        <v>stacjonarny</v>
      </c>
      <c r="G1284" s="23">
        <f t="shared" ref="G1284:G1347" si="208">IF(F1284="stacjonarny",MINUTE(E1284)*60+SECOND(E1284)+G1283,G1283)</f>
        <v>455320</v>
      </c>
      <c r="H1284">
        <f t="shared" ref="H1284:H1347" si="209">IF(F1284="komorkowy",MINUTE(E1284)*60+SECOND(E1284)+H1283,H1283)</f>
        <v>144706</v>
      </c>
      <c r="I1284">
        <f t="shared" si="202"/>
        <v>0</v>
      </c>
      <c r="J1284">
        <f t="shared" si="203"/>
        <v>0</v>
      </c>
      <c r="K1284">
        <f t="shared" si="204"/>
        <v>600026</v>
      </c>
      <c r="L1284">
        <f t="shared" si="205"/>
        <v>0</v>
      </c>
      <c r="M1284">
        <f t="shared" si="206"/>
        <v>124</v>
      </c>
      <c r="N1284">
        <f t="shared" si="207"/>
        <v>0</v>
      </c>
    </row>
    <row r="1285" spans="1:14" x14ac:dyDescent="0.35">
      <c r="A1285" s="9">
        <v>3437033</v>
      </c>
      <c r="B1285" s="10">
        <v>42935</v>
      </c>
      <c r="C1285" s="11">
        <v>0.54439814814814813</v>
      </c>
      <c r="D1285" s="12">
        <v>0.54800925925925925</v>
      </c>
      <c r="E1285" s="20">
        <f t="shared" si="200"/>
        <v>3.6111111111111205E-3</v>
      </c>
      <c r="F1285" t="str">
        <f t="shared" si="201"/>
        <v>stacjonarny</v>
      </c>
      <c r="G1285" s="23">
        <f t="shared" si="208"/>
        <v>455632</v>
      </c>
      <c r="H1285">
        <f t="shared" si="209"/>
        <v>144706</v>
      </c>
      <c r="I1285">
        <f t="shared" si="202"/>
        <v>0</v>
      </c>
      <c r="J1285">
        <f t="shared" si="203"/>
        <v>0</v>
      </c>
      <c r="K1285">
        <f t="shared" si="204"/>
        <v>600338</v>
      </c>
      <c r="L1285">
        <f t="shared" si="205"/>
        <v>0</v>
      </c>
      <c r="M1285">
        <f t="shared" si="206"/>
        <v>312</v>
      </c>
      <c r="N1285">
        <f t="shared" si="207"/>
        <v>0</v>
      </c>
    </row>
    <row r="1286" spans="1:14" x14ac:dyDescent="0.35">
      <c r="A1286" s="5">
        <v>81575080</v>
      </c>
      <c r="B1286" s="6">
        <v>42935</v>
      </c>
      <c r="C1286" s="7">
        <v>0.54996527777777782</v>
      </c>
      <c r="D1286" s="8">
        <v>0.55228009259259259</v>
      </c>
      <c r="E1286" s="20">
        <f t="shared" si="200"/>
        <v>2.3148148148147696E-3</v>
      </c>
      <c r="F1286" t="str">
        <f t="shared" si="201"/>
        <v>komorkowy</v>
      </c>
      <c r="G1286" s="23">
        <f t="shared" si="208"/>
        <v>455632</v>
      </c>
      <c r="H1286">
        <f t="shared" si="209"/>
        <v>144906</v>
      </c>
      <c r="I1286">
        <f t="shared" si="202"/>
        <v>0</v>
      </c>
      <c r="J1286">
        <f t="shared" si="203"/>
        <v>0</v>
      </c>
      <c r="K1286">
        <f t="shared" si="204"/>
        <v>600538</v>
      </c>
      <c r="L1286">
        <f t="shared" si="205"/>
        <v>0</v>
      </c>
      <c r="M1286">
        <f t="shared" si="206"/>
        <v>0</v>
      </c>
      <c r="N1286">
        <f t="shared" si="207"/>
        <v>200</v>
      </c>
    </row>
    <row r="1287" spans="1:14" x14ac:dyDescent="0.35">
      <c r="A1287" s="9">
        <v>7677384</v>
      </c>
      <c r="B1287" s="10">
        <v>42935</v>
      </c>
      <c r="C1287" s="11">
        <v>0.55121527777777779</v>
      </c>
      <c r="D1287" s="12">
        <v>0.55539351851851848</v>
      </c>
      <c r="E1287" s="20">
        <f t="shared" si="200"/>
        <v>4.1782407407406907E-3</v>
      </c>
      <c r="F1287" t="str">
        <f t="shared" si="201"/>
        <v>stacjonarny</v>
      </c>
      <c r="G1287" s="23">
        <f t="shared" si="208"/>
        <v>455993</v>
      </c>
      <c r="H1287">
        <f t="shared" si="209"/>
        <v>144906</v>
      </c>
      <c r="I1287">
        <f t="shared" si="202"/>
        <v>0</v>
      </c>
      <c r="J1287">
        <f t="shared" si="203"/>
        <v>0</v>
      </c>
      <c r="K1287">
        <f t="shared" si="204"/>
        <v>600899</v>
      </c>
      <c r="L1287">
        <f t="shared" si="205"/>
        <v>0</v>
      </c>
      <c r="M1287">
        <f t="shared" si="206"/>
        <v>361</v>
      </c>
      <c r="N1287">
        <f t="shared" si="207"/>
        <v>0</v>
      </c>
    </row>
    <row r="1288" spans="1:14" x14ac:dyDescent="0.35">
      <c r="A1288" s="5">
        <v>6194112</v>
      </c>
      <c r="B1288" s="6">
        <v>42935</v>
      </c>
      <c r="C1288" s="7">
        <v>0.55174768518518513</v>
      </c>
      <c r="D1288" s="8">
        <v>0.5575</v>
      </c>
      <c r="E1288" s="20">
        <f t="shared" si="200"/>
        <v>5.7523148148148628E-3</v>
      </c>
      <c r="F1288" t="str">
        <f t="shared" si="201"/>
        <v>stacjonarny</v>
      </c>
      <c r="G1288" s="23">
        <f t="shared" si="208"/>
        <v>456490</v>
      </c>
      <c r="H1288">
        <f t="shared" si="209"/>
        <v>144906</v>
      </c>
      <c r="I1288">
        <f t="shared" si="202"/>
        <v>0</v>
      </c>
      <c r="J1288">
        <f t="shared" si="203"/>
        <v>0</v>
      </c>
      <c r="K1288">
        <f t="shared" si="204"/>
        <v>601396</v>
      </c>
      <c r="L1288">
        <f t="shared" si="205"/>
        <v>0</v>
      </c>
      <c r="M1288">
        <f t="shared" si="206"/>
        <v>497</v>
      </c>
      <c r="N1288">
        <f t="shared" si="207"/>
        <v>0</v>
      </c>
    </row>
    <row r="1289" spans="1:14" x14ac:dyDescent="0.35">
      <c r="A1289" s="9">
        <v>67913744</v>
      </c>
      <c r="B1289" s="10">
        <v>42935</v>
      </c>
      <c r="C1289" s="11">
        <v>0.55387731481481484</v>
      </c>
      <c r="D1289" s="12">
        <v>0.5645486111111111</v>
      </c>
      <c r="E1289" s="20">
        <f t="shared" si="200"/>
        <v>1.0671296296296262E-2</v>
      </c>
      <c r="F1289" t="str">
        <f t="shared" si="201"/>
        <v>komorkowy</v>
      </c>
      <c r="G1289" s="23">
        <f t="shared" si="208"/>
        <v>456490</v>
      </c>
      <c r="H1289">
        <f t="shared" si="209"/>
        <v>145828</v>
      </c>
      <c r="I1289">
        <f t="shared" si="202"/>
        <v>0</v>
      </c>
      <c r="J1289">
        <f t="shared" si="203"/>
        <v>0</v>
      </c>
      <c r="K1289">
        <f t="shared" si="204"/>
        <v>602318</v>
      </c>
      <c r="L1289">
        <f t="shared" si="205"/>
        <v>0</v>
      </c>
      <c r="M1289">
        <f t="shared" si="206"/>
        <v>0</v>
      </c>
      <c r="N1289">
        <f t="shared" si="207"/>
        <v>922</v>
      </c>
    </row>
    <row r="1290" spans="1:14" x14ac:dyDescent="0.35">
      <c r="A1290" s="5">
        <v>9418587</v>
      </c>
      <c r="B1290" s="6">
        <v>42935</v>
      </c>
      <c r="C1290" s="7">
        <v>0.5591666666666667</v>
      </c>
      <c r="D1290" s="8">
        <v>0.56074074074074076</v>
      </c>
      <c r="E1290" s="20">
        <f t="shared" si="200"/>
        <v>1.5740740740740611E-3</v>
      </c>
      <c r="F1290" t="str">
        <f t="shared" si="201"/>
        <v>stacjonarny</v>
      </c>
      <c r="G1290" s="23">
        <f t="shared" si="208"/>
        <v>456626</v>
      </c>
      <c r="H1290">
        <f t="shared" si="209"/>
        <v>145828</v>
      </c>
      <c r="I1290">
        <f t="shared" si="202"/>
        <v>0</v>
      </c>
      <c r="J1290">
        <f t="shared" si="203"/>
        <v>0</v>
      </c>
      <c r="K1290">
        <f t="shared" si="204"/>
        <v>602454</v>
      </c>
      <c r="L1290">
        <f t="shared" si="205"/>
        <v>0</v>
      </c>
      <c r="M1290">
        <f t="shared" si="206"/>
        <v>136</v>
      </c>
      <c r="N1290">
        <f t="shared" si="207"/>
        <v>0</v>
      </c>
    </row>
    <row r="1291" spans="1:14" x14ac:dyDescent="0.35">
      <c r="A1291" s="9">
        <v>3273221616</v>
      </c>
      <c r="B1291" s="10">
        <v>42935</v>
      </c>
      <c r="C1291" s="11">
        <v>0.56276620370370367</v>
      </c>
      <c r="D1291" s="12">
        <v>0.56792824074074078</v>
      </c>
      <c r="E1291" s="20">
        <f t="shared" si="200"/>
        <v>5.1620370370371038E-3</v>
      </c>
      <c r="F1291" t="str">
        <f t="shared" si="201"/>
        <v>zagraniczny</v>
      </c>
      <c r="G1291" s="23">
        <f t="shared" si="208"/>
        <v>456626</v>
      </c>
      <c r="H1291">
        <f t="shared" si="209"/>
        <v>145828</v>
      </c>
      <c r="I1291">
        <f t="shared" si="202"/>
        <v>446</v>
      </c>
      <c r="J1291">
        <f t="shared" si="203"/>
        <v>8</v>
      </c>
      <c r="K1291">
        <f t="shared" si="204"/>
        <v>602454</v>
      </c>
      <c r="L1291">
        <f t="shared" si="205"/>
        <v>0</v>
      </c>
      <c r="M1291">
        <f t="shared" si="206"/>
        <v>0</v>
      </c>
      <c r="N1291">
        <f t="shared" si="207"/>
        <v>0</v>
      </c>
    </row>
    <row r="1292" spans="1:14" x14ac:dyDescent="0.35">
      <c r="A1292" s="5">
        <v>7364500</v>
      </c>
      <c r="B1292" s="6">
        <v>42935</v>
      </c>
      <c r="C1292" s="7">
        <v>0.5682638888888889</v>
      </c>
      <c r="D1292" s="8">
        <v>0.57974537037037033</v>
      </c>
      <c r="E1292" s="20">
        <f t="shared" si="200"/>
        <v>1.1481481481481426E-2</v>
      </c>
      <c r="F1292" t="str">
        <f t="shared" si="201"/>
        <v>stacjonarny</v>
      </c>
      <c r="G1292" s="23">
        <f t="shared" si="208"/>
        <v>457618</v>
      </c>
      <c r="H1292">
        <f t="shared" si="209"/>
        <v>145828</v>
      </c>
      <c r="I1292">
        <f t="shared" si="202"/>
        <v>0</v>
      </c>
      <c r="J1292">
        <f t="shared" si="203"/>
        <v>0</v>
      </c>
      <c r="K1292">
        <f t="shared" si="204"/>
        <v>603446</v>
      </c>
      <c r="L1292">
        <f t="shared" si="205"/>
        <v>0</v>
      </c>
      <c r="M1292">
        <f t="shared" si="206"/>
        <v>992</v>
      </c>
      <c r="N1292">
        <f t="shared" si="207"/>
        <v>0</v>
      </c>
    </row>
    <row r="1293" spans="1:14" x14ac:dyDescent="0.35">
      <c r="A1293" s="9">
        <v>69273048</v>
      </c>
      <c r="B1293" s="10">
        <v>42935</v>
      </c>
      <c r="C1293" s="11">
        <v>0.56847222222222227</v>
      </c>
      <c r="D1293" s="12">
        <v>0.57787037037037037</v>
      </c>
      <c r="E1293" s="20">
        <f t="shared" si="200"/>
        <v>9.3981481481481E-3</v>
      </c>
      <c r="F1293" t="str">
        <f t="shared" si="201"/>
        <v>komorkowy</v>
      </c>
      <c r="G1293" s="23">
        <f t="shared" si="208"/>
        <v>457618</v>
      </c>
      <c r="H1293">
        <f t="shared" si="209"/>
        <v>146640</v>
      </c>
      <c r="I1293">
        <f t="shared" si="202"/>
        <v>0</v>
      </c>
      <c r="J1293">
        <f t="shared" si="203"/>
        <v>0</v>
      </c>
      <c r="K1293">
        <f t="shared" si="204"/>
        <v>604258</v>
      </c>
      <c r="L1293">
        <f t="shared" si="205"/>
        <v>0</v>
      </c>
      <c r="M1293">
        <f t="shared" si="206"/>
        <v>0</v>
      </c>
      <c r="N1293">
        <f t="shared" si="207"/>
        <v>812</v>
      </c>
    </row>
    <row r="1294" spans="1:14" x14ac:dyDescent="0.35">
      <c r="A1294" s="5">
        <v>1345591</v>
      </c>
      <c r="B1294" s="6">
        <v>42935</v>
      </c>
      <c r="C1294" s="7">
        <v>0.5703125</v>
      </c>
      <c r="D1294" s="8">
        <v>0.57703703703703701</v>
      </c>
      <c r="E1294" s="20">
        <f t="shared" si="200"/>
        <v>6.724537037037015E-3</v>
      </c>
      <c r="F1294" t="str">
        <f t="shared" si="201"/>
        <v>stacjonarny</v>
      </c>
      <c r="G1294" s="23">
        <f t="shared" si="208"/>
        <v>458199</v>
      </c>
      <c r="H1294">
        <f t="shared" si="209"/>
        <v>146640</v>
      </c>
      <c r="I1294">
        <f t="shared" si="202"/>
        <v>0</v>
      </c>
      <c r="J1294">
        <f t="shared" si="203"/>
        <v>0</v>
      </c>
      <c r="K1294">
        <f t="shared" si="204"/>
        <v>604839</v>
      </c>
      <c r="L1294">
        <f t="shared" si="205"/>
        <v>0</v>
      </c>
      <c r="M1294">
        <f t="shared" si="206"/>
        <v>581</v>
      </c>
      <c r="N1294">
        <f t="shared" si="207"/>
        <v>0</v>
      </c>
    </row>
    <row r="1295" spans="1:14" x14ac:dyDescent="0.35">
      <c r="A1295" s="9">
        <v>13674393</v>
      </c>
      <c r="B1295" s="10">
        <v>42935</v>
      </c>
      <c r="C1295" s="11">
        <v>0.57313657407407403</v>
      </c>
      <c r="D1295" s="12">
        <v>0.57559027777777783</v>
      </c>
      <c r="E1295" s="20">
        <f t="shared" si="200"/>
        <v>2.4537037037037912E-3</v>
      </c>
      <c r="F1295" t="str">
        <f t="shared" si="201"/>
        <v>komorkowy</v>
      </c>
      <c r="G1295" s="23">
        <f t="shared" si="208"/>
        <v>458199</v>
      </c>
      <c r="H1295">
        <f t="shared" si="209"/>
        <v>146852</v>
      </c>
      <c r="I1295">
        <f t="shared" si="202"/>
        <v>0</v>
      </c>
      <c r="J1295">
        <f t="shared" si="203"/>
        <v>0</v>
      </c>
      <c r="K1295">
        <f t="shared" si="204"/>
        <v>605051</v>
      </c>
      <c r="L1295">
        <f t="shared" si="205"/>
        <v>0</v>
      </c>
      <c r="M1295">
        <f t="shared" si="206"/>
        <v>0</v>
      </c>
      <c r="N1295">
        <f t="shared" si="207"/>
        <v>212</v>
      </c>
    </row>
    <row r="1296" spans="1:14" x14ac:dyDescent="0.35">
      <c r="A1296" s="5">
        <v>5273579381</v>
      </c>
      <c r="B1296" s="6">
        <v>42935</v>
      </c>
      <c r="C1296" s="7">
        <v>0.57525462962962959</v>
      </c>
      <c r="D1296" s="8">
        <v>0.58087962962962958</v>
      </c>
      <c r="E1296" s="20">
        <f t="shared" si="200"/>
        <v>5.6249999999999911E-3</v>
      </c>
      <c r="F1296" t="str">
        <f t="shared" si="201"/>
        <v>zagraniczny</v>
      </c>
      <c r="G1296" s="23">
        <f t="shared" si="208"/>
        <v>458199</v>
      </c>
      <c r="H1296">
        <f t="shared" si="209"/>
        <v>146852</v>
      </c>
      <c r="I1296">
        <f t="shared" si="202"/>
        <v>486</v>
      </c>
      <c r="J1296">
        <f t="shared" si="203"/>
        <v>9</v>
      </c>
      <c r="K1296">
        <f t="shared" si="204"/>
        <v>605051</v>
      </c>
      <c r="L1296">
        <f t="shared" si="205"/>
        <v>0</v>
      </c>
      <c r="M1296">
        <f t="shared" si="206"/>
        <v>0</v>
      </c>
      <c r="N1296">
        <f t="shared" si="207"/>
        <v>0</v>
      </c>
    </row>
    <row r="1297" spans="1:14" x14ac:dyDescent="0.35">
      <c r="A1297" s="9">
        <v>5790304</v>
      </c>
      <c r="B1297" s="10">
        <v>42935</v>
      </c>
      <c r="C1297" s="11">
        <v>0.57974537037037033</v>
      </c>
      <c r="D1297" s="12">
        <v>0.58975694444444449</v>
      </c>
      <c r="E1297" s="20">
        <f t="shared" si="200"/>
        <v>1.0011574074074159E-2</v>
      </c>
      <c r="F1297" t="str">
        <f t="shared" si="201"/>
        <v>stacjonarny</v>
      </c>
      <c r="G1297" s="23">
        <f t="shared" si="208"/>
        <v>459064</v>
      </c>
      <c r="H1297">
        <f t="shared" si="209"/>
        <v>146852</v>
      </c>
      <c r="I1297">
        <f t="shared" si="202"/>
        <v>0</v>
      </c>
      <c r="J1297">
        <f t="shared" si="203"/>
        <v>0</v>
      </c>
      <c r="K1297">
        <f t="shared" si="204"/>
        <v>605916</v>
      </c>
      <c r="L1297">
        <f t="shared" si="205"/>
        <v>0</v>
      </c>
      <c r="M1297">
        <f t="shared" si="206"/>
        <v>865</v>
      </c>
      <c r="N1297">
        <f t="shared" si="207"/>
        <v>0</v>
      </c>
    </row>
    <row r="1298" spans="1:14" x14ac:dyDescent="0.35">
      <c r="A1298" s="5">
        <v>6551880</v>
      </c>
      <c r="B1298" s="6">
        <v>42935</v>
      </c>
      <c r="C1298" s="7">
        <v>0.58071759259259259</v>
      </c>
      <c r="D1298" s="8">
        <v>0.59002314814814816</v>
      </c>
      <c r="E1298" s="20">
        <f t="shared" si="200"/>
        <v>9.3055555555555669E-3</v>
      </c>
      <c r="F1298" t="str">
        <f t="shared" si="201"/>
        <v>stacjonarny</v>
      </c>
      <c r="G1298" s="23">
        <f t="shared" si="208"/>
        <v>459868</v>
      </c>
      <c r="H1298">
        <f t="shared" si="209"/>
        <v>146852</v>
      </c>
      <c r="I1298">
        <f t="shared" si="202"/>
        <v>0</v>
      </c>
      <c r="J1298">
        <f t="shared" si="203"/>
        <v>0</v>
      </c>
      <c r="K1298">
        <f t="shared" si="204"/>
        <v>606720</v>
      </c>
      <c r="L1298">
        <f t="shared" si="205"/>
        <v>0</v>
      </c>
      <c r="M1298">
        <f t="shared" si="206"/>
        <v>804</v>
      </c>
      <c r="N1298">
        <f t="shared" si="207"/>
        <v>0</v>
      </c>
    </row>
    <row r="1299" spans="1:14" x14ac:dyDescent="0.35">
      <c r="A1299" s="9">
        <v>2873323</v>
      </c>
      <c r="B1299" s="10">
        <v>42935</v>
      </c>
      <c r="C1299" s="11">
        <v>0.58622685185185186</v>
      </c>
      <c r="D1299" s="12">
        <v>0.5921643518518519</v>
      </c>
      <c r="E1299" s="20">
        <f t="shared" si="200"/>
        <v>5.93750000000004E-3</v>
      </c>
      <c r="F1299" t="str">
        <f t="shared" si="201"/>
        <v>stacjonarny</v>
      </c>
      <c r="G1299" s="23">
        <f t="shared" si="208"/>
        <v>460381</v>
      </c>
      <c r="H1299">
        <f t="shared" si="209"/>
        <v>146852</v>
      </c>
      <c r="I1299">
        <f t="shared" si="202"/>
        <v>0</v>
      </c>
      <c r="J1299">
        <f t="shared" si="203"/>
        <v>0</v>
      </c>
      <c r="K1299">
        <f t="shared" si="204"/>
        <v>607233</v>
      </c>
      <c r="L1299">
        <f t="shared" si="205"/>
        <v>0</v>
      </c>
      <c r="M1299">
        <f t="shared" si="206"/>
        <v>513</v>
      </c>
      <c r="N1299">
        <f t="shared" si="207"/>
        <v>0</v>
      </c>
    </row>
    <row r="1300" spans="1:14" x14ac:dyDescent="0.35">
      <c r="A1300" s="5">
        <v>2733008</v>
      </c>
      <c r="B1300" s="6">
        <v>42935</v>
      </c>
      <c r="C1300" s="7">
        <v>0.5879861111111111</v>
      </c>
      <c r="D1300" s="8">
        <v>0.59103009259259254</v>
      </c>
      <c r="E1300" s="20">
        <f t="shared" si="200"/>
        <v>3.0439814814814392E-3</v>
      </c>
      <c r="F1300" t="str">
        <f t="shared" si="201"/>
        <v>stacjonarny</v>
      </c>
      <c r="G1300" s="23">
        <f t="shared" si="208"/>
        <v>460644</v>
      </c>
      <c r="H1300">
        <f t="shared" si="209"/>
        <v>146852</v>
      </c>
      <c r="I1300">
        <f t="shared" si="202"/>
        <v>0</v>
      </c>
      <c r="J1300">
        <f t="shared" si="203"/>
        <v>0</v>
      </c>
      <c r="K1300">
        <f t="shared" si="204"/>
        <v>607496</v>
      </c>
      <c r="L1300">
        <f t="shared" si="205"/>
        <v>0</v>
      </c>
      <c r="M1300">
        <f t="shared" si="206"/>
        <v>263</v>
      </c>
      <c r="N1300">
        <f t="shared" si="207"/>
        <v>0</v>
      </c>
    </row>
    <row r="1301" spans="1:14" x14ac:dyDescent="0.35">
      <c r="A1301" s="9">
        <v>7292887</v>
      </c>
      <c r="B1301" s="10">
        <v>42935</v>
      </c>
      <c r="C1301" s="11">
        <v>0.58810185185185182</v>
      </c>
      <c r="D1301" s="12">
        <v>0.59202546296296299</v>
      </c>
      <c r="E1301" s="20">
        <f t="shared" si="200"/>
        <v>3.9236111111111693E-3</v>
      </c>
      <c r="F1301" t="str">
        <f t="shared" si="201"/>
        <v>stacjonarny</v>
      </c>
      <c r="G1301" s="23">
        <f t="shared" si="208"/>
        <v>460983</v>
      </c>
      <c r="H1301">
        <f t="shared" si="209"/>
        <v>146852</v>
      </c>
      <c r="I1301">
        <f t="shared" si="202"/>
        <v>0</v>
      </c>
      <c r="J1301">
        <f t="shared" si="203"/>
        <v>0</v>
      </c>
      <c r="K1301">
        <f t="shared" si="204"/>
        <v>607835</v>
      </c>
      <c r="L1301">
        <f t="shared" si="205"/>
        <v>0</v>
      </c>
      <c r="M1301">
        <f t="shared" si="206"/>
        <v>339</v>
      </c>
      <c r="N1301">
        <f t="shared" si="207"/>
        <v>0</v>
      </c>
    </row>
    <row r="1302" spans="1:14" x14ac:dyDescent="0.35">
      <c r="A1302" s="5">
        <v>6855900</v>
      </c>
      <c r="B1302" s="6">
        <v>42935</v>
      </c>
      <c r="C1302" s="7">
        <v>0.59090277777777778</v>
      </c>
      <c r="D1302" s="8">
        <v>0.5923842592592593</v>
      </c>
      <c r="E1302" s="20">
        <f t="shared" si="200"/>
        <v>1.481481481481528E-3</v>
      </c>
      <c r="F1302" t="str">
        <f t="shared" si="201"/>
        <v>stacjonarny</v>
      </c>
      <c r="G1302" s="23">
        <f t="shared" si="208"/>
        <v>461111</v>
      </c>
      <c r="H1302">
        <f t="shared" si="209"/>
        <v>146852</v>
      </c>
      <c r="I1302">
        <f t="shared" si="202"/>
        <v>0</v>
      </c>
      <c r="J1302">
        <f t="shared" si="203"/>
        <v>0</v>
      </c>
      <c r="K1302">
        <f t="shared" si="204"/>
        <v>607963</v>
      </c>
      <c r="L1302">
        <f t="shared" si="205"/>
        <v>0</v>
      </c>
      <c r="M1302">
        <f t="shared" si="206"/>
        <v>128</v>
      </c>
      <c r="N1302">
        <f t="shared" si="207"/>
        <v>0</v>
      </c>
    </row>
    <row r="1303" spans="1:14" x14ac:dyDescent="0.35">
      <c r="A1303" s="9">
        <v>2402827</v>
      </c>
      <c r="B1303" s="10">
        <v>42935</v>
      </c>
      <c r="C1303" s="11">
        <v>0.59659722222222222</v>
      </c>
      <c r="D1303" s="12">
        <v>0.60329861111111116</v>
      </c>
      <c r="E1303" s="20">
        <f t="shared" si="200"/>
        <v>6.7013888888889372E-3</v>
      </c>
      <c r="F1303" t="str">
        <f t="shared" si="201"/>
        <v>stacjonarny</v>
      </c>
      <c r="G1303" s="23">
        <f t="shared" si="208"/>
        <v>461690</v>
      </c>
      <c r="H1303">
        <f t="shared" si="209"/>
        <v>146852</v>
      </c>
      <c r="I1303">
        <f t="shared" si="202"/>
        <v>0</v>
      </c>
      <c r="J1303">
        <f t="shared" si="203"/>
        <v>0</v>
      </c>
      <c r="K1303">
        <f t="shared" si="204"/>
        <v>608542</v>
      </c>
      <c r="L1303">
        <f t="shared" si="205"/>
        <v>0</v>
      </c>
      <c r="M1303">
        <f t="shared" si="206"/>
        <v>579</v>
      </c>
      <c r="N1303">
        <f t="shared" si="207"/>
        <v>0</v>
      </c>
    </row>
    <row r="1304" spans="1:14" x14ac:dyDescent="0.35">
      <c r="A1304" s="5">
        <v>6510330</v>
      </c>
      <c r="B1304" s="6">
        <v>42935</v>
      </c>
      <c r="C1304" s="7">
        <v>0.5971643518518519</v>
      </c>
      <c r="D1304" s="8">
        <v>0.60538194444444449</v>
      </c>
      <c r="E1304" s="20">
        <f t="shared" si="200"/>
        <v>8.2175925925925819E-3</v>
      </c>
      <c r="F1304" t="str">
        <f t="shared" si="201"/>
        <v>stacjonarny</v>
      </c>
      <c r="G1304" s="23">
        <f t="shared" si="208"/>
        <v>462400</v>
      </c>
      <c r="H1304">
        <f t="shared" si="209"/>
        <v>146852</v>
      </c>
      <c r="I1304">
        <f t="shared" si="202"/>
        <v>0</v>
      </c>
      <c r="J1304">
        <f t="shared" si="203"/>
        <v>0</v>
      </c>
      <c r="K1304">
        <f t="shared" si="204"/>
        <v>609252</v>
      </c>
      <c r="L1304">
        <f t="shared" si="205"/>
        <v>0</v>
      </c>
      <c r="M1304">
        <f t="shared" si="206"/>
        <v>710</v>
      </c>
      <c r="N1304">
        <f t="shared" si="207"/>
        <v>0</v>
      </c>
    </row>
    <row r="1305" spans="1:14" x14ac:dyDescent="0.35">
      <c r="A1305" s="9">
        <v>9773176</v>
      </c>
      <c r="B1305" s="10">
        <v>42935</v>
      </c>
      <c r="C1305" s="11">
        <v>0.59719907407407402</v>
      </c>
      <c r="D1305" s="12">
        <v>0.60488425925925926</v>
      </c>
      <c r="E1305" s="20">
        <f t="shared" si="200"/>
        <v>7.6851851851852393E-3</v>
      </c>
      <c r="F1305" t="str">
        <f t="shared" si="201"/>
        <v>stacjonarny</v>
      </c>
      <c r="G1305" s="23">
        <f t="shared" si="208"/>
        <v>463064</v>
      </c>
      <c r="H1305">
        <f t="shared" si="209"/>
        <v>146852</v>
      </c>
      <c r="I1305">
        <f t="shared" si="202"/>
        <v>0</v>
      </c>
      <c r="J1305">
        <f t="shared" si="203"/>
        <v>0</v>
      </c>
      <c r="K1305">
        <f t="shared" si="204"/>
        <v>609916</v>
      </c>
      <c r="L1305">
        <f t="shared" si="205"/>
        <v>0</v>
      </c>
      <c r="M1305">
        <f t="shared" si="206"/>
        <v>664</v>
      </c>
      <c r="N1305">
        <f t="shared" si="207"/>
        <v>0</v>
      </c>
    </row>
    <row r="1306" spans="1:14" x14ac:dyDescent="0.35">
      <c r="A1306" s="5">
        <v>4065787</v>
      </c>
      <c r="B1306" s="6">
        <v>42935</v>
      </c>
      <c r="C1306" s="7">
        <v>0.6021643518518518</v>
      </c>
      <c r="D1306" s="8">
        <v>0.61331018518518521</v>
      </c>
      <c r="E1306" s="20">
        <f t="shared" si="200"/>
        <v>1.114583333333341E-2</v>
      </c>
      <c r="F1306" t="str">
        <f t="shared" si="201"/>
        <v>stacjonarny</v>
      </c>
      <c r="G1306" s="23">
        <f t="shared" si="208"/>
        <v>464027</v>
      </c>
      <c r="H1306">
        <f t="shared" si="209"/>
        <v>146852</v>
      </c>
      <c r="I1306">
        <f t="shared" si="202"/>
        <v>0</v>
      </c>
      <c r="J1306">
        <f t="shared" si="203"/>
        <v>0</v>
      </c>
      <c r="K1306">
        <f t="shared" si="204"/>
        <v>610879</v>
      </c>
      <c r="L1306">
        <f t="shared" si="205"/>
        <v>0</v>
      </c>
      <c r="M1306">
        <f t="shared" si="206"/>
        <v>963</v>
      </c>
      <c r="N1306">
        <f t="shared" si="207"/>
        <v>0</v>
      </c>
    </row>
    <row r="1307" spans="1:14" x14ac:dyDescent="0.35">
      <c r="A1307" s="9">
        <v>4303543625</v>
      </c>
      <c r="B1307" s="10">
        <v>42935</v>
      </c>
      <c r="C1307" s="11">
        <v>0.60291666666666666</v>
      </c>
      <c r="D1307" s="12">
        <v>0.61086805555555557</v>
      </c>
      <c r="E1307" s="20">
        <f t="shared" si="200"/>
        <v>7.9513888888889106E-3</v>
      </c>
      <c r="F1307" t="str">
        <f t="shared" si="201"/>
        <v>zagraniczny</v>
      </c>
      <c r="G1307" s="23">
        <f t="shared" si="208"/>
        <v>464027</v>
      </c>
      <c r="H1307">
        <f t="shared" si="209"/>
        <v>146852</v>
      </c>
      <c r="I1307">
        <f t="shared" si="202"/>
        <v>687</v>
      </c>
      <c r="J1307">
        <f t="shared" si="203"/>
        <v>12</v>
      </c>
      <c r="K1307">
        <f t="shared" si="204"/>
        <v>610879</v>
      </c>
      <c r="L1307">
        <f t="shared" si="205"/>
        <v>0</v>
      </c>
      <c r="M1307">
        <f t="shared" si="206"/>
        <v>0</v>
      </c>
      <c r="N1307">
        <f t="shared" si="207"/>
        <v>0</v>
      </c>
    </row>
    <row r="1308" spans="1:14" x14ac:dyDescent="0.35">
      <c r="A1308" s="5">
        <v>3858766</v>
      </c>
      <c r="B1308" s="6">
        <v>42935</v>
      </c>
      <c r="C1308" s="7">
        <v>0.60624999999999996</v>
      </c>
      <c r="D1308" s="8">
        <v>0.6083912037037037</v>
      </c>
      <c r="E1308" s="20">
        <f t="shared" si="200"/>
        <v>2.1412037037037424E-3</v>
      </c>
      <c r="F1308" t="str">
        <f t="shared" si="201"/>
        <v>stacjonarny</v>
      </c>
      <c r="G1308" s="23">
        <f t="shared" si="208"/>
        <v>464212</v>
      </c>
      <c r="H1308">
        <f t="shared" si="209"/>
        <v>146852</v>
      </c>
      <c r="I1308">
        <f t="shared" si="202"/>
        <v>0</v>
      </c>
      <c r="J1308">
        <f t="shared" si="203"/>
        <v>0</v>
      </c>
      <c r="K1308">
        <f t="shared" si="204"/>
        <v>611064</v>
      </c>
      <c r="L1308">
        <f t="shared" si="205"/>
        <v>0</v>
      </c>
      <c r="M1308">
        <f t="shared" si="206"/>
        <v>185</v>
      </c>
      <c r="N1308">
        <f t="shared" si="207"/>
        <v>0</v>
      </c>
    </row>
    <row r="1309" spans="1:14" x14ac:dyDescent="0.35">
      <c r="A1309" s="9">
        <v>41852472</v>
      </c>
      <c r="B1309" s="10">
        <v>42935</v>
      </c>
      <c r="C1309" s="11">
        <v>0.60868055555555556</v>
      </c>
      <c r="D1309" s="12">
        <v>0.61019675925925931</v>
      </c>
      <c r="E1309" s="20">
        <f t="shared" si="200"/>
        <v>1.5162037037037557E-3</v>
      </c>
      <c r="F1309" t="str">
        <f t="shared" si="201"/>
        <v>komorkowy</v>
      </c>
      <c r="G1309" s="23">
        <f t="shared" si="208"/>
        <v>464212</v>
      </c>
      <c r="H1309">
        <f t="shared" si="209"/>
        <v>146983</v>
      </c>
      <c r="I1309">
        <f t="shared" si="202"/>
        <v>0</v>
      </c>
      <c r="J1309">
        <f t="shared" si="203"/>
        <v>0</v>
      </c>
      <c r="K1309">
        <f t="shared" si="204"/>
        <v>611195</v>
      </c>
      <c r="L1309">
        <f t="shared" si="205"/>
        <v>0</v>
      </c>
      <c r="M1309">
        <f t="shared" si="206"/>
        <v>0</v>
      </c>
      <c r="N1309">
        <f t="shared" si="207"/>
        <v>131</v>
      </c>
    </row>
    <row r="1310" spans="1:14" x14ac:dyDescent="0.35">
      <c r="A1310" s="5">
        <v>25574074</v>
      </c>
      <c r="B1310" s="6">
        <v>42935</v>
      </c>
      <c r="C1310" s="7">
        <v>0.61081018518518515</v>
      </c>
      <c r="D1310" s="8">
        <v>0.62118055555555551</v>
      </c>
      <c r="E1310" s="20">
        <f t="shared" si="200"/>
        <v>1.0370370370370363E-2</v>
      </c>
      <c r="F1310" t="str">
        <f t="shared" si="201"/>
        <v>komorkowy</v>
      </c>
      <c r="G1310" s="23">
        <f t="shared" si="208"/>
        <v>464212</v>
      </c>
      <c r="H1310">
        <f t="shared" si="209"/>
        <v>147879</v>
      </c>
      <c r="I1310">
        <f t="shared" si="202"/>
        <v>0</v>
      </c>
      <c r="J1310">
        <f t="shared" si="203"/>
        <v>0</v>
      </c>
      <c r="K1310">
        <f t="shared" si="204"/>
        <v>612091</v>
      </c>
      <c r="L1310">
        <f t="shared" si="205"/>
        <v>0</v>
      </c>
      <c r="M1310">
        <f t="shared" si="206"/>
        <v>0</v>
      </c>
      <c r="N1310">
        <f t="shared" si="207"/>
        <v>896</v>
      </c>
    </row>
    <row r="1311" spans="1:14" x14ac:dyDescent="0.35">
      <c r="A1311" s="9">
        <v>8690793</v>
      </c>
      <c r="B1311" s="10">
        <v>42935</v>
      </c>
      <c r="C1311" s="11">
        <v>0.61207175925925927</v>
      </c>
      <c r="D1311" s="12">
        <v>0.61613425925925924</v>
      </c>
      <c r="E1311" s="20">
        <f t="shared" si="200"/>
        <v>4.0624999999999689E-3</v>
      </c>
      <c r="F1311" t="str">
        <f t="shared" si="201"/>
        <v>stacjonarny</v>
      </c>
      <c r="G1311" s="23">
        <f t="shared" si="208"/>
        <v>464563</v>
      </c>
      <c r="H1311">
        <f t="shared" si="209"/>
        <v>147879</v>
      </c>
      <c r="I1311">
        <f t="shared" si="202"/>
        <v>0</v>
      </c>
      <c r="J1311">
        <f t="shared" si="203"/>
        <v>0</v>
      </c>
      <c r="K1311">
        <f t="shared" si="204"/>
        <v>612442</v>
      </c>
      <c r="L1311">
        <f t="shared" si="205"/>
        <v>0</v>
      </c>
      <c r="M1311">
        <f t="shared" si="206"/>
        <v>351</v>
      </c>
      <c r="N1311">
        <f t="shared" si="207"/>
        <v>0</v>
      </c>
    </row>
    <row r="1312" spans="1:14" x14ac:dyDescent="0.35">
      <c r="A1312" s="5">
        <v>8487003</v>
      </c>
      <c r="B1312" s="6">
        <v>42935</v>
      </c>
      <c r="C1312" s="7">
        <v>0.61648148148148152</v>
      </c>
      <c r="D1312" s="8">
        <v>0.62589120370370366</v>
      </c>
      <c r="E1312" s="20">
        <f t="shared" si="200"/>
        <v>9.4097222222221388E-3</v>
      </c>
      <c r="F1312" t="str">
        <f t="shared" si="201"/>
        <v>stacjonarny</v>
      </c>
      <c r="G1312" s="23">
        <f t="shared" si="208"/>
        <v>465376</v>
      </c>
      <c r="H1312">
        <f t="shared" si="209"/>
        <v>147879</v>
      </c>
      <c r="I1312">
        <f t="shared" si="202"/>
        <v>0</v>
      </c>
      <c r="J1312">
        <f t="shared" si="203"/>
        <v>0</v>
      </c>
      <c r="K1312">
        <f t="shared" si="204"/>
        <v>613255</v>
      </c>
      <c r="L1312">
        <f t="shared" si="205"/>
        <v>0</v>
      </c>
      <c r="M1312">
        <f t="shared" si="206"/>
        <v>813</v>
      </c>
      <c r="N1312">
        <f t="shared" si="207"/>
        <v>0</v>
      </c>
    </row>
    <row r="1313" spans="1:14" x14ac:dyDescent="0.35">
      <c r="A1313" s="9">
        <v>50583407</v>
      </c>
      <c r="B1313" s="10">
        <v>42935</v>
      </c>
      <c r="C1313" s="11">
        <v>0.62137731481481484</v>
      </c>
      <c r="D1313" s="12">
        <v>0.63218750000000001</v>
      </c>
      <c r="E1313" s="20">
        <f t="shared" si="200"/>
        <v>1.0810185185185173E-2</v>
      </c>
      <c r="F1313" t="str">
        <f t="shared" si="201"/>
        <v>komorkowy</v>
      </c>
      <c r="G1313" s="23">
        <f t="shared" si="208"/>
        <v>465376</v>
      </c>
      <c r="H1313">
        <f t="shared" si="209"/>
        <v>148813</v>
      </c>
      <c r="I1313">
        <f t="shared" si="202"/>
        <v>0</v>
      </c>
      <c r="J1313">
        <f t="shared" si="203"/>
        <v>0</v>
      </c>
      <c r="K1313">
        <f t="shared" si="204"/>
        <v>614189</v>
      </c>
      <c r="L1313">
        <f t="shared" si="205"/>
        <v>0</v>
      </c>
      <c r="M1313">
        <f t="shared" si="206"/>
        <v>0</v>
      </c>
      <c r="N1313">
        <f t="shared" si="207"/>
        <v>934</v>
      </c>
    </row>
    <row r="1314" spans="1:14" x14ac:dyDescent="0.35">
      <c r="A1314" s="5">
        <v>4983193</v>
      </c>
      <c r="B1314" s="6">
        <v>42935</v>
      </c>
      <c r="C1314" s="7">
        <v>0.62288194444444445</v>
      </c>
      <c r="D1314" s="8">
        <v>0.63325231481481481</v>
      </c>
      <c r="E1314" s="20">
        <f t="shared" si="200"/>
        <v>1.0370370370370363E-2</v>
      </c>
      <c r="F1314" t="str">
        <f t="shared" si="201"/>
        <v>stacjonarny</v>
      </c>
      <c r="G1314" s="23">
        <f t="shared" si="208"/>
        <v>466272</v>
      </c>
      <c r="H1314">
        <f t="shared" si="209"/>
        <v>148813</v>
      </c>
      <c r="I1314">
        <f t="shared" si="202"/>
        <v>0</v>
      </c>
      <c r="J1314">
        <f t="shared" si="203"/>
        <v>0</v>
      </c>
      <c r="K1314">
        <f t="shared" si="204"/>
        <v>615085</v>
      </c>
      <c r="L1314">
        <f t="shared" si="205"/>
        <v>0</v>
      </c>
      <c r="M1314">
        <f t="shared" si="206"/>
        <v>896</v>
      </c>
      <c r="N1314">
        <f t="shared" si="207"/>
        <v>0</v>
      </c>
    </row>
    <row r="1315" spans="1:14" x14ac:dyDescent="0.35">
      <c r="A1315" s="9">
        <v>1316116</v>
      </c>
      <c r="B1315" s="10">
        <v>42935</v>
      </c>
      <c r="C1315" s="11">
        <v>0.62394675925925924</v>
      </c>
      <c r="D1315" s="12">
        <v>0.62461805555555561</v>
      </c>
      <c r="E1315" s="20">
        <f t="shared" si="200"/>
        <v>6.7129629629636423E-4</v>
      </c>
      <c r="F1315" t="str">
        <f t="shared" si="201"/>
        <v>stacjonarny</v>
      </c>
      <c r="G1315" s="23">
        <f t="shared" si="208"/>
        <v>466330</v>
      </c>
      <c r="H1315">
        <f t="shared" si="209"/>
        <v>148813</v>
      </c>
      <c r="I1315">
        <f t="shared" si="202"/>
        <v>0</v>
      </c>
      <c r="J1315">
        <f t="shared" si="203"/>
        <v>0</v>
      </c>
      <c r="K1315">
        <f t="shared" si="204"/>
        <v>615143</v>
      </c>
      <c r="L1315">
        <f t="shared" si="205"/>
        <v>0</v>
      </c>
      <c r="M1315">
        <f t="shared" si="206"/>
        <v>58</v>
      </c>
      <c r="N1315">
        <f t="shared" si="207"/>
        <v>0</v>
      </c>
    </row>
    <row r="1316" spans="1:14" x14ac:dyDescent="0.35">
      <c r="A1316" s="5">
        <v>5696056</v>
      </c>
      <c r="B1316" s="6">
        <v>42935</v>
      </c>
      <c r="C1316" s="7">
        <v>0.62967592592592592</v>
      </c>
      <c r="D1316" s="8">
        <v>0.63277777777777777</v>
      </c>
      <c r="E1316" s="20">
        <f t="shared" si="200"/>
        <v>3.1018518518518556E-3</v>
      </c>
      <c r="F1316" t="str">
        <f t="shared" si="201"/>
        <v>stacjonarny</v>
      </c>
      <c r="G1316" s="23">
        <f t="shared" si="208"/>
        <v>466598</v>
      </c>
      <c r="H1316">
        <f t="shared" si="209"/>
        <v>148813</v>
      </c>
      <c r="I1316">
        <f t="shared" si="202"/>
        <v>0</v>
      </c>
      <c r="J1316">
        <f t="shared" si="203"/>
        <v>0</v>
      </c>
      <c r="K1316">
        <f t="shared" si="204"/>
        <v>615411</v>
      </c>
      <c r="L1316">
        <f t="shared" si="205"/>
        <v>0</v>
      </c>
      <c r="M1316">
        <f t="shared" si="206"/>
        <v>268</v>
      </c>
      <c r="N1316">
        <f t="shared" si="207"/>
        <v>0</v>
      </c>
    </row>
    <row r="1317" spans="1:14" x14ac:dyDescent="0.35">
      <c r="A1317" s="9">
        <v>3574623</v>
      </c>
      <c r="B1317" s="10">
        <v>42936</v>
      </c>
      <c r="C1317" s="11">
        <v>0.33447916666666666</v>
      </c>
      <c r="D1317" s="12">
        <v>0.33721064814814816</v>
      </c>
      <c r="E1317" s="20">
        <f t="shared" si="200"/>
        <v>2.7314814814815014E-3</v>
      </c>
      <c r="F1317" t="str">
        <f t="shared" si="201"/>
        <v>stacjonarny</v>
      </c>
      <c r="G1317" s="23">
        <f t="shared" si="208"/>
        <v>466834</v>
      </c>
      <c r="H1317">
        <f t="shared" si="209"/>
        <v>148813</v>
      </c>
      <c r="I1317">
        <f t="shared" si="202"/>
        <v>0</v>
      </c>
      <c r="J1317">
        <f t="shared" si="203"/>
        <v>0</v>
      </c>
      <c r="K1317">
        <f t="shared" si="204"/>
        <v>615647</v>
      </c>
      <c r="L1317">
        <f t="shared" si="205"/>
        <v>0</v>
      </c>
      <c r="M1317">
        <f t="shared" si="206"/>
        <v>236</v>
      </c>
      <c r="N1317">
        <f t="shared" si="207"/>
        <v>0</v>
      </c>
    </row>
    <row r="1318" spans="1:14" x14ac:dyDescent="0.35">
      <c r="A1318" s="5">
        <v>71218936</v>
      </c>
      <c r="B1318" s="6">
        <v>42936</v>
      </c>
      <c r="C1318" s="7">
        <v>0.34012731481481484</v>
      </c>
      <c r="D1318" s="8">
        <v>0.34192129629629631</v>
      </c>
      <c r="E1318" s="20">
        <f t="shared" si="200"/>
        <v>1.7939814814814659E-3</v>
      </c>
      <c r="F1318" t="str">
        <f t="shared" si="201"/>
        <v>komorkowy</v>
      </c>
      <c r="G1318" s="23">
        <f t="shared" si="208"/>
        <v>466834</v>
      </c>
      <c r="H1318">
        <f t="shared" si="209"/>
        <v>148968</v>
      </c>
      <c r="I1318">
        <f t="shared" si="202"/>
        <v>0</v>
      </c>
      <c r="J1318">
        <f t="shared" si="203"/>
        <v>0</v>
      </c>
      <c r="K1318">
        <f t="shared" si="204"/>
        <v>615802</v>
      </c>
      <c r="L1318">
        <f t="shared" si="205"/>
        <v>0</v>
      </c>
      <c r="M1318">
        <f t="shared" si="206"/>
        <v>0</v>
      </c>
      <c r="N1318">
        <f t="shared" si="207"/>
        <v>155</v>
      </c>
    </row>
    <row r="1319" spans="1:14" x14ac:dyDescent="0.35">
      <c r="A1319" s="9">
        <v>55621633</v>
      </c>
      <c r="B1319" s="10">
        <v>42936</v>
      </c>
      <c r="C1319" s="11">
        <v>0.34114583333333331</v>
      </c>
      <c r="D1319" s="12">
        <v>0.3525578703703704</v>
      </c>
      <c r="E1319" s="20">
        <f t="shared" si="200"/>
        <v>1.1412037037037082E-2</v>
      </c>
      <c r="F1319" t="str">
        <f t="shared" si="201"/>
        <v>komorkowy</v>
      </c>
      <c r="G1319" s="23">
        <f t="shared" si="208"/>
        <v>466834</v>
      </c>
      <c r="H1319">
        <f t="shared" si="209"/>
        <v>149954</v>
      </c>
      <c r="I1319">
        <f t="shared" si="202"/>
        <v>0</v>
      </c>
      <c r="J1319">
        <f t="shared" si="203"/>
        <v>0</v>
      </c>
      <c r="K1319">
        <f t="shared" si="204"/>
        <v>616788</v>
      </c>
      <c r="L1319">
        <f t="shared" si="205"/>
        <v>0</v>
      </c>
      <c r="M1319">
        <f t="shared" si="206"/>
        <v>0</v>
      </c>
      <c r="N1319">
        <f t="shared" si="207"/>
        <v>986</v>
      </c>
    </row>
    <row r="1320" spans="1:14" x14ac:dyDescent="0.35">
      <c r="A1320" s="5">
        <v>1898174</v>
      </c>
      <c r="B1320" s="6">
        <v>42936</v>
      </c>
      <c r="C1320" s="7">
        <v>0.34371527777777777</v>
      </c>
      <c r="D1320" s="8">
        <v>0.34609953703703705</v>
      </c>
      <c r="E1320" s="20">
        <f t="shared" si="200"/>
        <v>2.3842592592592804E-3</v>
      </c>
      <c r="F1320" t="str">
        <f t="shared" si="201"/>
        <v>stacjonarny</v>
      </c>
      <c r="G1320" s="23">
        <f t="shared" si="208"/>
        <v>467040</v>
      </c>
      <c r="H1320">
        <f t="shared" si="209"/>
        <v>149954</v>
      </c>
      <c r="I1320">
        <f t="shared" si="202"/>
        <v>0</v>
      </c>
      <c r="J1320">
        <f t="shared" si="203"/>
        <v>0</v>
      </c>
      <c r="K1320">
        <f t="shared" si="204"/>
        <v>616994</v>
      </c>
      <c r="L1320">
        <f t="shared" si="205"/>
        <v>0</v>
      </c>
      <c r="M1320">
        <f t="shared" si="206"/>
        <v>206</v>
      </c>
      <c r="N1320">
        <f t="shared" si="207"/>
        <v>0</v>
      </c>
    </row>
    <row r="1321" spans="1:14" x14ac:dyDescent="0.35">
      <c r="A1321" s="9">
        <v>4844054</v>
      </c>
      <c r="B1321" s="10">
        <v>42936</v>
      </c>
      <c r="C1321" s="11">
        <v>0.34857638888888887</v>
      </c>
      <c r="D1321" s="12">
        <v>0.34998842592592594</v>
      </c>
      <c r="E1321" s="20">
        <f t="shared" si="200"/>
        <v>1.4120370370370727E-3</v>
      </c>
      <c r="F1321" t="str">
        <f t="shared" si="201"/>
        <v>stacjonarny</v>
      </c>
      <c r="G1321" s="23">
        <f t="shared" si="208"/>
        <v>467162</v>
      </c>
      <c r="H1321">
        <f t="shared" si="209"/>
        <v>149954</v>
      </c>
      <c r="I1321">
        <f t="shared" si="202"/>
        <v>0</v>
      </c>
      <c r="J1321">
        <f t="shared" si="203"/>
        <v>0</v>
      </c>
      <c r="K1321">
        <f t="shared" si="204"/>
        <v>617116</v>
      </c>
      <c r="L1321">
        <f t="shared" si="205"/>
        <v>0</v>
      </c>
      <c r="M1321">
        <f t="shared" si="206"/>
        <v>122</v>
      </c>
      <c r="N1321">
        <f t="shared" si="207"/>
        <v>0</v>
      </c>
    </row>
    <row r="1322" spans="1:14" x14ac:dyDescent="0.35">
      <c r="A1322" s="5">
        <v>7701901</v>
      </c>
      <c r="B1322" s="6">
        <v>42936</v>
      </c>
      <c r="C1322" s="7">
        <v>0.3533101851851852</v>
      </c>
      <c r="D1322" s="8">
        <v>0.3555787037037037</v>
      </c>
      <c r="E1322" s="20">
        <f t="shared" si="200"/>
        <v>2.2685185185185031E-3</v>
      </c>
      <c r="F1322" t="str">
        <f t="shared" si="201"/>
        <v>stacjonarny</v>
      </c>
      <c r="G1322" s="23">
        <f t="shared" si="208"/>
        <v>467358</v>
      </c>
      <c r="H1322">
        <f t="shared" si="209"/>
        <v>149954</v>
      </c>
      <c r="I1322">
        <f t="shared" si="202"/>
        <v>0</v>
      </c>
      <c r="J1322">
        <f t="shared" si="203"/>
        <v>0</v>
      </c>
      <c r="K1322">
        <f t="shared" si="204"/>
        <v>617312</v>
      </c>
      <c r="L1322">
        <f t="shared" si="205"/>
        <v>0</v>
      </c>
      <c r="M1322">
        <f t="shared" si="206"/>
        <v>196</v>
      </c>
      <c r="N1322">
        <f t="shared" si="207"/>
        <v>0</v>
      </c>
    </row>
    <row r="1323" spans="1:14" x14ac:dyDescent="0.35">
      <c r="A1323" s="9">
        <v>5900664</v>
      </c>
      <c r="B1323" s="10">
        <v>42936</v>
      </c>
      <c r="C1323" s="11">
        <v>0.3558912037037037</v>
      </c>
      <c r="D1323" s="12">
        <v>0.36550925925925926</v>
      </c>
      <c r="E1323" s="20">
        <f t="shared" si="200"/>
        <v>9.6180555555555602E-3</v>
      </c>
      <c r="F1323" t="str">
        <f t="shared" si="201"/>
        <v>stacjonarny</v>
      </c>
      <c r="G1323" s="23">
        <f t="shared" si="208"/>
        <v>468189</v>
      </c>
      <c r="H1323">
        <f t="shared" si="209"/>
        <v>149954</v>
      </c>
      <c r="I1323">
        <f t="shared" si="202"/>
        <v>0</v>
      </c>
      <c r="J1323">
        <f t="shared" si="203"/>
        <v>0</v>
      </c>
      <c r="K1323">
        <f t="shared" si="204"/>
        <v>618143</v>
      </c>
      <c r="L1323">
        <f t="shared" si="205"/>
        <v>0</v>
      </c>
      <c r="M1323">
        <f t="shared" si="206"/>
        <v>831</v>
      </c>
      <c r="N1323">
        <f t="shared" si="207"/>
        <v>0</v>
      </c>
    </row>
    <row r="1324" spans="1:14" x14ac:dyDescent="0.35">
      <c r="A1324" s="5">
        <v>4698731</v>
      </c>
      <c r="B1324" s="6">
        <v>42936</v>
      </c>
      <c r="C1324" s="7">
        <v>0.35894675925925928</v>
      </c>
      <c r="D1324" s="8">
        <v>0.3689351851851852</v>
      </c>
      <c r="E1324" s="20">
        <f t="shared" si="200"/>
        <v>9.9884259259259145E-3</v>
      </c>
      <c r="F1324" t="str">
        <f t="shared" si="201"/>
        <v>stacjonarny</v>
      </c>
      <c r="G1324" s="23">
        <f t="shared" si="208"/>
        <v>469052</v>
      </c>
      <c r="H1324">
        <f t="shared" si="209"/>
        <v>149954</v>
      </c>
      <c r="I1324">
        <f t="shared" si="202"/>
        <v>0</v>
      </c>
      <c r="J1324">
        <f t="shared" si="203"/>
        <v>0</v>
      </c>
      <c r="K1324">
        <f t="shared" si="204"/>
        <v>619006</v>
      </c>
      <c r="L1324">
        <f t="shared" si="205"/>
        <v>0</v>
      </c>
      <c r="M1324">
        <f t="shared" si="206"/>
        <v>863</v>
      </c>
      <c r="N1324">
        <f t="shared" si="207"/>
        <v>0</v>
      </c>
    </row>
    <row r="1325" spans="1:14" x14ac:dyDescent="0.35">
      <c r="A1325" s="9">
        <v>4606501</v>
      </c>
      <c r="B1325" s="10">
        <v>42936</v>
      </c>
      <c r="C1325" s="11">
        <v>0.36222222222222222</v>
      </c>
      <c r="D1325" s="12">
        <v>0.36548611111111112</v>
      </c>
      <c r="E1325" s="20">
        <f t="shared" si="200"/>
        <v>3.2638888888888995E-3</v>
      </c>
      <c r="F1325" t="str">
        <f t="shared" si="201"/>
        <v>stacjonarny</v>
      </c>
      <c r="G1325" s="23">
        <f t="shared" si="208"/>
        <v>469334</v>
      </c>
      <c r="H1325">
        <f t="shared" si="209"/>
        <v>149954</v>
      </c>
      <c r="I1325">
        <f t="shared" si="202"/>
        <v>0</v>
      </c>
      <c r="J1325">
        <f t="shared" si="203"/>
        <v>0</v>
      </c>
      <c r="K1325">
        <f t="shared" si="204"/>
        <v>619288</v>
      </c>
      <c r="L1325">
        <f t="shared" si="205"/>
        <v>0</v>
      </c>
      <c r="M1325">
        <f t="shared" si="206"/>
        <v>282</v>
      </c>
      <c r="N1325">
        <f t="shared" si="207"/>
        <v>0</v>
      </c>
    </row>
    <row r="1326" spans="1:14" x14ac:dyDescent="0.35">
      <c r="A1326" s="5">
        <v>3851940</v>
      </c>
      <c r="B1326" s="6">
        <v>42936</v>
      </c>
      <c r="C1326" s="7">
        <v>0.36473379629629632</v>
      </c>
      <c r="D1326" s="8">
        <v>0.36630787037037038</v>
      </c>
      <c r="E1326" s="20">
        <f t="shared" si="200"/>
        <v>1.5740740740740611E-3</v>
      </c>
      <c r="F1326" t="str">
        <f t="shared" si="201"/>
        <v>stacjonarny</v>
      </c>
      <c r="G1326" s="23">
        <f t="shared" si="208"/>
        <v>469470</v>
      </c>
      <c r="H1326">
        <f t="shared" si="209"/>
        <v>149954</v>
      </c>
      <c r="I1326">
        <f t="shared" si="202"/>
        <v>0</v>
      </c>
      <c r="J1326">
        <f t="shared" si="203"/>
        <v>0</v>
      </c>
      <c r="K1326">
        <f t="shared" si="204"/>
        <v>619424</v>
      </c>
      <c r="L1326">
        <f t="shared" si="205"/>
        <v>0</v>
      </c>
      <c r="M1326">
        <f t="shared" si="206"/>
        <v>136</v>
      </c>
      <c r="N1326">
        <f t="shared" si="207"/>
        <v>0</v>
      </c>
    </row>
    <row r="1327" spans="1:14" x14ac:dyDescent="0.35">
      <c r="A1327" s="9">
        <v>7972076</v>
      </c>
      <c r="B1327" s="10">
        <v>42936</v>
      </c>
      <c r="C1327" s="11">
        <v>0.37011574074074072</v>
      </c>
      <c r="D1327" s="12">
        <v>0.37928240740740743</v>
      </c>
      <c r="E1327" s="20">
        <f t="shared" si="200"/>
        <v>9.1666666666667118E-3</v>
      </c>
      <c r="F1327" t="str">
        <f t="shared" si="201"/>
        <v>stacjonarny</v>
      </c>
      <c r="G1327" s="23">
        <f t="shared" si="208"/>
        <v>470262</v>
      </c>
      <c r="H1327">
        <f t="shared" si="209"/>
        <v>149954</v>
      </c>
      <c r="I1327">
        <f t="shared" si="202"/>
        <v>0</v>
      </c>
      <c r="J1327">
        <f t="shared" si="203"/>
        <v>0</v>
      </c>
      <c r="K1327">
        <f t="shared" si="204"/>
        <v>620216</v>
      </c>
      <c r="L1327">
        <f t="shared" si="205"/>
        <v>0</v>
      </c>
      <c r="M1327">
        <f t="shared" si="206"/>
        <v>792</v>
      </c>
      <c r="N1327">
        <f t="shared" si="207"/>
        <v>0</v>
      </c>
    </row>
    <row r="1328" spans="1:14" x14ac:dyDescent="0.35">
      <c r="A1328" s="5">
        <v>1911796</v>
      </c>
      <c r="B1328" s="6">
        <v>42936</v>
      </c>
      <c r="C1328" s="7">
        <v>0.37506944444444446</v>
      </c>
      <c r="D1328" s="8">
        <v>0.38142361111111112</v>
      </c>
      <c r="E1328" s="20">
        <f t="shared" si="200"/>
        <v>6.3541666666666607E-3</v>
      </c>
      <c r="F1328" t="str">
        <f t="shared" si="201"/>
        <v>stacjonarny</v>
      </c>
      <c r="G1328" s="23">
        <f t="shared" si="208"/>
        <v>470811</v>
      </c>
      <c r="H1328">
        <f t="shared" si="209"/>
        <v>149954</v>
      </c>
      <c r="I1328">
        <f t="shared" si="202"/>
        <v>0</v>
      </c>
      <c r="J1328">
        <f t="shared" si="203"/>
        <v>0</v>
      </c>
      <c r="K1328">
        <f t="shared" si="204"/>
        <v>620765</v>
      </c>
      <c r="L1328">
        <f t="shared" si="205"/>
        <v>0</v>
      </c>
      <c r="M1328">
        <f t="shared" si="206"/>
        <v>549</v>
      </c>
      <c r="N1328">
        <f t="shared" si="207"/>
        <v>0</v>
      </c>
    </row>
    <row r="1329" spans="1:14" x14ac:dyDescent="0.35">
      <c r="A1329" s="9">
        <v>7362963</v>
      </c>
      <c r="B1329" s="10">
        <v>42936</v>
      </c>
      <c r="C1329" s="11">
        <v>0.37658564814814816</v>
      </c>
      <c r="D1329" s="12">
        <v>0.37936342592592592</v>
      </c>
      <c r="E1329" s="20">
        <f t="shared" si="200"/>
        <v>2.7777777777777679E-3</v>
      </c>
      <c r="F1329" t="str">
        <f t="shared" si="201"/>
        <v>stacjonarny</v>
      </c>
      <c r="G1329" s="23">
        <f t="shared" si="208"/>
        <v>471051</v>
      </c>
      <c r="H1329">
        <f t="shared" si="209"/>
        <v>149954</v>
      </c>
      <c r="I1329">
        <f t="shared" si="202"/>
        <v>0</v>
      </c>
      <c r="J1329">
        <f t="shared" si="203"/>
        <v>0</v>
      </c>
      <c r="K1329">
        <f t="shared" si="204"/>
        <v>621005</v>
      </c>
      <c r="L1329">
        <f t="shared" si="205"/>
        <v>0</v>
      </c>
      <c r="M1329">
        <f t="shared" si="206"/>
        <v>240</v>
      </c>
      <c r="N1329">
        <f t="shared" si="207"/>
        <v>0</v>
      </c>
    </row>
    <row r="1330" spans="1:14" x14ac:dyDescent="0.35">
      <c r="A1330" s="5">
        <v>24290062</v>
      </c>
      <c r="B1330" s="6">
        <v>42936</v>
      </c>
      <c r="C1330" s="7">
        <v>0.38047453703703704</v>
      </c>
      <c r="D1330" s="8">
        <v>0.39142361111111112</v>
      </c>
      <c r="E1330" s="20">
        <f t="shared" si="200"/>
        <v>1.0949074074074083E-2</v>
      </c>
      <c r="F1330" t="str">
        <f t="shared" si="201"/>
        <v>komorkowy</v>
      </c>
      <c r="G1330" s="23">
        <f t="shared" si="208"/>
        <v>471051</v>
      </c>
      <c r="H1330">
        <f t="shared" si="209"/>
        <v>150900</v>
      </c>
      <c r="I1330">
        <f t="shared" si="202"/>
        <v>0</v>
      </c>
      <c r="J1330">
        <f t="shared" si="203"/>
        <v>0</v>
      </c>
      <c r="K1330">
        <f t="shared" si="204"/>
        <v>621951</v>
      </c>
      <c r="L1330">
        <f t="shared" si="205"/>
        <v>0</v>
      </c>
      <c r="M1330">
        <f t="shared" si="206"/>
        <v>0</v>
      </c>
      <c r="N1330">
        <f t="shared" si="207"/>
        <v>946</v>
      </c>
    </row>
    <row r="1331" spans="1:14" x14ac:dyDescent="0.35">
      <c r="A1331" s="9">
        <v>3086185</v>
      </c>
      <c r="B1331" s="10">
        <v>42936</v>
      </c>
      <c r="C1331" s="11">
        <v>0.38394675925925925</v>
      </c>
      <c r="D1331" s="12">
        <v>0.39547453703703705</v>
      </c>
      <c r="E1331" s="20">
        <f t="shared" si="200"/>
        <v>1.1527777777777803E-2</v>
      </c>
      <c r="F1331" t="str">
        <f t="shared" si="201"/>
        <v>stacjonarny</v>
      </c>
      <c r="G1331" s="23">
        <f t="shared" si="208"/>
        <v>472047</v>
      </c>
      <c r="H1331">
        <f t="shared" si="209"/>
        <v>150900</v>
      </c>
      <c r="I1331">
        <f t="shared" si="202"/>
        <v>0</v>
      </c>
      <c r="J1331">
        <f t="shared" si="203"/>
        <v>0</v>
      </c>
      <c r="K1331">
        <f t="shared" si="204"/>
        <v>622947</v>
      </c>
      <c r="L1331">
        <f t="shared" si="205"/>
        <v>0</v>
      </c>
      <c r="M1331">
        <f t="shared" si="206"/>
        <v>996</v>
      </c>
      <c r="N1331">
        <f t="shared" si="207"/>
        <v>0</v>
      </c>
    </row>
    <row r="1332" spans="1:14" x14ac:dyDescent="0.35">
      <c r="A1332" s="5">
        <v>7622819</v>
      </c>
      <c r="B1332" s="6">
        <v>42936</v>
      </c>
      <c r="C1332" s="7">
        <v>0.38599537037037035</v>
      </c>
      <c r="D1332" s="8">
        <v>0.39438657407407407</v>
      </c>
      <c r="E1332" s="20">
        <f t="shared" si="200"/>
        <v>8.3912037037037202E-3</v>
      </c>
      <c r="F1332" t="str">
        <f t="shared" si="201"/>
        <v>stacjonarny</v>
      </c>
      <c r="G1332" s="23">
        <f t="shared" si="208"/>
        <v>472772</v>
      </c>
      <c r="H1332">
        <f t="shared" si="209"/>
        <v>150900</v>
      </c>
      <c r="I1332">
        <f t="shared" si="202"/>
        <v>0</v>
      </c>
      <c r="J1332">
        <f t="shared" si="203"/>
        <v>0</v>
      </c>
      <c r="K1332">
        <f t="shared" si="204"/>
        <v>623672</v>
      </c>
      <c r="L1332">
        <f t="shared" si="205"/>
        <v>0</v>
      </c>
      <c r="M1332">
        <f t="shared" si="206"/>
        <v>725</v>
      </c>
      <c r="N1332">
        <f t="shared" si="207"/>
        <v>0</v>
      </c>
    </row>
    <row r="1333" spans="1:14" x14ac:dyDescent="0.35">
      <c r="A1333" s="9">
        <v>5610335</v>
      </c>
      <c r="B1333" s="10">
        <v>42936</v>
      </c>
      <c r="C1333" s="11">
        <v>0.39055555555555554</v>
      </c>
      <c r="D1333" s="12">
        <v>0.39101851851851854</v>
      </c>
      <c r="E1333" s="20">
        <f t="shared" si="200"/>
        <v>4.6296296296299833E-4</v>
      </c>
      <c r="F1333" t="str">
        <f t="shared" si="201"/>
        <v>stacjonarny</v>
      </c>
      <c r="G1333" s="23">
        <f t="shared" si="208"/>
        <v>472812</v>
      </c>
      <c r="H1333">
        <f t="shared" si="209"/>
        <v>150900</v>
      </c>
      <c r="I1333">
        <f t="shared" si="202"/>
        <v>0</v>
      </c>
      <c r="J1333">
        <f t="shared" si="203"/>
        <v>0</v>
      </c>
      <c r="K1333">
        <f t="shared" si="204"/>
        <v>623712</v>
      </c>
      <c r="L1333">
        <f t="shared" si="205"/>
        <v>0</v>
      </c>
      <c r="M1333">
        <f t="shared" si="206"/>
        <v>40</v>
      </c>
      <c r="N1333">
        <f t="shared" si="207"/>
        <v>0</v>
      </c>
    </row>
    <row r="1334" spans="1:14" x14ac:dyDescent="0.35">
      <c r="A1334" s="5">
        <v>97953696</v>
      </c>
      <c r="B1334" s="6">
        <v>42936</v>
      </c>
      <c r="C1334" s="7">
        <v>0.39373842592592595</v>
      </c>
      <c r="D1334" s="8">
        <v>0.40292824074074074</v>
      </c>
      <c r="E1334" s="20">
        <f t="shared" si="200"/>
        <v>9.1898148148147896E-3</v>
      </c>
      <c r="F1334" t="str">
        <f t="shared" si="201"/>
        <v>komorkowy</v>
      </c>
      <c r="G1334" s="23">
        <f t="shared" si="208"/>
        <v>472812</v>
      </c>
      <c r="H1334">
        <f t="shared" si="209"/>
        <v>151694</v>
      </c>
      <c r="I1334">
        <f t="shared" si="202"/>
        <v>0</v>
      </c>
      <c r="J1334">
        <f t="shared" si="203"/>
        <v>0</v>
      </c>
      <c r="K1334">
        <f t="shared" si="204"/>
        <v>624506</v>
      </c>
      <c r="L1334">
        <f t="shared" si="205"/>
        <v>0</v>
      </c>
      <c r="M1334">
        <f t="shared" si="206"/>
        <v>0</v>
      </c>
      <c r="N1334">
        <f t="shared" si="207"/>
        <v>794</v>
      </c>
    </row>
    <row r="1335" spans="1:14" x14ac:dyDescent="0.35">
      <c r="A1335" s="9">
        <v>7432767</v>
      </c>
      <c r="B1335" s="10">
        <v>42936</v>
      </c>
      <c r="C1335" s="11">
        <v>0.39446759259259262</v>
      </c>
      <c r="D1335" s="12">
        <v>0.39841435185185187</v>
      </c>
      <c r="E1335" s="20">
        <f t="shared" si="200"/>
        <v>3.9467592592592471E-3</v>
      </c>
      <c r="F1335" t="str">
        <f t="shared" si="201"/>
        <v>stacjonarny</v>
      </c>
      <c r="G1335" s="23">
        <f t="shared" si="208"/>
        <v>473153</v>
      </c>
      <c r="H1335">
        <f t="shared" si="209"/>
        <v>151694</v>
      </c>
      <c r="I1335">
        <f t="shared" si="202"/>
        <v>0</v>
      </c>
      <c r="J1335">
        <f t="shared" si="203"/>
        <v>0</v>
      </c>
      <c r="K1335">
        <f t="shared" si="204"/>
        <v>624847</v>
      </c>
      <c r="L1335">
        <f t="shared" si="205"/>
        <v>0</v>
      </c>
      <c r="M1335">
        <f t="shared" si="206"/>
        <v>341</v>
      </c>
      <c r="N1335">
        <f t="shared" si="207"/>
        <v>0</v>
      </c>
    </row>
    <row r="1336" spans="1:14" x14ac:dyDescent="0.35">
      <c r="A1336" s="5">
        <v>2089993</v>
      </c>
      <c r="B1336" s="6">
        <v>42936</v>
      </c>
      <c r="C1336" s="7">
        <v>0.39810185185185187</v>
      </c>
      <c r="D1336" s="8">
        <v>0.39876157407407409</v>
      </c>
      <c r="E1336" s="20">
        <f t="shared" si="200"/>
        <v>6.5972222222221433E-4</v>
      </c>
      <c r="F1336" t="str">
        <f t="shared" si="201"/>
        <v>stacjonarny</v>
      </c>
      <c r="G1336" s="23">
        <f t="shared" si="208"/>
        <v>473210</v>
      </c>
      <c r="H1336">
        <f t="shared" si="209"/>
        <v>151694</v>
      </c>
      <c r="I1336">
        <f t="shared" si="202"/>
        <v>0</v>
      </c>
      <c r="J1336">
        <f t="shared" si="203"/>
        <v>0</v>
      </c>
      <c r="K1336">
        <f t="shared" si="204"/>
        <v>624904</v>
      </c>
      <c r="L1336">
        <f t="shared" si="205"/>
        <v>0</v>
      </c>
      <c r="M1336">
        <f t="shared" si="206"/>
        <v>57</v>
      </c>
      <c r="N1336">
        <f t="shared" si="207"/>
        <v>0</v>
      </c>
    </row>
    <row r="1337" spans="1:14" x14ac:dyDescent="0.35">
      <c r="A1337" s="9">
        <v>2635121</v>
      </c>
      <c r="B1337" s="10">
        <v>42936</v>
      </c>
      <c r="C1337" s="11">
        <v>0.39906249999999999</v>
      </c>
      <c r="D1337" s="12">
        <v>0.40487268518518521</v>
      </c>
      <c r="E1337" s="20">
        <f t="shared" si="200"/>
        <v>5.8101851851852238E-3</v>
      </c>
      <c r="F1337" t="str">
        <f t="shared" si="201"/>
        <v>stacjonarny</v>
      </c>
      <c r="G1337" s="23">
        <f t="shared" si="208"/>
        <v>473712</v>
      </c>
      <c r="H1337">
        <f t="shared" si="209"/>
        <v>151694</v>
      </c>
      <c r="I1337">
        <f t="shared" si="202"/>
        <v>0</v>
      </c>
      <c r="J1337">
        <f t="shared" si="203"/>
        <v>0</v>
      </c>
      <c r="K1337">
        <f t="shared" si="204"/>
        <v>625406</v>
      </c>
      <c r="L1337">
        <f t="shared" si="205"/>
        <v>0</v>
      </c>
      <c r="M1337">
        <f t="shared" si="206"/>
        <v>502</v>
      </c>
      <c r="N1337">
        <f t="shared" si="207"/>
        <v>0</v>
      </c>
    </row>
    <row r="1338" spans="1:14" x14ac:dyDescent="0.35">
      <c r="A1338" s="5">
        <v>6725216</v>
      </c>
      <c r="B1338" s="6">
        <v>42936</v>
      </c>
      <c r="C1338" s="7">
        <v>0.40190972222222221</v>
      </c>
      <c r="D1338" s="8">
        <v>0.40715277777777775</v>
      </c>
      <c r="E1338" s="20">
        <f t="shared" si="200"/>
        <v>5.2430555555555425E-3</v>
      </c>
      <c r="F1338" t="str">
        <f t="shared" si="201"/>
        <v>stacjonarny</v>
      </c>
      <c r="G1338" s="23">
        <f t="shared" si="208"/>
        <v>474165</v>
      </c>
      <c r="H1338">
        <f t="shared" si="209"/>
        <v>151694</v>
      </c>
      <c r="I1338">
        <f t="shared" si="202"/>
        <v>0</v>
      </c>
      <c r="J1338">
        <f t="shared" si="203"/>
        <v>0</v>
      </c>
      <c r="K1338">
        <f t="shared" si="204"/>
        <v>625859</v>
      </c>
      <c r="L1338">
        <f t="shared" si="205"/>
        <v>0</v>
      </c>
      <c r="M1338">
        <f t="shared" si="206"/>
        <v>453</v>
      </c>
      <c r="N1338">
        <f t="shared" si="207"/>
        <v>0</v>
      </c>
    </row>
    <row r="1339" spans="1:14" x14ac:dyDescent="0.35">
      <c r="A1339" s="9">
        <v>6530661</v>
      </c>
      <c r="B1339" s="10">
        <v>42936</v>
      </c>
      <c r="C1339" s="11">
        <v>0.40709490740740739</v>
      </c>
      <c r="D1339" s="12">
        <v>0.40795138888888888</v>
      </c>
      <c r="E1339" s="20">
        <f t="shared" si="200"/>
        <v>8.5648148148148584E-4</v>
      </c>
      <c r="F1339" t="str">
        <f t="shared" si="201"/>
        <v>stacjonarny</v>
      </c>
      <c r="G1339" s="23">
        <f t="shared" si="208"/>
        <v>474239</v>
      </c>
      <c r="H1339">
        <f t="shared" si="209"/>
        <v>151694</v>
      </c>
      <c r="I1339">
        <f t="shared" si="202"/>
        <v>0</v>
      </c>
      <c r="J1339">
        <f t="shared" si="203"/>
        <v>0</v>
      </c>
      <c r="K1339">
        <f t="shared" si="204"/>
        <v>625933</v>
      </c>
      <c r="L1339">
        <f t="shared" si="205"/>
        <v>0</v>
      </c>
      <c r="M1339">
        <f t="shared" si="206"/>
        <v>74</v>
      </c>
      <c r="N1339">
        <f t="shared" si="207"/>
        <v>0</v>
      </c>
    </row>
    <row r="1340" spans="1:14" x14ac:dyDescent="0.35">
      <c r="A1340" s="5">
        <v>8691743</v>
      </c>
      <c r="B1340" s="6">
        <v>42936</v>
      </c>
      <c r="C1340" s="7">
        <v>0.41228009259259257</v>
      </c>
      <c r="D1340" s="8">
        <v>0.42214120370370373</v>
      </c>
      <c r="E1340" s="20">
        <f t="shared" si="200"/>
        <v>9.8611111111111538E-3</v>
      </c>
      <c r="F1340" t="str">
        <f t="shared" si="201"/>
        <v>stacjonarny</v>
      </c>
      <c r="G1340" s="23">
        <f t="shared" si="208"/>
        <v>475091</v>
      </c>
      <c r="H1340">
        <f t="shared" si="209"/>
        <v>151694</v>
      </c>
      <c r="I1340">
        <f t="shared" si="202"/>
        <v>0</v>
      </c>
      <c r="J1340">
        <f t="shared" si="203"/>
        <v>0</v>
      </c>
      <c r="K1340">
        <f t="shared" si="204"/>
        <v>626785</v>
      </c>
      <c r="L1340">
        <f t="shared" si="205"/>
        <v>0</v>
      </c>
      <c r="M1340">
        <f t="shared" si="206"/>
        <v>852</v>
      </c>
      <c r="N1340">
        <f t="shared" si="207"/>
        <v>0</v>
      </c>
    </row>
    <row r="1341" spans="1:14" x14ac:dyDescent="0.35">
      <c r="A1341" s="9">
        <v>2771511</v>
      </c>
      <c r="B1341" s="10">
        <v>42936</v>
      </c>
      <c r="C1341" s="11">
        <v>0.41271990740740738</v>
      </c>
      <c r="D1341" s="12">
        <v>0.41487268518518516</v>
      </c>
      <c r="E1341" s="20">
        <f t="shared" si="200"/>
        <v>2.1527777777777812E-3</v>
      </c>
      <c r="F1341" t="str">
        <f t="shared" si="201"/>
        <v>stacjonarny</v>
      </c>
      <c r="G1341" s="23">
        <f t="shared" si="208"/>
        <v>475277</v>
      </c>
      <c r="H1341">
        <f t="shared" si="209"/>
        <v>151694</v>
      </c>
      <c r="I1341">
        <f t="shared" si="202"/>
        <v>0</v>
      </c>
      <c r="J1341">
        <f t="shared" si="203"/>
        <v>0</v>
      </c>
      <c r="K1341">
        <f t="shared" si="204"/>
        <v>626971</v>
      </c>
      <c r="L1341">
        <f t="shared" si="205"/>
        <v>0</v>
      </c>
      <c r="M1341">
        <f t="shared" si="206"/>
        <v>186</v>
      </c>
      <c r="N1341">
        <f t="shared" si="207"/>
        <v>0</v>
      </c>
    </row>
    <row r="1342" spans="1:14" x14ac:dyDescent="0.35">
      <c r="A1342" s="5">
        <v>7471152</v>
      </c>
      <c r="B1342" s="6">
        <v>42936</v>
      </c>
      <c r="C1342" s="7">
        <v>0.41456018518518517</v>
      </c>
      <c r="D1342" s="8">
        <v>0.41495370370370371</v>
      </c>
      <c r="E1342" s="20">
        <f t="shared" si="200"/>
        <v>3.9351851851854303E-4</v>
      </c>
      <c r="F1342" t="str">
        <f t="shared" si="201"/>
        <v>stacjonarny</v>
      </c>
      <c r="G1342" s="23">
        <f t="shared" si="208"/>
        <v>475311</v>
      </c>
      <c r="H1342">
        <f t="shared" si="209"/>
        <v>151694</v>
      </c>
      <c r="I1342">
        <f t="shared" si="202"/>
        <v>0</v>
      </c>
      <c r="J1342">
        <f t="shared" si="203"/>
        <v>0</v>
      </c>
      <c r="K1342">
        <f t="shared" si="204"/>
        <v>627005</v>
      </c>
      <c r="L1342">
        <f t="shared" si="205"/>
        <v>0</v>
      </c>
      <c r="M1342">
        <f t="shared" si="206"/>
        <v>34</v>
      </c>
      <c r="N1342">
        <f t="shared" si="207"/>
        <v>0</v>
      </c>
    </row>
    <row r="1343" spans="1:14" x14ac:dyDescent="0.35">
      <c r="A1343" s="9">
        <v>89691426</v>
      </c>
      <c r="B1343" s="10">
        <v>42936</v>
      </c>
      <c r="C1343" s="11">
        <v>0.41677083333333331</v>
      </c>
      <c r="D1343" s="12">
        <v>0.42192129629629632</v>
      </c>
      <c r="E1343" s="20">
        <f t="shared" si="200"/>
        <v>5.1504629629630094E-3</v>
      </c>
      <c r="F1343" t="str">
        <f t="shared" si="201"/>
        <v>komorkowy</v>
      </c>
      <c r="G1343" s="23">
        <f t="shared" si="208"/>
        <v>475311</v>
      </c>
      <c r="H1343">
        <f t="shared" si="209"/>
        <v>152139</v>
      </c>
      <c r="I1343">
        <f t="shared" si="202"/>
        <v>0</v>
      </c>
      <c r="J1343">
        <f t="shared" si="203"/>
        <v>0</v>
      </c>
      <c r="K1343">
        <f t="shared" si="204"/>
        <v>627450</v>
      </c>
      <c r="L1343">
        <f t="shared" si="205"/>
        <v>0</v>
      </c>
      <c r="M1343">
        <f t="shared" si="206"/>
        <v>0</v>
      </c>
      <c r="N1343">
        <f t="shared" si="207"/>
        <v>445</v>
      </c>
    </row>
    <row r="1344" spans="1:14" x14ac:dyDescent="0.35">
      <c r="A1344" s="5">
        <v>5305478</v>
      </c>
      <c r="B1344" s="6">
        <v>42936</v>
      </c>
      <c r="C1344" s="7">
        <v>0.41980324074074077</v>
      </c>
      <c r="D1344" s="8">
        <v>0.42957175925925928</v>
      </c>
      <c r="E1344" s="20">
        <f t="shared" si="200"/>
        <v>9.7685185185185097E-3</v>
      </c>
      <c r="F1344" t="str">
        <f t="shared" si="201"/>
        <v>stacjonarny</v>
      </c>
      <c r="G1344" s="23">
        <f t="shared" si="208"/>
        <v>476155</v>
      </c>
      <c r="H1344">
        <f t="shared" si="209"/>
        <v>152139</v>
      </c>
      <c r="I1344">
        <f t="shared" si="202"/>
        <v>0</v>
      </c>
      <c r="J1344">
        <f t="shared" si="203"/>
        <v>0</v>
      </c>
      <c r="K1344">
        <f t="shared" si="204"/>
        <v>628294</v>
      </c>
      <c r="L1344">
        <f t="shared" si="205"/>
        <v>0</v>
      </c>
      <c r="M1344">
        <f t="shared" si="206"/>
        <v>844</v>
      </c>
      <c r="N1344">
        <f t="shared" si="207"/>
        <v>0</v>
      </c>
    </row>
    <row r="1345" spans="1:14" x14ac:dyDescent="0.35">
      <c r="A1345" s="9">
        <v>4305632</v>
      </c>
      <c r="B1345" s="10">
        <v>42936</v>
      </c>
      <c r="C1345" s="11">
        <v>0.42534722222222221</v>
      </c>
      <c r="D1345" s="12">
        <v>0.43634259259259262</v>
      </c>
      <c r="E1345" s="20">
        <f t="shared" si="200"/>
        <v>1.0995370370370405E-2</v>
      </c>
      <c r="F1345" t="str">
        <f t="shared" si="201"/>
        <v>stacjonarny</v>
      </c>
      <c r="G1345" s="23">
        <f t="shared" si="208"/>
        <v>477105</v>
      </c>
      <c r="H1345">
        <f t="shared" si="209"/>
        <v>152139</v>
      </c>
      <c r="I1345">
        <f t="shared" si="202"/>
        <v>0</v>
      </c>
      <c r="J1345">
        <f t="shared" si="203"/>
        <v>0</v>
      </c>
      <c r="K1345">
        <f t="shared" si="204"/>
        <v>629244</v>
      </c>
      <c r="L1345">
        <f t="shared" si="205"/>
        <v>0</v>
      </c>
      <c r="M1345">
        <f t="shared" si="206"/>
        <v>950</v>
      </c>
      <c r="N1345">
        <f t="shared" si="207"/>
        <v>0</v>
      </c>
    </row>
    <row r="1346" spans="1:14" x14ac:dyDescent="0.35">
      <c r="A1346" s="5">
        <v>9526179</v>
      </c>
      <c r="B1346" s="6">
        <v>42936</v>
      </c>
      <c r="C1346" s="7">
        <v>0.42761574074074077</v>
      </c>
      <c r="D1346" s="8">
        <v>0.4314236111111111</v>
      </c>
      <c r="E1346" s="20">
        <f t="shared" si="200"/>
        <v>3.8078703703703365E-3</v>
      </c>
      <c r="F1346" t="str">
        <f t="shared" si="201"/>
        <v>stacjonarny</v>
      </c>
      <c r="G1346" s="23">
        <f t="shared" si="208"/>
        <v>477434</v>
      </c>
      <c r="H1346">
        <f t="shared" si="209"/>
        <v>152139</v>
      </c>
      <c r="I1346">
        <f t="shared" si="202"/>
        <v>0</v>
      </c>
      <c r="J1346">
        <f t="shared" si="203"/>
        <v>0</v>
      </c>
      <c r="K1346">
        <f t="shared" si="204"/>
        <v>629573</v>
      </c>
      <c r="L1346">
        <f t="shared" si="205"/>
        <v>0</v>
      </c>
      <c r="M1346">
        <f t="shared" si="206"/>
        <v>329</v>
      </c>
      <c r="N1346">
        <f t="shared" si="207"/>
        <v>0</v>
      </c>
    </row>
    <row r="1347" spans="1:14" x14ac:dyDescent="0.35">
      <c r="A1347" s="9">
        <v>1268336</v>
      </c>
      <c r="B1347" s="10">
        <v>42936</v>
      </c>
      <c r="C1347" s="11">
        <v>0.43172453703703706</v>
      </c>
      <c r="D1347" s="12">
        <v>0.44153935185185184</v>
      </c>
      <c r="E1347" s="20">
        <f t="shared" ref="E1347:E1410" si="210">D1347-C1347</f>
        <v>9.8148148148147762E-3</v>
      </c>
      <c r="F1347" t="str">
        <f t="shared" ref="F1347:F1410" si="211">IF(LEN(A1347)=7,"stacjonarny",IF(LEN(A1347)=8,"komorkowy","zagraniczny"))</f>
        <v>stacjonarny</v>
      </c>
      <c r="G1347" s="23">
        <f t="shared" si="208"/>
        <v>478282</v>
      </c>
      <c r="H1347">
        <f t="shared" si="209"/>
        <v>152139</v>
      </c>
      <c r="I1347">
        <f t="shared" ref="I1347:I1410" si="212">IF(F1347="zagraniczny",MINUTE(E1347)*60+SECOND(E1347)+HOUR(E1347)*3600,0)</f>
        <v>0</v>
      </c>
      <c r="J1347">
        <f t="shared" ref="J1347:J1410" si="213">ROUNDUP(I1347/60,0)</f>
        <v>0</v>
      </c>
      <c r="K1347">
        <f t="shared" ref="K1347:K1410" si="214">G1347+H1347</f>
        <v>630421</v>
      </c>
      <c r="L1347">
        <f t="shared" ref="L1347:L1410" si="215">IF(K1347&lt;=48000,1,0)</f>
        <v>0</v>
      </c>
      <c r="M1347">
        <f t="shared" ref="M1347:M1410" si="216">IF(AND(L1347=0,F1347="stacjonarny"),SECOND(E1347)+60*MINUTE(E1347),0)</f>
        <v>848</v>
      </c>
      <c r="N1347">
        <f t="shared" ref="N1347:N1410" si="217">IF(AND(L1347=0,F1347="komorkowy"),SECOND(E1347)+60*MINUTE(E1347),0)</f>
        <v>0</v>
      </c>
    </row>
    <row r="1348" spans="1:14" x14ac:dyDescent="0.35">
      <c r="A1348" s="5">
        <v>7288626</v>
      </c>
      <c r="B1348" s="6">
        <v>42936</v>
      </c>
      <c r="C1348" s="7">
        <v>0.43606481481481479</v>
      </c>
      <c r="D1348" s="8">
        <v>0.44609953703703703</v>
      </c>
      <c r="E1348" s="20">
        <f t="shared" si="210"/>
        <v>1.0034722222222237E-2</v>
      </c>
      <c r="F1348" t="str">
        <f t="shared" si="211"/>
        <v>stacjonarny</v>
      </c>
      <c r="G1348" s="23">
        <f t="shared" ref="G1348:G1411" si="218">IF(F1348="stacjonarny",MINUTE(E1348)*60+SECOND(E1348)+G1347,G1347)</f>
        <v>479149</v>
      </c>
      <c r="H1348">
        <f t="shared" ref="H1348:H1411" si="219">IF(F1348="komorkowy",MINUTE(E1348)*60+SECOND(E1348)+H1347,H1347)</f>
        <v>152139</v>
      </c>
      <c r="I1348">
        <f t="shared" si="212"/>
        <v>0</v>
      </c>
      <c r="J1348">
        <f t="shared" si="213"/>
        <v>0</v>
      </c>
      <c r="K1348">
        <f t="shared" si="214"/>
        <v>631288</v>
      </c>
      <c r="L1348">
        <f t="shared" si="215"/>
        <v>0</v>
      </c>
      <c r="M1348">
        <f t="shared" si="216"/>
        <v>867</v>
      </c>
      <c r="N1348">
        <f t="shared" si="217"/>
        <v>0</v>
      </c>
    </row>
    <row r="1349" spans="1:14" x14ac:dyDescent="0.35">
      <c r="A1349" s="9">
        <v>53117702</v>
      </c>
      <c r="B1349" s="10">
        <v>42936</v>
      </c>
      <c r="C1349" s="11">
        <v>0.44170138888888888</v>
      </c>
      <c r="D1349" s="12">
        <v>0.44903935185185184</v>
      </c>
      <c r="E1349" s="20">
        <f t="shared" si="210"/>
        <v>7.3379629629629628E-3</v>
      </c>
      <c r="F1349" t="str">
        <f t="shared" si="211"/>
        <v>komorkowy</v>
      </c>
      <c r="G1349" s="23">
        <f t="shared" si="218"/>
        <v>479149</v>
      </c>
      <c r="H1349">
        <f t="shared" si="219"/>
        <v>152773</v>
      </c>
      <c r="I1349">
        <f t="shared" si="212"/>
        <v>0</v>
      </c>
      <c r="J1349">
        <f t="shared" si="213"/>
        <v>0</v>
      </c>
      <c r="K1349">
        <f t="shared" si="214"/>
        <v>631922</v>
      </c>
      <c r="L1349">
        <f t="shared" si="215"/>
        <v>0</v>
      </c>
      <c r="M1349">
        <f t="shared" si="216"/>
        <v>0</v>
      </c>
      <c r="N1349">
        <f t="shared" si="217"/>
        <v>634</v>
      </c>
    </row>
    <row r="1350" spans="1:14" x14ac:dyDescent="0.35">
      <c r="A1350" s="5">
        <v>10201038</v>
      </c>
      <c r="B1350" s="6">
        <v>42936</v>
      </c>
      <c r="C1350" s="7">
        <v>0.44615740740740739</v>
      </c>
      <c r="D1350" s="8">
        <v>0.45019675925925928</v>
      </c>
      <c r="E1350" s="20">
        <f t="shared" si="210"/>
        <v>4.0393518518518912E-3</v>
      </c>
      <c r="F1350" t="str">
        <f t="shared" si="211"/>
        <v>komorkowy</v>
      </c>
      <c r="G1350" s="23">
        <f t="shared" si="218"/>
        <v>479149</v>
      </c>
      <c r="H1350">
        <f t="shared" si="219"/>
        <v>153122</v>
      </c>
      <c r="I1350">
        <f t="shared" si="212"/>
        <v>0</v>
      </c>
      <c r="J1350">
        <f t="shared" si="213"/>
        <v>0</v>
      </c>
      <c r="K1350">
        <f t="shared" si="214"/>
        <v>632271</v>
      </c>
      <c r="L1350">
        <f t="shared" si="215"/>
        <v>0</v>
      </c>
      <c r="M1350">
        <f t="shared" si="216"/>
        <v>0</v>
      </c>
      <c r="N1350">
        <f t="shared" si="217"/>
        <v>349</v>
      </c>
    </row>
    <row r="1351" spans="1:14" x14ac:dyDescent="0.35">
      <c r="A1351" s="9">
        <v>4738129</v>
      </c>
      <c r="B1351" s="10">
        <v>42936</v>
      </c>
      <c r="C1351" s="11">
        <v>0.4503935185185185</v>
      </c>
      <c r="D1351" s="12">
        <v>0.46037037037037037</v>
      </c>
      <c r="E1351" s="20">
        <f t="shared" si="210"/>
        <v>9.9768518518518756E-3</v>
      </c>
      <c r="F1351" t="str">
        <f t="shared" si="211"/>
        <v>stacjonarny</v>
      </c>
      <c r="G1351" s="23">
        <f t="shared" si="218"/>
        <v>480011</v>
      </c>
      <c r="H1351">
        <f t="shared" si="219"/>
        <v>153122</v>
      </c>
      <c r="I1351">
        <f t="shared" si="212"/>
        <v>0</v>
      </c>
      <c r="J1351">
        <f t="shared" si="213"/>
        <v>0</v>
      </c>
      <c r="K1351">
        <f t="shared" si="214"/>
        <v>633133</v>
      </c>
      <c r="L1351">
        <f t="shared" si="215"/>
        <v>0</v>
      </c>
      <c r="M1351">
        <f t="shared" si="216"/>
        <v>862</v>
      </c>
      <c r="N1351">
        <f t="shared" si="217"/>
        <v>0</v>
      </c>
    </row>
    <row r="1352" spans="1:14" x14ac:dyDescent="0.35">
      <c r="A1352" s="5">
        <v>3153023</v>
      </c>
      <c r="B1352" s="6">
        <v>42936</v>
      </c>
      <c r="C1352" s="7">
        <v>0.45503472222222224</v>
      </c>
      <c r="D1352" s="8">
        <v>0.45876157407407409</v>
      </c>
      <c r="E1352" s="20">
        <f t="shared" si="210"/>
        <v>3.7268518518518423E-3</v>
      </c>
      <c r="F1352" t="str">
        <f t="shared" si="211"/>
        <v>stacjonarny</v>
      </c>
      <c r="G1352" s="23">
        <f t="shared" si="218"/>
        <v>480333</v>
      </c>
      <c r="H1352">
        <f t="shared" si="219"/>
        <v>153122</v>
      </c>
      <c r="I1352">
        <f t="shared" si="212"/>
        <v>0</v>
      </c>
      <c r="J1352">
        <f t="shared" si="213"/>
        <v>0</v>
      </c>
      <c r="K1352">
        <f t="shared" si="214"/>
        <v>633455</v>
      </c>
      <c r="L1352">
        <f t="shared" si="215"/>
        <v>0</v>
      </c>
      <c r="M1352">
        <f t="shared" si="216"/>
        <v>322</v>
      </c>
      <c r="N1352">
        <f t="shared" si="217"/>
        <v>0</v>
      </c>
    </row>
    <row r="1353" spans="1:14" x14ac:dyDescent="0.35">
      <c r="A1353" s="9">
        <v>1747389</v>
      </c>
      <c r="B1353" s="10">
        <v>42936</v>
      </c>
      <c r="C1353" s="11">
        <v>0.45795138888888887</v>
      </c>
      <c r="D1353" s="12">
        <v>0.46004629629629629</v>
      </c>
      <c r="E1353" s="20">
        <f t="shared" si="210"/>
        <v>2.0949074074074203E-3</v>
      </c>
      <c r="F1353" t="str">
        <f t="shared" si="211"/>
        <v>stacjonarny</v>
      </c>
      <c r="G1353" s="23">
        <f t="shared" si="218"/>
        <v>480514</v>
      </c>
      <c r="H1353">
        <f t="shared" si="219"/>
        <v>153122</v>
      </c>
      <c r="I1353">
        <f t="shared" si="212"/>
        <v>0</v>
      </c>
      <c r="J1353">
        <f t="shared" si="213"/>
        <v>0</v>
      </c>
      <c r="K1353">
        <f t="shared" si="214"/>
        <v>633636</v>
      </c>
      <c r="L1353">
        <f t="shared" si="215"/>
        <v>0</v>
      </c>
      <c r="M1353">
        <f t="shared" si="216"/>
        <v>181</v>
      </c>
      <c r="N1353">
        <f t="shared" si="217"/>
        <v>0</v>
      </c>
    </row>
    <row r="1354" spans="1:14" x14ac:dyDescent="0.35">
      <c r="A1354" s="5">
        <v>5526425146</v>
      </c>
      <c r="B1354" s="6">
        <v>42936</v>
      </c>
      <c r="C1354" s="7">
        <v>0.46164351851851854</v>
      </c>
      <c r="D1354" s="8">
        <v>0.46197916666666666</v>
      </c>
      <c r="E1354" s="20">
        <f t="shared" si="210"/>
        <v>3.356481481481266E-4</v>
      </c>
      <c r="F1354" t="str">
        <f t="shared" si="211"/>
        <v>zagraniczny</v>
      </c>
      <c r="G1354" s="23">
        <f t="shared" si="218"/>
        <v>480514</v>
      </c>
      <c r="H1354">
        <f t="shared" si="219"/>
        <v>153122</v>
      </c>
      <c r="I1354">
        <f t="shared" si="212"/>
        <v>29</v>
      </c>
      <c r="J1354">
        <f t="shared" si="213"/>
        <v>1</v>
      </c>
      <c r="K1354">
        <f t="shared" si="214"/>
        <v>633636</v>
      </c>
      <c r="L1354">
        <f t="shared" si="215"/>
        <v>0</v>
      </c>
      <c r="M1354">
        <f t="shared" si="216"/>
        <v>0</v>
      </c>
      <c r="N1354">
        <f t="shared" si="217"/>
        <v>0</v>
      </c>
    </row>
    <row r="1355" spans="1:14" x14ac:dyDescent="0.35">
      <c r="A1355" s="9">
        <v>93050839</v>
      </c>
      <c r="B1355" s="10">
        <v>42936</v>
      </c>
      <c r="C1355" s="11">
        <v>0.46225694444444443</v>
      </c>
      <c r="D1355" s="12">
        <v>0.46591435185185187</v>
      </c>
      <c r="E1355" s="20">
        <f t="shared" si="210"/>
        <v>3.6574074074074425E-3</v>
      </c>
      <c r="F1355" t="str">
        <f t="shared" si="211"/>
        <v>komorkowy</v>
      </c>
      <c r="G1355" s="23">
        <f t="shared" si="218"/>
        <v>480514</v>
      </c>
      <c r="H1355">
        <f t="shared" si="219"/>
        <v>153438</v>
      </c>
      <c r="I1355">
        <f t="shared" si="212"/>
        <v>0</v>
      </c>
      <c r="J1355">
        <f t="shared" si="213"/>
        <v>0</v>
      </c>
      <c r="K1355">
        <f t="shared" si="214"/>
        <v>633952</v>
      </c>
      <c r="L1355">
        <f t="shared" si="215"/>
        <v>0</v>
      </c>
      <c r="M1355">
        <f t="shared" si="216"/>
        <v>0</v>
      </c>
      <c r="N1355">
        <f t="shared" si="217"/>
        <v>316</v>
      </c>
    </row>
    <row r="1356" spans="1:14" x14ac:dyDescent="0.35">
      <c r="A1356" s="5">
        <v>1288318920</v>
      </c>
      <c r="B1356" s="6">
        <v>42936</v>
      </c>
      <c r="C1356" s="7">
        <v>0.46606481481481482</v>
      </c>
      <c r="D1356" s="8">
        <v>0.47375</v>
      </c>
      <c r="E1356" s="20">
        <f t="shared" si="210"/>
        <v>7.6851851851851838E-3</v>
      </c>
      <c r="F1356" t="str">
        <f t="shared" si="211"/>
        <v>zagraniczny</v>
      </c>
      <c r="G1356" s="23">
        <f t="shared" si="218"/>
        <v>480514</v>
      </c>
      <c r="H1356">
        <f t="shared" si="219"/>
        <v>153438</v>
      </c>
      <c r="I1356">
        <f t="shared" si="212"/>
        <v>664</v>
      </c>
      <c r="J1356">
        <f t="shared" si="213"/>
        <v>12</v>
      </c>
      <c r="K1356">
        <f t="shared" si="214"/>
        <v>633952</v>
      </c>
      <c r="L1356">
        <f t="shared" si="215"/>
        <v>0</v>
      </c>
      <c r="M1356">
        <f t="shared" si="216"/>
        <v>0</v>
      </c>
      <c r="N1356">
        <f t="shared" si="217"/>
        <v>0</v>
      </c>
    </row>
    <row r="1357" spans="1:14" x14ac:dyDescent="0.35">
      <c r="A1357" s="9">
        <v>5613566</v>
      </c>
      <c r="B1357" s="10">
        <v>42936</v>
      </c>
      <c r="C1357" s="11">
        <v>0.47105324074074073</v>
      </c>
      <c r="D1357" s="12">
        <v>0.47146990740740741</v>
      </c>
      <c r="E1357" s="20">
        <f t="shared" si="210"/>
        <v>4.1666666666667629E-4</v>
      </c>
      <c r="F1357" t="str">
        <f t="shared" si="211"/>
        <v>stacjonarny</v>
      </c>
      <c r="G1357" s="23">
        <f t="shared" si="218"/>
        <v>480550</v>
      </c>
      <c r="H1357">
        <f t="shared" si="219"/>
        <v>153438</v>
      </c>
      <c r="I1357">
        <f t="shared" si="212"/>
        <v>0</v>
      </c>
      <c r="J1357">
        <f t="shared" si="213"/>
        <v>0</v>
      </c>
      <c r="K1357">
        <f t="shared" si="214"/>
        <v>633988</v>
      </c>
      <c r="L1357">
        <f t="shared" si="215"/>
        <v>0</v>
      </c>
      <c r="M1357">
        <f t="shared" si="216"/>
        <v>36</v>
      </c>
      <c r="N1357">
        <f t="shared" si="217"/>
        <v>0</v>
      </c>
    </row>
    <row r="1358" spans="1:14" x14ac:dyDescent="0.35">
      <c r="A1358" s="5">
        <v>2406196</v>
      </c>
      <c r="B1358" s="6">
        <v>42936</v>
      </c>
      <c r="C1358" s="7">
        <v>0.47244212962962961</v>
      </c>
      <c r="D1358" s="8">
        <v>0.48127314814814814</v>
      </c>
      <c r="E1358" s="20">
        <f t="shared" si="210"/>
        <v>8.8310185185185297E-3</v>
      </c>
      <c r="F1358" t="str">
        <f t="shared" si="211"/>
        <v>stacjonarny</v>
      </c>
      <c r="G1358" s="23">
        <f t="shared" si="218"/>
        <v>481313</v>
      </c>
      <c r="H1358">
        <f t="shared" si="219"/>
        <v>153438</v>
      </c>
      <c r="I1358">
        <f t="shared" si="212"/>
        <v>0</v>
      </c>
      <c r="J1358">
        <f t="shared" si="213"/>
        <v>0</v>
      </c>
      <c r="K1358">
        <f t="shared" si="214"/>
        <v>634751</v>
      </c>
      <c r="L1358">
        <f t="shared" si="215"/>
        <v>0</v>
      </c>
      <c r="M1358">
        <f t="shared" si="216"/>
        <v>763</v>
      </c>
      <c r="N1358">
        <f t="shared" si="217"/>
        <v>0</v>
      </c>
    </row>
    <row r="1359" spans="1:14" x14ac:dyDescent="0.35">
      <c r="A1359" s="9">
        <v>9046365</v>
      </c>
      <c r="B1359" s="10">
        <v>42936</v>
      </c>
      <c r="C1359" s="11">
        <v>0.47531250000000003</v>
      </c>
      <c r="D1359" s="12">
        <v>0.47684027777777777</v>
      </c>
      <c r="E1359" s="20">
        <f t="shared" si="210"/>
        <v>1.527777777777739E-3</v>
      </c>
      <c r="F1359" t="str">
        <f t="shared" si="211"/>
        <v>stacjonarny</v>
      </c>
      <c r="G1359" s="23">
        <f t="shared" si="218"/>
        <v>481445</v>
      </c>
      <c r="H1359">
        <f t="shared" si="219"/>
        <v>153438</v>
      </c>
      <c r="I1359">
        <f t="shared" si="212"/>
        <v>0</v>
      </c>
      <c r="J1359">
        <f t="shared" si="213"/>
        <v>0</v>
      </c>
      <c r="K1359">
        <f t="shared" si="214"/>
        <v>634883</v>
      </c>
      <c r="L1359">
        <f t="shared" si="215"/>
        <v>0</v>
      </c>
      <c r="M1359">
        <f t="shared" si="216"/>
        <v>132</v>
      </c>
      <c r="N1359">
        <f t="shared" si="217"/>
        <v>0</v>
      </c>
    </row>
    <row r="1360" spans="1:14" x14ac:dyDescent="0.35">
      <c r="A1360" s="5">
        <v>5019634</v>
      </c>
      <c r="B1360" s="6">
        <v>42936</v>
      </c>
      <c r="C1360" s="7">
        <v>0.48032407407407407</v>
      </c>
      <c r="D1360" s="8">
        <v>0.4916550925925926</v>
      </c>
      <c r="E1360" s="20">
        <f t="shared" si="210"/>
        <v>1.1331018518518532E-2</v>
      </c>
      <c r="F1360" t="str">
        <f t="shared" si="211"/>
        <v>stacjonarny</v>
      </c>
      <c r="G1360" s="23">
        <f t="shared" si="218"/>
        <v>482424</v>
      </c>
      <c r="H1360">
        <f t="shared" si="219"/>
        <v>153438</v>
      </c>
      <c r="I1360">
        <f t="shared" si="212"/>
        <v>0</v>
      </c>
      <c r="J1360">
        <f t="shared" si="213"/>
        <v>0</v>
      </c>
      <c r="K1360">
        <f t="shared" si="214"/>
        <v>635862</v>
      </c>
      <c r="L1360">
        <f t="shared" si="215"/>
        <v>0</v>
      </c>
      <c r="M1360">
        <f t="shared" si="216"/>
        <v>979</v>
      </c>
      <c r="N1360">
        <f t="shared" si="217"/>
        <v>0</v>
      </c>
    </row>
    <row r="1361" spans="1:14" x14ac:dyDescent="0.35">
      <c r="A1361" s="9">
        <v>90993861</v>
      </c>
      <c r="B1361" s="10">
        <v>42936</v>
      </c>
      <c r="C1361" s="11">
        <v>0.48280092592592594</v>
      </c>
      <c r="D1361" s="12">
        <v>0.48798611111111112</v>
      </c>
      <c r="E1361" s="20">
        <f t="shared" si="210"/>
        <v>5.1851851851851816E-3</v>
      </c>
      <c r="F1361" t="str">
        <f t="shared" si="211"/>
        <v>komorkowy</v>
      </c>
      <c r="G1361" s="23">
        <f t="shared" si="218"/>
        <v>482424</v>
      </c>
      <c r="H1361">
        <f t="shared" si="219"/>
        <v>153886</v>
      </c>
      <c r="I1361">
        <f t="shared" si="212"/>
        <v>0</v>
      </c>
      <c r="J1361">
        <f t="shared" si="213"/>
        <v>0</v>
      </c>
      <c r="K1361">
        <f t="shared" si="214"/>
        <v>636310</v>
      </c>
      <c r="L1361">
        <f t="shared" si="215"/>
        <v>0</v>
      </c>
      <c r="M1361">
        <f t="shared" si="216"/>
        <v>0</v>
      </c>
      <c r="N1361">
        <f t="shared" si="217"/>
        <v>448</v>
      </c>
    </row>
    <row r="1362" spans="1:14" x14ac:dyDescent="0.35">
      <c r="A1362" s="5">
        <v>4034491</v>
      </c>
      <c r="B1362" s="6">
        <v>42936</v>
      </c>
      <c r="C1362" s="7">
        <v>0.48813657407407407</v>
      </c>
      <c r="D1362" s="8">
        <v>0.49116898148148147</v>
      </c>
      <c r="E1362" s="20">
        <f t="shared" si="210"/>
        <v>3.0324074074074003E-3</v>
      </c>
      <c r="F1362" t="str">
        <f t="shared" si="211"/>
        <v>stacjonarny</v>
      </c>
      <c r="G1362" s="23">
        <f t="shared" si="218"/>
        <v>482686</v>
      </c>
      <c r="H1362">
        <f t="shared" si="219"/>
        <v>153886</v>
      </c>
      <c r="I1362">
        <f t="shared" si="212"/>
        <v>0</v>
      </c>
      <c r="J1362">
        <f t="shared" si="213"/>
        <v>0</v>
      </c>
      <c r="K1362">
        <f t="shared" si="214"/>
        <v>636572</v>
      </c>
      <c r="L1362">
        <f t="shared" si="215"/>
        <v>0</v>
      </c>
      <c r="M1362">
        <f t="shared" si="216"/>
        <v>262</v>
      </c>
      <c r="N1362">
        <f t="shared" si="217"/>
        <v>0</v>
      </c>
    </row>
    <row r="1363" spans="1:14" x14ac:dyDescent="0.35">
      <c r="A1363" s="9">
        <v>57395204</v>
      </c>
      <c r="B1363" s="10">
        <v>42936</v>
      </c>
      <c r="C1363" s="11">
        <v>0.49015046296296294</v>
      </c>
      <c r="D1363" s="12">
        <v>0.49456018518518519</v>
      </c>
      <c r="E1363" s="20">
        <f t="shared" si="210"/>
        <v>4.4097222222222454E-3</v>
      </c>
      <c r="F1363" t="str">
        <f t="shared" si="211"/>
        <v>komorkowy</v>
      </c>
      <c r="G1363" s="23">
        <f t="shared" si="218"/>
        <v>482686</v>
      </c>
      <c r="H1363">
        <f t="shared" si="219"/>
        <v>154267</v>
      </c>
      <c r="I1363">
        <f t="shared" si="212"/>
        <v>0</v>
      </c>
      <c r="J1363">
        <f t="shared" si="213"/>
        <v>0</v>
      </c>
      <c r="K1363">
        <f t="shared" si="214"/>
        <v>636953</v>
      </c>
      <c r="L1363">
        <f t="shared" si="215"/>
        <v>0</v>
      </c>
      <c r="M1363">
        <f t="shared" si="216"/>
        <v>0</v>
      </c>
      <c r="N1363">
        <f t="shared" si="217"/>
        <v>381</v>
      </c>
    </row>
    <row r="1364" spans="1:14" x14ac:dyDescent="0.35">
      <c r="A1364" s="5">
        <v>9156106</v>
      </c>
      <c r="B1364" s="6">
        <v>42936</v>
      </c>
      <c r="C1364" s="7">
        <v>0.49103009259259262</v>
      </c>
      <c r="D1364" s="8">
        <v>0.4937037037037037</v>
      </c>
      <c r="E1364" s="20">
        <f t="shared" si="210"/>
        <v>2.673611111111085E-3</v>
      </c>
      <c r="F1364" t="str">
        <f t="shared" si="211"/>
        <v>stacjonarny</v>
      </c>
      <c r="G1364" s="23">
        <f t="shared" si="218"/>
        <v>482917</v>
      </c>
      <c r="H1364">
        <f t="shared" si="219"/>
        <v>154267</v>
      </c>
      <c r="I1364">
        <f t="shared" si="212"/>
        <v>0</v>
      </c>
      <c r="J1364">
        <f t="shared" si="213"/>
        <v>0</v>
      </c>
      <c r="K1364">
        <f t="shared" si="214"/>
        <v>637184</v>
      </c>
      <c r="L1364">
        <f t="shared" si="215"/>
        <v>0</v>
      </c>
      <c r="M1364">
        <f t="shared" si="216"/>
        <v>231</v>
      </c>
      <c r="N1364">
        <f t="shared" si="217"/>
        <v>0</v>
      </c>
    </row>
    <row r="1365" spans="1:14" x14ac:dyDescent="0.35">
      <c r="A1365" s="9">
        <v>7076463</v>
      </c>
      <c r="B1365" s="10">
        <v>42936</v>
      </c>
      <c r="C1365" s="11">
        <v>0.49519675925925927</v>
      </c>
      <c r="D1365" s="12">
        <v>0.49532407407407408</v>
      </c>
      <c r="E1365" s="20">
        <f t="shared" si="210"/>
        <v>1.2731481481481621E-4</v>
      </c>
      <c r="F1365" t="str">
        <f t="shared" si="211"/>
        <v>stacjonarny</v>
      </c>
      <c r="G1365" s="23">
        <f t="shared" si="218"/>
        <v>482928</v>
      </c>
      <c r="H1365">
        <f t="shared" si="219"/>
        <v>154267</v>
      </c>
      <c r="I1365">
        <f t="shared" si="212"/>
        <v>0</v>
      </c>
      <c r="J1365">
        <f t="shared" si="213"/>
        <v>0</v>
      </c>
      <c r="K1365">
        <f t="shared" si="214"/>
        <v>637195</v>
      </c>
      <c r="L1365">
        <f t="shared" si="215"/>
        <v>0</v>
      </c>
      <c r="M1365">
        <f t="shared" si="216"/>
        <v>11</v>
      </c>
      <c r="N1365">
        <f t="shared" si="217"/>
        <v>0</v>
      </c>
    </row>
    <row r="1366" spans="1:14" x14ac:dyDescent="0.35">
      <c r="A1366" s="5">
        <v>3136675</v>
      </c>
      <c r="B1366" s="6">
        <v>42936</v>
      </c>
      <c r="C1366" s="7">
        <v>0.49833333333333335</v>
      </c>
      <c r="D1366" s="8">
        <v>0.50942129629629629</v>
      </c>
      <c r="E1366" s="20">
        <f t="shared" si="210"/>
        <v>1.1087962962962938E-2</v>
      </c>
      <c r="F1366" t="str">
        <f t="shared" si="211"/>
        <v>stacjonarny</v>
      </c>
      <c r="G1366" s="23">
        <f t="shared" si="218"/>
        <v>483886</v>
      </c>
      <c r="H1366">
        <f t="shared" si="219"/>
        <v>154267</v>
      </c>
      <c r="I1366">
        <f t="shared" si="212"/>
        <v>0</v>
      </c>
      <c r="J1366">
        <f t="shared" si="213"/>
        <v>0</v>
      </c>
      <c r="K1366">
        <f t="shared" si="214"/>
        <v>638153</v>
      </c>
      <c r="L1366">
        <f t="shared" si="215"/>
        <v>0</v>
      </c>
      <c r="M1366">
        <f t="shared" si="216"/>
        <v>958</v>
      </c>
      <c r="N1366">
        <f t="shared" si="217"/>
        <v>0</v>
      </c>
    </row>
    <row r="1367" spans="1:14" x14ac:dyDescent="0.35">
      <c r="A1367" s="9">
        <v>7826456</v>
      </c>
      <c r="B1367" s="10">
        <v>42936</v>
      </c>
      <c r="C1367" s="11">
        <v>0.50298611111111113</v>
      </c>
      <c r="D1367" s="12">
        <v>0.50312500000000004</v>
      </c>
      <c r="E1367" s="20">
        <f t="shared" si="210"/>
        <v>1.388888888889106E-4</v>
      </c>
      <c r="F1367" t="str">
        <f t="shared" si="211"/>
        <v>stacjonarny</v>
      </c>
      <c r="G1367" s="23">
        <f t="shared" si="218"/>
        <v>483898</v>
      </c>
      <c r="H1367">
        <f t="shared" si="219"/>
        <v>154267</v>
      </c>
      <c r="I1367">
        <f t="shared" si="212"/>
        <v>0</v>
      </c>
      <c r="J1367">
        <f t="shared" si="213"/>
        <v>0</v>
      </c>
      <c r="K1367">
        <f t="shared" si="214"/>
        <v>638165</v>
      </c>
      <c r="L1367">
        <f t="shared" si="215"/>
        <v>0</v>
      </c>
      <c r="M1367">
        <f t="shared" si="216"/>
        <v>12</v>
      </c>
      <c r="N1367">
        <f t="shared" si="217"/>
        <v>0</v>
      </c>
    </row>
    <row r="1368" spans="1:14" x14ac:dyDescent="0.35">
      <c r="A1368" s="5">
        <v>4094662</v>
      </c>
      <c r="B1368" s="6">
        <v>42936</v>
      </c>
      <c r="C1368" s="7">
        <v>0.50581018518518517</v>
      </c>
      <c r="D1368" s="8">
        <v>0.51442129629629629</v>
      </c>
      <c r="E1368" s="20">
        <f t="shared" si="210"/>
        <v>8.6111111111111249E-3</v>
      </c>
      <c r="F1368" t="str">
        <f t="shared" si="211"/>
        <v>stacjonarny</v>
      </c>
      <c r="G1368" s="23">
        <f t="shared" si="218"/>
        <v>484642</v>
      </c>
      <c r="H1368">
        <f t="shared" si="219"/>
        <v>154267</v>
      </c>
      <c r="I1368">
        <f t="shared" si="212"/>
        <v>0</v>
      </c>
      <c r="J1368">
        <f t="shared" si="213"/>
        <v>0</v>
      </c>
      <c r="K1368">
        <f t="shared" si="214"/>
        <v>638909</v>
      </c>
      <c r="L1368">
        <f t="shared" si="215"/>
        <v>0</v>
      </c>
      <c r="M1368">
        <f t="shared" si="216"/>
        <v>744</v>
      </c>
      <c r="N1368">
        <f t="shared" si="217"/>
        <v>0</v>
      </c>
    </row>
    <row r="1369" spans="1:14" x14ac:dyDescent="0.35">
      <c r="A1369" s="9">
        <v>3134379</v>
      </c>
      <c r="B1369" s="10">
        <v>42936</v>
      </c>
      <c r="C1369" s="11">
        <v>0.508275462962963</v>
      </c>
      <c r="D1369" s="12">
        <v>0.51652777777777781</v>
      </c>
      <c r="E1369" s="20">
        <f t="shared" si="210"/>
        <v>8.2523148148148096E-3</v>
      </c>
      <c r="F1369" t="str">
        <f t="shared" si="211"/>
        <v>stacjonarny</v>
      </c>
      <c r="G1369" s="23">
        <f t="shared" si="218"/>
        <v>485355</v>
      </c>
      <c r="H1369">
        <f t="shared" si="219"/>
        <v>154267</v>
      </c>
      <c r="I1369">
        <f t="shared" si="212"/>
        <v>0</v>
      </c>
      <c r="J1369">
        <f t="shared" si="213"/>
        <v>0</v>
      </c>
      <c r="K1369">
        <f t="shared" si="214"/>
        <v>639622</v>
      </c>
      <c r="L1369">
        <f t="shared" si="215"/>
        <v>0</v>
      </c>
      <c r="M1369">
        <f t="shared" si="216"/>
        <v>713</v>
      </c>
      <c r="N1369">
        <f t="shared" si="217"/>
        <v>0</v>
      </c>
    </row>
    <row r="1370" spans="1:14" x14ac:dyDescent="0.35">
      <c r="A1370" s="5">
        <v>1119016</v>
      </c>
      <c r="B1370" s="6">
        <v>42936</v>
      </c>
      <c r="C1370" s="7">
        <v>0.50880787037037034</v>
      </c>
      <c r="D1370" s="8">
        <v>0.51409722222222221</v>
      </c>
      <c r="E1370" s="20">
        <f t="shared" si="210"/>
        <v>5.2893518518518645E-3</v>
      </c>
      <c r="F1370" t="str">
        <f t="shared" si="211"/>
        <v>stacjonarny</v>
      </c>
      <c r="G1370" s="23">
        <f t="shared" si="218"/>
        <v>485812</v>
      </c>
      <c r="H1370">
        <f t="shared" si="219"/>
        <v>154267</v>
      </c>
      <c r="I1370">
        <f t="shared" si="212"/>
        <v>0</v>
      </c>
      <c r="J1370">
        <f t="shared" si="213"/>
        <v>0</v>
      </c>
      <c r="K1370">
        <f t="shared" si="214"/>
        <v>640079</v>
      </c>
      <c r="L1370">
        <f t="shared" si="215"/>
        <v>0</v>
      </c>
      <c r="M1370">
        <f t="shared" si="216"/>
        <v>457</v>
      </c>
      <c r="N1370">
        <f t="shared" si="217"/>
        <v>0</v>
      </c>
    </row>
    <row r="1371" spans="1:14" x14ac:dyDescent="0.35">
      <c r="A1371" s="9">
        <v>3539762</v>
      </c>
      <c r="B1371" s="10">
        <v>42936</v>
      </c>
      <c r="C1371" s="11">
        <v>0.51028935185185187</v>
      </c>
      <c r="D1371" s="12">
        <v>0.52089120370370368</v>
      </c>
      <c r="E1371" s="20">
        <f t="shared" si="210"/>
        <v>1.0601851851851807E-2</v>
      </c>
      <c r="F1371" t="str">
        <f t="shared" si="211"/>
        <v>stacjonarny</v>
      </c>
      <c r="G1371" s="23">
        <f t="shared" si="218"/>
        <v>486728</v>
      </c>
      <c r="H1371">
        <f t="shared" si="219"/>
        <v>154267</v>
      </c>
      <c r="I1371">
        <f t="shared" si="212"/>
        <v>0</v>
      </c>
      <c r="J1371">
        <f t="shared" si="213"/>
        <v>0</v>
      </c>
      <c r="K1371">
        <f t="shared" si="214"/>
        <v>640995</v>
      </c>
      <c r="L1371">
        <f t="shared" si="215"/>
        <v>0</v>
      </c>
      <c r="M1371">
        <f t="shared" si="216"/>
        <v>916</v>
      </c>
      <c r="N1371">
        <f t="shared" si="217"/>
        <v>0</v>
      </c>
    </row>
    <row r="1372" spans="1:14" x14ac:dyDescent="0.35">
      <c r="A1372" s="5">
        <v>28601187</v>
      </c>
      <c r="B1372" s="6">
        <v>42936</v>
      </c>
      <c r="C1372" s="7">
        <v>0.51511574074074074</v>
      </c>
      <c r="D1372" s="8">
        <v>0.51787037037037043</v>
      </c>
      <c r="E1372" s="20">
        <f t="shared" si="210"/>
        <v>2.7546296296296902E-3</v>
      </c>
      <c r="F1372" t="str">
        <f t="shared" si="211"/>
        <v>komorkowy</v>
      </c>
      <c r="G1372" s="23">
        <f t="shared" si="218"/>
        <v>486728</v>
      </c>
      <c r="H1372">
        <f t="shared" si="219"/>
        <v>154505</v>
      </c>
      <c r="I1372">
        <f t="shared" si="212"/>
        <v>0</v>
      </c>
      <c r="J1372">
        <f t="shared" si="213"/>
        <v>0</v>
      </c>
      <c r="K1372">
        <f t="shared" si="214"/>
        <v>641233</v>
      </c>
      <c r="L1372">
        <f t="shared" si="215"/>
        <v>0</v>
      </c>
      <c r="M1372">
        <f t="shared" si="216"/>
        <v>0</v>
      </c>
      <c r="N1372">
        <f t="shared" si="217"/>
        <v>238</v>
      </c>
    </row>
    <row r="1373" spans="1:14" x14ac:dyDescent="0.35">
      <c r="A1373" s="9">
        <v>2841969</v>
      </c>
      <c r="B1373" s="10">
        <v>42936</v>
      </c>
      <c r="C1373" s="11">
        <v>0.51512731481481477</v>
      </c>
      <c r="D1373" s="12">
        <v>0.51556712962962958</v>
      </c>
      <c r="E1373" s="20">
        <f t="shared" si="210"/>
        <v>4.3981481481480955E-4</v>
      </c>
      <c r="F1373" t="str">
        <f t="shared" si="211"/>
        <v>stacjonarny</v>
      </c>
      <c r="G1373" s="23">
        <f t="shared" si="218"/>
        <v>486766</v>
      </c>
      <c r="H1373">
        <f t="shared" si="219"/>
        <v>154505</v>
      </c>
      <c r="I1373">
        <f t="shared" si="212"/>
        <v>0</v>
      </c>
      <c r="J1373">
        <f t="shared" si="213"/>
        <v>0</v>
      </c>
      <c r="K1373">
        <f t="shared" si="214"/>
        <v>641271</v>
      </c>
      <c r="L1373">
        <f t="shared" si="215"/>
        <v>0</v>
      </c>
      <c r="M1373">
        <f t="shared" si="216"/>
        <v>38</v>
      </c>
      <c r="N1373">
        <f t="shared" si="217"/>
        <v>0</v>
      </c>
    </row>
    <row r="1374" spans="1:14" x14ac:dyDescent="0.35">
      <c r="A1374" s="5">
        <v>57957786</v>
      </c>
      <c r="B1374" s="6">
        <v>42936</v>
      </c>
      <c r="C1374" s="7">
        <v>0.51928240740740739</v>
      </c>
      <c r="D1374" s="8">
        <v>0.53030092592592593</v>
      </c>
      <c r="E1374" s="20">
        <f t="shared" si="210"/>
        <v>1.1018518518518539E-2</v>
      </c>
      <c r="F1374" t="str">
        <f t="shared" si="211"/>
        <v>komorkowy</v>
      </c>
      <c r="G1374" s="23">
        <f t="shared" si="218"/>
        <v>486766</v>
      </c>
      <c r="H1374">
        <f t="shared" si="219"/>
        <v>155457</v>
      </c>
      <c r="I1374">
        <f t="shared" si="212"/>
        <v>0</v>
      </c>
      <c r="J1374">
        <f t="shared" si="213"/>
        <v>0</v>
      </c>
      <c r="K1374">
        <f t="shared" si="214"/>
        <v>642223</v>
      </c>
      <c r="L1374">
        <f t="shared" si="215"/>
        <v>0</v>
      </c>
      <c r="M1374">
        <f t="shared" si="216"/>
        <v>0</v>
      </c>
      <c r="N1374">
        <f t="shared" si="217"/>
        <v>952</v>
      </c>
    </row>
    <row r="1375" spans="1:14" x14ac:dyDescent="0.35">
      <c r="A1375" s="9">
        <v>6068132</v>
      </c>
      <c r="B1375" s="10">
        <v>42936</v>
      </c>
      <c r="C1375" s="11">
        <v>0.52225694444444448</v>
      </c>
      <c r="D1375" s="12">
        <v>0.5236574074074074</v>
      </c>
      <c r="E1375" s="20">
        <f t="shared" si="210"/>
        <v>1.4004629629629228E-3</v>
      </c>
      <c r="F1375" t="str">
        <f t="shared" si="211"/>
        <v>stacjonarny</v>
      </c>
      <c r="G1375" s="23">
        <f t="shared" si="218"/>
        <v>486887</v>
      </c>
      <c r="H1375">
        <f t="shared" si="219"/>
        <v>155457</v>
      </c>
      <c r="I1375">
        <f t="shared" si="212"/>
        <v>0</v>
      </c>
      <c r="J1375">
        <f t="shared" si="213"/>
        <v>0</v>
      </c>
      <c r="K1375">
        <f t="shared" si="214"/>
        <v>642344</v>
      </c>
      <c r="L1375">
        <f t="shared" si="215"/>
        <v>0</v>
      </c>
      <c r="M1375">
        <f t="shared" si="216"/>
        <v>121</v>
      </c>
      <c r="N1375">
        <f t="shared" si="217"/>
        <v>0</v>
      </c>
    </row>
    <row r="1376" spans="1:14" x14ac:dyDescent="0.35">
      <c r="A1376" s="5">
        <v>8195842</v>
      </c>
      <c r="B1376" s="6">
        <v>42936</v>
      </c>
      <c r="C1376" s="7">
        <v>0.52240740740740743</v>
      </c>
      <c r="D1376" s="8">
        <v>0.53074074074074074</v>
      </c>
      <c r="E1376" s="20">
        <f t="shared" si="210"/>
        <v>8.3333333333333037E-3</v>
      </c>
      <c r="F1376" t="str">
        <f t="shared" si="211"/>
        <v>stacjonarny</v>
      </c>
      <c r="G1376" s="23">
        <f t="shared" si="218"/>
        <v>487607</v>
      </c>
      <c r="H1376">
        <f t="shared" si="219"/>
        <v>155457</v>
      </c>
      <c r="I1376">
        <f t="shared" si="212"/>
        <v>0</v>
      </c>
      <c r="J1376">
        <f t="shared" si="213"/>
        <v>0</v>
      </c>
      <c r="K1376">
        <f t="shared" si="214"/>
        <v>643064</v>
      </c>
      <c r="L1376">
        <f t="shared" si="215"/>
        <v>0</v>
      </c>
      <c r="M1376">
        <f t="shared" si="216"/>
        <v>720</v>
      </c>
      <c r="N1376">
        <f t="shared" si="217"/>
        <v>0</v>
      </c>
    </row>
    <row r="1377" spans="1:14" x14ac:dyDescent="0.35">
      <c r="A1377" s="9">
        <v>98737794</v>
      </c>
      <c r="B1377" s="10">
        <v>42936</v>
      </c>
      <c r="C1377" s="11">
        <v>0.52379629629629632</v>
      </c>
      <c r="D1377" s="12">
        <v>0.52883101851851855</v>
      </c>
      <c r="E1377" s="20">
        <f t="shared" si="210"/>
        <v>5.0347222222222321E-3</v>
      </c>
      <c r="F1377" t="str">
        <f t="shared" si="211"/>
        <v>komorkowy</v>
      </c>
      <c r="G1377" s="23">
        <f t="shared" si="218"/>
        <v>487607</v>
      </c>
      <c r="H1377">
        <f t="shared" si="219"/>
        <v>155892</v>
      </c>
      <c r="I1377">
        <f t="shared" si="212"/>
        <v>0</v>
      </c>
      <c r="J1377">
        <f t="shared" si="213"/>
        <v>0</v>
      </c>
      <c r="K1377">
        <f t="shared" si="214"/>
        <v>643499</v>
      </c>
      <c r="L1377">
        <f t="shared" si="215"/>
        <v>0</v>
      </c>
      <c r="M1377">
        <f t="shared" si="216"/>
        <v>0</v>
      </c>
      <c r="N1377">
        <f t="shared" si="217"/>
        <v>435</v>
      </c>
    </row>
    <row r="1378" spans="1:14" x14ac:dyDescent="0.35">
      <c r="A1378" s="5">
        <v>6523054</v>
      </c>
      <c r="B1378" s="6">
        <v>42936</v>
      </c>
      <c r="C1378" s="7">
        <v>0.52813657407407411</v>
      </c>
      <c r="D1378" s="8">
        <v>0.53877314814814814</v>
      </c>
      <c r="E1378" s="20">
        <f t="shared" si="210"/>
        <v>1.0636574074074034E-2</v>
      </c>
      <c r="F1378" t="str">
        <f t="shared" si="211"/>
        <v>stacjonarny</v>
      </c>
      <c r="G1378" s="23">
        <f t="shared" si="218"/>
        <v>488526</v>
      </c>
      <c r="H1378">
        <f t="shared" si="219"/>
        <v>155892</v>
      </c>
      <c r="I1378">
        <f t="shared" si="212"/>
        <v>0</v>
      </c>
      <c r="J1378">
        <f t="shared" si="213"/>
        <v>0</v>
      </c>
      <c r="K1378">
        <f t="shared" si="214"/>
        <v>644418</v>
      </c>
      <c r="L1378">
        <f t="shared" si="215"/>
        <v>0</v>
      </c>
      <c r="M1378">
        <f t="shared" si="216"/>
        <v>919</v>
      </c>
      <c r="N1378">
        <f t="shared" si="217"/>
        <v>0</v>
      </c>
    </row>
    <row r="1379" spans="1:14" x14ac:dyDescent="0.35">
      <c r="A1379" s="9">
        <v>26895957</v>
      </c>
      <c r="B1379" s="10">
        <v>42936</v>
      </c>
      <c r="C1379" s="11">
        <v>0.53083333333333338</v>
      </c>
      <c r="D1379" s="12">
        <v>0.53511574074074075</v>
      </c>
      <c r="E1379" s="20">
        <f t="shared" si="210"/>
        <v>4.2824074074073737E-3</v>
      </c>
      <c r="F1379" t="str">
        <f t="shared" si="211"/>
        <v>komorkowy</v>
      </c>
      <c r="G1379" s="23">
        <f t="shared" si="218"/>
        <v>488526</v>
      </c>
      <c r="H1379">
        <f t="shared" si="219"/>
        <v>156262</v>
      </c>
      <c r="I1379">
        <f t="shared" si="212"/>
        <v>0</v>
      </c>
      <c r="J1379">
        <f t="shared" si="213"/>
        <v>0</v>
      </c>
      <c r="K1379">
        <f t="shared" si="214"/>
        <v>644788</v>
      </c>
      <c r="L1379">
        <f t="shared" si="215"/>
        <v>0</v>
      </c>
      <c r="M1379">
        <f t="shared" si="216"/>
        <v>0</v>
      </c>
      <c r="N1379">
        <f t="shared" si="217"/>
        <v>370</v>
      </c>
    </row>
    <row r="1380" spans="1:14" x14ac:dyDescent="0.35">
      <c r="A1380" s="5">
        <v>5254694</v>
      </c>
      <c r="B1380" s="6">
        <v>42936</v>
      </c>
      <c r="C1380" s="7">
        <v>0.5330555555555555</v>
      </c>
      <c r="D1380" s="8">
        <v>0.54049768518518515</v>
      </c>
      <c r="E1380" s="20">
        <f t="shared" si="210"/>
        <v>7.4421296296296457E-3</v>
      </c>
      <c r="F1380" t="str">
        <f t="shared" si="211"/>
        <v>stacjonarny</v>
      </c>
      <c r="G1380" s="23">
        <f t="shared" si="218"/>
        <v>489169</v>
      </c>
      <c r="H1380">
        <f t="shared" si="219"/>
        <v>156262</v>
      </c>
      <c r="I1380">
        <f t="shared" si="212"/>
        <v>0</v>
      </c>
      <c r="J1380">
        <f t="shared" si="213"/>
        <v>0</v>
      </c>
      <c r="K1380">
        <f t="shared" si="214"/>
        <v>645431</v>
      </c>
      <c r="L1380">
        <f t="shared" si="215"/>
        <v>0</v>
      </c>
      <c r="M1380">
        <f t="shared" si="216"/>
        <v>643</v>
      </c>
      <c r="N1380">
        <f t="shared" si="217"/>
        <v>0</v>
      </c>
    </row>
    <row r="1381" spans="1:14" x14ac:dyDescent="0.35">
      <c r="A1381" s="9">
        <v>3979680</v>
      </c>
      <c r="B1381" s="10">
        <v>42936</v>
      </c>
      <c r="C1381" s="11">
        <v>0.53820601851851857</v>
      </c>
      <c r="D1381" s="12">
        <v>0.54369212962962965</v>
      </c>
      <c r="E1381" s="20">
        <f t="shared" si="210"/>
        <v>5.4861111111110805E-3</v>
      </c>
      <c r="F1381" t="str">
        <f t="shared" si="211"/>
        <v>stacjonarny</v>
      </c>
      <c r="G1381" s="23">
        <f t="shared" si="218"/>
        <v>489643</v>
      </c>
      <c r="H1381">
        <f t="shared" si="219"/>
        <v>156262</v>
      </c>
      <c r="I1381">
        <f t="shared" si="212"/>
        <v>0</v>
      </c>
      <c r="J1381">
        <f t="shared" si="213"/>
        <v>0</v>
      </c>
      <c r="K1381">
        <f t="shared" si="214"/>
        <v>645905</v>
      </c>
      <c r="L1381">
        <f t="shared" si="215"/>
        <v>0</v>
      </c>
      <c r="M1381">
        <f t="shared" si="216"/>
        <v>474</v>
      </c>
      <c r="N1381">
        <f t="shared" si="217"/>
        <v>0</v>
      </c>
    </row>
    <row r="1382" spans="1:14" x14ac:dyDescent="0.35">
      <c r="A1382" s="5">
        <v>96424596</v>
      </c>
      <c r="B1382" s="6">
        <v>42936</v>
      </c>
      <c r="C1382" s="7">
        <v>0.53964120370370372</v>
      </c>
      <c r="D1382" s="8">
        <v>0.54423611111111114</v>
      </c>
      <c r="E1382" s="20">
        <f t="shared" si="210"/>
        <v>4.5949074074074225E-3</v>
      </c>
      <c r="F1382" t="str">
        <f t="shared" si="211"/>
        <v>komorkowy</v>
      </c>
      <c r="G1382" s="23">
        <f t="shared" si="218"/>
        <v>489643</v>
      </c>
      <c r="H1382">
        <f t="shared" si="219"/>
        <v>156659</v>
      </c>
      <c r="I1382">
        <f t="shared" si="212"/>
        <v>0</v>
      </c>
      <c r="J1382">
        <f t="shared" si="213"/>
        <v>0</v>
      </c>
      <c r="K1382">
        <f t="shared" si="214"/>
        <v>646302</v>
      </c>
      <c r="L1382">
        <f t="shared" si="215"/>
        <v>0</v>
      </c>
      <c r="M1382">
        <f t="shared" si="216"/>
        <v>0</v>
      </c>
      <c r="N1382">
        <f t="shared" si="217"/>
        <v>397</v>
      </c>
    </row>
    <row r="1383" spans="1:14" x14ac:dyDescent="0.35">
      <c r="A1383" s="9">
        <v>4923459</v>
      </c>
      <c r="B1383" s="10">
        <v>42936</v>
      </c>
      <c r="C1383" s="11">
        <v>0.54450231481481481</v>
      </c>
      <c r="D1383" s="12">
        <v>0.55406250000000001</v>
      </c>
      <c r="E1383" s="20">
        <f t="shared" si="210"/>
        <v>9.5601851851851993E-3</v>
      </c>
      <c r="F1383" t="str">
        <f t="shared" si="211"/>
        <v>stacjonarny</v>
      </c>
      <c r="G1383" s="23">
        <f t="shared" si="218"/>
        <v>490469</v>
      </c>
      <c r="H1383">
        <f t="shared" si="219"/>
        <v>156659</v>
      </c>
      <c r="I1383">
        <f t="shared" si="212"/>
        <v>0</v>
      </c>
      <c r="J1383">
        <f t="shared" si="213"/>
        <v>0</v>
      </c>
      <c r="K1383">
        <f t="shared" si="214"/>
        <v>647128</v>
      </c>
      <c r="L1383">
        <f t="shared" si="215"/>
        <v>0</v>
      </c>
      <c r="M1383">
        <f t="shared" si="216"/>
        <v>826</v>
      </c>
      <c r="N1383">
        <f t="shared" si="217"/>
        <v>0</v>
      </c>
    </row>
    <row r="1384" spans="1:14" x14ac:dyDescent="0.35">
      <c r="A1384" s="5">
        <v>6719542</v>
      </c>
      <c r="B1384" s="6">
        <v>42936</v>
      </c>
      <c r="C1384" s="7">
        <v>0.54556712962962961</v>
      </c>
      <c r="D1384" s="8">
        <v>0.54894675925925929</v>
      </c>
      <c r="E1384" s="20">
        <f t="shared" si="210"/>
        <v>3.3796296296296768E-3</v>
      </c>
      <c r="F1384" t="str">
        <f t="shared" si="211"/>
        <v>stacjonarny</v>
      </c>
      <c r="G1384" s="23">
        <f t="shared" si="218"/>
        <v>490761</v>
      </c>
      <c r="H1384">
        <f t="shared" si="219"/>
        <v>156659</v>
      </c>
      <c r="I1384">
        <f t="shared" si="212"/>
        <v>0</v>
      </c>
      <c r="J1384">
        <f t="shared" si="213"/>
        <v>0</v>
      </c>
      <c r="K1384">
        <f t="shared" si="214"/>
        <v>647420</v>
      </c>
      <c r="L1384">
        <f t="shared" si="215"/>
        <v>0</v>
      </c>
      <c r="M1384">
        <f t="shared" si="216"/>
        <v>292</v>
      </c>
      <c r="N1384">
        <f t="shared" si="217"/>
        <v>0</v>
      </c>
    </row>
    <row r="1385" spans="1:14" x14ac:dyDescent="0.35">
      <c r="A1385" s="9">
        <v>81218024</v>
      </c>
      <c r="B1385" s="10">
        <v>42936</v>
      </c>
      <c r="C1385" s="11">
        <v>0.54946759259259259</v>
      </c>
      <c r="D1385" s="12">
        <v>0.55583333333333329</v>
      </c>
      <c r="E1385" s="20">
        <f t="shared" si="210"/>
        <v>6.3657407407406996E-3</v>
      </c>
      <c r="F1385" t="str">
        <f t="shared" si="211"/>
        <v>komorkowy</v>
      </c>
      <c r="G1385" s="23">
        <f t="shared" si="218"/>
        <v>490761</v>
      </c>
      <c r="H1385">
        <f t="shared" si="219"/>
        <v>157209</v>
      </c>
      <c r="I1385">
        <f t="shared" si="212"/>
        <v>0</v>
      </c>
      <c r="J1385">
        <f t="shared" si="213"/>
        <v>0</v>
      </c>
      <c r="K1385">
        <f t="shared" si="214"/>
        <v>647970</v>
      </c>
      <c r="L1385">
        <f t="shared" si="215"/>
        <v>0</v>
      </c>
      <c r="M1385">
        <f t="shared" si="216"/>
        <v>0</v>
      </c>
      <c r="N1385">
        <f t="shared" si="217"/>
        <v>550</v>
      </c>
    </row>
    <row r="1386" spans="1:14" x14ac:dyDescent="0.35">
      <c r="A1386" s="5">
        <v>6552755</v>
      </c>
      <c r="B1386" s="6">
        <v>42936</v>
      </c>
      <c r="C1386" s="7">
        <v>0.55306712962962967</v>
      </c>
      <c r="D1386" s="8">
        <v>0.56304398148148149</v>
      </c>
      <c r="E1386" s="20">
        <f t="shared" si="210"/>
        <v>9.9768518518518201E-3</v>
      </c>
      <c r="F1386" t="str">
        <f t="shared" si="211"/>
        <v>stacjonarny</v>
      </c>
      <c r="G1386" s="23">
        <f t="shared" si="218"/>
        <v>491623</v>
      </c>
      <c r="H1386">
        <f t="shared" si="219"/>
        <v>157209</v>
      </c>
      <c r="I1386">
        <f t="shared" si="212"/>
        <v>0</v>
      </c>
      <c r="J1386">
        <f t="shared" si="213"/>
        <v>0</v>
      </c>
      <c r="K1386">
        <f t="shared" si="214"/>
        <v>648832</v>
      </c>
      <c r="L1386">
        <f t="shared" si="215"/>
        <v>0</v>
      </c>
      <c r="M1386">
        <f t="shared" si="216"/>
        <v>862</v>
      </c>
      <c r="N1386">
        <f t="shared" si="217"/>
        <v>0</v>
      </c>
    </row>
    <row r="1387" spans="1:14" x14ac:dyDescent="0.35">
      <c r="A1387" s="9">
        <v>44017210</v>
      </c>
      <c r="B1387" s="10">
        <v>42936</v>
      </c>
      <c r="C1387" s="11">
        <v>0.55476851851851849</v>
      </c>
      <c r="D1387" s="12">
        <v>0.56596064814814817</v>
      </c>
      <c r="E1387" s="20">
        <f t="shared" si="210"/>
        <v>1.1192129629629677E-2</v>
      </c>
      <c r="F1387" t="str">
        <f t="shared" si="211"/>
        <v>komorkowy</v>
      </c>
      <c r="G1387" s="23">
        <f t="shared" si="218"/>
        <v>491623</v>
      </c>
      <c r="H1387">
        <f t="shared" si="219"/>
        <v>158176</v>
      </c>
      <c r="I1387">
        <f t="shared" si="212"/>
        <v>0</v>
      </c>
      <c r="J1387">
        <f t="shared" si="213"/>
        <v>0</v>
      </c>
      <c r="K1387">
        <f t="shared" si="214"/>
        <v>649799</v>
      </c>
      <c r="L1387">
        <f t="shared" si="215"/>
        <v>0</v>
      </c>
      <c r="M1387">
        <f t="shared" si="216"/>
        <v>0</v>
      </c>
      <c r="N1387">
        <f t="shared" si="217"/>
        <v>967</v>
      </c>
    </row>
    <row r="1388" spans="1:14" x14ac:dyDescent="0.35">
      <c r="A1388" s="5">
        <v>8679036</v>
      </c>
      <c r="B1388" s="6">
        <v>42936</v>
      </c>
      <c r="C1388" s="7">
        <v>0.55827546296296293</v>
      </c>
      <c r="D1388" s="8">
        <v>0.55864583333333329</v>
      </c>
      <c r="E1388" s="20">
        <f t="shared" si="210"/>
        <v>3.7037037037035425E-4</v>
      </c>
      <c r="F1388" t="str">
        <f t="shared" si="211"/>
        <v>stacjonarny</v>
      </c>
      <c r="G1388" s="23">
        <f t="shared" si="218"/>
        <v>491655</v>
      </c>
      <c r="H1388">
        <f t="shared" si="219"/>
        <v>158176</v>
      </c>
      <c r="I1388">
        <f t="shared" si="212"/>
        <v>0</v>
      </c>
      <c r="J1388">
        <f t="shared" si="213"/>
        <v>0</v>
      </c>
      <c r="K1388">
        <f t="shared" si="214"/>
        <v>649831</v>
      </c>
      <c r="L1388">
        <f t="shared" si="215"/>
        <v>0</v>
      </c>
      <c r="M1388">
        <f t="shared" si="216"/>
        <v>32</v>
      </c>
      <c r="N1388">
        <f t="shared" si="217"/>
        <v>0</v>
      </c>
    </row>
    <row r="1389" spans="1:14" x14ac:dyDescent="0.35">
      <c r="A1389" s="9">
        <v>64733982</v>
      </c>
      <c r="B1389" s="10">
        <v>42936</v>
      </c>
      <c r="C1389" s="11">
        <v>0.56180555555555556</v>
      </c>
      <c r="D1389" s="12">
        <v>0.56400462962962961</v>
      </c>
      <c r="E1389" s="20">
        <f t="shared" si="210"/>
        <v>2.1990740740740478E-3</v>
      </c>
      <c r="F1389" t="str">
        <f t="shared" si="211"/>
        <v>komorkowy</v>
      </c>
      <c r="G1389" s="23">
        <f t="shared" si="218"/>
        <v>491655</v>
      </c>
      <c r="H1389">
        <f t="shared" si="219"/>
        <v>158366</v>
      </c>
      <c r="I1389">
        <f t="shared" si="212"/>
        <v>0</v>
      </c>
      <c r="J1389">
        <f t="shared" si="213"/>
        <v>0</v>
      </c>
      <c r="K1389">
        <f t="shared" si="214"/>
        <v>650021</v>
      </c>
      <c r="L1389">
        <f t="shared" si="215"/>
        <v>0</v>
      </c>
      <c r="M1389">
        <f t="shared" si="216"/>
        <v>0</v>
      </c>
      <c r="N1389">
        <f t="shared" si="217"/>
        <v>190</v>
      </c>
    </row>
    <row r="1390" spans="1:14" x14ac:dyDescent="0.35">
      <c r="A1390" s="5">
        <v>2289072</v>
      </c>
      <c r="B1390" s="6">
        <v>42936</v>
      </c>
      <c r="C1390" s="7">
        <v>0.56320601851851848</v>
      </c>
      <c r="D1390" s="8">
        <v>0.57020833333333332</v>
      </c>
      <c r="E1390" s="20">
        <f t="shared" si="210"/>
        <v>7.0023148148148362E-3</v>
      </c>
      <c r="F1390" t="str">
        <f t="shared" si="211"/>
        <v>stacjonarny</v>
      </c>
      <c r="G1390" s="23">
        <f t="shared" si="218"/>
        <v>492260</v>
      </c>
      <c r="H1390">
        <f t="shared" si="219"/>
        <v>158366</v>
      </c>
      <c r="I1390">
        <f t="shared" si="212"/>
        <v>0</v>
      </c>
      <c r="J1390">
        <f t="shared" si="213"/>
        <v>0</v>
      </c>
      <c r="K1390">
        <f t="shared" si="214"/>
        <v>650626</v>
      </c>
      <c r="L1390">
        <f t="shared" si="215"/>
        <v>0</v>
      </c>
      <c r="M1390">
        <f t="shared" si="216"/>
        <v>605</v>
      </c>
      <c r="N1390">
        <f t="shared" si="217"/>
        <v>0</v>
      </c>
    </row>
    <row r="1391" spans="1:14" x14ac:dyDescent="0.35">
      <c r="A1391" s="9">
        <v>71730854</v>
      </c>
      <c r="B1391" s="10">
        <v>42936</v>
      </c>
      <c r="C1391" s="11">
        <v>0.56537037037037041</v>
      </c>
      <c r="D1391" s="12">
        <v>0.57611111111111113</v>
      </c>
      <c r="E1391" s="20">
        <f t="shared" si="210"/>
        <v>1.0740740740740717E-2</v>
      </c>
      <c r="F1391" t="str">
        <f t="shared" si="211"/>
        <v>komorkowy</v>
      </c>
      <c r="G1391" s="23">
        <f t="shared" si="218"/>
        <v>492260</v>
      </c>
      <c r="H1391">
        <f t="shared" si="219"/>
        <v>159294</v>
      </c>
      <c r="I1391">
        <f t="shared" si="212"/>
        <v>0</v>
      </c>
      <c r="J1391">
        <f t="shared" si="213"/>
        <v>0</v>
      </c>
      <c r="K1391">
        <f t="shared" si="214"/>
        <v>651554</v>
      </c>
      <c r="L1391">
        <f t="shared" si="215"/>
        <v>0</v>
      </c>
      <c r="M1391">
        <f t="shared" si="216"/>
        <v>0</v>
      </c>
      <c r="N1391">
        <f t="shared" si="217"/>
        <v>928</v>
      </c>
    </row>
    <row r="1392" spans="1:14" x14ac:dyDescent="0.35">
      <c r="A1392" s="5">
        <v>3757504</v>
      </c>
      <c r="B1392" s="6">
        <v>42936</v>
      </c>
      <c r="C1392" s="7">
        <v>0.57105324074074071</v>
      </c>
      <c r="D1392" s="8">
        <v>0.57465277777777779</v>
      </c>
      <c r="E1392" s="20">
        <f t="shared" si="210"/>
        <v>3.5995370370370816E-3</v>
      </c>
      <c r="F1392" t="str">
        <f t="shared" si="211"/>
        <v>stacjonarny</v>
      </c>
      <c r="G1392" s="23">
        <f t="shared" si="218"/>
        <v>492571</v>
      </c>
      <c r="H1392">
        <f t="shared" si="219"/>
        <v>159294</v>
      </c>
      <c r="I1392">
        <f t="shared" si="212"/>
        <v>0</v>
      </c>
      <c r="J1392">
        <f t="shared" si="213"/>
        <v>0</v>
      </c>
      <c r="K1392">
        <f t="shared" si="214"/>
        <v>651865</v>
      </c>
      <c r="L1392">
        <f t="shared" si="215"/>
        <v>0</v>
      </c>
      <c r="M1392">
        <f t="shared" si="216"/>
        <v>311</v>
      </c>
      <c r="N1392">
        <f t="shared" si="217"/>
        <v>0</v>
      </c>
    </row>
    <row r="1393" spans="1:14" x14ac:dyDescent="0.35">
      <c r="A1393" s="9">
        <v>8501225</v>
      </c>
      <c r="B1393" s="10">
        <v>42936</v>
      </c>
      <c r="C1393" s="11">
        <v>0.57517361111111109</v>
      </c>
      <c r="D1393" s="12">
        <v>0.57784722222222218</v>
      </c>
      <c r="E1393" s="20">
        <f t="shared" si="210"/>
        <v>2.673611111111085E-3</v>
      </c>
      <c r="F1393" t="str">
        <f t="shared" si="211"/>
        <v>stacjonarny</v>
      </c>
      <c r="G1393" s="23">
        <f t="shared" si="218"/>
        <v>492802</v>
      </c>
      <c r="H1393">
        <f t="shared" si="219"/>
        <v>159294</v>
      </c>
      <c r="I1393">
        <f t="shared" si="212"/>
        <v>0</v>
      </c>
      <c r="J1393">
        <f t="shared" si="213"/>
        <v>0</v>
      </c>
      <c r="K1393">
        <f t="shared" si="214"/>
        <v>652096</v>
      </c>
      <c r="L1393">
        <f t="shared" si="215"/>
        <v>0</v>
      </c>
      <c r="M1393">
        <f t="shared" si="216"/>
        <v>231</v>
      </c>
      <c r="N1393">
        <f t="shared" si="217"/>
        <v>0</v>
      </c>
    </row>
    <row r="1394" spans="1:14" x14ac:dyDescent="0.35">
      <c r="A1394" s="5">
        <v>3704193</v>
      </c>
      <c r="B1394" s="6">
        <v>42936</v>
      </c>
      <c r="C1394" s="7">
        <v>0.57671296296296293</v>
      </c>
      <c r="D1394" s="8">
        <v>0.58539351851851851</v>
      </c>
      <c r="E1394" s="20">
        <f t="shared" si="210"/>
        <v>8.6805555555555802E-3</v>
      </c>
      <c r="F1394" t="str">
        <f t="shared" si="211"/>
        <v>stacjonarny</v>
      </c>
      <c r="G1394" s="23">
        <f t="shared" si="218"/>
        <v>493552</v>
      </c>
      <c r="H1394">
        <f t="shared" si="219"/>
        <v>159294</v>
      </c>
      <c r="I1394">
        <f t="shared" si="212"/>
        <v>0</v>
      </c>
      <c r="J1394">
        <f t="shared" si="213"/>
        <v>0</v>
      </c>
      <c r="K1394">
        <f t="shared" si="214"/>
        <v>652846</v>
      </c>
      <c r="L1394">
        <f t="shared" si="215"/>
        <v>0</v>
      </c>
      <c r="M1394">
        <f t="shared" si="216"/>
        <v>750</v>
      </c>
      <c r="N1394">
        <f t="shared" si="217"/>
        <v>0</v>
      </c>
    </row>
    <row r="1395" spans="1:14" x14ac:dyDescent="0.35">
      <c r="A1395" s="9">
        <v>4577789</v>
      </c>
      <c r="B1395" s="10">
        <v>42936</v>
      </c>
      <c r="C1395" s="11">
        <v>0.57781249999999995</v>
      </c>
      <c r="D1395" s="12">
        <v>0.57953703703703707</v>
      </c>
      <c r="E1395" s="20">
        <f t="shared" si="210"/>
        <v>1.7245370370371216E-3</v>
      </c>
      <c r="F1395" t="str">
        <f t="shared" si="211"/>
        <v>stacjonarny</v>
      </c>
      <c r="G1395" s="23">
        <f t="shared" si="218"/>
        <v>493701</v>
      </c>
      <c r="H1395">
        <f t="shared" si="219"/>
        <v>159294</v>
      </c>
      <c r="I1395">
        <f t="shared" si="212"/>
        <v>0</v>
      </c>
      <c r="J1395">
        <f t="shared" si="213"/>
        <v>0</v>
      </c>
      <c r="K1395">
        <f t="shared" si="214"/>
        <v>652995</v>
      </c>
      <c r="L1395">
        <f t="shared" si="215"/>
        <v>0</v>
      </c>
      <c r="M1395">
        <f t="shared" si="216"/>
        <v>149</v>
      </c>
      <c r="N1395">
        <f t="shared" si="217"/>
        <v>0</v>
      </c>
    </row>
    <row r="1396" spans="1:14" x14ac:dyDescent="0.35">
      <c r="A1396" s="5">
        <v>5730350</v>
      </c>
      <c r="B1396" s="6">
        <v>42936</v>
      </c>
      <c r="C1396" s="7">
        <v>0.58206018518518521</v>
      </c>
      <c r="D1396" s="8">
        <v>0.59037037037037032</v>
      </c>
      <c r="E1396" s="20">
        <f t="shared" si="210"/>
        <v>8.310185185185115E-3</v>
      </c>
      <c r="F1396" t="str">
        <f t="shared" si="211"/>
        <v>stacjonarny</v>
      </c>
      <c r="G1396" s="23">
        <f t="shared" si="218"/>
        <v>494419</v>
      </c>
      <c r="H1396">
        <f t="shared" si="219"/>
        <v>159294</v>
      </c>
      <c r="I1396">
        <f t="shared" si="212"/>
        <v>0</v>
      </c>
      <c r="J1396">
        <f t="shared" si="213"/>
        <v>0</v>
      </c>
      <c r="K1396">
        <f t="shared" si="214"/>
        <v>653713</v>
      </c>
      <c r="L1396">
        <f t="shared" si="215"/>
        <v>0</v>
      </c>
      <c r="M1396">
        <f t="shared" si="216"/>
        <v>718</v>
      </c>
      <c r="N1396">
        <f t="shared" si="217"/>
        <v>0</v>
      </c>
    </row>
    <row r="1397" spans="1:14" x14ac:dyDescent="0.35">
      <c r="A1397" s="9">
        <v>8953850</v>
      </c>
      <c r="B1397" s="10">
        <v>42936</v>
      </c>
      <c r="C1397" s="11">
        <v>0.58328703703703699</v>
      </c>
      <c r="D1397" s="12">
        <v>0.5920023148148148</v>
      </c>
      <c r="E1397" s="20">
        <f t="shared" si="210"/>
        <v>8.7152777777778079E-3</v>
      </c>
      <c r="F1397" t="str">
        <f t="shared" si="211"/>
        <v>stacjonarny</v>
      </c>
      <c r="G1397" s="23">
        <f t="shared" si="218"/>
        <v>495172</v>
      </c>
      <c r="H1397">
        <f t="shared" si="219"/>
        <v>159294</v>
      </c>
      <c r="I1397">
        <f t="shared" si="212"/>
        <v>0</v>
      </c>
      <c r="J1397">
        <f t="shared" si="213"/>
        <v>0</v>
      </c>
      <c r="K1397">
        <f t="shared" si="214"/>
        <v>654466</v>
      </c>
      <c r="L1397">
        <f t="shared" si="215"/>
        <v>0</v>
      </c>
      <c r="M1397">
        <f t="shared" si="216"/>
        <v>753</v>
      </c>
      <c r="N1397">
        <f t="shared" si="217"/>
        <v>0</v>
      </c>
    </row>
    <row r="1398" spans="1:14" x14ac:dyDescent="0.35">
      <c r="A1398" s="5">
        <v>3109133</v>
      </c>
      <c r="B1398" s="6">
        <v>42936</v>
      </c>
      <c r="C1398" s="7">
        <v>0.58564814814814814</v>
      </c>
      <c r="D1398" s="8">
        <v>0.58964120370370365</v>
      </c>
      <c r="E1398" s="20">
        <f t="shared" si="210"/>
        <v>3.9930555555555136E-3</v>
      </c>
      <c r="F1398" t="str">
        <f t="shared" si="211"/>
        <v>stacjonarny</v>
      </c>
      <c r="G1398" s="23">
        <f t="shared" si="218"/>
        <v>495517</v>
      </c>
      <c r="H1398">
        <f t="shared" si="219"/>
        <v>159294</v>
      </c>
      <c r="I1398">
        <f t="shared" si="212"/>
        <v>0</v>
      </c>
      <c r="J1398">
        <f t="shared" si="213"/>
        <v>0</v>
      </c>
      <c r="K1398">
        <f t="shared" si="214"/>
        <v>654811</v>
      </c>
      <c r="L1398">
        <f t="shared" si="215"/>
        <v>0</v>
      </c>
      <c r="M1398">
        <f t="shared" si="216"/>
        <v>345</v>
      </c>
      <c r="N1398">
        <f t="shared" si="217"/>
        <v>0</v>
      </c>
    </row>
    <row r="1399" spans="1:14" x14ac:dyDescent="0.35">
      <c r="A1399" s="9">
        <v>3382699</v>
      </c>
      <c r="B1399" s="10">
        <v>42936</v>
      </c>
      <c r="C1399" s="11">
        <v>0.59053240740740742</v>
      </c>
      <c r="D1399" s="12">
        <v>0.59318287037037032</v>
      </c>
      <c r="E1399" s="20">
        <f t="shared" si="210"/>
        <v>2.6504629629628962E-3</v>
      </c>
      <c r="F1399" t="str">
        <f t="shared" si="211"/>
        <v>stacjonarny</v>
      </c>
      <c r="G1399" s="23">
        <f t="shared" si="218"/>
        <v>495746</v>
      </c>
      <c r="H1399">
        <f t="shared" si="219"/>
        <v>159294</v>
      </c>
      <c r="I1399">
        <f t="shared" si="212"/>
        <v>0</v>
      </c>
      <c r="J1399">
        <f t="shared" si="213"/>
        <v>0</v>
      </c>
      <c r="K1399">
        <f t="shared" si="214"/>
        <v>655040</v>
      </c>
      <c r="L1399">
        <f t="shared" si="215"/>
        <v>0</v>
      </c>
      <c r="M1399">
        <f t="shared" si="216"/>
        <v>229</v>
      </c>
      <c r="N1399">
        <f t="shared" si="217"/>
        <v>0</v>
      </c>
    </row>
    <row r="1400" spans="1:14" x14ac:dyDescent="0.35">
      <c r="A1400" s="5">
        <v>9132555</v>
      </c>
      <c r="B1400" s="6">
        <v>42936</v>
      </c>
      <c r="C1400" s="7">
        <v>0.59621527777777783</v>
      </c>
      <c r="D1400" s="8">
        <v>0.59906250000000005</v>
      </c>
      <c r="E1400" s="20">
        <f t="shared" si="210"/>
        <v>2.8472222222222232E-3</v>
      </c>
      <c r="F1400" t="str">
        <f t="shared" si="211"/>
        <v>stacjonarny</v>
      </c>
      <c r="G1400" s="23">
        <f t="shared" si="218"/>
        <v>495992</v>
      </c>
      <c r="H1400">
        <f t="shared" si="219"/>
        <v>159294</v>
      </c>
      <c r="I1400">
        <f t="shared" si="212"/>
        <v>0</v>
      </c>
      <c r="J1400">
        <f t="shared" si="213"/>
        <v>0</v>
      </c>
      <c r="K1400">
        <f t="shared" si="214"/>
        <v>655286</v>
      </c>
      <c r="L1400">
        <f t="shared" si="215"/>
        <v>0</v>
      </c>
      <c r="M1400">
        <f t="shared" si="216"/>
        <v>246</v>
      </c>
      <c r="N1400">
        <f t="shared" si="217"/>
        <v>0</v>
      </c>
    </row>
    <row r="1401" spans="1:14" x14ac:dyDescent="0.35">
      <c r="A1401" s="9">
        <v>5016981</v>
      </c>
      <c r="B1401" s="10">
        <v>42936</v>
      </c>
      <c r="C1401" s="11">
        <v>0.59693287037037035</v>
      </c>
      <c r="D1401" s="12">
        <v>0.59743055555555558</v>
      </c>
      <c r="E1401" s="20">
        <f t="shared" si="210"/>
        <v>4.9768518518522598E-4</v>
      </c>
      <c r="F1401" t="str">
        <f t="shared" si="211"/>
        <v>stacjonarny</v>
      </c>
      <c r="G1401" s="23">
        <f t="shared" si="218"/>
        <v>496035</v>
      </c>
      <c r="H1401">
        <f t="shared" si="219"/>
        <v>159294</v>
      </c>
      <c r="I1401">
        <f t="shared" si="212"/>
        <v>0</v>
      </c>
      <c r="J1401">
        <f t="shared" si="213"/>
        <v>0</v>
      </c>
      <c r="K1401">
        <f t="shared" si="214"/>
        <v>655329</v>
      </c>
      <c r="L1401">
        <f t="shared" si="215"/>
        <v>0</v>
      </c>
      <c r="M1401">
        <f t="shared" si="216"/>
        <v>43</v>
      </c>
      <c r="N1401">
        <f t="shared" si="217"/>
        <v>0</v>
      </c>
    </row>
    <row r="1402" spans="1:14" x14ac:dyDescent="0.35">
      <c r="A1402" s="5">
        <v>1294973</v>
      </c>
      <c r="B1402" s="6">
        <v>42936</v>
      </c>
      <c r="C1402" s="7">
        <v>0.59783564814814816</v>
      </c>
      <c r="D1402" s="8">
        <v>0.60715277777777776</v>
      </c>
      <c r="E1402" s="20">
        <f t="shared" si="210"/>
        <v>9.3171296296296058E-3</v>
      </c>
      <c r="F1402" t="str">
        <f t="shared" si="211"/>
        <v>stacjonarny</v>
      </c>
      <c r="G1402" s="23">
        <f t="shared" si="218"/>
        <v>496840</v>
      </c>
      <c r="H1402">
        <f t="shared" si="219"/>
        <v>159294</v>
      </c>
      <c r="I1402">
        <f t="shared" si="212"/>
        <v>0</v>
      </c>
      <c r="J1402">
        <f t="shared" si="213"/>
        <v>0</v>
      </c>
      <c r="K1402">
        <f t="shared" si="214"/>
        <v>656134</v>
      </c>
      <c r="L1402">
        <f t="shared" si="215"/>
        <v>0</v>
      </c>
      <c r="M1402">
        <f t="shared" si="216"/>
        <v>805</v>
      </c>
      <c r="N1402">
        <f t="shared" si="217"/>
        <v>0</v>
      </c>
    </row>
    <row r="1403" spans="1:14" x14ac:dyDescent="0.35">
      <c r="A1403" s="9">
        <v>7769531</v>
      </c>
      <c r="B1403" s="10">
        <v>42936</v>
      </c>
      <c r="C1403" s="11">
        <v>0.60048611111111116</v>
      </c>
      <c r="D1403" s="12">
        <v>0.60371527777777778</v>
      </c>
      <c r="E1403" s="20">
        <f t="shared" si="210"/>
        <v>3.2291666666666163E-3</v>
      </c>
      <c r="F1403" t="str">
        <f t="shared" si="211"/>
        <v>stacjonarny</v>
      </c>
      <c r="G1403" s="23">
        <f t="shared" si="218"/>
        <v>497119</v>
      </c>
      <c r="H1403">
        <f t="shared" si="219"/>
        <v>159294</v>
      </c>
      <c r="I1403">
        <f t="shared" si="212"/>
        <v>0</v>
      </c>
      <c r="J1403">
        <f t="shared" si="213"/>
        <v>0</v>
      </c>
      <c r="K1403">
        <f t="shared" si="214"/>
        <v>656413</v>
      </c>
      <c r="L1403">
        <f t="shared" si="215"/>
        <v>0</v>
      </c>
      <c r="M1403">
        <f t="shared" si="216"/>
        <v>279</v>
      </c>
      <c r="N1403">
        <f t="shared" si="217"/>
        <v>0</v>
      </c>
    </row>
    <row r="1404" spans="1:14" x14ac:dyDescent="0.35">
      <c r="A1404" s="5">
        <v>1068000</v>
      </c>
      <c r="B1404" s="6">
        <v>42936</v>
      </c>
      <c r="C1404" s="7">
        <v>0.60251157407407407</v>
      </c>
      <c r="D1404" s="8">
        <v>0.60608796296296297</v>
      </c>
      <c r="E1404" s="20">
        <f t="shared" si="210"/>
        <v>3.5763888888888928E-3</v>
      </c>
      <c r="F1404" t="str">
        <f t="shared" si="211"/>
        <v>stacjonarny</v>
      </c>
      <c r="G1404" s="23">
        <f t="shared" si="218"/>
        <v>497428</v>
      </c>
      <c r="H1404">
        <f t="shared" si="219"/>
        <v>159294</v>
      </c>
      <c r="I1404">
        <f t="shared" si="212"/>
        <v>0</v>
      </c>
      <c r="J1404">
        <f t="shared" si="213"/>
        <v>0</v>
      </c>
      <c r="K1404">
        <f t="shared" si="214"/>
        <v>656722</v>
      </c>
      <c r="L1404">
        <f t="shared" si="215"/>
        <v>0</v>
      </c>
      <c r="M1404">
        <f t="shared" si="216"/>
        <v>309</v>
      </c>
      <c r="N1404">
        <f t="shared" si="217"/>
        <v>0</v>
      </c>
    </row>
    <row r="1405" spans="1:14" x14ac:dyDescent="0.35">
      <c r="A1405" s="9">
        <v>1467591</v>
      </c>
      <c r="B1405" s="10">
        <v>42936</v>
      </c>
      <c r="C1405" s="11">
        <v>0.60277777777777775</v>
      </c>
      <c r="D1405" s="12">
        <v>0.61222222222222222</v>
      </c>
      <c r="E1405" s="20">
        <f t="shared" si="210"/>
        <v>9.4444444444444775E-3</v>
      </c>
      <c r="F1405" t="str">
        <f t="shared" si="211"/>
        <v>stacjonarny</v>
      </c>
      <c r="G1405" s="23">
        <f t="shared" si="218"/>
        <v>498244</v>
      </c>
      <c r="H1405">
        <f t="shared" si="219"/>
        <v>159294</v>
      </c>
      <c r="I1405">
        <f t="shared" si="212"/>
        <v>0</v>
      </c>
      <c r="J1405">
        <f t="shared" si="213"/>
        <v>0</v>
      </c>
      <c r="K1405">
        <f t="shared" si="214"/>
        <v>657538</v>
      </c>
      <c r="L1405">
        <f t="shared" si="215"/>
        <v>0</v>
      </c>
      <c r="M1405">
        <f t="shared" si="216"/>
        <v>816</v>
      </c>
      <c r="N1405">
        <f t="shared" si="217"/>
        <v>0</v>
      </c>
    </row>
    <row r="1406" spans="1:14" x14ac:dyDescent="0.35">
      <c r="A1406" s="5">
        <v>5980925</v>
      </c>
      <c r="B1406" s="6">
        <v>42936</v>
      </c>
      <c r="C1406" s="7">
        <v>0.60282407407407412</v>
      </c>
      <c r="D1406" s="8">
        <v>0.61041666666666672</v>
      </c>
      <c r="E1406" s="20">
        <f t="shared" si="210"/>
        <v>7.5925925925925952E-3</v>
      </c>
      <c r="F1406" t="str">
        <f t="shared" si="211"/>
        <v>stacjonarny</v>
      </c>
      <c r="G1406" s="23">
        <f t="shared" si="218"/>
        <v>498900</v>
      </c>
      <c r="H1406">
        <f t="shared" si="219"/>
        <v>159294</v>
      </c>
      <c r="I1406">
        <f t="shared" si="212"/>
        <v>0</v>
      </c>
      <c r="J1406">
        <f t="shared" si="213"/>
        <v>0</v>
      </c>
      <c r="K1406">
        <f t="shared" si="214"/>
        <v>658194</v>
      </c>
      <c r="L1406">
        <f t="shared" si="215"/>
        <v>0</v>
      </c>
      <c r="M1406">
        <f t="shared" si="216"/>
        <v>656</v>
      </c>
      <c r="N1406">
        <f t="shared" si="217"/>
        <v>0</v>
      </c>
    </row>
    <row r="1407" spans="1:14" x14ac:dyDescent="0.35">
      <c r="A1407" s="9">
        <v>9905075</v>
      </c>
      <c r="B1407" s="10">
        <v>42936</v>
      </c>
      <c r="C1407" s="11">
        <v>0.60693287037037036</v>
      </c>
      <c r="D1407" s="12">
        <v>0.61001157407407403</v>
      </c>
      <c r="E1407" s="20">
        <f t="shared" si="210"/>
        <v>3.0787037037036669E-3</v>
      </c>
      <c r="F1407" t="str">
        <f t="shared" si="211"/>
        <v>stacjonarny</v>
      </c>
      <c r="G1407" s="23">
        <f t="shared" si="218"/>
        <v>499166</v>
      </c>
      <c r="H1407">
        <f t="shared" si="219"/>
        <v>159294</v>
      </c>
      <c r="I1407">
        <f t="shared" si="212"/>
        <v>0</v>
      </c>
      <c r="J1407">
        <f t="shared" si="213"/>
        <v>0</v>
      </c>
      <c r="K1407">
        <f t="shared" si="214"/>
        <v>658460</v>
      </c>
      <c r="L1407">
        <f t="shared" si="215"/>
        <v>0</v>
      </c>
      <c r="M1407">
        <f t="shared" si="216"/>
        <v>266</v>
      </c>
      <c r="N1407">
        <f t="shared" si="217"/>
        <v>0</v>
      </c>
    </row>
    <row r="1408" spans="1:14" x14ac:dyDescent="0.35">
      <c r="A1408" s="5">
        <v>1043289</v>
      </c>
      <c r="B1408" s="6">
        <v>42936</v>
      </c>
      <c r="C1408" s="7">
        <v>0.60990740740740745</v>
      </c>
      <c r="D1408" s="8">
        <v>0.61383101851851851</v>
      </c>
      <c r="E1408" s="20">
        <f t="shared" si="210"/>
        <v>3.9236111111110583E-3</v>
      </c>
      <c r="F1408" t="str">
        <f t="shared" si="211"/>
        <v>stacjonarny</v>
      </c>
      <c r="G1408" s="23">
        <f t="shared" si="218"/>
        <v>499505</v>
      </c>
      <c r="H1408">
        <f t="shared" si="219"/>
        <v>159294</v>
      </c>
      <c r="I1408">
        <f t="shared" si="212"/>
        <v>0</v>
      </c>
      <c r="J1408">
        <f t="shared" si="213"/>
        <v>0</v>
      </c>
      <c r="K1408">
        <f t="shared" si="214"/>
        <v>658799</v>
      </c>
      <c r="L1408">
        <f t="shared" si="215"/>
        <v>0</v>
      </c>
      <c r="M1408">
        <f t="shared" si="216"/>
        <v>339</v>
      </c>
      <c r="N1408">
        <f t="shared" si="217"/>
        <v>0</v>
      </c>
    </row>
    <row r="1409" spans="1:14" x14ac:dyDescent="0.35">
      <c r="A1409" s="9">
        <v>8252939</v>
      </c>
      <c r="B1409" s="10">
        <v>42936</v>
      </c>
      <c r="C1409" s="11">
        <v>0.61320601851851853</v>
      </c>
      <c r="D1409" s="12">
        <v>0.62115740740740744</v>
      </c>
      <c r="E1409" s="20">
        <f t="shared" si="210"/>
        <v>7.9513888888889106E-3</v>
      </c>
      <c r="F1409" t="str">
        <f t="shared" si="211"/>
        <v>stacjonarny</v>
      </c>
      <c r="G1409" s="23">
        <f t="shared" si="218"/>
        <v>500192</v>
      </c>
      <c r="H1409">
        <f t="shared" si="219"/>
        <v>159294</v>
      </c>
      <c r="I1409">
        <f t="shared" si="212"/>
        <v>0</v>
      </c>
      <c r="J1409">
        <f t="shared" si="213"/>
        <v>0</v>
      </c>
      <c r="K1409">
        <f t="shared" si="214"/>
        <v>659486</v>
      </c>
      <c r="L1409">
        <f t="shared" si="215"/>
        <v>0</v>
      </c>
      <c r="M1409">
        <f t="shared" si="216"/>
        <v>687</v>
      </c>
      <c r="N1409">
        <f t="shared" si="217"/>
        <v>0</v>
      </c>
    </row>
    <row r="1410" spans="1:14" x14ac:dyDescent="0.35">
      <c r="A1410" s="5">
        <v>67748426</v>
      </c>
      <c r="B1410" s="6">
        <v>42936</v>
      </c>
      <c r="C1410" s="7">
        <v>0.61535879629629631</v>
      </c>
      <c r="D1410" s="8">
        <v>0.62503472222222223</v>
      </c>
      <c r="E1410" s="20">
        <f t="shared" si="210"/>
        <v>9.6759259259259212E-3</v>
      </c>
      <c r="F1410" t="str">
        <f t="shared" si="211"/>
        <v>komorkowy</v>
      </c>
      <c r="G1410" s="23">
        <f t="shared" si="218"/>
        <v>500192</v>
      </c>
      <c r="H1410">
        <f t="shared" si="219"/>
        <v>160130</v>
      </c>
      <c r="I1410">
        <f t="shared" si="212"/>
        <v>0</v>
      </c>
      <c r="J1410">
        <f t="shared" si="213"/>
        <v>0</v>
      </c>
      <c r="K1410">
        <f t="shared" si="214"/>
        <v>660322</v>
      </c>
      <c r="L1410">
        <f t="shared" si="215"/>
        <v>0</v>
      </c>
      <c r="M1410">
        <f t="shared" si="216"/>
        <v>0</v>
      </c>
      <c r="N1410">
        <f t="shared" si="217"/>
        <v>836</v>
      </c>
    </row>
    <row r="1411" spans="1:14" x14ac:dyDescent="0.35">
      <c r="A1411" s="9">
        <v>4376637</v>
      </c>
      <c r="B1411" s="10">
        <v>42936</v>
      </c>
      <c r="C1411" s="11">
        <v>0.61559027777777775</v>
      </c>
      <c r="D1411" s="12">
        <v>0.62532407407407409</v>
      </c>
      <c r="E1411" s="20">
        <f t="shared" ref="E1411:E1474" si="220">D1411-C1411</f>
        <v>9.7337962962963376E-3</v>
      </c>
      <c r="F1411" t="str">
        <f t="shared" ref="F1411:F1474" si="221">IF(LEN(A1411)=7,"stacjonarny",IF(LEN(A1411)=8,"komorkowy","zagraniczny"))</f>
        <v>stacjonarny</v>
      </c>
      <c r="G1411" s="23">
        <f t="shared" si="218"/>
        <v>501033</v>
      </c>
      <c r="H1411">
        <f t="shared" si="219"/>
        <v>160130</v>
      </c>
      <c r="I1411">
        <f t="shared" ref="I1411:I1474" si="222">IF(F1411="zagraniczny",MINUTE(E1411)*60+SECOND(E1411)+HOUR(E1411)*3600,0)</f>
        <v>0</v>
      </c>
      <c r="J1411">
        <f t="shared" ref="J1411:J1474" si="223">ROUNDUP(I1411/60,0)</f>
        <v>0</v>
      </c>
      <c r="K1411">
        <f t="shared" ref="K1411:K1474" si="224">G1411+H1411</f>
        <v>661163</v>
      </c>
      <c r="L1411">
        <f t="shared" ref="L1411:L1474" si="225">IF(K1411&lt;=48000,1,0)</f>
        <v>0</v>
      </c>
      <c r="M1411">
        <f t="shared" ref="M1411:M1474" si="226">IF(AND(L1411=0,F1411="stacjonarny"),SECOND(E1411)+60*MINUTE(E1411),0)</f>
        <v>841</v>
      </c>
      <c r="N1411">
        <f t="shared" ref="N1411:N1474" si="227">IF(AND(L1411=0,F1411="komorkowy"),SECOND(E1411)+60*MINUTE(E1411),0)</f>
        <v>0</v>
      </c>
    </row>
    <row r="1412" spans="1:14" x14ac:dyDescent="0.35">
      <c r="A1412" s="5">
        <v>6426011</v>
      </c>
      <c r="B1412" s="6">
        <v>42936</v>
      </c>
      <c r="C1412" s="7">
        <v>0.62078703703703708</v>
      </c>
      <c r="D1412" s="8">
        <v>0.62863425925925931</v>
      </c>
      <c r="E1412" s="20">
        <f t="shared" si="220"/>
        <v>7.8472222222222276E-3</v>
      </c>
      <c r="F1412" t="str">
        <f t="shared" si="221"/>
        <v>stacjonarny</v>
      </c>
      <c r="G1412" s="23">
        <f t="shared" ref="G1412:G1475" si="228">IF(F1412="stacjonarny",MINUTE(E1412)*60+SECOND(E1412)+G1411,G1411)</f>
        <v>501711</v>
      </c>
      <c r="H1412">
        <f t="shared" ref="H1412:H1475" si="229">IF(F1412="komorkowy",MINUTE(E1412)*60+SECOND(E1412)+H1411,H1411)</f>
        <v>160130</v>
      </c>
      <c r="I1412">
        <f t="shared" si="222"/>
        <v>0</v>
      </c>
      <c r="J1412">
        <f t="shared" si="223"/>
        <v>0</v>
      </c>
      <c r="K1412">
        <f t="shared" si="224"/>
        <v>661841</v>
      </c>
      <c r="L1412">
        <f t="shared" si="225"/>
        <v>0</v>
      </c>
      <c r="M1412">
        <f t="shared" si="226"/>
        <v>678</v>
      </c>
      <c r="N1412">
        <f t="shared" si="227"/>
        <v>0</v>
      </c>
    </row>
    <row r="1413" spans="1:14" x14ac:dyDescent="0.35">
      <c r="A1413" s="9">
        <v>9137235</v>
      </c>
      <c r="B1413" s="10">
        <v>42936</v>
      </c>
      <c r="C1413" s="11">
        <v>0.62524305555555559</v>
      </c>
      <c r="D1413" s="12">
        <v>0.62846064814814817</v>
      </c>
      <c r="E1413" s="20">
        <f t="shared" si="220"/>
        <v>3.2175925925925775E-3</v>
      </c>
      <c r="F1413" t="str">
        <f t="shared" si="221"/>
        <v>stacjonarny</v>
      </c>
      <c r="G1413" s="23">
        <f t="shared" si="228"/>
        <v>501989</v>
      </c>
      <c r="H1413">
        <f t="shared" si="229"/>
        <v>160130</v>
      </c>
      <c r="I1413">
        <f t="shared" si="222"/>
        <v>0</v>
      </c>
      <c r="J1413">
        <f t="shared" si="223"/>
        <v>0</v>
      </c>
      <c r="K1413">
        <f t="shared" si="224"/>
        <v>662119</v>
      </c>
      <c r="L1413">
        <f t="shared" si="225"/>
        <v>0</v>
      </c>
      <c r="M1413">
        <f t="shared" si="226"/>
        <v>278</v>
      </c>
      <c r="N1413">
        <f t="shared" si="227"/>
        <v>0</v>
      </c>
    </row>
    <row r="1414" spans="1:14" x14ac:dyDescent="0.35">
      <c r="A1414" s="5">
        <v>6735390</v>
      </c>
      <c r="B1414" s="6">
        <v>42937</v>
      </c>
      <c r="C1414" s="7">
        <v>0.33421296296296299</v>
      </c>
      <c r="D1414" s="8">
        <v>0.33674768518518516</v>
      </c>
      <c r="E1414" s="20">
        <f t="shared" si="220"/>
        <v>2.5347222222221744E-3</v>
      </c>
      <c r="F1414" t="str">
        <f t="shared" si="221"/>
        <v>stacjonarny</v>
      </c>
      <c r="G1414" s="23">
        <f t="shared" si="228"/>
        <v>502208</v>
      </c>
      <c r="H1414">
        <f t="shared" si="229"/>
        <v>160130</v>
      </c>
      <c r="I1414">
        <f t="shared" si="222"/>
        <v>0</v>
      </c>
      <c r="J1414">
        <f t="shared" si="223"/>
        <v>0</v>
      </c>
      <c r="K1414">
        <f t="shared" si="224"/>
        <v>662338</v>
      </c>
      <c r="L1414">
        <f t="shared" si="225"/>
        <v>0</v>
      </c>
      <c r="M1414">
        <f t="shared" si="226"/>
        <v>219</v>
      </c>
      <c r="N1414">
        <f t="shared" si="227"/>
        <v>0</v>
      </c>
    </row>
    <row r="1415" spans="1:14" x14ac:dyDescent="0.35">
      <c r="A1415" s="9">
        <v>7151490</v>
      </c>
      <c r="B1415" s="10">
        <v>42937</v>
      </c>
      <c r="C1415" s="11">
        <v>0.33513888888888888</v>
      </c>
      <c r="D1415" s="12">
        <v>0.33787037037037038</v>
      </c>
      <c r="E1415" s="20">
        <f t="shared" si="220"/>
        <v>2.7314814814815014E-3</v>
      </c>
      <c r="F1415" t="str">
        <f t="shared" si="221"/>
        <v>stacjonarny</v>
      </c>
      <c r="G1415" s="23">
        <f t="shared" si="228"/>
        <v>502444</v>
      </c>
      <c r="H1415">
        <f t="shared" si="229"/>
        <v>160130</v>
      </c>
      <c r="I1415">
        <f t="shared" si="222"/>
        <v>0</v>
      </c>
      <c r="J1415">
        <f t="shared" si="223"/>
        <v>0</v>
      </c>
      <c r="K1415">
        <f t="shared" si="224"/>
        <v>662574</v>
      </c>
      <c r="L1415">
        <f t="shared" si="225"/>
        <v>0</v>
      </c>
      <c r="M1415">
        <f t="shared" si="226"/>
        <v>236</v>
      </c>
      <c r="N1415">
        <f t="shared" si="227"/>
        <v>0</v>
      </c>
    </row>
    <row r="1416" spans="1:14" x14ac:dyDescent="0.35">
      <c r="A1416" s="5">
        <v>5138547</v>
      </c>
      <c r="B1416" s="6">
        <v>42937</v>
      </c>
      <c r="C1416" s="7">
        <v>0.33642361111111113</v>
      </c>
      <c r="D1416" s="8">
        <v>0.33778935185185183</v>
      </c>
      <c r="E1416" s="20">
        <f t="shared" si="220"/>
        <v>1.3657407407406952E-3</v>
      </c>
      <c r="F1416" t="str">
        <f t="shared" si="221"/>
        <v>stacjonarny</v>
      </c>
      <c r="G1416" s="23">
        <f t="shared" si="228"/>
        <v>502562</v>
      </c>
      <c r="H1416">
        <f t="shared" si="229"/>
        <v>160130</v>
      </c>
      <c r="I1416">
        <f t="shared" si="222"/>
        <v>0</v>
      </c>
      <c r="J1416">
        <f t="shared" si="223"/>
        <v>0</v>
      </c>
      <c r="K1416">
        <f t="shared" si="224"/>
        <v>662692</v>
      </c>
      <c r="L1416">
        <f t="shared" si="225"/>
        <v>0</v>
      </c>
      <c r="M1416">
        <f t="shared" si="226"/>
        <v>118</v>
      </c>
      <c r="N1416">
        <f t="shared" si="227"/>
        <v>0</v>
      </c>
    </row>
    <row r="1417" spans="1:14" x14ac:dyDescent="0.35">
      <c r="A1417" s="9">
        <v>79212542</v>
      </c>
      <c r="B1417" s="10">
        <v>42937</v>
      </c>
      <c r="C1417" s="11">
        <v>0.34157407407407409</v>
      </c>
      <c r="D1417" s="12">
        <v>0.34684027777777776</v>
      </c>
      <c r="E1417" s="20">
        <f t="shared" si="220"/>
        <v>5.2662037037036757E-3</v>
      </c>
      <c r="F1417" t="str">
        <f t="shared" si="221"/>
        <v>komorkowy</v>
      </c>
      <c r="G1417" s="23">
        <f t="shared" si="228"/>
        <v>502562</v>
      </c>
      <c r="H1417">
        <f t="shared" si="229"/>
        <v>160585</v>
      </c>
      <c r="I1417">
        <f t="shared" si="222"/>
        <v>0</v>
      </c>
      <c r="J1417">
        <f t="shared" si="223"/>
        <v>0</v>
      </c>
      <c r="K1417">
        <f t="shared" si="224"/>
        <v>663147</v>
      </c>
      <c r="L1417">
        <f t="shared" si="225"/>
        <v>0</v>
      </c>
      <c r="M1417">
        <f t="shared" si="226"/>
        <v>0</v>
      </c>
      <c r="N1417">
        <f t="shared" si="227"/>
        <v>455</v>
      </c>
    </row>
    <row r="1418" spans="1:14" x14ac:dyDescent="0.35">
      <c r="A1418" s="5">
        <v>1507196</v>
      </c>
      <c r="B1418" s="6">
        <v>42937</v>
      </c>
      <c r="C1418" s="7">
        <v>0.34197916666666667</v>
      </c>
      <c r="D1418" s="8">
        <v>0.3460300925925926</v>
      </c>
      <c r="E1418" s="20">
        <f t="shared" si="220"/>
        <v>4.05092592592593E-3</v>
      </c>
      <c r="F1418" t="str">
        <f t="shared" si="221"/>
        <v>stacjonarny</v>
      </c>
      <c r="G1418" s="23">
        <f t="shared" si="228"/>
        <v>502912</v>
      </c>
      <c r="H1418">
        <f t="shared" si="229"/>
        <v>160585</v>
      </c>
      <c r="I1418">
        <f t="shared" si="222"/>
        <v>0</v>
      </c>
      <c r="J1418">
        <f t="shared" si="223"/>
        <v>0</v>
      </c>
      <c r="K1418">
        <f t="shared" si="224"/>
        <v>663497</v>
      </c>
      <c r="L1418">
        <f t="shared" si="225"/>
        <v>0</v>
      </c>
      <c r="M1418">
        <f t="shared" si="226"/>
        <v>350</v>
      </c>
      <c r="N1418">
        <f t="shared" si="227"/>
        <v>0</v>
      </c>
    </row>
    <row r="1419" spans="1:14" x14ac:dyDescent="0.35">
      <c r="A1419" s="9">
        <v>8362094</v>
      </c>
      <c r="B1419" s="10">
        <v>42937</v>
      </c>
      <c r="C1419" s="11">
        <v>0.34567129629629628</v>
      </c>
      <c r="D1419" s="12">
        <v>0.34745370370370371</v>
      </c>
      <c r="E1419" s="20">
        <f t="shared" si="220"/>
        <v>1.782407407407427E-3</v>
      </c>
      <c r="F1419" t="str">
        <f t="shared" si="221"/>
        <v>stacjonarny</v>
      </c>
      <c r="G1419" s="23">
        <f t="shared" si="228"/>
        <v>503066</v>
      </c>
      <c r="H1419">
        <f t="shared" si="229"/>
        <v>160585</v>
      </c>
      <c r="I1419">
        <f t="shared" si="222"/>
        <v>0</v>
      </c>
      <c r="J1419">
        <f t="shared" si="223"/>
        <v>0</v>
      </c>
      <c r="K1419">
        <f t="shared" si="224"/>
        <v>663651</v>
      </c>
      <c r="L1419">
        <f t="shared" si="225"/>
        <v>0</v>
      </c>
      <c r="M1419">
        <f t="shared" si="226"/>
        <v>154</v>
      </c>
      <c r="N1419">
        <f t="shared" si="227"/>
        <v>0</v>
      </c>
    </row>
    <row r="1420" spans="1:14" x14ac:dyDescent="0.35">
      <c r="A1420" s="5">
        <v>5379981</v>
      </c>
      <c r="B1420" s="6">
        <v>42937</v>
      </c>
      <c r="C1420" s="7">
        <v>0.34690972222222222</v>
      </c>
      <c r="D1420" s="8">
        <v>0.35206018518518517</v>
      </c>
      <c r="E1420" s="20">
        <f t="shared" si="220"/>
        <v>5.1504629629629539E-3</v>
      </c>
      <c r="F1420" t="str">
        <f t="shared" si="221"/>
        <v>stacjonarny</v>
      </c>
      <c r="G1420" s="23">
        <f t="shared" si="228"/>
        <v>503511</v>
      </c>
      <c r="H1420">
        <f t="shared" si="229"/>
        <v>160585</v>
      </c>
      <c r="I1420">
        <f t="shared" si="222"/>
        <v>0</v>
      </c>
      <c r="J1420">
        <f t="shared" si="223"/>
        <v>0</v>
      </c>
      <c r="K1420">
        <f t="shared" si="224"/>
        <v>664096</v>
      </c>
      <c r="L1420">
        <f t="shared" si="225"/>
        <v>0</v>
      </c>
      <c r="M1420">
        <f t="shared" si="226"/>
        <v>445</v>
      </c>
      <c r="N1420">
        <f t="shared" si="227"/>
        <v>0</v>
      </c>
    </row>
    <row r="1421" spans="1:14" x14ac:dyDescent="0.35">
      <c r="A1421" s="9">
        <v>4960672</v>
      </c>
      <c r="B1421" s="10">
        <v>42937</v>
      </c>
      <c r="C1421" s="11">
        <v>0.34745370370370371</v>
      </c>
      <c r="D1421" s="12">
        <v>0.3526273148148148</v>
      </c>
      <c r="E1421" s="20">
        <f t="shared" si="220"/>
        <v>5.1736111111110872E-3</v>
      </c>
      <c r="F1421" t="str">
        <f t="shared" si="221"/>
        <v>stacjonarny</v>
      </c>
      <c r="G1421" s="23">
        <f t="shared" si="228"/>
        <v>503958</v>
      </c>
      <c r="H1421">
        <f t="shared" si="229"/>
        <v>160585</v>
      </c>
      <c r="I1421">
        <f t="shared" si="222"/>
        <v>0</v>
      </c>
      <c r="J1421">
        <f t="shared" si="223"/>
        <v>0</v>
      </c>
      <c r="K1421">
        <f t="shared" si="224"/>
        <v>664543</v>
      </c>
      <c r="L1421">
        <f t="shared" si="225"/>
        <v>0</v>
      </c>
      <c r="M1421">
        <f t="shared" si="226"/>
        <v>447</v>
      </c>
      <c r="N1421">
        <f t="shared" si="227"/>
        <v>0</v>
      </c>
    </row>
    <row r="1422" spans="1:14" x14ac:dyDescent="0.35">
      <c r="A1422" s="5">
        <v>9052582</v>
      </c>
      <c r="B1422" s="6">
        <v>42937</v>
      </c>
      <c r="C1422" s="7">
        <v>0.34961805555555553</v>
      </c>
      <c r="D1422" s="8">
        <v>0.3535300925925926</v>
      </c>
      <c r="E1422" s="20">
        <f t="shared" si="220"/>
        <v>3.9120370370370749E-3</v>
      </c>
      <c r="F1422" t="str">
        <f t="shared" si="221"/>
        <v>stacjonarny</v>
      </c>
      <c r="G1422" s="23">
        <f t="shared" si="228"/>
        <v>504296</v>
      </c>
      <c r="H1422">
        <f t="shared" si="229"/>
        <v>160585</v>
      </c>
      <c r="I1422">
        <f t="shared" si="222"/>
        <v>0</v>
      </c>
      <c r="J1422">
        <f t="shared" si="223"/>
        <v>0</v>
      </c>
      <c r="K1422">
        <f t="shared" si="224"/>
        <v>664881</v>
      </c>
      <c r="L1422">
        <f t="shared" si="225"/>
        <v>0</v>
      </c>
      <c r="M1422">
        <f t="shared" si="226"/>
        <v>338</v>
      </c>
      <c r="N1422">
        <f t="shared" si="227"/>
        <v>0</v>
      </c>
    </row>
    <row r="1423" spans="1:14" x14ac:dyDescent="0.35">
      <c r="A1423" s="9">
        <v>2054346</v>
      </c>
      <c r="B1423" s="10">
        <v>42937</v>
      </c>
      <c r="C1423" s="11">
        <v>0.35003472222222221</v>
      </c>
      <c r="D1423" s="12">
        <v>0.35540509259259262</v>
      </c>
      <c r="E1423" s="20">
        <f t="shared" si="220"/>
        <v>5.3703703703704142E-3</v>
      </c>
      <c r="F1423" t="str">
        <f t="shared" si="221"/>
        <v>stacjonarny</v>
      </c>
      <c r="G1423" s="23">
        <f t="shared" si="228"/>
        <v>504760</v>
      </c>
      <c r="H1423">
        <f t="shared" si="229"/>
        <v>160585</v>
      </c>
      <c r="I1423">
        <f t="shared" si="222"/>
        <v>0</v>
      </c>
      <c r="J1423">
        <f t="shared" si="223"/>
        <v>0</v>
      </c>
      <c r="K1423">
        <f t="shared" si="224"/>
        <v>665345</v>
      </c>
      <c r="L1423">
        <f t="shared" si="225"/>
        <v>0</v>
      </c>
      <c r="M1423">
        <f t="shared" si="226"/>
        <v>464</v>
      </c>
      <c r="N1423">
        <f t="shared" si="227"/>
        <v>0</v>
      </c>
    </row>
    <row r="1424" spans="1:14" x14ac:dyDescent="0.35">
      <c r="A1424" s="5">
        <v>6070136</v>
      </c>
      <c r="B1424" s="6">
        <v>42937</v>
      </c>
      <c r="C1424" s="7">
        <v>0.3515625</v>
      </c>
      <c r="D1424" s="8">
        <v>0.35299768518518521</v>
      </c>
      <c r="E1424" s="20">
        <f t="shared" si="220"/>
        <v>1.435185185185206E-3</v>
      </c>
      <c r="F1424" t="str">
        <f t="shared" si="221"/>
        <v>stacjonarny</v>
      </c>
      <c r="G1424" s="23">
        <f t="shared" si="228"/>
        <v>504884</v>
      </c>
      <c r="H1424">
        <f t="shared" si="229"/>
        <v>160585</v>
      </c>
      <c r="I1424">
        <f t="shared" si="222"/>
        <v>0</v>
      </c>
      <c r="J1424">
        <f t="shared" si="223"/>
        <v>0</v>
      </c>
      <c r="K1424">
        <f t="shared" si="224"/>
        <v>665469</v>
      </c>
      <c r="L1424">
        <f t="shared" si="225"/>
        <v>0</v>
      </c>
      <c r="M1424">
        <f t="shared" si="226"/>
        <v>124</v>
      </c>
      <c r="N1424">
        <f t="shared" si="227"/>
        <v>0</v>
      </c>
    </row>
    <row r="1425" spans="1:14" x14ac:dyDescent="0.35">
      <c r="A1425" s="9">
        <v>3086185</v>
      </c>
      <c r="B1425" s="10">
        <v>42937</v>
      </c>
      <c r="C1425" s="11">
        <v>0.35401620370370368</v>
      </c>
      <c r="D1425" s="12">
        <v>0.35944444444444446</v>
      </c>
      <c r="E1425" s="20">
        <f t="shared" si="220"/>
        <v>5.4282407407407751E-3</v>
      </c>
      <c r="F1425" t="str">
        <f t="shared" si="221"/>
        <v>stacjonarny</v>
      </c>
      <c r="G1425" s="23">
        <f t="shared" si="228"/>
        <v>505353</v>
      </c>
      <c r="H1425">
        <f t="shared" si="229"/>
        <v>160585</v>
      </c>
      <c r="I1425">
        <f t="shared" si="222"/>
        <v>0</v>
      </c>
      <c r="J1425">
        <f t="shared" si="223"/>
        <v>0</v>
      </c>
      <c r="K1425">
        <f t="shared" si="224"/>
        <v>665938</v>
      </c>
      <c r="L1425">
        <f t="shared" si="225"/>
        <v>0</v>
      </c>
      <c r="M1425">
        <f t="shared" si="226"/>
        <v>469</v>
      </c>
      <c r="N1425">
        <f t="shared" si="227"/>
        <v>0</v>
      </c>
    </row>
    <row r="1426" spans="1:14" x14ac:dyDescent="0.35">
      <c r="A1426" s="5">
        <v>6949463</v>
      </c>
      <c r="B1426" s="6">
        <v>42937</v>
      </c>
      <c r="C1426" s="7">
        <v>0.35912037037037037</v>
      </c>
      <c r="D1426" s="8">
        <v>0.36318287037037039</v>
      </c>
      <c r="E1426" s="20">
        <f t="shared" si="220"/>
        <v>4.0625000000000244E-3</v>
      </c>
      <c r="F1426" t="str">
        <f t="shared" si="221"/>
        <v>stacjonarny</v>
      </c>
      <c r="G1426" s="23">
        <f t="shared" si="228"/>
        <v>505704</v>
      </c>
      <c r="H1426">
        <f t="shared" si="229"/>
        <v>160585</v>
      </c>
      <c r="I1426">
        <f t="shared" si="222"/>
        <v>0</v>
      </c>
      <c r="J1426">
        <f t="shared" si="223"/>
        <v>0</v>
      </c>
      <c r="K1426">
        <f t="shared" si="224"/>
        <v>666289</v>
      </c>
      <c r="L1426">
        <f t="shared" si="225"/>
        <v>0</v>
      </c>
      <c r="M1426">
        <f t="shared" si="226"/>
        <v>351</v>
      </c>
      <c r="N1426">
        <f t="shared" si="227"/>
        <v>0</v>
      </c>
    </row>
    <row r="1427" spans="1:14" x14ac:dyDescent="0.35">
      <c r="A1427" s="9">
        <v>1626862</v>
      </c>
      <c r="B1427" s="10">
        <v>42937</v>
      </c>
      <c r="C1427" s="11">
        <v>0.36155092592592591</v>
      </c>
      <c r="D1427" s="12">
        <v>0.36355324074074075</v>
      </c>
      <c r="E1427" s="20">
        <f t="shared" si="220"/>
        <v>2.0023148148148318E-3</v>
      </c>
      <c r="F1427" t="str">
        <f t="shared" si="221"/>
        <v>stacjonarny</v>
      </c>
      <c r="G1427" s="23">
        <f t="shared" si="228"/>
        <v>505877</v>
      </c>
      <c r="H1427">
        <f t="shared" si="229"/>
        <v>160585</v>
      </c>
      <c r="I1427">
        <f t="shared" si="222"/>
        <v>0</v>
      </c>
      <c r="J1427">
        <f t="shared" si="223"/>
        <v>0</v>
      </c>
      <c r="K1427">
        <f t="shared" si="224"/>
        <v>666462</v>
      </c>
      <c r="L1427">
        <f t="shared" si="225"/>
        <v>0</v>
      </c>
      <c r="M1427">
        <f t="shared" si="226"/>
        <v>173</v>
      </c>
      <c r="N1427">
        <f t="shared" si="227"/>
        <v>0</v>
      </c>
    </row>
    <row r="1428" spans="1:14" x14ac:dyDescent="0.35">
      <c r="A1428" s="5">
        <v>99905503</v>
      </c>
      <c r="B1428" s="6">
        <v>42937</v>
      </c>
      <c r="C1428" s="7">
        <v>0.36631944444444442</v>
      </c>
      <c r="D1428" s="8">
        <v>0.37376157407407407</v>
      </c>
      <c r="E1428" s="20">
        <f t="shared" si="220"/>
        <v>7.4421296296296457E-3</v>
      </c>
      <c r="F1428" t="str">
        <f t="shared" si="221"/>
        <v>komorkowy</v>
      </c>
      <c r="G1428" s="23">
        <f t="shared" si="228"/>
        <v>505877</v>
      </c>
      <c r="H1428">
        <f t="shared" si="229"/>
        <v>161228</v>
      </c>
      <c r="I1428">
        <f t="shared" si="222"/>
        <v>0</v>
      </c>
      <c r="J1428">
        <f t="shared" si="223"/>
        <v>0</v>
      </c>
      <c r="K1428">
        <f t="shared" si="224"/>
        <v>667105</v>
      </c>
      <c r="L1428">
        <f t="shared" si="225"/>
        <v>0</v>
      </c>
      <c r="M1428">
        <f t="shared" si="226"/>
        <v>0</v>
      </c>
      <c r="N1428">
        <f t="shared" si="227"/>
        <v>643</v>
      </c>
    </row>
    <row r="1429" spans="1:14" x14ac:dyDescent="0.35">
      <c r="A1429" s="9">
        <v>2753778</v>
      </c>
      <c r="B1429" s="10">
        <v>42937</v>
      </c>
      <c r="C1429" s="11">
        <v>0.37133101851851852</v>
      </c>
      <c r="D1429" s="12">
        <v>0.38075231481481481</v>
      </c>
      <c r="E1429" s="20">
        <f t="shared" si="220"/>
        <v>9.4212962962962887E-3</v>
      </c>
      <c r="F1429" t="str">
        <f t="shared" si="221"/>
        <v>stacjonarny</v>
      </c>
      <c r="G1429" s="23">
        <f t="shared" si="228"/>
        <v>506691</v>
      </c>
      <c r="H1429">
        <f t="shared" si="229"/>
        <v>161228</v>
      </c>
      <c r="I1429">
        <f t="shared" si="222"/>
        <v>0</v>
      </c>
      <c r="J1429">
        <f t="shared" si="223"/>
        <v>0</v>
      </c>
      <c r="K1429">
        <f t="shared" si="224"/>
        <v>667919</v>
      </c>
      <c r="L1429">
        <f t="shared" si="225"/>
        <v>0</v>
      </c>
      <c r="M1429">
        <f t="shared" si="226"/>
        <v>814</v>
      </c>
      <c r="N1429">
        <f t="shared" si="227"/>
        <v>0</v>
      </c>
    </row>
    <row r="1430" spans="1:14" x14ac:dyDescent="0.35">
      <c r="A1430" s="5">
        <v>3508755</v>
      </c>
      <c r="B1430" s="6">
        <v>42937</v>
      </c>
      <c r="C1430" s="7">
        <v>0.37569444444444444</v>
      </c>
      <c r="D1430" s="8">
        <v>0.38611111111111113</v>
      </c>
      <c r="E1430" s="20">
        <f t="shared" si="220"/>
        <v>1.0416666666666685E-2</v>
      </c>
      <c r="F1430" t="str">
        <f t="shared" si="221"/>
        <v>stacjonarny</v>
      </c>
      <c r="G1430" s="23">
        <f t="shared" si="228"/>
        <v>507591</v>
      </c>
      <c r="H1430">
        <f t="shared" si="229"/>
        <v>161228</v>
      </c>
      <c r="I1430">
        <f t="shared" si="222"/>
        <v>0</v>
      </c>
      <c r="J1430">
        <f t="shared" si="223"/>
        <v>0</v>
      </c>
      <c r="K1430">
        <f t="shared" si="224"/>
        <v>668819</v>
      </c>
      <c r="L1430">
        <f t="shared" si="225"/>
        <v>0</v>
      </c>
      <c r="M1430">
        <f t="shared" si="226"/>
        <v>900</v>
      </c>
      <c r="N1430">
        <f t="shared" si="227"/>
        <v>0</v>
      </c>
    </row>
    <row r="1431" spans="1:14" x14ac:dyDescent="0.35">
      <c r="A1431" s="9">
        <v>14783929</v>
      </c>
      <c r="B1431" s="10">
        <v>42937</v>
      </c>
      <c r="C1431" s="11">
        <v>0.37891203703703702</v>
      </c>
      <c r="D1431" s="12">
        <v>0.38443287037037038</v>
      </c>
      <c r="E1431" s="20">
        <f t="shared" si="220"/>
        <v>5.5208333333333637E-3</v>
      </c>
      <c r="F1431" t="str">
        <f t="shared" si="221"/>
        <v>komorkowy</v>
      </c>
      <c r="G1431" s="23">
        <f t="shared" si="228"/>
        <v>507591</v>
      </c>
      <c r="H1431">
        <f t="shared" si="229"/>
        <v>161705</v>
      </c>
      <c r="I1431">
        <f t="shared" si="222"/>
        <v>0</v>
      </c>
      <c r="J1431">
        <f t="shared" si="223"/>
        <v>0</v>
      </c>
      <c r="K1431">
        <f t="shared" si="224"/>
        <v>669296</v>
      </c>
      <c r="L1431">
        <f t="shared" si="225"/>
        <v>0</v>
      </c>
      <c r="M1431">
        <f t="shared" si="226"/>
        <v>0</v>
      </c>
      <c r="N1431">
        <f t="shared" si="227"/>
        <v>477</v>
      </c>
    </row>
    <row r="1432" spans="1:14" x14ac:dyDescent="0.35">
      <c r="A1432" s="5">
        <v>1409543</v>
      </c>
      <c r="B1432" s="6">
        <v>42937</v>
      </c>
      <c r="C1432" s="7">
        <v>0.38086805555555553</v>
      </c>
      <c r="D1432" s="8">
        <v>0.38918981481481479</v>
      </c>
      <c r="E1432" s="20">
        <f t="shared" si="220"/>
        <v>8.3217592592592649E-3</v>
      </c>
      <c r="F1432" t="str">
        <f t="shared" si="221"/>
        <v>stacjonarny</v>
      </c>
      <c r="G1432" s="23">
        <f t="shared" si="228"/>
        <v>508310</v>
      </c>
      <c r="H1432">
        <f t="shared" si="229"/>
        <v>161705</v>
      </c>
      <c r="I1432">
        <f t="shared" si="222"/>
        <v>0</v>
      </c>
      <c r="J1432">
        <f t="shared" si="223"/>
        <v>0</v>
      </c>
      <c r="K1432">
        <f t="shared" si="224"/>
        <v>670015</v>
      </c>
      <c r="L1432">
        <f t="shared" si="225"/>
        <v>0</v>
      </c>
      <c r="M1432">
        <f t="shared" si="226"/>
        <v>719</v>
      </c>
      <c r="N1432">
        <f t="shared" si="227"/>
        <v>0</v>
      </c>
    </row>
    <row r="1433" spans="1:14" x14ac:dyDescent="0.35">
      <c r="A1433" s="9">
        <v>6891636</v>
      </c>
      <c r="B1433" s="10">
        <v>42937</v>
      </c>
      <c r="C1433" s="11">
        <v>0.38633101851851853</v>
      </c>
      <c r="D1433" s="12">
        <v>0.38923611111111112</v>
      </c>
      <c r="E1433" s="20">
        <f t="shared" si="220"/>
        <v>2.9050925925925841E-3</v>
      </c>
      <c r="F1433" t="str">
        <f t="shared" si="221"/>
        <v>stacjonarny</v>
      </c>
      <c r="G1433" s="23">
        <f t="shared" si="228"/>
        <v>508561</v>
      </c>
      <c r="H1433">
        <f t="shared" si="229"/>
        <v>161705</v>
      </c>
      <c r="I1433">
        <f t="shared" si="222"/>
        <v>0</v>
      </c>
      <c r="J1433">
        <f t="shared" si="223"/>
        <v>0</v>
      </c>
      <c r="K1433">
        <f t="shared" si="224"/>
        <v>670266</v>
      </c>
      <c r="L1433">
        <f t="shared" si="225"/>
        <v>0</v>
      </c>
      <c r="M1433">
        <f t="shared" si="226"/>
        <v>251</v>
      </c>
      <c r="N1433">
        <f t="shared" si="227"/>
        <v>0</v>
      </c>
    </row>
    <row r="1434" spans="1:14" x14ac:dyDescent="0.35">
      <c r="A1434" s="5">
        <v>8541151</v>
      </c>
      <c r="B1434" s="6">
        <v>42937</v>
      </c>
      <c r="C1434" s="7">
        <v>0.38848379629629631</v>
      </c>
      <c r="D1434" s="8">
        <v>0.39874999999999999</v>
      </c>
      <c r="E1434" s="20">
        <f t="shared" si="220"/>
        <v>1.026620370370368E-2</v>
      </c>
      <c r="F1434" t="str">
        <f t="shared" si="221"/>
        <v>stacjonarny</v>
      </c>
      <c r="G1434" s="23">
        <f t="shared" si="228"/>
        <v>509448</v>
      </c>
      <c r="H1434">
        <f t="shared" si="229"/>
        <v>161705</v>
      </c>
      <c r="I1434">
        <f t="shared" si="222"/>
        <v>0</v>
      </c>
      <c r="J1434">
        <f t="shared" si="223"/>
        <v>0</v>
      </c>
      <c r="K1434">
        <f t="shared" si="224"/>
        <v>671153</v>
      </c>
      <c r="L1434">
        <f t="shared" si="225"/>
        <v>0</v>
      </c>
      <c r="M1434">
        <f t="shared" si="226"/>
        <v>887</v>
      </c>
      <c r="N1434">
        <f t="shared" si="227"/>
        <v>0</v>
      </c>
    </row>
    <row r="1435" spans="1:14" x14ac:dyDescent="0.35">
      <c r="A1435" s="9">
        <v>8322802</v>
      </c>
      <c r="B1435" s="10">
        <v>42937</v>
      </c>
      <c r="C1435" s="11">
        <v>0.39089120370370373</v>
      </c>
      <c r="D1435" s="12">
        <v>0.39620370370370372</v>
      </c>
      <c r="E1435" s="20">
        <f t="shared" si="220"/>
        <v>5.3124999999999978E-3</v>
      </c>
      <c r="F1435" t="str">
        <f t="shared" si="221"/>
        <v>stacjonarny</v>
      </c>
      <c r="G1435" s="23">
        <f t="shared" si="228"/>
        <v>509907</v>
      </c>
      <c r="H1435">
        <f t="shared" si="229"/>
        <v>161705</v>
      </c>
      <c r="I1435">
        <f t="shared" si="222"/>
        <v>0</v>
      </c>
      <c r="J1435">
        <f t="shared" si="223"/>
        <v>0</v>
      </c>
      <c r="K1435">
        <f t="shared" si="224"/>
        <v>671612</v>
      </c>
      <c r="L1435">
        <f t="shared" si="225"/>
        <v>0</v>
      </c>
      <c r="M1435">
        <f t="shared" si="226"/>
        <v>459</v>
      </c>
      <c r="N1435">
        <f t="shared" si="227"/>
        <v>0</v>
      </c>
    </row>
    <row r="1436" spans="1:14" x14ac:dyDescent="0.35">
      <c r="A1436" s="5">
        <v>30678431</v>
      </c>
      <c r="B1436" s="6">
        <v>42937</v>
      </c>
      <c r="C1436" s="7">
        <v>0.39469907407407406</v>
      </c>
      <c r="D1436" s="8">
        <v>0.40141203703703704</v>
      </c>
      <c r="E1436" s="20">
        <f t="shared" si="220"/>
        <v>6.7129629629629761E-3</v>
      </c>
      <c r="F1436" t="str">
        <f t="shared" si="221"/>
        <v>komorkowy</v>
      </c>
      <c r="G1436" s="23">
        <f t="shared" si="228"/>
        <v>509907</v>
      </c>
      <c r="H1436">
        <f t="shared" si="229"/>
        <v>162285</v>
      </c>
      <c r="I1436">
        <f t="shared" si="222"/>
        <v>0</v>
      </c>
      <c r="J1436">
        <f t="shared" si="223"/>
        <v>0</v>
      </c>
      <c r="K1436">
        <f t="shared" si="224"/>
        <v>672192</v>
      </c>
      <c r="L1436">
        <f t="shared" si="225"/>
        <v>0</v>
      </c>
      <c r="M1436">
        <f t="shared" si="226"/>
        <v>0</v>
      </c>
      <c r="N1436">
        <f t="shared" si="227"/>
        <v>580</v>
      </c>
    </row>
    <row r="1437" spans="1:14" x14ac:dyDescent="0.35">
      <c r="A1437" s="9">
        <v>41837828</v>
      </c>
      <c r="B1437" s="10">
        <v>42937</v>
      </c>
      <c r="C1437" s="11">
        <v>0.39953703703703702</v>
      </c>
      <c r="D1437" s="12">
        <v>0.40038194444444447</v>
      </c>
      <c r="E1437" s="20">
        <f t="shared" si="220"/>
        <v>8.4490740740744696E-4</v>
      </c>
      <c r="F1437" t="str">
        <f t="shared" si="221"/>
        <v>komorkowy</v>
      </c>
      <c r="G1437" s="23">
        <f t="shared" si="228"/>
        <v>509907</v>
      </c>
      <c r="H1437">
        <f t="shared" si="229"/>
        <v>162358</v>
      </c>
      <c r="I1437">
        <f t="shared" si="222"/>
        <v>0</v>
      </c>
      <c r="J1437">
        <f t="shared" si="223"/>
        <v>0</v>
      </c>
      <c r="K1437">
        <f t="shared" si="224"/>
        <v>672265</v>
      </c>
      <c r="L1437">
        <f t="shared" si="225"/>
        <v>0</v>
      </c>
      <c r="M1437">
        <f t="shared" si="226"/>
        <v>0</v>
      </c>
      <c r="N1437">
        <f t="shared" si="227"/>
        <v>73</v>
      </c>
    </row>
    <row r="1438" spans="1:14" x14ac:dyDescent="0.35">
      <c r="A1438" s="5">
        <v>13639748</v>
      </c>
      <c r="B1438" s="6">
        <v>42937</v>
      </c>
      <c r="C1438" s="7">
        <v>0.40379629629629632</v>
      </c>
      <c r="D1438" s="8">
        <v>0.40822916666666664</v>
      </c>
      <c r="E1438" s="20">
        <f t="shared" si="220"/>
        <v>4.4328703703703232E-3</v>
      </c>
      <c r="F1438" t="str">
        <f t="shared" si="221"/>
        <v>komorkowy</v>
      </c>
      <c r="G1438" s="23">
        <f t="shared" si="228"/>
        <v>509907</v>
      </c>
      <c r="H1438">
        <f t="shared" si="229"/>
        <v>162741</v>
      </c>
      <c r="I1438">
        <f t="shared" si="222"/>
        <v>0</v>
      </c>
      <c r="J1438">
        <f t="shared" si="223"/>
        <v>0</v>
      </c>
      <c r="K1438">
        <f t="shared" si="224"/>
        <v>672648</v>
      </c>
      <c r="L1438">
        <f t="shared" si="225"/>
        <v>0</v>
      </c>
      <c r="M1438">
        <f t="shared" si="226"/>
        <v>0</v>
      </c>
      <c r="N1438">
        <f t="shared" si="227"/>
        <v>383</v>
      </c>
    </row>
    <row r="1439" spans="1:14" x14ac:dyDescent="0.35">
      <c r="A1439" s="9">
        <v>8972366</v>
      </c>
      <c r="B1439" s="10">
        <v>42937</v>
      </c>
      <c r="C1439" s="11">
        <v>0.40462962962962962</v>
      </c>
      <c r="D1439" s="12">
        <v>0.40875</v>
      </c>
      <c r="E1439" s="20">
        <f t="shared" si="220"/>
        <v>4.1203703703703853E-3</v>
      </c>
      <c r="F1439" t="str">
        <f t="shared" si="221"/>
        <v>stacjonarny</v>
      </c>
      <c r="G1439" s="23">
        <f t="shared" si="228"/>
        <v>510263</v>
      </c>
      <c r="H1439">
        <f t="shared" si="229"/>
        <v>162741</v>
      </c>
      <c r="I1439">
        <f t="shared" si="222"/>
        <v>0</v>
      </c>
      <c r="J1439">
        <f t="shared" si="223"/>
        <v>0</v>
      </c>
      <c r="K1439">
        <f t="shared" si="224"/>
        <v>673004</v>
      </c>
      <c r="L1439">
        <f t="shared" si="225"/>
        <v>0</v>
      </c>
      <c r="M1439">
        <f t="shared" si="226"/>
        <v>356</v>
      </c>
      <c r="N1439">
        <f t="shared" si="227"/>
        <v>0</v>
      </c>
    </row>
    <row r="1440" spans="1:14" x14ac:dyDescent="0.35">
      <c r="A1440" s="5">
        <v>5233531</v>
      </c>
      <c r="B1440" s="6">
        <v>42937</v>
      </c>
      <c r="C1440" s="7">
        <v>0.40465277777777775</v>
      </c>
      <c r="D1440" s="8">
        <v>0.40887731481481482</v>
      </c>
      <c r="E1440" s="20">
        <f t="shared" si="220"/>
        <v>4.2245370370370683E-3</v>
      </c>
      <c r="F1440" t="str">
        <f t="shared" si="221"/>
        <v>stacjonarny</v>
      </c>
      <c r="G1440" s="23">
        <f t="shared" si="228"/>
        <v>510628</v>
      </c>
      <c r="H1440">
        <f t="shared" si="229"/>
        <v>162741</v>
      </c>
      <c r="I1440">
        <f t="shared" si="222"/>
        <v>0</v>
      </c>
      <c r="J1440">
        <f t="shared" si="223"/>
        <v>0</v>
      </c>
      <c r="K1440">
        <f t="shared" si="224"/>
        <v>673369</v>
      </c>
      <c r="L1440">
        <f t="shared" si="225"/>
        <v>0</v>
      </c>
      <c r="M1440">
        <f t="shared" si="226"/>
        <v>365</v>
      </c>
      <c r="N1440">
        <f t="shared" si="227"/>
        <v>0</v>
      </c>
    </row>
    <row r="1441" spans="1:14" x14ac:dyDescent="0.35">
      <c r="A1441" s="9">
        <v>3691176</v>
      </c>
      <c r="B1441" s="10">
        <v>42937</v>
      </c>
      <c r="C1441" s="11">
        <v>0.40505787037037039</v>
      </c>
      <c r="D1441" s="12">
        <v>0.40561342592592592</v>
      </c>
      <c r="E1441" s="20">
        <f t="shared" si="220"/>
        <v>5.5555555555553138E-4</v>
      </c>
      <c r="F1441" t="str">
        <f t="shared" si="221"/>
        <v>stacjonarny</v>
      </c>
      <c r="G1441" s="23">
        <f t="shared" si="228"/>
        <v>510676</v>
      </c>
      <c r="H1441">
        <f t="shared" si="229"/>
        <v>162741</v>
      </c>
      <c r="I1441">
        <f t="shared" si="222"/>
        <v>0</v>
      </c>
      <c r="J1441">
        <f t="shared" si="223"/>
        <v>0</v>
      </c>
      <c r="K1441">
        <f t="shared" si="224"/>
        <v>673417</v>
      </c>
      <c r="L1441">
        <f t="shared" si="225"/>
        <v>0</v>
      </c>
      <c r="M1441">
        <f t="shared" si="226"/>
        <v>48</v>
      </c>
      <c r="N1441">
        <f t="shared" si="227"/>
        <v>0</v>
      </c>
    </row>
    <row r="1442" spans="1:14" x14ac:dyDescent="0.35">
      <c r="A1442" s="5">
        <v>66377806</v>
      </c>
      <c r="B1442" s="6">
        <v>42937</v>
      </c>
      <c r="C1442" s="7">
        <v>0.40694444444444444</v>
      </c>
      <c r="D1442" s="8">
        <v>0.40991898148148148</v>
      </c>
      <c r="E1442" s="20">
        <f t="shared" si="220"/>
        <v>2.9745370370370394E-3</v>
      </c>
      <c r="F1442" t="str">
        <f t="shared" si="221"/>
        <v>komorkowy</v>
      </c>
      <c r="G1442" s="23">
        <f t="shared" si="228"/>
        <v>510676</v>
      </c>
      <c r="H1442">
        <f t="shared" si="229"/>
        <v>162998</v>
      </c>
      <c r="I1442">
        <f t="shared" si="222"/>
        <v>0</v>
      </c>
      <c r="J1442">
        <f t="shared" si="223"/>
        <v>0</v>
      </c>
      <c r="K1442">
        <f t="shared" si="224"/>
        <v>673674</v>
      </c>
      <c r="L1442">
        <f t="shared" si="225"/>
        <v>0</v>
      </c>
      <c r="M1442">
        <f t="shared" si="226"/>
        <v>0</v>
      </c>
      <c r="N1442">
        <f t="shared" si="227"/>
        <v>257</v>
      </c>
    </row>
    <row r="1443" spans="1:14" x14ac:dyDescent="0.35">
      <c r="A1443" s="9">
        <v>6357818</v>
      </c>
      <c r="B1443" s="10">
        <v>42937</v>
      </c>
      <c r="C1443" s="11">
        <v>0.41228009259259257</v>
      </c>
      <c r="D1443" s="12">
        <v>0.41648148148148151</v>
      </c>
      <c r="E1443" s="20">
        <f t="shared" si="220"/>
        <v>4.201388888888935E-3</v>
      </c>
      <c r="F1443" t="str">
        <f t="shared" si="221"/>
        <v>stacjonarny</v>
      </c>
      <c r="G1443" s="23">
        <f t="shared" si="228"/>
        <v>511039</v>
      </c>
      <c r="H1443">
        <f t="shared" si="229"/>
        <v>162998</v>
      </c>
      <c r="I1443">
        <f t="shared" si="222"/>
        <v>0</v>
      </c>
      <c r="J1443">
        <f t="shared" si="223"/>
        <v>0</v>
      </c>
      <c r="K1443">
        <f t="shared" si="224"/>
        <v>674037</v>
      </c>
      <c r="L1443">
        <f t="shared" si="225"/>
        <v>0</v>
      </c>
      <c r="M1443">
        <f t="shared" si="226"/>
        <v>363</v>
      </c>
      <c r="N1443">
        <f t="shared" si="227"/>
        <v>0</v>
      </c>
    </row>
    <row r="1444" spans="1:14" x14ac:dyDescent="0.35">
      <c r="A1444" s="5">
        <v>7123731</v>
      </c>
      <c r="B1444" s="6">
        <v>42937</v>
      </c>
      <c r="C1444" s="7">
        <v>0.41494212962962962</v>
      </c>
      <c r="D1444" s="8">
        <v>0.41641203703703705</v>
      </c>
      <c r="E1444" s="20">
        <f t="shared" si="220"/>
        <v>1.4699074074074336E-3</v>
      </c>
      <c r="F1444" t="str">
        <f t="shared" si="221"/>
        <v>stacjonarny</v>
      </c>
      <c r="G1444" s="23">
        <f t="shared" si="228"/>
        <v>511166</v>
      </c>
      <c r="H1444">
        <f t="shared" si="229"/>
        <v>162998</v>
      </c>
      <c r="I1444">
        <f t="shared" si="222"/>
        <v>0</v>
      </c>
      <c r="J1444">
        <f t="shared" si="223"/>
        <v>0</v>
      </c>
      <c r="K1444">
        <f t="shared" si="224"/>
        <v>674164</v>
      </c>
      <c r="L1444">
        <f t="shared" si="225"/>
        <v>0</v>
      </c>
      <c r="M1444">
        <f t="shared" si="226"/>
        <v>127</v>
      </c>
      <c r="N1444">
        <f t="shared" si="227"/>
        <v>0</v>
      </c>
    </row>
    <row r="1445" spans="1:14" x14ac:dyDescent="0.35">
      <c r="A1445" s="9">
        <v>91907883</v>
      </c>
      <c r="B1445" s="10">
        <v>42937</v>
      </c>
      <c r="C1445" s="11">
        <v>0.42054398148148148</v>
      </c>
      <c r="D1445" s="12">
        <v>0.42721064814814813</v>
      </c>
      <c r="E1445" s="20">
        <f t="shared" si="220"/>
        <v>6.6666666666666541E-3</v>
      </c>
      <c r="F1445" t="str">
        <f t="shared" si="221"/>
        <v>komorkowy</v>
      </c>
      <c r="G1445" s="23">
        <f t="shared" si="228"/>
        <v>511166</v>
      </c>
      <c r="H1445">
        <f t="shared" si="229"/>
        <v>163574</v>
      </c>
      <c r="I1445">
        <f t="shared" si="222"/>
        <v>0</v>
      </c>
      <c r="J1445">
        <f t="shared" si="223"/>
        <v>0</v>
      </c>
      <c r="K1445">
        <f t="shared" si="224"/>
        <v>674740</v>
      </c>
      <c r="L1445">
        <f t="shared" si="225"/>
        <v>0</v>
      </c>
      <c r="M1445">
        <f t="shared" si="226"/>
        <v>0</v>
      </c>
      <c r="N1445">
        <f t="shared" si="227"/>
        <v>576</v>
      </c>
    </row>
    <row r="1446" spans="1:14" x14ac:dyDescent="0.35">
      <c r="A1446" s="5">
        <v>69734527</v>
      </c>
      <c r="B1446" s="6">
        <v>42937</v>
      </c>
      <c r="C1446" s="7">
        <v>0.42084490740740743</v>
      </c>
      <c r="D1446" s="8">
        <v>0.43167824074074074</v>
      </c>
      <c r="E1446" s="20">
        <f t="shared" si="220"/>
        <v>1.0833333333333306E-2</v>
      </c>
      <c r="F1446" t="str">
        <f t="shared" si="221"/>
        <v>komorkowy</v>
      </c>
      <c r="G1446" s="23">
        <f t="shared" si="228"/>
        <v>511166</v>
      </c>
      <c r="H1446">
        <f t="shared" si="229"/>
        <v>164510</v>
      </c>
      <c r="I1446">
        <f t="shared" si="222"/>
        <v>0</v>
      </c>
      <c r="J1446">
        <f t="shared" si="223"/>
        <v>0</v>
      </c>
      <c r="K1446">
        <f t="shared" si="224"/>
        <v>675676</v>
      </c>
      <c r="L1446">
        <f t="shared" si="225"/>
        <v>0</v>
      </c>
      <c r="M1446">
        <f t="shared" si="226"/>
        <v>0</v>
      </c>
      <c r="N1446">
        <f t="shared" si="227"/>
        <v>936</v>
      </c>
    </row>
    <row r="1447" spans="1:14" x14ac:dyDescent="0.35">
      <c r="A1447" s="9">
        <v>7536096</v>
      </c>
      <c r="B1447" s="10">
        <v>42937</v>
      </c>
      <c r="C1447" s="11">
        <v>0.42357638888888888</v>
      </c>
      <c r="D1447" s="12">
        <v>0.4322685185185185</v>
      </c>
      <c r="E1447" s="20">
        <f t="shared" si="220"/>
        <v>8.6921296296296191E-3</v>
      </c>
      <c r="F1447" t="str">
        <f t="shared" si="221"/>
        <v>stacjonarny</v>
      </c>
      <c r="G1447" s="23">
        <f t="shared" si="228"/>
        <v>511917</v>
      </c>
      <c r="H1447">
        <f t="shared" si="229"/>
        <v>164510</v>
      </c>
      <c r="I1447">
        <f t="shared" si="222"/>
        <v>0</v>
      </c>
      <c r="J1447">
        <f t="shared" si="223"/>
        <v>0</v>
      </c>
      <c r="K1447">
        <f t="shared" si="224"/>
        <v>676427</v>
      </c>
      <c r="L1447">
        <f t="shared" si="225"/>
        <v>0</v>
      </c>
      <c r="M1447">
        <f t="shared" si="226"/>
        <v>751</v>
      </c>
      <c r="N1447">
        <f t="shared" si="227"/>
        <v>0</v>
      </c>
    </row>
    <row r="1448" spans="1:14" x14ac:dyDescent="0.35">
      <c r="A1448" s="5">
        <v>60158843</v>
      </c>
      <c r="B1448" s="6">
        <v>42937</v>
      </c>
      <c r="C1448" s="7">
        <v>0.42814814814814817</v>
      </c>
      <c r="D1448" s="8">
        <v>0.43784722222222222</v>
      </c>
      <c r="E1448" s="20">
        <f t="shared" si="220"/>
        <v>9.6990740740740544E-3</v>
      </c>
      <c r="F1448" t="str">
        <f t="shared" si="221"/>
        <v>komorkowy</v>
      </c>
      <c r="G1448" s="23">
        <f t="shared" si="228"/>
        <v>511917</v>
      </c>
      <c r="H1448">
        <f t="shared" si="229"/>
        <v>165348</v>
      </c>
      <c r="I1448">
        <f t="shared" si="222"/>
        <v>0</v>
      </c>
      <c r="J1448">
        <f t="shared" si="223"/>
        <v>0</v>
      </c>
      <c r="K1448">
        <f t="shared" si="224"/>
        <v>677265</v>
      </c>
      <c r="L1448">
        <f t="shared" si="225"/>
        <v>0</v>
      </c>
      <c r="M1448">
        <f t="shared" si="226"/>
        <v>0</v>
      </c>
      <c r="N1448">
        <f t="shared" si="227"/>
        <v>838</v>
      </c>
    </row>
    <row r="1449" spans="1:14" x14ac:dyDescent="0.35">
      <c r="A1449" s="9">
        <v>6942059</v>
      </c>
      <c r="B1449" s="10">
        <v>42937</v>
      </c>
      <c r="C1449" s="11">
        <v>0.43002314814814813</v>
      </c>
      <c r="D1449" s="12">
        <v>0.43030092592592595</v>
      </c>
      <c r="E1449" s="20">
        <f t="shared" si="220"/>
        <v>2.777777777778212E-4</v>
      </c>
      <c r="F1449" t="str">
        <f t="shared" si="221"/>
        <v>stacjonarny</v>
      </c>
      <c r="G1449" s="23">
        <f t="shared" si="228"/>
        <v>511941</v>
      </c>
      <c r="H1449">
        <f t="shared" si="229"/>
        <v>165348</v>
      </c>
      <c r="I1449">
        <f t="shared" si="222"/>
        <v>0</v>
      </c>
      <c r="J1449">
        <f t="shared" si="223"/>
        <v>0</v>
      </c>
      <c r="K1449">
        <f t="shared" si="224"/>
        <v>677289</v>
      </c>
      <c r="L1449">
        <f t="shared" si="225"/>
        <v>0</v>
      </c>
      <c r="M1449">
        <f t="shared" si="226"/>
        <v>24</v>
      </c>
      <c r="N1449">
        <f t="shared" si="227"/>
        <v>0</v>
      </c>
    </row>
    <row r="1450" spans="1:14" x14ac:dyDescent="0.35">
      <c r="A1450" s="5">
        <v>28282891</v>
      </c>
      <c r="B1450" s="6">
        <v>42937</v>
      </c>
      <c r="C1450" s="7">
        <v>0.4307523148148148</v>
      </c>
      <c r="D1450" s="8">
        <v>0.4412847222222222</v>
      </c>
      <c r="E1450" s="20">
        <f t="shared" si="220"/>
        <v>1.0532407407407407E-2</v>
      </c>
      <c r="F1450" t="str">
        <f t="shared" si="221"/>
        <v>komorkowy</v>
      </c>
      <c r="G1450" s="23">
        <f t="shared" si="228"/>
        <v>511941</v>
      </c>
      <c r="H1450">
        <f t="shared" si="229"/>
        <v>166258</v>
      </c>
      <c r="I1450">
        <f t="shared" si="222"/>
        <v>0</v>
      </c>
      <c r="J1450">
        <f t="shared" si="223"/>
        <v>0</v>
      </c>
      <c r="K1450">
        <f t="shared" si="224"/>
        <v>678199</v>
      </c>
      <c r="L1450">
        <f t="shared" si="225"/>
        <v>0</v>
      </c>
      <c r="M1450">
        <f t="shared" si="226"/>
        <v>0</v>
      </c>
      <c r="N1450">
        <f t="shared" si="227"/>
        <v>910</v>
      </c>
    </row>
    <row r="1451" spans="1:14" x14ac:dyDescent="0.35">
      <c r="A1451" s="9">
        <v>1617146</v>
      </c>
      <c r="B1451" s="10">
        <v>42937</v>
      </c>
      <c r="C1451" s="11">
        <v>0.43400462962962966</v>
      </c>
      <c r="D1451" s="12">
        <v>0.44041666666666668</v>
      </c>
      <c r="E1451" s="20">
        <f t="shared" si="220"/>
        <v>6.4120370370370217E-3</v>
      </c>
      <c r="F1451" t="str">
        <f t="shared" si="221"/>
        <v>stacjonarny</v>
      </c>
      <c r="G1451" s="23">
        <f t="shared" si="228"/>
        <v>512495</v>
      </c>
      <c r="H1451">
        <f t="shared" si="229"/>
        <v>166258</v>
      </c>
      <c r="I1451">
        <f t="shared" si="222"/>
        <v>0</v>
      </c>
      <c r="J1451">
        <f t="shared" si="223"/>
        <v>0</v>
      </c>
      <c r="K1451">
        <f t="shared" si="224"/>
        <v>678753</v>
      </c>
      <c r="L1451">
        <f t="shared" si="225"/>
        <v>0</v>
      </c>
      <c r="M1451">
        <f t="shared" si="226"/>
        <v>554</v>
      </c>
      <c r="N1451">
        <f t="shared" si="227"/>
        <v>0</v>
      </c>
    </row>
    <row r="1452" spans="1:14" x14ac:dyDescent="0.35">
      <c r="A1452" s="5">
        <v>2186880</v>
      </c>
      <c r="B1452" s="6">
        <v>42937</v>
      </c>
      <c r="C1452" s="7">
        <v>0.43582175925925926</v>
      </c>
      <c r="D1452" s="8">
        <v>0.44550925925925927</v>
      </c>
      <c r="E1452" s="20">
        <f t="shared" si="220"/>
        <v>9.6875000000000155E-3</v>
      </c>
      <c r="F1452" t="str">
        <f t="shared" si="221"/>
        <v>stacjonarny</v>
      </c>
      <c r="G1452" s="23">
        <f t="shared" si="228"/>
        <v>513332</v>
      </c>
      <c r="H1452">
        <f t="shared" si="229"/>
        <v>166258</v>
      </c>
      <c r="I1452">
        <f t="shared" si="222"/>
        <v>0</v>
      </c>
      <c r="J1452">
        <f t="shared" si="223"/>
        <v>0</v>
      </c>
      <c r="K1452">
        <f t="shared" si="224"/>
        <v>679590</v>
      </c>
      <c r="L1452">
        <f t="shared" si="225"/>
        <v>0</v>
      </c>
      <c r="M1452">
        <f t="shared" si="226"/>
        <v>837</v>
      </c>
      <c r="N1452">
        <f t="shared" si="227"/>
        <v>0</v>
      </c>
    </row>
    <row r="1453" spans="1:14" x14ac:dyDescent="0.35">
      <c r="A1453" s="9">
        <v>92461001</v>
      </c>
      <c r="B1453" s="10">
        <v>42937</v>
      </c>
      <c r="C1453" s="11">
        <v>0.43730324074074073</v>
      </c>
      <c r="D1453" s="12">
        <v>0.44869212962962962</v>
      </c>
      <c r="E1453" s="20">
        <f t="shared" si="220"/>
        <v>1.1388888888888893E-2</v>
      </c>
      <c r="F1453" t="str">
        <f t="shared" si="221"/>
        <v>komorkowy</v>
      </c>
      <c r="G1453" s="23">
        <f t="shared" si="228"/>
        <v>513332</v>
      </c>
      <c r="H1453">
        <f t="shared" si="229"/>
        <v>167242</v>
      </c>
      <c r="I1453">
        <f t="shared" si="222"/>
        <v>0</v>
      </c>
      <c r="J1453">
        <f t="shared" si="223"/>
        <v>0</v>
      </c>
      <c r="K1453">
        <f t="shared" si="224"/>
        <v>680574</v>
      </c>
      <c r="L1453">
        <f t="shared" si="225"/>
        <v>0</v>
      </c>
      <c r="M1453">
        <f t="shared" si="226"/>
        <v>0</v>
      </c>
      <c r="N1453">
        <f t="shared" si="227"/>
        <v>984</v>
      </c>
    </row>
    <row r="1454" spans="1:14" x14ac:dyDescent="0.35">
      <c r="A1454" s="5">
        <v>4657345</v>
      </c>
      <c r="B1454" s="6">
        <v>42937</v>
      </c>
      <c r="C1454" s="7">
        <v>0.44291666666666668</v>
      </c>
      <c r="D1454" s="8">
        <v>0.45256944444444447</v>
      </c>
      <c r="E1454" s="20">
        <f t="shared" si="220"/>
        <v>9.6527777777777879E-3</v>
      </c>
      <c r="F1454" t="str">
        <f t="shared" si="221"/>
        <v>stacjonarny</v>
      </c>
      <c r="G1454" s="23">
        <f t="shared" si="228"/>
        <v>514166</v>
      </c>
      <c r="H1454">
        <f t="shared" si="229"/>
        <v>167242</v>
      </c>
      <c r="I1454">
        <f t="shared" si="222"/>
        <v>0</v>
      </c>
      <c r="J1454">
        <f t="shared" si="223"/>
        <v>0</v>
      </c>
      <c r="K1454">
        <f t="shared" si="224"/>
        <v>681408</v>
      </c>
      <c r="L1454">
        <f t="shared" si="225"/>
        <v>0</v>
      </c>
      <c r="M1454">
        <f t="shared" si="226"/>
        <v>834</v>
      </c>
      <c r="N1454">
        <f t="shared" si="227"/>
        <v>0</v>
      </c>
    </row>
    <row r="1455" spans="1:14" x14ac:dyDescent="0.35">
      <c r="A1455" s="9">
        <v>16775888</v>
      </c>
      <c r="B1455" s="10">
        <v>42937</v>
      </c>
      <c r="C1455" s="11">
        <v>0.4478240740740741</v>
      </c>
      <c r="D1455" s="12">
        <v>0.45548611111111109</v>
      </c>
      <c r="E1455" s="20">
        <f t="shared" si="220"/>
        <v>7.662037037036995E-3</v>
      </c>
      <c r="F1455" t="str">
        <f t="shared" si="221"/>
        <v>komorkowy</v>
      </c>
      <c r="G1455" s="23">
        <f t="shared" si="228"/>
        <v>514166</v>
      </c>
      <c r="H1455">
        <f t="shared" si="229"/>
        <v>167904</v>
      </c>
      <c r="I1455">
        <f t="shared" si="222"/>
        <v>0</v>
      </c>
      <c r="J1455">
        <f t="shared" si="223"/>
        <v>0</v>
      </c>
      <c r="K1455">
        <f t="shared" si="224"/>
        <v>682070</v>
      </c>
      <c r="L1455">
        <f t="shared" si="225"/>
        <v>0</v>
      </c>
      <c r="M1455">
        <f t="shared" si="226"/>
        <v>0</v>
      </c>
      <c r="N1455">
        <f t="shared" si="227"/>
        <v>662</v>
      </c>
    </row>
    <row r="1456" spans="1:14" x14ac:dyDescent="0.35">
      <c r="A1456" s="5">
        <v>97953696</v>
      </c>
      <c r="B1456" s="6">
        <v>42937</v>
      </c>
      <c r="C1456" s="7">
        <v>0.45187500000000003</v>
      </c>
      <c r="D1456" s="8">
        <v>0.45925925925925926</v>
      </c>
      <c r="E1456" s="20">
        <f t="shared" si="220"/>
        <v>7.3842592592592293E-3</v>
      </c>
      <c r="F1456" t="str">
        <f t="shared" si="221"/>
        <v>komorkowy</v>
      </c>
      <c r="G1456" s="23">
        <f t="shared" si="228"/>
        <v>514166</v>
      </c>
      <c r="H1456">
        <f t="shared" si="229"/>
        <v>168542</v>
      </c>
      <c r="I1456">
        <f t="shared" si="222"/>
        <v>0</v>
      </c>
      <c r="J1456">
        <f t="shared" si="223"/>
        <v>0</v>
      </c>
      <c r="K1456">
        <f t="shared" si="224"/>
        <v>682708</v>
      </c>
      <c r="L1456">
        <f t="shared" si="225"/>
        <v>0</v>
      </c>
      <c r="M1456">
        <f t="shared" si="226"/>
        <v>0</v>
      </c>
      <c r="N1456">
        <f t="shared" si="227"/>
        <v>638</v>
      </c>
    </row>
    <row r="1457" spans="1:14" x14ac:dyDescent="0.35">
      <c r="A1457" s="9">
        <v>1166111</v>
      </c>
      <c r="B1457" s="10">
        <v>42937</v>
      </c>
      <c r="C1457" s="11">
        <v>0.45458333333333334</v>
      </c>
      <c r="D1457" s="12">
        <v>0.46295138888888887</v>
      </c>
      <c r="E1457" s="20">
        <f t="shared" si="220"/>
        <v>8.3680555555555314E-3</v>
      </c>
      <c r="F1457" t="str">
        <f t="shared" si="221"/>
        <v>stacjonarny</v>
      </c>
      <c r="G1457" s="23">
        <f t="shared" si="228"/>
        <v>514889</v>
      </c>
      <c r="H1457">
        <f t="shared" si="229"/>
        <v>168542</v>
      </c>
      <c r="I1457">
        <f t="shared" si="222"/>
        <v>0</v>
      </c>
      <c r="J1457">
        <f t="shared" si="223"/>
        <v>0</v>
      </c>
      <c r="K1457">
        <f t="shared" si="224"/>
        <v>683431</v>
      </c>
      <c r="L1457">
        <f t="shared" si="225"/>
        <v>0</v>
      </c>
      <c r="M1457">
        <f t="shared" si="226"/>
        <v>723</v>
      </c>
      <c r="N1457">
        <f t="shared" si="227"/>
        <v>0</v>
      </c>
    </row>
    <row r="1458" spans="1:14" x14ac:dyDescent="0.35">
      <c r="A1458" s="5">
        <v>91907883</v>
      </c>
      <c r="B1458" s="6">
        <v>42937</v>
      </c>
      <c r="C1458" s="7">
        <v>0.45689814814814816</v>
      </c>
      <c r="D1458" s="8">
        <v>0.4574537037037037</v>
      </c>
      <c r="E1458" s="20">
        <f t="shared" si="220"/>
        <v>5.5555555555553138E-4</v>
      </c>
      <c r="F1458" t="str">
        <f t="shared" si="221"/>
        <v>komorkowy</v>
      </c>
      <c r="G1458" s="23">
        <f t="shared" si="228"/>
        <v>514889</v>
      </c>
      <c r="H1458">
        <f t="shared" si="229"/>
        <v>168590</v>
      </c>
      <c r="I1458">
        <f t="shared" si="222"/>
        <v>0</v>
      </c>
      <c r="J1458">
        <f t="shared" si="223"/>
        <v>0</v>
      </c>
      <c r="K1458">
        <f t="shared" si="224"/>
        <v>683479</v>
      </c>
      <c r="L1458">
        <f t="shared" si="225"/>
        <v>0</v>
      </c>
      <c r="M1458">
        <f t="shared" si="226"/>
        <v>0</v>
      </c>
      <c r="N1458">
        <f t="shared" si="227"/>
        <v>48</v>
      </c>
    </row>
    <row r="1459" spans="1:14" x14ac:dyDescent="0.35">
      <c r="A1459" s="9">
        <v>9225043</v>
      </c>
      <c r="B1459" s="10">
        <v>42937</v>
      </c>
      <c r="C1459" s="11">
        <v>0.4612384259259259</v>
      </c>
      <c r="D1459" s="12">
        <v>0.46285879629629628</v>
      </c>
      <c r="E1459" s="20">
        <f t="shared" si="220"/>
        <v>1.6203703703703831E-3</v>
      </c>
      <c r="F1459" t="str">
        <f t="shared" si="221"/>
        <v>stacjonarny</v>
      </c>
      <c r="G1459" s="23">
        <f t="shared" si="228"/>
        <v>515029</v>
      </c>
      <c r="H1459">
        <f t="shared" si="229"/>
        <v>168590</v>
      </c>
      <c r="I1459">
        <f t="shared" si="222"/>
        <v>0</v>
      </c>
      <c r="J1459">
        <f t="shared" si="223"/>
        <v>0</v>
      </c>
      <c r="K1459">
        <f t="shared" si="224"/>
        <v>683619</v>
      </c>
      <c r="L1459">
        <f t="shared" si="225"/>
        <v>0</v>
      </c>
      <c r="M1459">
        <f t="shared" si="226"/>
        <v>140</v>
      </c>
      <c r="N1459">
        <f t="shared" si="227"/>
        <v>0</v>
      </c>
    </row>
    <row r="1460" spans="1:14" x14ac:dyDescent="0.35">
      <c r="A1460" s="5">
        <v>6408952</v>
      </c>
      <c r="B1460" s="6">
        <v>42937</v>
      </c>
      <c r="C1460" s="7">
        <v>0.46553240740740742</v>
      </c>
      <c r="D1460" s="8">
        <v>0.47234953703703703</v>
      </c>
      <c r="E1460" s="20">
        <f t="shared" si="220"/>
        <v>6.8171296296296036E-3</v>
      </c>
      <c r="F1460" t="str">
        <f t="shared" si="221"/>
        <v>stacjonarny</v>
      </c>
      <c r="G1460" s="23">
        <f t="shared" si="228"/>
        <v>515618</v>
      </c>
      <c r="H1460">
        <f t="shared" si="229"/>
        <v>168590</v>
      </c>
      <c r="I1460">
        <f t="shared" si="222"/>
        <v>0</v>
      </c>
      <c r="J1460">
        <f t="shared" si="223"/>
        <v>0</v>
      </c>
      <c r="K1460">
        <f t="shared" si="224"/>
        <v>684208</v>
      </c>
      <c r="L1460">
        <f t="shared" si="225"/>
        <v>0</v>
      </c>
      <c r="M1460">
        <f t="shared" si="226"/>
        <v>589</v>
      </c>
      <c r="N1460">
        <f t="shared" si="227"/>
        <v>0</v>
      </c>
    </row>
    <row r="1461" spans="1:14" x14ac:dyDescent="0.35">
      <c r="A1461" s="9">
        <v>81010250</v>
      </c>
      <c r="B1461" s="10">
        <v>42937</v>
      </c>
      <c r="C1461" s="11">
        <v>0.47075231481481483</v>
      </c>
      <c r="D1461" s="12">
        <v>0.47239583333333335</v>
      </c>
      <c r="E1461" s="20">
        <f t="shared" si="220"/>
        <v>1.6435185185185164E-3</v>
      </c>
      <c r="F1461" t="str">
        <f t="shared" si="221"/>
        <v>komorkowy</v>
      </c>
      <c r="G1461" s="23">
        <f t="shared" si="228"/>
        <v>515618</v>
      </c>
      <c r="H1461">
        <f t="shared" si="229"/>
        <v>168732</v>
      </c>
      <c r="I1461">
        <f t="shared" si="222"/>
        <v>0</v>
      </c>
      <c r="J1461">
        <f t="shared" si="223"/>
        <v>0</v>
      </c>
      <c r="K1461">
        <f t="shared" si="224"/>
        <v>684350</v>
      </c>
      <c r="L1461">
        <f t="shared" si="225"/>
        <v>0</v>
      </c>
      <c r="M1461">
        <f t="shared" si="226"/>
        <v>0</v>
      </c>
      <c r="N1461">
        <f t="shared" si="227"/>
        <v>142</v>
      </c>
    </row>
    <row r="1462" spans="1:14" x14ac:dyDescent="0.35">
      <c r="A1462" s="5">
        <v>8596442</v>
      </c>
      <c r="B1462" s="6">
        <v>42937</v>
      </c>
      <c r="C1462" s="7">
        <v>0.47105324074074073</v>
      </c>
      <c r="D1462" s="8">
        <v>0.48011574074074076</v>
      </c>
      <c r="E1462" s="20">
        <f t="shared" si="220"/>
        <v>9.0625000000000289E-3</v>
      </c>
      <c r="F1462" t="str">
        <f t="shared" si="221"/>
        <v>stacjonarny</v>
      </c>
      <c r="G1462" s="23">
        <f t="shared" si="228"/>
        <v>516401</v>
      </c>
      <c r="H1462">
        <f t="shared" si="229"/>
        <v>168732</v>
      </c>
      <c r="I1462">
        <f t="shared" si="222"/>
        <v>0</v>
      </c>
      <c r="J1462">
        <f t="shared" si="223"/>
        <v>0</v>
      </c>
      <c r="K1462">
        <f t="shared" si="224"/>
        <v>685133</v>
      </c>
      <c r="L1462">
        <f t="shared" si="225"/>
        <v>0</v>
      </c>
      <c r="M1462">
        <f t="shared" si="226"/>
        <v>783</v>
      </c>
      <c r="N1462">
        <f t="shared" si="227"/>
        <v>0</v>
      </c>
    </row>
    <row r="1463" spans="1:14" x14ac:dyDescent="0.35">
      <c r="A1463" s="9">
        <v>79890857</v>
      </c>
      <c r="B1463" s="10">
        <v>42937</v>
      </c>
      <c r="C1463" s="11">
        <v>0.47285879629629629</v>
      </c>
      <c r="D1463" s="12">
        <v>0.47846064814814815</v>
      </c>
      <c r="E1463" s="20">
        <f t="shared" si="220"/>
        <v>5.6018518518518579E-3</v>
      </c>
      <c r="F1463" t="str">
        <f t="shared" si="221"/>
        <v>komorkowy</v>
      </c>
      <c r="G1463" s="23">
        <f t="shared" si="228"/>
        <v>516401</v>
      </c>
      <c r="H1463">
        <f t="shared" si="229"/>
        <v>169216</v>
      </c>
      <c r="I1463">
        <f t="shared" si="222"/>
        <v>0</v>
      </c>
      <c r="J1463">
        <f t="shared" si="223"/>
        <v>0</v>
      </c>
      <c r="K1463">
        <f t="shared" si="224"/>
        <v>685617</v>
      </c>
      <c r="L1463">
        <f t="shared" si="225"/>
        <v>0</v>
      </c>
      <c r="M1463">
        <f t="shared" si="226"/>
        <v>0</v>
      </c>
      <c r="N1463">
        <f t="shared" si="227"/>
        <v>484</v>
      </c>
    </row>
    <row r="1464" spans="1:14" x14ac:dyDescent="0.35">
      <c r="A1464" s="5">
        <v>3804078</v>
      </c>
      <c r="B1464" s="6">
        <v>42937</v>
      </c>
      <c r="C1464" s="7">
        <v>0.4729976851851852</v>
      </c>
      <c r="D1464" s="8">
        <v>0.48243055555555553</v>
      </c>
      <c r="E1464" s="20">
        <f t="shared" si="220"/>
        <v>9.4328703703703276E-3</v>
      </c>
      <c r="F1464" t="str">
        <f t="shared" si="221"/>
        <v>stacjonarny</v>
      </c>
      <c r="G1464" s="23">
        <f t="shared" si="228"/>
        <v>517216</v>
      </c>
      <c r="H1464">
        <f t="shared" si="229"/>
        <v>169216</v>
      </c>
      <c r="I1464">
        <f t="shared" si="222"/>
        <v>0</v>
      </c>
      <c r="J1464">
        <f t="shared" si="223"/>
        <v>0</v>
      </c>
      <c r="K1464">
        <f t="shared" si="224"/>
        <v>686432</v>
      </c>
      <c r="L1464">
        <f t="shared" si="225"/>
        <v>0</v>
      </c>
      <c r="M1464">
        <f t="shared" si="226"/>
        <v>815</v>
      </c>
      <c r="N1464">
        <f t="shared" si="227"/>
        <v>0</v>
      </c>
    </row>
    <row r="1465" spans="1:14" x14ac:dyDescent="0.35">
      <c r="A1465" s="9">
        <v>6312012</v>
      </c>
      <c r="B1465" s="10">
        <v>42937</v>
      </c>
      <c r="C1465" s="11">
        <v>0.47697916666666668</v>
      </c>
      <c r="D1465" s="12">
        <v>0.48678240740740741</v>
      </c>
      <c r="E1465" s="20">
        <f t="shared" si="220"/>
        <v>9.8032407407407374E-3</v>
      </c>
      <c r="F1465" t="str">
        <f t="shared" si="221"/>
        <v>stacjonarny</v>
      </c>
      <c r="G1465" s="23">
        <f t="shared" si="228"/>
        <v>518063</v>
      </c>
      <c r="H1465">
        <f t="shared" si="229"/>
        <v>169216</v>
      </c>
      <c r="I1465">
        <f t="shared" si="222"/>
        <v>0</v>
      </c>
      <c r="J1465">
        <f t="shared" si="223"/>
        <v>0</v>
      </c>
      <c r="K1465">
        <f t="shared" si="224"/>
        <v>687279</v>
      </c>
      <c r="L1465">
        <f t="shared" si="225"/>
        <v>0</v>
      </c>
      <c r="M1465">
        <f t="shared" si="226"/>
        <v>847</v>
      </c>
      <c r="N1465">
        <f t="shared" si="227"/>
        <v>0</v>
      </c>
    </row>
    <row r="1466" spans="1:14" x14ac:dyDescent="0.35">
      <c r="A1466" s="5">
        <v>7322741</v>
      </c>
      <c r="B1466" s="6">
        <v>42937</v>
      </c>
      <c r="C1466" s="7">
        <v>0.47833333333333333</v>
      </c>
      <c r="D1466" s="8">
        <v>0.48989583333333331</v>
      </c>
      <c r="E1466" s="20">
        <f t="shared" si="220"/>
        <v>1.1562499999999976E-2</v>
      </c>
      <c r="F1466" t="str">
        <f t="shared" si="221"/>
        <v>stacjonarny</v>
      </c>
      <c r="G1466" s="23">
        <f t="shared" si="228"/>
        <v>519062</v>
      </c>
      <c r="H1466">
        <f t="shared" si="229"/>
        <v>169216</v>
      </c>
      <c r="I1466">
        <f t="shared" si="222"/>
        <v>0</v>
      </c>
      <c r="J1466">
        <f t="shared" si="223"/>
        <v>0</v>
      </c>
      <c r="K1466">
        <f t="shared" si="224"/>
        <v>688278</v>
      </c>
      <c r="L1466">
        <f t="shared" si="225"/>
        <v>0</v>
      </c>
      <c r="M1466">
        <f t="shared" si="226"/>
        <v>999</v>
      </c>
      <c r="N1466">
        <f t="shared" si="227"/>
        <v>0</v>
      </c>
    </row>
    <row r="1467" spans="1:14" x14ac:dyDescent="0.35">
      <c r="A1467" s="9">
        <v>2354992</v>
      </c>
      <c r="B1467" s="10">
        <v>42937</v>
      </c>
      <c r="C1467" s="11">
        <v>0.4828587962962963</v>
      </c>
      <c r="D1467" s="12">
        <v>0.48295138888888889</v>
      </c>
      <c r="E1467" s="20">
        <f t="shared" si="220"/>
        <v>9.2592592592588563E-5</v>
      </c>
      <c r="F1467" t="str">
        <f t="shared" si="221"/>
        <v>stacjonarny</v>
      </c>
      <c r="G1467" s="23">
        <f t="shared" si="228"/>
        <v>519070</v>
      </c>
      <c r="H1467">
        <f t="shared" si="229"/>
        <v>169216</v>
      </c>
      <c r="I1467">
        <f t="shared" si="222"/>
        <v>0</v>
      </c>
      <c r="J1467">
        <f t="shared" si="223"/>
        <v>0</v>
      </c>
      <c r="K1467">
        <f t="shared" si="224"/>
        <v>688286</v>
      </c>
      <c r="L1467">
        <f t="shared" si="225"/>
        <v>0</v>
      </c>
      <c r="M1467">
        <f t="shared" si="226"/>
        <v>8</v>
      </c>
      <c r="N1467">
        <f t="shared" si="227"/>
        <v>0</v>
      </c>
    </row>
    <row r="1468" spans="1:14" x14ac:dyDescent="0.35">
      <c r="A1468" s="5">
        <v>1766133</v>
      </c>
      <c r="B1468" s="6">
        <v>42937</v>
      </c>
      <c r="C1468" s="7">
        <v>0.48439814814814813</v>
      </c>
      <c r="D1468" s="8">
        <v>0.4878587962962963</v>
      </c>
      <c r="E1468" s="20">
        <f t="shared" si="220"/>
        <v>3.460648148148171E-3</v>
      </c>
      <c r="F1468" t="str">
        <f t="shared" si="221"/>
        <v>stacjonarny</v>
      </c>
      <c r="G1468" s="23">
        <f t="shared" si="228"/>
        <v>519369</v>
      </c>
      <c r="H1468">
        <f t="shared" si="229"/>
        <v>169216</v>
      </c>
      <c r="I1468">
        <f t="shared" si="222"/>
        <v>0</v>
      </c>
      <c r="J1468">
        <f t="shared" si="223"/>
        <v>0</v>
      </c>
      <c r="K1468">
        <f t="shared" si="224"/>
        <v>688585</v>
      </c>
      <c r="L1468">
        <f t="shared" si="225"/>
        <v>0</v>
      </c>
      <c r="M1468">
        <f t="shared" si="226"/>
        <v>299</v>
      </c>
      <c r="N1468">
        <f t="shared" si="227"/>
        <v>0</v>
      </c>
    </row>
    <row r="1469" spans="1:14" x14ac:dyDescent="0.35">
      <c r="A1469" s="9">
        <v>2922327</v>
      </c>
      <c r="B1469" s="10">
        <v>42937</v>
      </c>
      <c r="C1469" s="11">
        <v>0.48690972222222223</v>
      </c>
      <c r="D1469" s="12">
        <v>0.49665509259259261</v>
      </c>
      <c r="E1469" s="20">
        <f t="shared" si="220"/>
        <v>9.7453703703703765E-3</v>
      </c>
      <c r="F1469" t="str">
        <f t="shared" si="221"/>
        <v>stacjonarny</v>
      </c>
      <c r="G1469" s="23">
        <f t="shared" si="228"/>
        <v>520211</v>
      </c>
      <c r="H1469">
        <f t="shared" si="229"/>
        <v>169216</v>
      </c>
      <c r="I1469">
        <f t="shared" si="222"/>
        <v>0</v>
      </c>
      <c r="J1469">
        <f t="shared" si="223"/>
        <v>0</v>
      </c>
      <c r="K1469">
        <f t="shared" si="224"/>
        <v>689427</v>
      </c>
      <c r="L1469">
        <f t="shared" si="225"/>
        <v>0</v>
      </c>
      <c r="M1469">
        <f t="shared" si="226"/>
        <v>842</v>
      </c>
      <c r="N1469">
        <f t="shared" si="227"/>
        <v>0</v>
      </c>
    </row>
    <row r="1470" spans="1:14" x14ac:dyDescent="0.35">
      <c r="A1470" s="5">
        <v>8679036</v>
      </c>
      <c r="B1470" s="6">
        <v>42937</v>
      </c>
      <c r="C1470" s="7">
        <v>0.4924189814814815</v>
      </c>
      <c r="D1470" s="8">
        <v>0.49381944444444442</v>
      </c>
      <c r="E1470" s="20">
        <f t="shared" si="220"/>
        <v>1.4004629629629228E-3</v>
      </c>
      <c r="F1470" t="str">
        <f t="shared" si="221"/>
        <v>stacjonarny</v>
      </c>
      <c r="G1470" s="23">
        <f t="shared" si="228"/>
        <v>520332</v>
      </c>
      <c r="H1470">
        <f t="shared" si="229"/>
        <v>169216</v>
      </c>
      <c r="I1470">
        <f t="shared" si="222"/>
        <v>0</v>
      </c>
      <c r="J1470">
        <f t="shared" si="223"/>
        <v>0</v>
      </c>
      <c r="K1470">
        <f t="shared" si="224"/>
        <v>689548</v>
      </c>
      <c r="L1470">
        <f t="shared" si="225"/>
        <v>0</v>
      </c>
      <c r="M1470">
        <f t="shared" si="226"/>
        <v>121</v>
      </c>
      <c r="N1470">
        <f t="shared" si="227"/>
        <v>0</v>
      </c>
    </row>
    <row r="1471" spans="1:14" x14ac:dyDescent="0.35">
      <c r="A1471" s="9">
        <v>1469705</v>
      </c>
      <c r="B1471" s="10">
        <v>42937</v>
      </c>
      <c r="C1471" s="11">
        <v>0.49327546296296299</v>
      </c>
      <c r="D1471" s="12">
        <v>0.50351851851851848</v>
      </c>
      <c r="E1471" s="20">
        <f t="shared" si="220"/>
        <v>1.0243055555555491E-2</v>
      </c>
      <c r="F1471" t="str">
        <f t="shared" si="221"/>
        <v>stacjonarny</v>
      </c>
      <c r="G1471" s="23">
        <f t="shared" si="228"/>
        <v>521217</v>
      </c>
      <c r="H1471">
        <f t="shared" si="229"/>
        <v>169216</v>
      </c>
      <c r="I1471">
        <f t="shared" si="222"/>
        <v>0</v>
      </c>
      <c r="J1471">
        <f t="shared" si="223"/>
        <v>0</v>
      </c>
      <c r="K1471">
        <f t="shared" si="224"/>
        <v>690433</v>
      </c>
      <c r="L1471">
        <f t="shared" si="225"/>
        <v>0</v>
      </c>
      <c r="M1471">
        <f t="shared" si="226"/>
        <v>885</v>
      </c>
      <c r="N1471">
        <f t="shared" si="227"/>
        <v>0</v>
      </c>
    </row>
    <row r="1472" spans="1:14" x14ac:dyDescent="0.35">
      <c r="A1472" s="5">
        <v>8079505</v>
      </c>
      <c r="B1472" s="6">
        <v>42937</v>
      </c>
      <c r="C1472" s="7">
        <v>0.49811342592592595</v>
      </c>
      <c r="D1472" s="8">
        <v>0.5065277777777778</v>
      </c>
      <c r="E1472" s="20">
        <f t="shared" si="220"/>
        <v>8.4143518518518534E-3</v>
      </c>
      <c r="F1472" t="str">
        <f t="shared" si="221"/>
        <v>stacjonarny</v>
      </c>
      <c r="G1472" s="23">
        <f t="shared" si="228"/>
        <v>521944</v>
      </c>
      <c r="H1472">
        <f t="shared" si="229"/>
        <v>169216</v>
      </c>
      <c r="I1472">
        <f t="shared" si="222"/>
        <v>0</v>
      </c>
      <c r="J1472">
        <f t="shared" si="223"/>
        <v>0</v>
      </c>
      <c r="K1472">
        <f t="shared" si="224"/>
        <v>691160</v>
      </c>
      <c r="L1472">
        <f t="shared" si="225"/>
        <v>0</v>
      </c>
      <c r="M1472">
        <f t="shared" si="226"/>
        <v>727</v>
      </c>
      <c r="N1472">
        <f t="shared" si="227"/>
        <v>0</v>
      </c>
    </row>
    <row r="1473" spans="1:14" x14ac:dyDescent="0.35">
      <c r="A1473" s="9">
        <v>4661635</v>
      </c>
      <c r="B1473" s="10">
        <v>42937</v>
      </c>
      <c r="C1473" s="11">
        <v>0.50016203703703699</v>
      </c>
      <c r="D1473" s="12">
        <v>0.50506944444444446</v>
      </c>
      <c r="E1473" s="20">
        <f t="shared" si="220"/>
        <v>4.9074074074074714E-3</v>
      </c>
      <c r="F1473" t="str">
        <f t="shared" si="221"/>
        <v>stacjonarny</v>
      </c>
      <c r="G1473" s="23">
        <f t="shared" si="228"/>
        <v>522368</v>
      </c>
      <c r="H1473">
        <f t="shared" si="229"/>
        <v>169216</v>
      </c>
      <c r="I1473">
        <f t="shared" si="222"/>
        <v>0</v>
      </c>
      <c r="J1473">
        <f t="shared" si="223"/>
        <v>0</v>
      </c>
      <c r="K1473">
        <f t="shared" si="224"/>
        <v>691584</v>
      </c>
      <c r="L1473">
        <f t="shared" si="225"/>
        <v>0</v>
      </c>
      <c r="M1473">
        <f t="shared" si="226"/>
        <v>424</v>
      </c>
      <c r="N1473">
        <f t="shared" si="227"/>
        <v>0</v>
      </c>
    </row>
    <row r="1474" spans="1:14" x14ac:dyDescent="0.35">
      <c r="A1474" s="5">
        <v>4497624</v>
      </c>
      <c r="B1474" s="6">
        <v>42937</v>
      </c>
      <c r="C1474" s="7">
        <v>0.50284722222222222</v>
      </c>
      <c r="D1474" s="8">
        <v>0.51432870370370365</v>
      </c>
      <c r="E1474" s="20">
        <f t="shared" si="220"/>
        <v>1.1481481481481426E-2</v>
      </c>
      <c r="F1474" t="str">
        <f t="shared" si="221"/>
        <v>stacjonarny</v>
      </c>
      <c r="G1474" s="23">
        <f t="shared" si="228"/>
        <v>523360</v>
      </c>
      <c r="H1474">
        <f t="shared" si="229"/>
        <v>169216</v>
      </c>
      <c r="I1474">
        <f t="shared" si="222"/>
        <v>0</v>
      </c>
      <c r="J1474">
        <f t="shared" si="223"/>
        <v>0</v>
      </c>
      <c r="K1474">
        <f t="shared" si="224"/>
        <v>692576</v>
      </c>
      <c r="L1474">
        <f t="shared" si="225"/>
        <v>0</v>
      </c>
      <c r="M1474">
        <f t="shared" si="226"/>
        <v>992</v>
      </c>
      <c r="N1474">
        <f t="shared" si="227"/>
        <v>0</v>
      </c>
    </row>
    <row r="1475" spans="1:14" x14ac:dyDescent="0.35">
      <c r="A1475" s="9">
        <v>52468382</v>
      </c>
      <c r="B1475" s="10">
        <v>42937</v>
      </c>
      <c r="C1475" s="11">
        <v>0.50840277777777776</v>
      </c>
      <c r="D1475" s="12">
        <v>0.50968749999999996</v>
      </c>
      <c r="E1475" s="20">
        <f t="shared" ref="E1475:E1538" si="230">D1475-C1475</f>
        <v>1.284722222222201E-3</v>
      </c>
      <c r="F1475" t="str">
        <f t="shared" ref="F1475:F1538" si="231">IF(LEN(A1475)=7,"stacjonarny",IF(LEN(A1475)=8,"komorkowy","zagraniczny"))</f>
        <v>komorkowy</v>
      </c>
      <c r="G1475" s="23">
        <f t="shared" si="228"/>
        <v>523360</v>
      </c>
      <c r="H1475">
        <f t="shared" si="229"/>
        <v>169327</v>
      </c>
      <c r="I1475">
        <f t="shared" ref="I1475:I1538" si="232">IF(F1475="zagraniczny",MINUTE(E1475)*60+SECOND(E1475)+HOUR(E1475)*3600,0)</f>
        <v>0</v>
      </c>
      <c r="J1475">
        <f t="shared" ref="J1475:J1538" si="233">ROUNDUP(I1475/60,0)</f>
        <v>0</v>
      </c>
      <c r="K1475">
        <f t="shared" ref="K1475:K1538" si="234">G1475+H1475</f>
        <v>692687</v>
      </c>
      <c r="L1475">
        <f t="shared" ref="L1475:L1538" si="235">IF(K1475&lt;=48000,1,0)</f>
        <v>0</v>
      </c>
      <c r="M1475">
        <f t="shared" ref="M1475:M1538" si="236">IF(AND(L1475=0,F1475="stacjonarny"),SECOND(E1475)+60*MINUTE(E1475),0)</f>
        <v>0</v>
      </c>
      <c r="N1475">
        <f t="shared" ref="N1475:N1538" si="237">IF(AND(L1475=0,F1475="komorkowy"),SECOND(E1475)+60*MINUTE(E1475),0)</f>
        <v>111</v>
      </c>
    </row>
    <row r="1476" spans="1:14" x14ac:dyDescent="0.35">
      <c r="A1476" s="5">
        <v>5687077</v>
      </c>
      <c r="B1476" s="6">
        <v>42937</v>
      </c>
      <c r="C1476" s="7">
        <v>0.51200231481481484</v>
      </c>
      <c r="D1476" s="8">
        <v>0.52253472222222219</v>
      </c>
      <c r="E1476" s="20">
        <f t="shared" si="230"/>
        <v>1.0532407407407351E-2</v>
      </c>
      <c r="F1476" t="str">
        <f t="shared" si="231"/>
        <v>stacjonarny</v>
      </c>
      <c r="G1476" s="23">
        <f t="shared" ref="G1476:G1539" si="238">IF(F1476="stacjonarny",MINUTE(E1476)*60+SECOND(E1476)+G1475,G1475)</f>
        <v>524270</v>
      </c>
      <c r="H1476">
        <f t="shared" ref="H1476:H1539" si="239">IF(F1476="komorkowy",MINUTE(E1476)*60+SECOND(E1476)+H1475,H1475)</f>
        <v>169327</v>
      </c>
      <c r="I1476">
        <f t="shared" si="232"/>
        <v>0</v>
      </c>
      <c r="J1476">
        <f t="shared" si="233"/>
        <v>0</v>
      </c>
      <c r="K1476">
        <f t="shared" si="234"/>
        <v>693597</v>
      </c>
      <c r="L1476">
        <f t="shared" si="235"/>
        <v>0</v>
      </c>
      <c r="M1476">
        <f t="shared" si="236"/>
        <v>910</v>
      </c>
      <c r="N1476">
        <f t="shared" si="237"/>
        <v>0</v>
      </c>
    </row>
    <row r="1477" spans="1:14" x14ac:dyDescent="0.35">
      <c r="A1477" s="9">
        <v>3914070</v>
      </c>
      <c r="B1477" s="10">
        <v>42937</v>
      </c>
      <c r="C1477" s="11">
        <v>0.51249999999999996</v>
      </c>
      <c r="D1477" s="12">
        <v>0.51405092592592594</v>
      </c>
      <c r="E1477" s="20">
        <f t="shared" si="230"/>
        <v>1.5509259259259833E-3</v>
      </c>
      <c r="F1477" t="str">
        <f t="shared" si="231"/>
        <v>stacjonarny</v>
      </c>
      <c r="G1477" s="23">
        <f t="shared" si="238"/>
        <v>524404</v>
      </c>
      <c r="H1477">
        <f t="shared" si="239"/>
        <v>169327</v>
      </c>
      <c r="I1477">
        <f t="shared" si="232"/>
        <v>0</v>
      </c>
      <c r="J1477">
        <f t="shared" si="233"/>
        <v>0</v>
      </c>
      <c r="K1477">
        <f t="shared" si="234"/>
        <v>693731</v>
      </c>
      <c r="L1477">
        <f t="shared" si="235"/>
        <v>0</v>
      </c>
      <c r="M1477">
        <f t="shared" si="236"/>
        <v>134</v>
      </c>
      <c r="N1477">
        <f t="shared" si="237"/>
        <v>0</v>
      </c>
    </row>
    <row r="1478" spans="1:14" x14ac:dyDescent="0.35">
      <c r="A1478" s="5">
        <v>84684423</v>
      </c>
      <c r="B1478" s="6">
        <v>42937</v>
      </c>
      <c r="C1478" s="7">
        <v>0.51520833333333338</v>
      </c>
      <c r="D1478" s="8">
        <v>0.51918981481481485</v>
      </c>
      <c r="E1478" s="20">
        <f t="shared" si="230"/>
        <v>3.9814814814814747E-3</v>
      </c>
      <c r="F1478" t="str">
        <f t="shared" si="231"/>
        <v>komorkowy</v>
      </c>
      <c r="G1478" s="23">
        <f t="shared" si="238"/>
        <v>524404</v>
      </c>
      <c r="H1478">
        <f t="shared" si="239"/>
        <v>169671</v>
      </c>
      <c r="I1478">
        <f t="shared" si="232"/>
        <v>0</v>
      </c>
      <c r="J1478">
        <f t="shared" si="233"/>
        <v>0</v>
      </c>
      <c r="K1478">
        <f t="shared" si="234"/>
        <v>694075</v>
      </c>
      <c r="L1478">
        <f t="shared" si="235"/>
        <v>0</v>
      </c>
      <c r="M1478">
        <f t="shared" si="236"/>
        <v>0</v>
      </c>
      <c r="N1478">
        <f t="shared" si="237"/>
        <v>344</v>
      </c>
    </row>
    <row r="1479" spans="1:14" x14ac:dyDescent="0.35">
      <c r="A1479" s="9">
        <v>6493406</v>
      </c>
      <c r="B1479" s="10">
        <v>42937</v>
      </c>
      <c r="C1479" s="11">
        <v>0.51936342592592588</v>
      </c>
      <c r="D1479" s="12">
        <v>0.52559027777777778</v>
      </c>
      <c r="E1479" s="20">
        <f t="shared" si="230"/>
        <v>6.2268518518519E-3</v>
      </c>
      <c r="F1479" t="str">
        <f t="shared" si="231"/>
        <v>stacjonarny</v>
      </c>
      <c r="G1479" s="23">
        <f t="shared" si="238"/>
        <v>524942</v>
      </c>
      <c r="H1479">
        <f t="shared" si="239"/>
        <v>169671</v>
      </c>
      <c r="I1479">
        <f t="shared" si="232"/>
        <v>0</v>
      </c>
      <c r="J1479">
        <f t="shared" si="233"/>
        <v>0</v>
      </c>
      <c r="K1479">
        <f t="shared" si="234"/>
        <v>694613</v>
      </c>
      <c r="L1479">
        <f t="shared" si="235"/>
        <v>0</v>
      </c>
      <c r="M1479">
        <f t="shared" si="236"/>
        <v>538</v>
      </c>
      <c r="N1479">
        <f t="shared" si="237"/>
        <v>0</v>
      </c>
    </row>
    <row r="1480" spans="1:14" x14ac:dyDescent="0.35">
      <c r="A1480" s="5">
        <v>1563816</v>
      </c>
      <c r="B1480" s="6">
        <v>42937</v>
      </c>
      <c r="C1480" s="7">
        <v>0.52243055555555551</v>
      </c>
      <c r="D1480" s="8">
        <v>0.52681712962962968</v>
      </c>
      <c r="E1480" s="20">
        <f t="shared" si="230"/>
        <v>4.3865740740741677E-3</v>
      </c>
      <c r="F1480" t="str">
        <f t="shared" si="231"/>
        <v>stacjonarny</v>
      </c>
      <c r="G1480" s="23">
        <f t="shared" si="238"/>
        <v>525321</v>
      </c>
      <c r="H1480">
        <f t="shared" si="239"/>
        <v>169671</v>
      </c>
      <c r="I1480">
        <f t="shared" si="232"/>
        <v>0</v>
      </c>
      <c r="J1480">
        <f t="shared" si="233"/>
        <v>0</v>
      </c>
      <c r="K1480">
        <f t="shared" si="234"/>
        <v>694992</v>
      </c>
      <c r="L1480">
        <f t="shared" si="235"/>
        <v>0</v>
      </c>
      <c r="M1480">
        <f t="shared" si="236"/>
        <v>379</v>
      </c>
      <c r="N1480">
        <f t="shared" si="237"/>
        <v>0</v>
      </c>
    </row>
    <row r="1481" spans="1:14" x14ac:dyDescent="0.35">
      <c r="A1481" s="9">
        <v>7779935</v>
      </c>
      <c r="B1481" s="10">
        <v>42937</v>
      </c>
      <c r="C1481" s="11">
        <v>0.52469907407407412</v>
      </c>
      <c r="D1481" s="12">
        <v>0.53218750000000004</v>
      </c>
      <c r="E1481" s="20">
        <f t="shared" si="230"/>
        <v>7.4884259259259123E-3</v>
      </c>
      <c r="F1481" t="str">
        <f t="shared" si="231"/>
        <v>stacjonarny</v>
      </c>
      <c r="G1481" s="23">
        <f t="shared" si="238"/>
        <v>525968</v>
      </c>
      <c r="H1481">
        <f t="shared" si="239"/>
        <v>169671</v>
      </c>
      <c r="I1481">
        <f t="shared" si="232"/>
        <v>0</v>
      </c>
      <c r="J1481">
        <f t="shared" si="233"/>
        <v>0</v>
      </c>
      <c r="K1481">
        <f t="shared" si="234"/>
        <v>695639</v>
      </c>
      <c r="L1481">
        <f t="shared" si="235"/>
        <v>0</v>
      </c>
      <c r="M1481">
        <f t="shared" si="236"/>
        <v>647</v>
      </c>
      <c r="N1481">
        <f t="shared" si="237"/>
        <v>0</v>
      </c>
    </row>
    <row r="1482" spans="1:14" x14ac:dyDescent="0.35">
      <c r="A1482" s="5">
        <v>4429479</v>
      </c>
      <c r="B1482" s="6">
        <v>42937</v>
      </c>
      <c r="C1482" s="7">
        <v>0.52749999999999997</v>
      </c>
      <c r="D1482" s="8">
        <v>0.53034722222222219</v>
      </c>
      <c r="E1482" s="20">
        <f t="shared" si="230"/>
        <v>2.8472222222222232E-3</v>
      </c>
      <c r="F1482" t="str">
        <f t="shared" si="231"/>
        <v>stacjonarny</v>
      </c>
      <c r="G1482" s="23">
        <f t="shared" si="238"/>
        <v>526214</v>
      </c>
      <c r="H1482">
        <f t="shared" si="239"/>
        <v>169671</v>
      </c>
      <c r="I1482">
        <f t="shared" si="232"/>
        <v>0</v>
      </c>
      <c r="J1482">
        <f t="shared" si="233"/>
        <v>0</v>
      </c>
      <c r="K1482">
        <f t="shared" si="234"/>
        <v>695885</v>
      </c>
      <c r="L1482">
        <f t="shared" si="235"/>
        <v>0</v>
      </c>
      <c r="M1482">
        <f t="shared" si="236"/>
        <v>246</v>
      </c>
      <c r="N1482">
        <f t="shared" si="237"/>
        <v>0</v>
      </c>
    </row>
    <row r="1483" spans="1:14" x14ac:dyDescent="0.35">
      <c r="A1483" s="9">
        <v>2963652</v>
      </c>
      <c r="B1483" s="10">
        <v>42937</v>
      </c>
      <c r="C1483" s="11">
        <v>0.53240740740740744</v>
      </c>
      <c r="D1483" s="12">
        <v>0.53785879629629629</v>
      </c>
      <c r="E1483" s="20">
        <f t="shared" si="230"/>
        <v>5.4513888888888529E-3</v>
      </c>
      <c r="F1483" t="str">
        <f t="shared" si="231"/>
        <v>stacjonarny</v>
      </c>
      <c r="G1483" s="23">
        <f t="shared" si="238"/>
        <v>526685</v>
      </c>
      <c r="H1483">
        <f t="shared" si="239"/>
        <v>169671</v>
      </c>
      <c r="I1483">
        <f t="shared" si="232"/>
        <v>0</v>
      </c>
      <c r="J1483">
        <f t="shared" si="233"/>
        <v>0</v>
      </c>
      <c r="K1483">
        <f t="shared" si="234"/>
        <v>696356</v>
      </c>
      <c r="L1483">
        <f t="shared" si="235"/>
        <v>0</v>
      </c>
      <c r="M1483">
        <f t="shared" si="236"/>
        <v>471</v>
      </c>
      <c r="N1483">
        <f t="shared" si="237"/>
        <v>0</v>
      </c>
    </row>
    <row r="1484" spans="1:14" x14ac:dyDescent="0.35">
      <c r="A1484" s="5">
        <v>91032395</v>
      </c>
      <c r="B1484" s="6">
        <v>42937</v>
      </c>
      <c r="C1484" s="7">
        <v>0.53811342592592593</v>
      </c>
      <c r="D1484" s="8">
        <v>0.54365740740740742</v>
      </c>
      <c r="E1484" s="20">
        <f t="shared" si="230"/>
        <v>5.5439814814814969E-3</v>
      </c>
      <c r="F1484" t="str">
        <f t="shared" si="231"/>
        <v>komorkowy</v>
      </c>
      <c r="G1484" s="23">
        <f t="shared" si="238"/>
        <v>526685</v>
      </c>
      <c r="H1484">
        <f t="shared" si="239"/>
        <v>170150</v>
      </c>
      <c r="I1484">
        <f t="shared" si="232"/>
        <v>0</v>
      </c>
      <c r="J1484">
        <f t="shared" si="233"/>
        <v>0</v>
      </c>
      <c r="K1484">
        <f t="shared" si="234"/>
        <v>696835</v>
      </c>
      <c r="L1484">
        <f t="shared" si="235"/>
        <v>0</v>
      </c>
      <c r="M1484">
        <f t="shared" si="236"/>
        <v>0</v>
      </c>
      <c r="N1484">
        <f t="shared" si="237"/>
        <v>479</v>
      </c>
    </row>
    <row r="1485" spans="1:14" x14ac:dyDescent="0.35">
      <c r="A1485" s="9">
        <v>6999348</v>
      </c>
      <c r="B1485" s="10">
        <v>42937</v>
      </c>
      <c r="C1485" s="11">
        <v>0.53831018518518514</v>
      </c>
      <c r="D1485" s="12">
        <v>0.53998842592592589</v>
      </c>
      <c r="E1485" s="20">
        <f t="shared" si="230"/>
        <v>1.678240740740744E-3</v>
      </c>
      <c r="F1485" t="str">
        <f t="shared" si="231"/>
        <v>stacjonarny</v>
      </c>
      <c r="G1485" s="23">
        <f t="shared" si="238"/>
        <v>526830</v>
      </c>
      <c r="H1485">
        <f t="shared" si="239"/>
        <v>170150</v>
      </c>
      <c r="I1485">
        <f t="shared" si="232"/>
        <v>0</v>
      </c>
      <c r="J1485">
        <f t="shared" si="233"/>
        <v>0</v>
      </c>
      <c r="K1485">
        <f t="shared" si="234"/>
        <v>696980</v>
      </c>
      <c r="L1485">
        <f t="shared" si="235"/>
        <v>0</v>
      </c>
      <c r="M1485">
        <f t="shared" si="236"/>
        <v>145</v>
      </c>
      <c r="N1485">
        <f t="shared" si="237"/>
        <v>0</v>
      </c>
    </row>
    <row r="1486" spans="1:14" x14ac:dyDescent="0.35">
      <c r="A1486" s="5">
        <v>4424322</v>
      </c>
      <c r="B1486" s="6">
        <v>42937</v>
      </c>
      <c r="C1486" s="7">
        <v>0.54233796296296299</v>
      </c>
      <c r="D1486" s="8">
        <v>0.55148148148148146</v>
      </c>
      <c r="E1486" s="20">
        <f t="shared" si="230"/>
        <v>9.1435185185184675E-3</v>
      </c>
      <c r="F1486" t="str">
        <f t="shared" si="231"/>
        <v>stacjonarny</v>
      </c>
      <c r="G1486" s="23">
        <f t="shared" si="238"/>
        <v>527620</v>
      </c>
      <c r="H1486">
        <f t="shared" si="239"/>
        <v>170150</v>
      </c>
      <c r="I1486">
        <f t="shared" si="232"/>
        <v>0</v>
      </c>
      <c r="J1486">
        <f t="shared" si="233"/>
        <v>0</v>
      </c>
      <c r="K1486">
        <f t="shared" si="234"/>
        <v>697770</v>
      </c>
      <c r="L1486">
        <f t="shared" si="235"/>
        <v>0</v>
      </c>
      <c r="M1486">
        <f t="shared" si="236"/>
        <v>790</v>
      </c>
      <c r="N1486">
        <f t="shared" si="237"/>
        <v>0</v>
      </c>
    </row>
    <row r="1487" spans="1:14" x14ac:dyDescent="0.35">
      <c r="A1487" s="9">
        <v>9500083</v>
      </c>
      <c r="B1487" s="10">
        <v>42937</v>
      </c>
      <c r="C1487" s="11">
        <v>0.54631944444444447</v>
      </c>
      <c r="D1487" s="12">
        <v>0.55652777777777773</v>
      </c>
      <c r="E1487" s="20">
        <f t="shared" si="230"/>
        <v>1.0208333333333264E-2</v>
      </c>
      <c r="F1487" t="str">
        <f t="shared" si="231"/>
        <v>stacjonarny</v>
      </c>
      <c r="G1487" s="23">
        <f t="shared" si="238"/>
        <v>528502</v>
      </c>
      <c r="H1487">
        <f t="shared" si="239"/>
        <v>170150</v>
      </c>
      <c r="I1487">
        <f t="shared" si="232"/>
        <v>0</v>
      </c>
      <c r="J1487">
        <f t="shared" si="233"/>
        <v>0</v>
      </c>
      <c r="K1487">
        <f t="shared" si="234"/>
        <v>698652</v>
      </c>
      <c r="L1487">
        <f t="shared" si="235"/>
        <v>0</v>
      </c>
      <c r="M1487">
        <f t="shared" si="236"/>
        <v>882</v>
      </c>
      <c r="N1487">
        <f t="shared" si="237"/>
        <v>0</v>
      </c>
    </row>
    <row r="1488" spans="1:14" x14ac:dyDescent="0.35">
      <c r="A1488" s="5">
        <v>2912297</v>
      </c>
      <c r="B1488" s="6">
        <v>42937</v>
      </c>
      <c r="C1488" s="7">
        <v>0.54761574074074071</v>
      </c>
      <c r="D1488" s="8">
        <v>0.55443287037037037</v>
      </c>
      <c r="E1488" s="20">
        <f t="shared" si="230"/>
        <v>6.8171296296296591E-3</v>
      </c>
      <c r="F1488" t="str">
        <f t="shared" si="231"/>
        <v>stacjonarny</v>
      </c>
      <c r="G1488" s="23">
        <f t="shared" si="238"/>
        <v>529091</v>
      </c>
      <c r="H1488">
        <f t="shared" si="239"/>
        <v>170150</v>
      </c>
      <c r="I1488">
        <f t="shared" si="232"/>
        <v>0</v>
      </c>
      <c r="J1488">
        <f t="shared" si="233"/>
        <v>0</v>
      </c>
      <c r="K1488">
        <f t="shared" si="234"/>
        <v>699241</v>
      </c>
      <c r="L1488">
        <f t="shared" si="235"/>
        <v>0</v>
      </c>
      <c r="M1488">
        <f t="shared" si="236"/>
        <v>589</v>
      </c>
      <c r="N1488">
        <f t="shared" si="237"/>
        <v>0</v>
      </c>
    </row>
    <row r="1489" spans="1:14" x14ac:dyDescent="0.35">
      <c r="A1489" s="9">
        <v>4303945</v>
      </c>
      <c r="B1489" s="10">
        <v>42937</v>
      </c>
      <c r="C1489" s="11">
        <v>0.54953703703703705</v>
      </c>
      <c r="D1489" s="12">
        <v>0.55783564814814812</v>
      </c>
      <c r="E1489" s="20">
        <f t="shared" si="230"/>
        <v>8.2986111111110761E-3</v>
      </c>
      <c r="F1489" t="str">
        <f t="shared" si="231"/>
        <v>stacjonarny</v>
      </c>
      <c r="G1489" s="23">
        <f t="shared" si="238"/>
        <v>529808</v>
      </c>
      <c r="H1489">
        <f t="shared" si="239"/>
        <v>170150</v>
      </c>
      <c r="I1489">
        <f t="shared" si="232"/>
        <v>0</v>
      </c>
      <c r="J1489">
        <f t="shared" si="233"/>
        <v>0</v>
      </c>
      <c r="K1489">
        <f t="shared" si="234"/>
        <v>699958</v>
      </c>
      <c r="L1489">
        <f t="shared" si="235"/>
        <v>0</v>
      </c>
      <c r="M1489">
        <f t="shared" si="236"/>
        <v>717</v>
      </c>
      <c r="N1489">
        <f t="shared" si="237"/>
        <v>0</v>
      </c>
    </row>
    <row r="1490" spans="1:14" x14ac:dyDescent="0.35">
      <c r="A1490" s="5">
        <v>3264546470</v>
      </c>
      <c r="B1490" s="6">
        <v>42937</v>
      </c>
      <c r="C1490" s="7">
        <v>0.55311342592592594</v>
      </c>
      <c r="D1490" s="8">
        <v>0.55469907407407404</v>
      </c>
      <c r="E1490" s="20">
        <f t="shared" si="230"/>
        <v>1.5856481481481E-3</v>
      </c>
      <c r="F1490" t="str">
        <f t="shared" si="231"/>
        <v>zagraniczny</v>
      </c>
      <c r="G1490" s="23">
        <f t="shared" si="238"/>
        <v>529808</v>
      </c>
      <c r="H1490">
        <f t="shared" si="239"/>
        <v>170150</v>
      </c>
      <c r="I1490">
        <f t="shared" si="232"/>
        <v>137</v>
      </c>
      <c r="J1490">
        <f t="shared" si="233"/>
        <v>3</v>
      </c>
      <c r="K1490">
        <f t="shared" si="234"/>
        <v>699958</v>
      </c>
      <c r="L1490">
        <f t="shared" si="235"/>
        <v>0</v>
      </c>
      <c r="M1490">
        <f t="shared" si="236"/>
        <v>0</v>
      </c>
      <c r="N1490">
        <f t="shared" si="237"/>
        <v>0</v>
      </c>
    </row>
    <row r="1491" spans="1:14" x14ac:dyDescent="0.35">
      <c r="A1491" s="9">
        <v>7275091</v>
      </c>
      <c r="B1491" s="10">
        <v>42937</v>
      </c>
      <c r="C1491" s="11">
        <v>0.55652777777777773</v>
      </c>
      <c r="D1491" s="12">
        <v>0.56657407407407412</v>
      </c>
      <c r="E1491" s="20">
        <f t="shared" si="230"/>
        <v>1.0046296296296386E-2</v>
      </c>
      <c r="F1491" t="str">
        <f t="shared" si="231"/>
        <v>stacjonarny</v>
      </c>
      <c r="G1491" s="23">
        <f t="shared" si="238"/>
        <v>530676</v>
      </c>
      <c r="H1491">
        <f t="shared" si="239"/>
        <v>170150</v>
      </c>
      <c r="I1491">
        <f t="shared" si="232"/>
        <v>0</v>
      </c>
      <c r="J1491">
        <f t="shared" si="233"/>
        <v>0</v>
      </c>
      <c r="K1491">
        <f t="shared" si="234"/>
        <v>700826</v>
      </c>
      <c r="L1491">
        <f t="shared" si="235"/>
        <v>0</v>
      </c>
      <c r="M1491">
        <f t="shared" si="236"/>
        <v>868</v>
      </c>
      <c r="N1491">
        <f t="shared" si="237"/>
        <v>0</v>
      </c>
    </row>
    <row r="1492" spans="1:14" x14ac:dyDescent="0.35">
      <c r="A1492" s="5">
        <v>9021766</v>
      </c>
      <c r="B1492" s="6">
        <v>42937</v>
      </c>
      <c r="C1492" s="7">
        <v>0.5575</v>
      </c>
      <c r="D1492" s="8">
        <v>0.56418981481481478</v>
      </c>
      <c r="E1492" s="20">
        <f t="shared" si="230"/>
        <v>6.6898148148147873E-3</v>
      </c>
      <c r="F1492" t="str">
        <f t="shared" si="231"/>
        <v>stacjonarny</v>
      </c>
      <c r="G1492" s="23">
        <f t="shared" si="238"/>
        <v>531254</v>
      </c>
      <c r="H1492">
        <f t="shared" si="239"/>
        <v>170150</v>
      </c>
      <c r="I1492">
        <f t="shared" si="232"/>
        <v>0</v>
      </c>
      <c r="J1492">
        <f t="shared" si="233"/>
        <v>0</v>
      </c>
      <c r="K1492">
        <f t="shared" si="234"/>
        <v>701404</v>
      </c>
      <c r="L1492">
        <f t="shared" si="235"/>
        <v>0</v>
      </c>
      <c r="M1492">
        <f t="shared" si="236"/>
        <v>578</v>
      </c>
      <c r="N1492">
        <f t="shared" si="237"/>
        <v>0</v>
      </c>
    </row>
    <row r="1493" spans="1:14" x14ac:dyDescent="0.35">
      <c r="A1493" s="9">
        <v>1500342</v>
      </c>
      <c r="B1493" s="10">
        <v>42937</v>
      </c>
      <c r="C1493" s="11">
        <v>0.56297453703703704</v>
      </c>
      <c r="D1493" s="12">
        <v>0.56752314814814819</v>
      </c>
      <c r="E1493" s="20">
        <f t="shared" si="230"/>
        <v>4.548611111111156E-3</v>
      </c>
      <c r="F1493" t="str">
        <f t="shared" si="231"/>
        <v>stacjonarny</v>
      </c>
      <c r="G1493" s="23">
        <f t="shared" si="238"/>
        <v>531647</v>
      </c>
      <c r="H1493">
        <f t="shared" si="239"/>
        <v>170150</v>
      </c>
      <c r="I1493">
        <f t="shared" si="232"/>
        <v>0</v>
      </c>
      <c r="J1493">
        <f t="shared" si="233"/>
        <v>0</v>
      </c>
      <c r="K1493">
        <f t="shared" si="234"/>
        <v>701797</v>
      </c>
      <c r="L1493">
        <f t="shared" si="235"/>
        <v>0</v>
      </c>
      <c r="M1493">
        <f t="shared" si="236"/>
        <v>393</v>
      </c>
      <c r="N1493">
        <f t="shared" si="237"/>
        <v>0</v>
      </c>
    </row>
    <row r="1494" spans="1:14" x14ac:dyDescent="0.35">
      <c r="A1494" s="5">
        <v>7295667</v>
      </c>
      <c r="B1494" s="6">
        <v>42937</v>
      </c>
      <c r="C1494" s="7">
        <v>0.56578703703703703</v>
      </c>
      <c r="D1494" s="8">
        <v>0.57518518518518513</v>
      </c>
      <c r="E1494" s="20">
        <f t="shared" si="230"/>
        <v>9.3981481481481E-3</v>
      </c>
      <c r="F1494" t="str">
        <f t="shared" si="231"/>
        <v>stacjonarny</v>
      </c>
      <c r="G1494" s="23">
        <f t="shared" si="238"/>
        <v>532459</v>
      </c>
      <c r="H1494">
        <f t="shared" si="239"/>
        <v>170150</v>
      </c>
      <c r="I1494">
        <f t="shared" si="232"/>
        <v>0</v>
      </c>
      <c r="J1494">
        <f t="shared" si="233"/>
        <v>0</v>
      </c>
      <c r="K1494">
        <f t="shared" si="234"/>
        <v>702609</v>
      </c>
      <c r="L1494">
        <f t="shared" si="235"/>
        <v>0</v>
      </c>
      <c r="M1494">
        <f t="shared" si="236"/>
        <v>812</v>
      </c>
      <c r="N1494">
        <f t="shared" si="237"/>
        <v>0</v>
      </c>
    </row>
    <row r="1495" spans="1:14" x14ac:dyDescent="0.35">
      <c r="A1495" s="9">
        <v>5512237</v>
      </c>
      <c r="B1495" s="10">
        <v>42937</v>
      </c>
      <c r="C1495" s="11">
        <v>0.5713773148148148</v>
      </c>
      <c r="D1495" s="12">
        <v>0.58107638888888891</v>
      </c>
      <c r="E1495" s="20">
        <f t="shared" si="230"/>
        <v>9.6990740740741099E-3</v>
      </c>
      <c r="F1495" t="str">
        <f t="shared" si="231"/>
        <v>stacjonarny</v>
      </c>
      <c r="G1495" s="23">
        <f t="shared" si="238"/>
        <v>533297</v>
      </c>
      <c r="H1495">
        <f t="shared" si="239"/>
        <v>170150</v>
      </c>
      <c r="I1495">
        <f t="shared" si="232"/>
        <v>0</v>
      </c>
      <c r="J1495">
        <f t="shared" si="233"/>
        <v>0</v>
      </c>
      <c r="K1495">
        <f t="shared" si="234"/>
        <v>703447</v>
      </c>
      <c r="L1495">
        <f t="shared" si="235"/>
        <v>0</v>
      </c>
      <c r="M1495">
        <f t="shared" si="236"/>
        <v>838</v>
      </c>
      <c r="N1495">
        <f t="shared" si="237"/>
        <v>0</v>
      </c>
    </row>
    <row r="1496" spans="1:14" x14ac:dyDescent="0.35">
      <c r="A1496" s="5">
        <v>22266436</v>
      </c>
      <c r="B1496" s="6">
        <v>42937</v>
      </c>
      <c r="C1496" s="7">
        <v>0.57549768518518518</v>
      </c>
      <c r="D1496" s="8">
        <v>0.57925925925925925</v>
      </c>
      <c r="E1496" s="20">
        <f t="shared" si="230"/>
        <v>3.76157407407407E-3</v>
      </c>
      <c r="F1496" t="str">
        <f t="shared" si="231"/>
        <v>komorkowy</v>
      </c>
      <c r="G1496" s="23">
        <f t="shared" si="238"/>
        <v>533297</v>
      </c>
      <c r="H1496">
        <f t="shared" si="239"/>
        <v>170475</v>
      </c>
      <c r="I1496">
        <f t="shared" si="232"/>
        <v>0</v>
      </c>
      <c r="J1496">
        <f t="shared" si="233"/>
        <v>0</v>
      </c>
      <c r="K1496">
        <f t="shared" si="234"/>
        <v>703772</v>
      </c>
      <c r="L1496">
        <f t="shared" si="235"/>
        <v>0</v>
      </c>
      <c r="M1496">
        <f t="shared" si="236"/>
        <v>0</v>
      </c>
      <c r="N1496">
        <f t="shared" si="237"/>
        <v>325</v>
      </c>
    </row>
    <row r="1497" spans="1:14" x14ac:dyDescent="0.35">
      <c r="A1497" s="9">
        <v>60885211</v>
      </c>
      <c r="B1497" s="10">
        <v>42937</v>
      </c>
      <c r="C1497" s="11">
        <v>0.57828703703703699</v>
      </c>
      <c r="D1497" s="12">
        <v>0.58940972222222221</v>
      </c>
      <c r="E1497" s="20">
        <f t="shared" si="230"/>
        <v>1.1122685185185222E-2</v>
      </c>
      <c r="F1497" t="str">
        <f t="shared" si="231"/>
        <v>komorkowy</v>
      </c>
      <c r="G1497" s="23">
        <f t="shared" si="238"/>
        <v>533297</v>
      </c>
      <c r="H1497">
        <f t="shared" si="239"/>
        <v>171436</v>
      </c>
      <c r="I1497">
        <f t="shared" si="232"/>
        <v>0</v>
      </c>
      <c r="J1497">
        <f t="shared" si="233"/>
        <v>0</v>
      </c>
      <c r="K1497">
        <f t="shared" si="234"/>
        <v>704733</v>
      </c>
      <c r="L1497">
        <f t="shared" si="235"/>
        <v>0</v>
      </c>
      <c r="M1497">
        <f t="shared" si="236"/>
        <v>0</v>
      </c>
      <c r="N1497">
        <f t="shared" si="237"/>
        <v>961</v>
      </c>
    </row>
    <row r="1498" spans="1:14" x14ac:dyDescent="0.35">
      <c r="A1498" s="5">
        <v>4379415</v>
      </c>
      <c r="B1498" s="6">
        <v>42937</v>
      </c>
      <c r="C1498" s="7">
        <v>0.57983796296296297</v>
      </c>
      <c r="D1498" s="8">
        <v>0.58756944444444448</v>
      </c>
      <c r="E1498" s="20">
        <f t="shared" si="230"/>
        <v>7.7314814814815058E-3</v>
      </c>
      <c r="F1498" t="str">
        <f t="shared" si="231"/>
        <v>stacjonarny</v>
      </c>
      <c r="G1498" s="23">
        <f t="shared" si="238"/>
        <v>533965</v>
      </c>
      <c r="H1498">
        <f t="shared" si="239"/>
        <v>171436</v>
      </c>
      <c r="I1498">
        <f t="shared" si="232"/>
        <v>0</v>
      </c>
      <c r="J1498">
        <f t="shared" si="233"/>
        <v>0</v>
      </c>
      <c r="K1498">
        <f t="shared" si="234"/>
        <v>705401</v>
      </c>
      <c r="L1498">
        <f t="shared" si="235"/>
        <v>0</v>
      </c>
      <c r="M1498">
        <f t="shared" si="236"/>
        <v>668</v>
      </c>
      <c r="N1498">
        <f t="shared" si="237"/>
        <v>0</v>
      </c>
    </row>
    <row r="1499" spans="1:14" x14ac:dyDescent="0.35">
      <c r="A1499" s="9">
        <v>22747425</v>
      </c>
      <c r="B1499" s="10">
        <v>42937</v>
      </c>
      <c r="C1499" s="11">
        <v>0.58520833333333333</v>
      </c>
      <c r="D1499" s="12">
        <v>0.59646990740740746</v>
      </c>
      <c r="E1499" s="20">
        <f t="shared" si="230"/>
        <v>1.1261574074074132E-2</v>
      </c>
      <c r="F1499" t="str">
        <f t="shared" si="231"/>
        <v>komorkowy</v>
      </c>
      <c r="G1499" s="23">
        <f t="shared" si="238"/>
        <v>533965</v>
      </c>
      <c r="H1499">
        <f t="shared" si="239"/>
        <v>172409</v>
      </c>
      <c r="I1499">
        <f t="shared" si="232"/>
        <v>0</v>
      </c>
      <c r="J1499">
        <f t="shared" si="233"/>
        <v>0</v>
      </c>
      <c r="K1499">
        <f t="shared" si="234"/>
        <v>706374</v>
      </c>
      <c r="L1499">
        <f t="shared" si="235"/>
        <v>0</v>
      </c>
      <c r="M1499">
        <f t="shared" si="236"/>
        <v>0</v>
      </c>
      <c r="N1499">
        <f t="shared" si="237"/>
        <v>973</v>
      </c>
    </row>
    <row r="1500" spans="1:14" x14ac:dyDescent="0.35">
      <c r="A1500" s="5">
        <v>3858766</v>
      </c>
      <c r="B1500" s="6">
        <v>42937</v>
      </c>
      <c r="C1500" s="7">
        <v>0.59026620370370375</v>
      </c>
      <c r="D1500" s="8">
        <v>0.59652777777777777</v>
      </c>
      <c r="E1500" s="20">
        <f t="shared" si="230"/>
        <v>6.2615740740740167E-3</v>
      </c>
      <c r="F1500" t="str">
        <f t="shared" si="231"/>
        <v>stacjonarny</v>
      </c>
      <c r="G1500" s="23">
        <f t="shared" si="238"/>
        <v>534506</v>
      </c>
      <c r="H1500">
        <f t="shared" si="239"/>
        <v>172409</v>
      </c>
      <c r="I1500">
        <f t="shared" si="232"/>
        <v>0</v>
      </c>
      <c r="J1500">
        <f t="shared" si="233"/>
        <v>0</v>
      </c>
      <c r="K1500">
        <f t="shared" si="234"/>
        <v>706915</v>
      </c>
      <c r="L1500">
        <f t="shared" si="235"/>
        <v>0</v>
      </c>
      <c r="M1500">
        <f t="shared" si="236"/>
        <v>541</v>
      </c>
      <c r="N1500">
        <f t="shared" si="237"/>
        <v>0</v>
      </c>
    </row>
    <row r="1501" spans="1:14" x14ac:dyDescent="0.35">
      <c r="A1501" s="9">
        <v>6231537</v>
      </c>
      <c r="B1501" s="10">
        <v>42937</v>
      </c>
      <c r="C1501" s="11">
        <v>0.59401620370370367</v>
      </c>
      <c r="D1501" s="12">
        <v>0.60012731481481485</v>
      </c>
      <c r="E1501" s="20">
        <f t="shared" si="230"/>
        <v>6.1111111111111782E-3</v>
      </c>
      <c r="F1501" t="str">
        <f t="shared" si="231"/>
        <v>stacjonarny</v>
      </c>
      <c r="G1501" s="23">
        <f t="shared" si="238"/>
        <v>535034</v>
      </c>
      <c r="H1501">
        <f t="shared" si="239"/>
        <v>172409</v>
      </c>
      <c r="I1501">
        <f t="shared" si="232"/>
        <v>0</v>
      </c>
      <c r="J1501">
        <f t="shared" si="233"/>
        <v>0</v>
      </c>
      <c r="K1501">
        <f t="shared" si="234"/>
        <v>707443</v>
      </c>
      <c r="L1501">
        <f t="shared" si="235"/>
        <v>0</v>
      </c>
      <c r="M1501">
        <f t="shared" si="236"/>
        <v>528</v>
      </c>
      <c r="N1501">
        <f t="shared" si="237"/>
        <v>0</v>
      </c>
    </row>
    <row r="1502" spans="1:14" x14ac:dyDescent="0.35">
      <c r="A1502" s="5">
        <v>1296262</v>
      </c>
      <c r="B1502" s="6">
        <v>42937</v>
      </c>
      <c r="C1502" s="7">
        <v>0.59712962962962968</v>
      </c>
      <c r="D1502" s="8">
        <v>0.6026273148148148</v>
      </c>
      <c r="E1502" s="20">
        <f t="shared" si="230"/>
        <v>5.4976851851851194E-3</v>
      </c>
      <c r="F1502" t="str">
        <f t="shared" si="231"/>
        <v>stacjonarny</v>
      </c>
      <c r="G1502" s="23">
        <f t="shared" si="238"/>
        <v>535509</v>
      </c>
      <c r="H1502">
        <f t="shared" si="239"/>
        <v>172409</v>
      </c>
      <c r="I1502">
        <f t="shared" si="232"/>
        <v>0</v>
      </c>
      <c r="J1502">
        <f t="shared" si="233"/>
        <v>0</v>
      </c>
      <c r="K1502">
        <f t="shared" si="234"/>
        <v>707918</v>
      </c>
      <c r="L1502">
        <f t="shared" si="235"/>
        <v>0</v>
      </c>
      <c r="M1502">
        <f t="shared" si="236"/>
        <v>475</v>
      </c>
      <c r="N1502">
        <f t="shared" si="237"/>
        <v>0</v>
      </c>
    </row>
    <row r="1503" spans="1:14" x14ac:dyDescent="0.35">
      <c r="A1503" s="9">
        <v>6175467</v>
      </c>
      <c r="B1503" s="10">
        <v>42937</v>
      </c>
      <c r="C1503" s="11">
        <v>0.60185185185185186</v>
      </c>
      <c r="D1503" s="12">
        <v>0.61021990740740739</v>
      </c>
      <c r="E1503" s="20">
        <f t="shared" si="230"/>
        <v>8.3680555555555314E-3</v>
      </c>
      <c r="F1503" t="str">
        <f t="shared" si="231"/>
        <v>stacjonarny</v>
      </c>
      <c r="G1503" s="23">
        <f t="shared" si="238"/>
        <v>536232</v>
      </c>
      <c r="H1503">
        <f t="shared" si="239"/>
        <v>172409</v>
      </c>
      <c r="I1503">
        <f t="shared" si="232"/>
        <v>0</v>
      </c>
      <c r="J1503">
        <f t="shared" si="233"/>
        <v>0</v>
      </c>
      <c r="K1503">
        <f t="shared" si="234"/>
        <v>708641</v>
      </c>
      <c r="L1503">
        <f t="shared" si="235"/>
        <v>0</v>
      </c>
      <c r="M1503">
        <f t="shared" si="236"/>
        <v>723</v>
      </c>
      <c r="N1503">
        <f t="shared" si="237"/>
        <v>0</v>
      </c>
    </row>
    <row r="1504" spans="1:14" x14ac:dyDescent="0.35">
      <c r="A1504" s="5">
        <v>6434255</v>
      </c>
      <c r="B1504" s="6">
        <v>42937</v>
      </c>
      <c r="C1504" s="7">
        <v>0.60196759259259258</v>
      </c>
      <c r="D1504" s="8">
        <v>0.60356481481481483</v>
      </c>
      <c r="E1504" s="20">
        <f t="shared" si="230"/>
        <v>1.5972222222222499E-3</v>
      </c>
      <c r="F1504" t="str">
        <f t="shared" si="231"/>
        <v>stacjonarny</v>
      </c>
      <c r="G1504" s="23">
        <f t="shared" si="238"/>
        <v>536370</v>
      </c>
      <c r="H1504">
        <f t="shared" si="239"/>
        <v>172409</v>
      </c>
      <c r="I1504">
        <f t="shared" si="232"/>
        <v>0</v>
      </c>
      <c r="J1504">
        <f t="shared" si="233"/>
        <v>0</v>
      </c>
      <c r="K1504">
        <f t="shared" si="234"/>
        <v>708779</v>
      </c>
      <c r="L1504">
        <f t="shared" si="235"/>
        <v>0</v>
      </c>
      <c r="M1504">
        <f t="shared" si="236"/>
        <v>138</v>
      </c>
      <c r="N1504">
        <f t="shared" si="237"/>
        <v>0</v>
      </c>
    </row>
    <row r="1505" spans="1:14" x14ac:dyDescent="0.35">
      <c r="A1505" s="9">
        <v>2723614</v>
      </c>
      <c r="B1505" s="10">
        <v>42937</v>
      </c>
      <c r="C1505" s="11">
        <v>0.60465277777777782</v>
      </c>
      <c r="D1505" s="12">
        <v>0.60886574074074074</v>
      </c>
      <c r="E1505" s="20">
        <f t="shared" si="230"/>
        <v>4.2129629629629184E-3</v>
      </c>
      <c r="F1505" t="str">
        <f t="shared" si="231"/>
        <v>stacjonarny</v>
      </c>
      <c r="G1505" s="23">
        <f t="shared" si="238"/>
        <v>536734</v>
      </c>
      <c r="H1505">
        <f t="shared" si="239"/>
        <v>172409</v>
      </c>
      <c r="I1505">
        <f t="shared" si="232"/>
        <v>0</v>
      </c>
      <c r="J1505">
        <f t="shared" si="233"/>
        <v>0</v>
      </c>
      <c r="K1505">
        <f t="shared" si="234"/>
        <v>709143</v>
      </c>
      <c r="L1505">
        <f t="shared" si="235"/>
        <v>0</v>
      </c>
      <c r="M1505">
        <f t="shared" si="236"/>
        <v>364</v>
      </c>
      <c r="N1505">
        <f t="shared" si="237"/>
        <v>0</v>
      </c>
    </row>
    <row r="1506" spans="1:14" x14ac:dyDescent="0.35">
      <c r="A1506" s="5">
        <v>92326393</v>
      </c>
      <c r="B1506" s="6">
        <v>42937</v>
      </c>
      <c r="C1506" s="7">
        <v>0.60782407407407413</v>
      </c>
      <c r="D1506" s="8">
        <v>0.61331018518518521</v>
      </c>
      <c r="E1506" s="20">
        <f t="shared" si="230"/>
        <v>5.4861111111110805E-3</v>
      </c>
      <c r="F1506" t="str">
        <f t="shared" si="231"/>
        <v>komorkowy</v>
      </c>
      <c r="G1506" s="23">
        <f t="shared" si="238"/>
        <v>536734</v>
      </c>
      <c r="H1506">
        <f t="shared" si="239"/>
        <v>172883</v>
      </c>
      <c r="I1506">
        <f t="shared" si="232"/>
        <v>0</v>
      </c>
      <c r="J1506">
        <f t="shared" si="233"/>
        <v>0</v>
      </c>
      <c r="K1506">
        <f t="shared" si="234"/>
        <v>709617</v>
      </c>
      <c r="L1506">
        <f t="shared" si="235"/>
        <v>0</v>
      </c>
      <c r="M1506">
        <f t="shared" si="236"/>
        <v>0</v>
      </c>
      <c r="N1506">
        <f t="shared" si="237"/>
        <v>474</v>
      </c>
    </row>
    <row r="1507" spans="1:14" x14ac:dyDescent="0.35">
      <c r="A1507" s="9">
        <v>5039266</v>
      </c>
      <c r="B1507" s="10">
        <v>42937</v>
      </c>
      <c r="C1507" s="11">
        <v>0.6121875</v>
      </c>
      <c r="D1507" s="12">
        <v>0.6181712962962963</v>
      </c>
      <c r="E1507" s="20">
        <f t="shared" si="230"/>
        <v>5.9837962962963065E-3</v>
      </c>
      <c r="F1507" t="str">
        <f t="shared" si="231"/>
        <v>stacjonarny</v>
      </c>
      <c r="G1507" s="23">
        <f t="shared" si="238"/>
        <v>537251</v>
      </c>
      <c r="H1507">
        <f t="shared" si="239"/>
        <v>172883</v>
      </c>
      <c r="I1507">
        <f t="shared" si="232"/>
        <v>0</v>
      </c>
      <c r="J1507">
        <f t="shared" si="233"/>
        <v>0</v>
      </c>
      <c r="K1507">
        <f t="shared" si="234"/>
        <v>710134</v>
      </c>
      <c r="L1507">
        <f t="shared" si="235"/>
        <v>0</v>
      </c>
      <c r="M1507">
        <f t="shared" si="236"/>
        <v>517</v>
      </c>
      <c r="N1507">
        <f t="shared" si="237"/>
        <v>0</v>
      </c>
    </row>
    <row r="1508" spans="1:14" x14ac:dyDescent="0.35">
      <c r="A1508" s="5">
        <v>3861280</v>
      </c>
      <c r="B1508" s="6">
        <v>42937</v>
      </c>
      <c r="C1508" s="7">
        <v>0.6147569444444444</v>
      </c>
      <c r="D1508" s="8">
        <v>0.62420138888888888</v>
      </c>
      <c r="E1508" s="20">
        <f t="shared" si="230"/>
        <v>9.4444444444444775E-3</v>
      </c>
      <c r="F1508" t="str">
        <f t="shared" si="231"/>
        <v>stacjonarny</v>
      </c>
      <c r="G1508" s="23">
        <f t="shared" si="238"/>
        <v>538067</v>
      </c>
      <c r="H1508">
        <f t="shared" si="239"/>
        <v>172883</v>
      </c>
      <c r="I1508">
        <f t="shared" si="232"/>
        <v>0</v>
      </c>
      <c r="J1508">
        <f t="shared" si="233"/>
        <v>0</v>
      </c>
      <c r="K1508">
        <f t="shared" si="234"/>
        <v>710950</v>
      </c>
      <c r="L1508">
        <f t="shared" si="235"/>
        <v>0</v>
      </c>
      <c r="M1508">
        <f t="shared" si="236"/>
        <v>816</v>
      </c>
      <c r="N1508">
        <f t="shared" si="237"/>
        <v>0</v>
      </c>
    </row>
    <row r="1509" spans="1:14" x14ac:dyDescent="0.35">
      <c r="A1509" s="9">
        <v>3982833</v>
      </c>
      <c r="B1509" s="10">
        <v>42937</v>
      </c>
      <c r="C1509" s="11">
        <v>0.61690972222222218</v>
      </c>
      <c r="D1509" s="12">
        <v>0.62290509259259264</v>
      </c>
      <c r="E1509" s="20">
        <f t="shared" si="230"/>
        <v>5.9953703703704564E-3</v>
      </c>
      <c r="F1509" t="str">
        <f t="shared" si="231"/>
        <v>stacjonarny</v>
      </c>
      <c r="G1509" s="23">
        <f t="shared" si="238"/>
        <v>538585</v>
      </c>
      <c r="H1509">
        <f t="shared" si="239"/>
        <v>172883</v>
      </c>
      <c r="I1509">
        <f t="shared" si="232"/>
        <v>0</v>
      </c>
      <c r="J1509">
        <f t="shared" si="233"/>
        <v>0</v>
      </c>
      <c r="K1509">
        <f t="shared" si="234"/>
        <v>711468</v>
      </c>
      <c r="L1509">
        <f t="shared" si="235"/>
        <v>0</v>
      </c>
      <c r="M1509">
        <f t="shared" si="236"/>
        <v>518</v>
      </c>
      <c r="N1509">
        <f t="shared" si="237"/>
        <v>0</v>
      </c>
    </row>
    <row r="1510" spans="1:14" x14ac:dyDescent="0.35">
      <c r="A1510" s="5">
        <v>5835972</v>
      </c>
      <c r="B1510" s="6">
        <v>42937</v>
      </c>
      <c r="C1510" s="7">
        <v>0.6206828703703704</v>
      </c>
      <c r="D1510" s="8">
        <v>0.62291666666666667</v>
      </c>
      <c r="E1510" s="20">
        <f t="shared" si="230"/>
        <v>2.2337962962962754E-3</v>
      </c>
      <c r="F1510" t="str">
        <f t="shared" si="231"/>
        <v>stacjonarny</v>
      </c>
      <c r="G1510" s="23">
        <f t="shared" si="238"/>
        <v>538778</v>
      </c>
      <c r="H1510">
        <f t="shared" si="239"/>
        <v>172883</v>
      </c>
      <c r="I1510">
        <f t="shared" si="232"/>
        <v>0</v>
      </c>
      <c r="J1510">
        <f t="shared" si="233"/>
        <v>0</v>
      </c>
      <c r="K1510">
        <f t="shared" si="234"/>
        <v>711661</v>
      </c>
      <c r="L1510">
        <f t="shared" si="235"/>
        <v>0</v>
      </c>
      <c r="M1510">
        <f t="shared" si="236"/>
        <v>193</v>
      </c>
      <c r="N1510">
        <f t="shared" si="237"/>
        <v>0</v>
      </c>
    </row>
    <row r="1511" spans="1:14" x14ac:dyDescent="0.35">
      <c r="A1511" s="9">
        <v>98382147</v>
      </c>
      <c r="B1511" s="10">
        <v>42937</v>
      </c>
      <c r="C1511" s="11">
        <v>0.62484953703703705</v>
      </c>
      <c r="D1511" s="12">
        <v>0.62848379629629625</v>
      </c>
      <c r="E1511" s="20">
        <f t="shared" si="230"/>
        <v>3.6342592592591982E-3</v>
      </c>
      <c r="F1511" t="str">
        <f t="shared" si="231"/>
        <v>komorkowy</v>
      </c>
      <c r="G1511" s="23">
        <f t="shared" si="238"/>
        <v>538778</v>
      </c>
      <c r="H1511">
        <f t="shared" si="239"/>
        <v>173197</v>
      </c>
      <c r="I1511">
        <f t="shared" si="232"/>
        <v>0</v>
      </c>
      <c r="J1511">
        <f t="shared" si="233"/>
        <v>0</v>
      </c>
      <c r="K1511">
        <f t="shared" si="234"/>
        <v>711975</v>
      </c>
      <c r="L1511">
        <f t="shared" si="235"/>
        <v>0</v>
      </c>
      <c r="M1511">
        <f t="shared" si="236"/>
        <v>0</v>
      </c>
      <c r="N1511">
        <f t="shared" si="237"/>
        <v>314</v>
      </c>
    </row>
    <row r="1512" spans="1:14" x14ac:dyDescent="0.35">
      <c r="A1512" s="5">
        <v>9427353</v>
      </c>
      <c r="B1512" s="6">
        <v>42937</v>
      </c>
      <c r="C1512" s="7">
        <v>0.62612268518518521</v>
      </c>
      <c r="D1512" s="8">
        <v>0.62835648148148149</v>
      </c>
      <c r="E1512" s="20">
        <f t="shared" si="230"/>
        <v>2.2337962962962754E-3</v>
      </c>
      <c r="F1512" t="str">
        <f t="shared" si="231"/>
        <v>stacjonarny</v>
      </c>
      <c r="G1512" s="23">
        <f t="shared" si="238"/>
        <v>538971</v>
      </c>
      <c r="H1512">
        <f t="shared" si="239"/>
        <v>173197</v>
      </c>
      <c r="I1512">
        <f t="shared" si="232"/>
        <v>0</v>
      </c>
      <c r="J1512">
        <f t="shared" si="233"/>
        <v>0</v>
      </c>
      <c r="K1512">
        <f t="shared" si="234"/>
        <v>712168</v>
      </c>
      <c r="L1512">
        <f t="shared" si="235"/>
        <v>0</v>
      </c>
      <c r="M1512">
        <f t="shared" si="236"/>
        <v>193</v>
      </c>
      <c r="N1512">
        <f t="shared" si="237"/>
        <v>0</v>
      </c>
    </row>
    <row r="1513" spans="1:14" x14ac:dyDescent="0.35">
      <c r="A1513" s="9">
        <v>11274735</v>
      </c>
      <c r="B1513" s="10">
        <v>42940</v>
      </c>
      <c r="C1513" s="11">
        <v>0.33624999999999999</v>
      </c>
      <c r="D1513" s="12">
        <v>0.34670138888888891</v>
      </c>
      <c r="E1513" s="20">
        <f t="shared" si="230"/>
        <v>1.0451388888888913E-2</v>
      </c>
      <c r="F1513" t="str">
        <f t="shared" si="231"/>
        <v>komorkowy</v>
      </c>
      <c r="G1513" s="23">
        <f t="shared" si="238"/>
        <v>538971</v>
      </c>
      <c r="H1513">
        <f t="shared" si="239"/>
        <v>174100</v>
      </c>
      <c r="I1513">
        <f t="shared" si="232"/>
        <v>0</v>
      </c>
      <c r="J1513">
        <f t="shared" si="233"/>
        <v>0</v>
      </c>
      <c r="K1513">
        <f t="shared" si="234"/>
        <v>713071</v>
      </c>
      <c r="L1513">
        <f t="shared" si="235"/>
        <v>0</v>
      </c>
      <c r="M1513">
        <f t="shared" si="236"/>
        <v>0</v>
      </c>
      <c r="N1513">
        <f t="shared" si="237"/>
        <v>903</v>
      </c>
    </row>
    <row r="1514" spans="1:14" x14ac:dyDescent="0.35">
      <c r="A1514" s="5">
        <v>9727873</v>
      </c>
      <c r="B1514" s="6">
        <v>42940</v>
      </c>
      <c r="C1514" s="7">
        <v>0.33728009259259262</v>
      </c>
      <c r="D1514" s="8">
        <v>0.34291666666666665</v>
      </c>
      <c r="E1514" s="20">
        <f t="shared" si="230"/>
        <v>5.63657407407403E-3</v>
      </c>
      <c r="F1514" t="str">
        <f t="shared" si="231"/>
        <v>stacjonarny</v>
      </c>
      <c r="G1514" s="23">
        <f t="shared" si="238"/>
        <v>539458</v>
      </c>
      <c r="H1514">
        <f t="shared" si="239"/>
        <v>174100</v>
      </c>
      <c r="I1514">
        <f t="shared" si="232"/>
        <v>0</v>
      </c>
      <c r="J1514">
        <f t="shared" si="233"/>
        <v>0</v>
      </c>
      <c r="K1514">
        <f t="shared" si="234"/>
        <v>713558</v>
      </c>
      <c r="L1514">
        <f t="shared" si="235"/>
        <v>0</v>
      </c>
      <c r="M1514">
        <f t="shared" si="236"/>
        <v>487</v>
      </c>
      <c r="N1514">
        <f t="shared" si="237"/>
        <v>0</v>
      </c>
    </row>
    <row r="1515" spans="1:14" x14ac:dyDescent="0.35">
      <c r="A1515" s="9">
        <v>4804872</v>
      </c>
      <c r="B1515" s="10">
        <v>42940</v>
      </c>
      <c r="C1515" s="11">
        <v>0.3402662037037037</v>
      </c>
      <c r="D1515" s="12">
        <v>0.34250000000000003</v>
      </c>
      <c r="E1515" s="20">
        <f t="shared" si="230"/>
        <v>2.2337962962963309E-3</v>
      </c>
      <c r="F1515" t="str">
        <f t="shared" si="231"/>
        <v>stacjonarny</v>
      </c>
      <c r="G1515" s="23">
        <f t="shared" si="238"/>
        <v>539651</v>
      </c>
      <c r="H1515">
        <f t="shared" si="239"/>
        <v>174100</v>
      </c>
      <c r="I1515">
        <f t="shared" si="232"/>
        <v>0</v>
      </c>
      <c r="J1515">
        <f t="shared" si="233"/>
        <v>0</v>
      </c>
      <c r="K1515">
        <f t="shared" si="234"/>
        <v>713751</v>
      </c>
      <c r="L1515">
        <f t="shared" si="235"/>
        <v>0</v>
      </c>
      <c r="M1515">
        <f t="shared" si="236"/>
        <v>193</v>
      </c>
      <c r="N1515">
        <f t="shared" si="237"/>
        <v>0</v>
      </c>
    </row>
    <row r="1516" spans="1:14" x14ac:dyDescent="0.35">
      <c r="A1516" s="5">
        <v>22583033</v>
      </c>
      <c r="B1516" s="6">
        <v>42940</v>
      </c>
      <c r="C1516" s="7">
        <v>0.34495370370370371</v>
      </c>
      <c r="D1516" s="8">
        <v>0.3467824074074074</v>
      </c>
      <c r="E1516" s="20">
        <f t="shared" si="230"/>
        <v>1.8287037037036935E-3</v>
      </c>
      <c r="F1516" t="str">
        <f t="shared" si="231"/>
        <v>komorkowy</v>
      </c>
      <c r="G1516" s="23">
        <f t="shared" si="238"/>
        <v>539651</v>
      </c>
      <c r="H1516">
        <f t="shared" si="239"/>
        <v>174258</v>
      </c>
      <c r="I1516">
        <f t="shared" si="232"/>
        <v>0</v>
      </c>
      <c r="J1516">
        <f t="shared" si="233"/>
        <v>0</v>
      </c>
      <c r="K1516">
        <f t="shared" si="234"/>
        <v>713909</v>
      </c>
      <c r="L1516">
        <f t="shared" si="235"/>
        <v>0</v>
      </c>
      <c r="M1516">
        <f t="shared" si="236"/>
        <v>0</v>
      </c>
      <c r="N1516">
        <f t="shared" si="237"/>
        <v>158</v>
      </c>
    </row>
    <row r="1517" spans="1:14" x14ac:dyDescent="0.35">
      <c r="A1517" s="9">
        <v>4056070</v>
      </c>
      <c r="B1517" s="10">
        <v>42940</v>
      </c>
      <c r="C1517" s="11">
        <v>0.3480787037037037</v>
      </c>
      <c r="D1517" s="12">
        <v>0.35413194444444446</v>
      </c>
      <c r="E1517" s="20">
        <f t="shared" si="230"/>
        <v>6.0532407407407618E-3</v>
      </c>
      <c r="F1517" t="str">
        <f t="shared" si="231"/>
        <v>stacjonarny</v>
      </c>
      <c r="G1517" s="23">
        <f t="shared" si="238"/>
        <v>540174</v>
      </c>
      <c r="H1517">
        <f t="shared" si="239"/>
        <v>174258</v>
      </c>
      <c r="I1517">
        <f t="shared" si="232"/>
        <v>0</v>
      </c>
      <c r="J1517">
        <f t="shared" si="233"/>
        <v>0</v>
      </c>
      <c r="K1517">
        <f t="shared" si="234"/>
        <v>714432</v>
      </c>
      <c r="L1517">
        <f t="shared" si="235"/>
        <v>0</v>
      </c>
      <c r="M1517">
        <f t="shared" si="236"/>
        <v>523</v>
      </c>
      <c r="N1517">
        <f t="shared" si="237"/>
        <v>0</v>
      </c>
    </row>
    <row r="1518" spans="1:14" x14ac:dyDescent="0.35">
      <c r="A1518" s="5">
        <v>2701816</v>
      </c>
      <c r="B1518" s="6">
        <v>42940</v>
      </c>
      <c r="C1518" s="7">
        <v>0.34879629629629627</v>
      </c>
      <c r="D1518" s="8">
        <v>0.35699074074074072</v>
      </c>
      <c r="E1518" s="20">
        <f t="shared" si="230"/>
        <v>8.1944444444444486E-3</v>
      </c>
      <c r="F1518" t="str">
        <f t="shared" si="231"/>
        <v>stacjonarny</v>
      </c>
      <c r="G1518" s="23">
        <f t="shared" si="238"/>
        <v>540882</v>
      </c>
      <c r="H1518">
        <f t="shared" si="239"/>
        <v>174258</v>
      </c>
      <c r="I1518">
        <f t="shared" si="232"/>
        <v>0</v>
      </c>
      <c r="J1518">
        <f t="shared" si="233"/>
        <v>0</v>
      </c>
      <c r="K1518">
        <f t="shared" si="234"/>
        <v>715140</v>
      </c>
      <c r="L1518">
        <f t="shared" si="235"/>
        <v>0</v>
      </c>
      <c r="M1518">
        <f t="shared" si="236"/>
        <v>708</v>
      </c>
      <c r="N1518">
        <f t="shared" si="237"/>
        <v>0</v>
      </c>
    </row>
    <row r="1519" spans="1:14" x14ac:dyDescent="0.35">
      <c r="A1519" s="9">
        <v>20735440</v>
      </c>
      <c r="B1519" s="10">
        <v>42940</v>
      </c>
      <c r="C1519" s="11">
        <v>0.35041666666666665</v>
      </c>
      <c r="D1519" s="12">
        <v>0.35834490740740743</v>
      </c>
      <c r="E1519" s="20">
        <f t="shared" si="230"/>
        <v>7.9282407407407773E-3</v>
      </c>
      <c r="F1519" t="str">
        <f t="shared" si="231"/>
        <v>komorkowy</v>
      </c>
      <c r="G1519" s="23">
        <f t="shared" si="238"/>
        <v>540882</v>
      </c>
      <c r="H1519">
        <f t="shared" si="239"/>
        <v>174943</v>
      </c>
      <c r="I1519">
        <f t="shared" si="232"/>
        <v>0</v>
      </c>
      <c r="J1519">
        <f t="shared" si="233"/>
        <v>0</v>
      </c>
      <c r="K1519">
        <f t="shared" si="234"/>
        <v>715825</v>
      </c>
      <c r="L1519">
        <f t="shared" si="235"/>
        <v>0</v>
      </c>
      <c r="M1519">
        <f t="shared" si="236"/>
        <v>0</v>
      </c>
      <c r="N1519">
        <f t="shared" si="237"/>
        <v>685</v>
      </c>
    </row>
    <row r="1520" spans="1:14" x14ac:dyDescent="0.35">
      <c r="A1520" s="5">
        <v>9076015</v>
      </c>
      <c r="B1520" s="6">
        <v>42940</v>
      </c>
      <c r="C1520" s="7">
        <v>0.35129629629629627</v>
      </c>
      <c r="D1520" s="8">
        <v>0.35626157407407405</v>
      </c>
      <c r="E1520" s="20">
        <f t="shared" si="230"/>
        <v>4.9652777777777768E-3</v>
      </c>
      <c r="F1520" t="str">
        <f t="shared" si="231"/>
        <v>stacjonarny</v>
      </c>
      <c r="G1520" s="23">
        <f t="shared" si="238"/>
        <v>541311</v>
      </c>
      <c r="H1520">
        <f t="shared" si="239"/>
        <v>174943</v>
      </c>
      <c r="I1520">
        <f t="shared" si="232"/>
        <v>0</v>
      </c>
      <c r="J1520">
        <f t="shared" si="233"/>
        <v>0</v>
      </c>
      <c r="K1520">
        <f t="shared" si="234"/>
        <v>716254</v>
      </c>
      <c r="L1520">
        <f t="shared" si="235"/>
        <v>0</v>
      </c>
      <c r="M1520">
        <f t="shared" si="236"/>
        <v>429</v>
      </c>
      <c r="N1520">
        <f t="shared" si="237"/>
        <v>0</v>
      </c>
    </row>
    <row r="1521" spans="1:14" x14ac:dyDescent="0.35">
      <c r="A1521" s="9">
        <v>11070759</v>
      </c>
      <c r="B1521" s="10">
        <v>42940</v>
      </c>
      <c r="C1521" s="11">
        <v>0.35653935185185187</v>
      </c>
      <c r="D1521" s="12">
        <v>0.35864583333333333</v>
      </c>
      <c r="E1521" s="20">
        <f t="shared" si="230"/>
        <v>2.1064814814814592E-3</v>
      </c>
      <c r="F1521" t="str">
        <f t="shared" si="231"/>
        <v>komorkowy</v>
      </c>
      <c r="G1521" s="23">
        <f t="shared" si="238"/>
        <v>541311</v>
      </c>
      <c r="H1521">
        <f t="shared" si="239"/>
        <v>175125</v>
      </c>
      <c r="I1521">
        <f t="shared" si="232"/>
        <v>0</v>
      </c>
      <c r="J1521">
        <f t="shared" si="233"/>
        <v>0</v>
      </c>
      <c r="K1521">
        <f t="shared" si="234"/>
        <v>716436</v>
      </c>
      <c r="L1521">
        <f t="shared" si="235"/>
        <v>0</v>
      </c>
      <c r="M1521">
        <f t="shared" si="236"/>
        <v>0</v>
      </c>
      <c r="N1521">
        <f t="shared" si="237"/>
        <v>182</v>
      </c>
    </row>
    <row r="1522" spans="1:14" x14ac:dyDescent="0.35">
      <c r="A1522" s="5">
        <v>22176115</v>
      </c>
      <c r="B1522" s="6">
        <v>42940</v>
      </c>
      <c r="C1522" s="7">
        <v>0.35991898148148149</v>
      </c>
      <c r="D1522" s="8">
        <v>0.36880787037037038</v>
      </c>
      <c r="E1522" s="20">
        <f t="shared" si="230"/>
        <v>8.8888888888888906E-3</v>
      </c>
      <c r="F1522" t="str">
        <f t="shared" si="231"/>
        <v>komorkowy</v>
      </c>
      <c r="G1522" s="23">
        <f t="shared" si="238"/>
        <v>541311</v>
      </c>
      <c r="H1522">
        <f t="shared" si="239"/>
        <v>175893</v>
      </c>
      <c r="I1522">
        <f t="shared" si="232"/>
        <v>0</v>
      </c>
      <c r="J1522">
        <f t="shared" si="233"/>
        <v>0</v>
      </c>
      <c r="K1522">
        <f t="shared" si="234"/>
        <v>717204</v>
      </c>
      <c r="L1522">
        <f t="shared" si="235"/>
        <v>0</v>
      </c>
      <c r="M1522">
        <f t="shared" si="236"/>
        <v>0</v>
      </c>
      <c r="N1522">
        <f t="shared" si="237"/>
        <v>768</v>
      </c>
    </row>
    <row r="1523" spans="1:14" x14ac:dyDescent="0.35">
      <c r="A1523" s="9">
        <v>7456918</v>
      </c>
      <c r="B1523" s="10">
        <v>42940</v>
      </c>
      <c r="C1523" s="11">
        <v>0.36061342592592593</v>
      </c>
      <c r="D1523" s="12">
        <v>0.36667824074074074</v>
      </c>
      <c r="E1523" s="20">
        <f t="shared" si="230"/>
        <v>6.0648148148148007E-3</v>
      </c>
      <c r="F1523" t="str">
        <f t="shared" si="231"/>
        <v>stacjonarny</v>
      </c>
      <c r="G1523" s="23">
        <f t="shared" si="238"/>
        <v>541835</v>
      </c>
      <c r="H1523">
        <f t="shared" si="239"/>
        <v>175893</v>
      </c>
      <c r="I1523">
        <f t="shared" si="232"/>
        <v>0</v>
      </c>
      <c r="J1523">
        <f t="shared" si="233"/>
        <v>0</v>
      </c>
      <c r="K1523">
        <f t="shared" si="234"/>
        <v>717728</v>
      </c>
      <c r="L1523">
        <f t="shared" si="235"/>
        <v>0</v>
      </c>
      <c r="M1523">
        <f t="shared" si="236"/>
        <v>524</v>
      </c>
      <c r="N1523">
        <f t="shared" si="237"/>
        <v>0</v>
      </c>
    </row>
    <row r="1524" spans="1:14" x14ac:dyDescent="0.35">
      <c r="A1524" s="5">
        <v>6896787</v>
      </c>
      <c r="B1524" s="6">
        <v>42940</v>
      </c>
      <c r="C1524" s="7">
        <v>0.36243055555555553</v>
      </c>
      <c r="D1524" s="8">
        <v>0.36993055555555554</v>
      </c>
      <c r="E1524" s="20">
        <f t="shared" si="230"/>
        <v>7.5000000000000067E-3</v>
      </c>
      <c r="F1524" t="str">
        <f t="shared" si="231"/>
        <v>stacjonarny</v>
      </c>
      <c r="G1524" s="23">
        <f t="shared" si="238"/>
        <v>542483</v>
      </c>
      <c r="H1524">
        <f t="shared" si="239"/>
        <v>175893</v>
      </c>
      <c r="I1524">
        <f t="shared" si="232"/>
        <v>0</v>
      </c>
      <c r="J1524">
        <f t="shared" si="233"/>
        <v>0</v>
      </c>
      <c r="K1524">
        <f t="shared" si="234"/>
        <v>718376</v>
      </c>
      <c r="L1524">
        <f t="shared" si="235"/>
        <v>0</v>
      </c>
      <c r="M1524">
        <f t="shared" si="236"/>
        <v>648</v>
      </c>
      <c r="N1524">
        <f t="shared" si="237"/>
        <v>0</v>
      </c>
    </row>
    <row r="1525" spans="1:14" x14ac:dyDescent="0.35">
      <c r="A1525" s="9">
        <v>6561564994</v>
      </c>
      <c r="B1525" s="10">
        <v>42940</v>
      </c>
      <c r="C1525" s="11">
        <v>0.36334490740740738</v>
      </c>
      <c r="D1525" s="12">
        <v>0.3696875</v>
      </c>
      <c r="E1525" s="20">
        <f t="shared" si="230"/>
        <v>6.3425925925926219E-3</v>
      </c>
      <c r="F1525" t="str">
        <f t="shared" si="231"/>
        <v>zagraniczny</v>
      </c>
      <c r="G1525" s="23">
        <f t="shared" si="238"/>
        <v>542483</v>
      </c>
      <c r="H1525">
        <f t="shared" si="239"/>
        <v>175893</v>
      </c>
      <c r="I1525">
        <f t="shared" si="232"/>
        <v>548</v>
      </c>
      <c r="J1525">
        <f t="shared" si="233"/>
        <v>10</v>
      </c>
      <c r="K1525">
        <f t="shared" si="234"/>
        <v>718376</v>
      </c>
      <c r="L1525">
        <f t="shared" si="235"/>
        <v>0</v>
      </c>
      <c r="M1525">
        <f t="shared" si="236"/>
        <v>0</v>
      </c>
      <c r="N1525">
        <f t="shared" si="237"/>
        <v>0</v>
      </c>
    </row>
    <row r="1526" spans="1:14" x14ac:dyDescent="0.35">
      <c r="A1526" s="5">
        <v>8414788</v>
      </c>
      <c r="B1526" s="6">
        <v>42940</v>
      </c>
      <c r="C1526" s="7">
        <v>0.36887731481481484</v>
      </c>
      <c r="D1526" s="8">
        <v>0.37443287037037037</v>
      </c>
      <c r="E1526" s="20">
        <f t="shared" si="230"/>
        <v>5.5555555555555358E-3</v>
      </c>
      <c r="F1526" t="str">
        <f t="shared" si="231"/>
        <v>stacjonarny</v>
      </c>
      <c r="G1526" s="23">
        <f t="shared" si="238"/>
        <v>542963</v>
      </c>
      <c r="H1526">
        <f t="shared" si="239"/>
        <v>175893</v>
      </c>
      <c r="I1526">
        <f t="shared" si="232"/>
        <v>0</v>
      </c>
      <c r="J1526">
        <f t="shared" si="233"/>
        <v>0</v>
      </c>
      <c r="K1526">
        <f t="shared" si="234"/>
        <v>718856</v>
      </c>
      <c r="L1526">
        <f t="shared" si="235"/>
        <v>0</v>
      </c>
      <c r="M1526">
        <f t="shared" si="236"/>
        <v>480</v>
      </c>
      <c r="N1526">
        <f t="shared" si="237"/>
        <v>0</v>
      </c>
    </row>
    <row r="1527" spans="1:14" x14ac:dyDescent="0.35">
      <c r="A1527" s="9">
        <v>7896629</v>
      </c>
      <c r="B1527" s="10">
        <v>42940</v>
      </c>
      <c r="C1527" s="11">
        <v>0.37025462962962963</v>
      </c>
      <c r="D1527" s="12">
        <v>0.3785648148148148</v>
      </c>
      <c r="E1527" s="20">
        <f t="shared" si="230"/>
        <v>8.3101851851851705E-3</v>
      </c>
      <c r="F1527" t="str">
        <f t="shared" si="231"/>
        <v>stacjonarny</v>
      </c>
      <c r="G1527" s="23">
        <f t="shared" si="238"/>
        <v>543681</v>
      </c>
      <c r="H1527">
        <f t="shared" si="239"/>
        <v>175893</v>
      </c>
      <c r="I1527">
        <f t="shared" si="232"/>
        <v>0</v>
      </c>
      <c r="J1527">
        <f t="shared" si="233"/>
        <v>0</v>
      </c>
      <c r="K1527">
        <f t="shared" si="234"/>
        <v>719574</v>
      </c>
      <c r="L1527">
        <f t="shared" si="235"/>
        <v>0</v>
      </c>
      <c r="M1527">
        <f t="shared" si="236"/>
        <v>718</v>
      </c>
      <c r="N1527">
        <f t="shared" si="237"/>
        <v>0</v>
      </c>
    </row>
    <row r="1528" spans="1:14" x14ac:dyDescent="0.35">
      <c r="A1528" s="5">
        <v>5970183</v>
      </c>
      <c r="B1528" s="6">
        <v>42940</v>
      </c>
      <c r="C1528" s="7">
        <v>0.37150462962962966</v>
      </c>
      <c r="D1528" s="8">
        <v>0.37246527777777777</v>
      </c>
      <c r="E1528" s="20">
        <f t="shared" si="230"/>
        <v>9.6064814814811328E-4</v>
      </c>
      <c r="F1528" t="str">
        <f t="shared" si="231"/>
        <v>stacjonarny</v>
      </c>
      <c r="G1528" s="23">
        <f t="shared" si="238"/>
        <v>543764</v>
      </c>
      <c r="H1528">
        <f t="shared" si="239"/>
        <v>175893</v>
      </c>
      <c r="I1528">
        <f t="shared" si="232"/>
        <v>0</v>
      </c>
      <c r="J1528">
        <f t="shared" si="233"/>
        <v>0</v>
      </c>
      <c r="K1528">
        <f t="shared" si="234"/>
        <v>719657</v>
      </c>
      <c r="L1528">
        <f t="shared" si="235"/>
        <v>0</v>
      </c>
      <c r="M1528">
        <f t="shared" si="236"/>
        <v>83</v>
      </c>
      <c r="N1528">
        <f t="shared" si="237"/>
        <v>0</v>
      </c>
    </row>
    <row r="1529" spans="1:14" x14ac:dyDescent="0.35">
      <c r="A1529" s="9">
        <v>57891628</v>
      </c>
      <c r="B1529" s="10">
        <v>42940</v>
      </c>
      <c r="C1529" s="11">
        <v>0.37296296296296294</v>
      </c>
      <c r="D1529" s="12">
        <v>0.38413194444444443</v>
      </c>
      <c r="E1529" s="20">
        <f t="shared" si="230"/>
        <v>1.1168981481481488E-2</v>
      </c>
      <c r="F1529" t="str">
        <f t="shared" si="231"/>
        <v>komorkowy</v>
      </c>
      <c r="G1529" s="23">
        <f t="shared" si="238"/>
        <v>543764</v>
      </c>
      <c r="H1529">
        <f t="shared" si="239"/>
        <v>176858</v>
      </c>
      <c r="I1529">
        <f t="shared" si="232"/>
        <v>0</v>
      </c>
      <c r="J1529">
        <f t="shared" si="233"/>
        <v>0</v>
      </c>
      <c r="K1529">
        <f t="shared" si="234"/>
        <v>720622</v>
      </c>
      <c r="L1529">
        <f t="shared" si="235"/>
        <v>0</v>
      </c>
      <c r="M1529">
        <f t="shared" si="236"/>
        <v>0</v>
      </c>
      <c r="N1529">
        <f t="shared" si="237"/>
        <v>965</v>
      </c>
    </row>
    <row r="1530" spans="1:14" x14ac:dyDescent="0.35">
      <c r="A1530" s="5">
        <v>53378457</v>
      </c>
      <c r="B1530" s="6">
        <v>42940</v>
      </c>
      <c r="C1530" s="7">
        <v>0.3777314814814815</v>
      </c>
      <c r="D1530" s="8">
        <v>0.38680555555555557</v>
      </c>
      <c r="E1530" s="20">
        <f t="shared" si="230"/>
        <v>9.0740740740740677E-3</v>
      </c>
      <c r="F1530" t="str">
        <f t="shared" si="231"/>
        <v>komorkowy</v>
      </c>
      <c r="G1530" s="23">
        <f t="shared" si="238"/>
        <v>543764</v>
      </c>
      <c r="H1530">
        <f t="shared" si="239"/>
        <v>177642</v>
      </c>
      <c r="I1530">
        <f t="shared" si="232"/>
        <v>0</v>
      </c>
      <c r="J1530">
        <f t="shared" si="233"/>
        <v>0</v>
      </c>
      <c r="K1530">
        <f t="shared" si="234"/>
        <v>721406</v>
      </c>
      <c r="L1530">
        <f t="shared" si="235"/>
        <v>0</v>
      </c>
      <c r="M1530">
        <f t="shared" si="236"/>
        <v>0</v>
      </c>
      <c r="N1530">
        <f t="shared" si="237"/>
        <v>784</v>
      </c>
    </row>
    <row r="1531" spans="1:14" x14ac:dyDescent="0.35">
      <c r="A1531" s="9">
        <v>88666908</v>
      </c>
      <c r="B1531" s="10">
        <v>42940</v>
      </c>
      <c r="C1531" s="11">
        <v>0.37983796296296296</v>
      </c>
      <c r="D1531" s="12">
        <v>0.38929398148148148</v>
      </c>
      <c r="E1531" s="20">
        <f t="shared" si="230"/>
        <v>9.4560185185185164E-3</v>
      </c>
      <c r="F1531" t="str">
        <f t="shared" si="231"/>
        <v>komorkowy</v>
      </c>
      <c r="G1531" s="23">
        <f t="shared" si="238"/>
        <v>543764</v>
      </c>
      <c r="H1531">
        <f t="shared" si="239"/>
        <v>178459</v>
      </c>
      <c r="I1531">
        <f t="shared" si="232"/>
        <v>0</v>
      </c>
      <c r="J1531">
        <f t="shared" si="233"/>
        <v>0</v>
      </c>
      <c r="K1531">
        <f t="shared" si="234"/>
        <v>722223</v>
      </c>
      <c r="L1531">
        <f t="shared" si="235"/>
        <v>0</v>
      </c>
      <c r="M1531">
        <f t="shared" si="236"/>
        <v>0</v>
      </c>
      <c r="N1531">
        <f t="shared" si="237"/>
        <v>817</v>
      </c>
    </row>
    <row r="1532" spans="1:14" x14ac:dyDescent="0.35">
      <c r="A1532" s="5">
        <v>9279730</v>
      </c>
      <c r="B1532" s="6">
        <v>42940</v>
      </c>
      <c r="C1532" s="7">
        <v>0.38046296296296295</v>
      </c>
      <c r="D1532" s="8">
        <v>0.38836805555555554</v>
      </c>
      <c r="E1532" s="20">
        <f t="shared" si="230"/>
        <v>7.9050925925925886E-3</v>
      </c>
      <c r="F1532" t="str">
        <f t="shared" si="231"/>
        <v>stacjonarny</v>
      </c>
      <c r="G1532" s="23">
        <f t="shared" si="238"/>
        <v>544447</v>
      </c>
      <c r="H1532">
        <f t="shared" si="239"/>
        <v>178459</v>
      </c>
      <c r="I1532">
        <f t="shared" si="232"/>
        <v>0</v>
      </c>
      <c r="J1532">
        <f t="shared" si="233"/>
        <v>0</v>
      </c>
      <c r="K1532">
        <f t="shared" si="234"/>
        <v>722906</v>
      </c>
      <c r="L1532">
        <f t="shared" si="235"/>
        <v>0</v>
      </c>
      <c r="M1532">
        <f t="shared" si="236"/>
        <v>683</v>
      </c>
      <c r="N1532">
        <f t="shared" si="237"/>
        <v>0</v>
      </c>
    </row>
    <row r="1533" spans="1:14" x14ac:dyDescent="0.35">
      <c r="A1533" s="9">
        <v>2928766</v>
      </c>
      <c r="B1533" s="10">
        <v>42940</v>
      </c>
      <c r="C1533" s="11">
        <v>0.38156250000000003</v>
      </c>
      <c r="D1533" s="12">
        <v>0.3893402777777778</v>
      </c>
      <c r="E1533" s="20">
        <f t="shared" si="230"/>
        <v>7.7777777777777724E-3</v>
      </c>
      <c r="F1533" t="str">
        <f t="shared" si="231"/>
        <v>stacjonarny</v>
      </c>
      <c r="G1533" s="23">
        <f t="shared" si="238"/>
        <v>545119</v>
      </c>
      <c r="H1533">
        <f t="shared" si="239"/>
        <v>178459</v>
      </c>
      <c r="I1533">
        <f t="shared" si="232"/>
        <v>0</v>
      </c>
      <c r="J1533">
        <f t="shared" si="233"/>
        <v>0</v>
      </c>
      <c r="K1533">
        <f t="shared" si="234"/>
        <v>723578</v>
      </c>
      <c r="L1533">
        <f t="shared" si="235"/>
        <v>0</v>
      </c>
      <c r="M1533">
        <f t="shared" si="236"/>
        <v>672</v>
      </c>
      <c r="N1533">
        <f t="shared" si="237"/>
        <v>0</v>
      </c>
    </row>
    <row r="1534" spans="1:14" x14ac:dyDescent="0.35">
      <c r="A1534" s="5">
        <v>4334364</v>
      </c>
      <c r="B1534" s="6">
        <v>42940</v>
      </c>
      <c r="C1534" s="7">
        <v>0.3837962962962963</v>
      </c>
      <c r="D1534" s="8">
        <v>0.39385416666666667</v>
      </c>
      <c r="E1534" s="20">
        <f t="shared" si="230"/>
        <v>1.005787037037037E-2</v>
      </c>
      <c r="F1534" t="str">
        <f t="shared" si="231"/>
        <v>stacjonarny</v>
      </c>
      <c r="G1534" s="23">
        <f t="shared" si="238"/>
        <v>545988</v>
      </c>
      <c r="H1534">
        <f t="shared" si="239"/>
        <v>178459</v>
      </c>
      <c r="I1534">
        <f t="shared" si="232"/>
        <v>0</v>
      </c>
      <c r="J1534">
        <f t="shared" si="233"/>
        <v>0</v>
      </c>
      <c r="K1534">
        <f t="shared" si="234"/>
        <v>724447</v>
      </c>
      <c r="L1534">
        <f t="shared" si="235"/>
        <v>0</v>
      </c>
      <c r="M1534">
        <f t="shared" si="236"/>
        <v>869</v>
      </c>
      <c r="N1534">
        <f t="shared" si="237"/>
        <v>0</v>
      </c>
    </row>
    <row r="1535" spans="1:14" x14ac:dyDescent="0.35">
      <c r="A1535" s="9">
        <v>8405292</v>
      </c>
      <c r="B1535" s="10">
        <v>42940</v>
      </c>
      <c r="C1535" s="11">
        <v>0.38635416666666667</v>
      </c>
      <c r="D1535" s="12">
        <v>0.39378472222222222</v>
      </c>
      <c r="E1535" s="20">
        <f t="shared" si="230"/>
        <v>7.4305555555555514E-3</v>
      </c>
      <c r="F1535" t="str">
        <f t="shared" si="231"/>
        <v>stacjonarny</v>
      </c>
      <c r="G1535" s="23">
        <f t="shared" si="238"/>
        <v>546630</v>
      </c>
      <c r="H1535">
        <f t="shared" si="239"/>
        <v>178459</v>
      </c>
      <c r="I1535">
        <f t="shared" si="232"/>
        <v>0</v>
      </c>
      <c r="J1535">
        <f t="shared" si="233"/>
        <v>0</v>
      </c>
      <c r="K1535">
        <f t="shared" si="234"/>
        <v>725089</v>
      </c>
      <c r="L1535">
        <f t="shared" si="235"/>
        <v>0</v>
      </c>
      <c r="M1535">
        <f t="shared" si="236"/>
        <v>642</v>
      </c>
      <c r="N1535">
        <f t="shared" si="237"/>
        <v>0</v>
      </c>
    </row>
    <row r="1536" spans="1:14" x14ac:dyDescent="0.35">
      <c r="A1536" s="5">
        <v>9870841</v>
      </c>
      <c r="B1536" s="6">
        <v>42940</v>
      </c>
      <c r="C1536" s="7">
        <v>0.39209490740740743</v>
      </c>
      <c r="D1536" s="8">
        <v>0.39672453703703703</v>
      </c>
      <c r="E1536" s="20">
        <f t="shared" si="230"/>
        <v>4.6296296296295947E-3</v>
      </c>
      <c r="F1536" t="str">
        <f t="shared" si="231"/>
        <v>stacjonarny</v>
      </c>
      <c r="G1536" s="23">
        <f t="shared" si="238"/>
        <v>547030</v>
      </c>
      <c r="H1536">
        <f t="shared" si="239"/>
        <v>178459</v>
      </c>
      <c r="I1536">
        <f t="shared" si="232"/>
        <v>0</v>
      </c>
      <c r="J1536">
        <f t="shared" si="233"/>
        <v>0</v>
      </c>
      <c r="K1536">
        <f t="shared" si="234"/>
        <v>725489</v>
      </c>
      <c r="L1536">
        <f t="shared" si="235"/>
        <v>0</v>
      </c>
      <c r="M1536">
        <f t="shared" si="236"/>
        <v>400</v>
      </c>
      <c r="N1536">
        <f t="shared" si="237"/>
        <v>0</v>
      </c>
    </row>
    <row r="1537" spans="1:14" x14ac:dyDescent="0.35">
      <c r="A1537" s="9">
        <v>9722484</v>
      </c>
      <c r="B1537" s="10">
        <v>42940</v>
      </c>
      <c r="C1537" s="11">
        <v>0.39383101851851854</v>
      </c>
      <c r="D1537" s="12">
        <v>0.39630787037037035</v>
      </c>
      <c r="E1537" s="20">
        <f t="shared" si="230"/>
        <v>2.4768518518518134E-3</v>
      </c>
      <c r="F1537" t="str">
        <f t="shared" si="231"/>
        <v>stacjonarny</v>
      </c>
      <c r="G1537" s="23">
        <f t="shared" si="238"/>
        <v>547244</v>
      </c>
      <c r="H1537">
        <f t="shared" si="239"/>
        <v>178459</v>
      </c>
      <c r="I1537">
        <f t="shared" si="232"/>
        <v>0</v>
      </c>
      <c r="J1537">
        <f t="shared" si="233"/>
        <v>0</v>
      </c>
      <c r="K1537">
        <f t="shared" si="234"/>
        <v>725703</v>
      </c>
      <c r="L1537">
        <f t="shared" si="235"/>
        <v>0</v>
      </c>
      <c r="M1537">
        <f t="shared" si="236"/>
        <v>214</v>
      </c>
      <c r="N1537">
        <f t="shared" si="237"/>
        <v>0</v>
      </c>
    </row>
    <row r="1538" spans="1:14" x14ac:dyDescent="0.35">
      <c r="A1538" s="5">
        <v>1159432</v>
      </c>
      <c r="B1538" s="6">
        <v>42940</v>
      </c>
      <c r="C1538" s="7">
        <v>0.39391203703703703</v>
      </c>
      <c r="D1538" s="8">
        <v>0.39478009259259261</v>
      </c>
      <c r="E1538" s="20">
        <f t="shared" si="230"/>
        <v>8.6805555555558023E-4</v>
      </c>
      <c r="F1538" t="str">
        <f t="shared" si="231"/>
        <v>stacjonarny</v>
      </c>
      <c r="G1538" s="23">
        <f t="shared" si="238"/>
        <v>547319</v>
      </c>
      <c r="H1538">
        <f t="shared" si="239"/>
        <v>178459</v>
      </c>
      <c r="I1538">
        <f t="shared" si="232"/>
        <v>0</v>
      </c>
      <c r="J1538">
        <f t="shared" si="233"/>
        <v>0</v>
      </c>
      <c r="K1538">
        <f t="shared" si="234"/>
        <v>725778</v>
      </c>
      <c r="L1538">
        <f t="shared" si="235"/>
        <v>0</v>
      </c>
      <c r="M1538">
        <f t="shared" si="236"/>
        <v>75</v>
      </c>
      <c r="N1538">
        <f t="shared" si="237"/>
        <v>0</v>
      </c>
    </row>
    <row r="1539" spans="1:14" x14ac:dyDescent="0.35">
      <c r="A1539" s="9">
        <v>25194612</v>
      </c>
      <c r="B1539" s="10">
        <v>42940</v>
      </c>
      <c r="C1539" s="11">
        <v>0.39516203703703706</v>
      </c>
      <c r="D1539" s="12">
        <v>0.4057986111111111</v>
      </c>
      <c r="E1539" s="20">
        <f t="shared" ref="E1539:E1602" si="240">D1539-C1539</f>
        <v>1.0636574074074034E-2</v>
      </c>
      <c r="F1539" t="str">
        <f t="shared" ref="F1539:F1602" si="241">IF(LEN(A1539)=7,"stacjonarny",IF(LEN(A1539)=8,"komorkowy","zagraniczny"))</f>
        <v>komorkowy</v>
      </c>
      <c r="G1539" s="23">
        <f t="shared" si="238"/>
        <v>547319</v>
      </c>
      <c r="H1539">
        <f t="shared" si="239"/>
        <v>179378</v>
      </c>
      <c r="I1539">
        <f t="shared" ref="I1539:I1602" si="242">IF(F1539="zagraniczny",MINUTE(E1539)*60+SECOND(E1539)+HOUR(E1539)*3600,0)</f>
        <v>0</v>
      </c>
      <c r="J1539">
        <f t="shared" ref="J1539:J1602" si="243">ROUNDUP(I1539/60,0)</f>
        <v>0</v>
      </c>
      <c r="K1539">
        <f t="shared" ref="K1539:K1602" si="244">G1539+H1539</f>
        <v>726697</v>
      </c>
      <c r="L1539">
        <f t="shared" ref="L1539:L1602" si="245">IF(K1539&lt;=48000,1,0)</f>
        <v>0</v>
      </c>
      <c r="M1539">
        <f t="shared" ref="M1539:M1602" si="246">IF(AND(L1539=0,F1539="stacjonarny"),SECOND(E1539)+60*MINUTE(E1539),0)</f>
        <v>0</v>
      </c>
      <c r="N1539">
        <f t="shared" ref="N1539:N1602" si="247">IF(AND(L1539=0,F1539="komorkowy"),SECOND(E1539)+60*MINUTE(E1539),0)</f>
        <v>919</v>
      </c>
    </row>
    <row r="1540" spans="1:14" x14ac:dyDescent="0.35">
      <c r="A1540" s="5">
        <v>1117628</v>
      </c>
      <c r="B1540" s="6">
        <v>42940</v>
      </c>
      <c r="C1540" s="7">
        <v>0.39614583333333331</v>
      </c>
      <c r="D1540" s="8">
        <v>0.39976851851851852</v>
      </c>
      <c r="E1540" s="20">
        <f t="shared" si="240"/>
        <v>3.6226851851852149E-3</v>
      </c>
      <c r="F1540" t="str">
        <f t="shared" si="241"/>
        <v>stacjonarny</v>
      </c>
      <c r="G1540" s="23">
        <f t="shared" ref="G1540:G1603" si="248">IF(F1540="stacjonarny",MINUTE(E1540)*60+SECOND(E1540)+G1539,G1539)</f>
        <v>547632</v>
      </c>
      <c r="H1540">
        <f t="shared" ref="H1540:H1603" si="249">IF(F1540="komorkowy",MINUTE(E1540)*60+SECOND(E1540)+H1539,H1539)</f>
        <v>179378</v>
      </c>
      <c r="I1540">
        <f t="shared" si="242"/>
        <v>0</v>
      </c>
      <c r="J1540">
        <f t="shared" si="243"/>
        <v>0</v>
      </c>
      <c r="K1540">
        <f t="shared" si="244"/>
        <v>727010</v>
      </c>
      <c r="L1540">
        <f t="shared" si="245"/>
        <v>0</v>
      </c>
      <c r="M1540">
        <f t="shared" si="246"/>
        <v>313</v>
      </c>
      <c r="N1540">
        <f t="shared" si="247"/>
        <v>0</v>
      </c>
    </row>
    <row r="1541" spans="1:14" x14ac:dyDescent="0.35">
      <c r="A1541" s="9">
        <v>3624713</v>
      </c>
      <c r="B1541" s="10">
        <v>42940</v>
      </c>
      <c r="C1541" s="11">
        <v>0.39864583333333331</v>
      </c>
      <c r="D1541" s="12">
        <v>0.40440972222222221</v>
      </c>
      <c r="E1541" s="20">
        <f t="shared" si="240"/>
        <v>5.7638888888889017E-3</v>
      </c>
      <c r="F1541" t="str">
        <f t="shared" si="241"/>
        <v>stacjonarny</v>
      </c>
      <c r="G1541" s="23">
        <f t="shared" si="248"/>
        <v>548130</v>
      </c>
      <c r="H1541">
        <f t="shared" si="249"/>
        <v>179378</v>
      </c>
      <c r="I1541">
        <f t="shared" si="242"/>
        <v>0</v>
      </c>
      <c r="J1541">
        <f t="shared" si="243"/>
        <v>0</v>
      </c>
      <c r="K1541">
        <f t="shared" si="244"/>
        <v>727508</v>
      </c>
      <c r="L1541">
        <f t="shared" si="245"/>
        <v>0</v>
      </c>
      <c r="M1541">
        <f t="shared" si="246"/>
        <v>498</v>
      </c>
      <c r="N1541">
        <f t="shared" si="247"/>
        <v>0</v>
      </c>
    </row>
    <row r="1542" spans="1:14" x14ac:dyDescent="0.35">
      <c r="A1542" s="5">
        <v>5616210</v>
      </c>
      <c r="B1542" s="6">
        <v>42940</v>
      </c>
      <c r="C1542" s="7">
        <v>0.39956018518518521</v>
      </c>
      <c r="D1542" s="8">
        <v>0.40803240740740743</v>
      </c>
      <c r="E1542" s="20">
        <f t="shared" si="240"/>
        <v>8.4722222222222143E-3</v>
      </c>
      <c r="F1542" t="str">
        <f t="shared" si="241"/>
        <v>stacjonarny</v>
      </c>
      <c r="G1542" s="23">
        <f t="shared" si="248"/>
        <v>548862</v>
      </c>
      <c r="H1542">
        <f t="shared" si="249"/>
        <v>179378</v>
      </c>
      <c r="I1542">
        <f t="shared" si="242"/>
        <v>0</v>
      </c>
      <c r="J1542">
        <f t="shared" si="243"/>
        <v>0</v>
      </c>
      <c r="K1542">
        <f t="shared" si="244"/>
        <v>728240</v>
      </c>
      <c r="L1542">
        <f t="shared" si="245"/>
        <v>0</v>
      </c>
      <c r="M1542">
        <f t="shared" si="246"/>
        <v>732</v>
      </c>
      <c r="N1542">
        <f t="shared" si="247"/>
        <v>0</v>
      </c>
    </row>
    <row r="1543" spans="1:14" x14ac:dyDescent="0.35">
      <c r="A1543" s="9">
        <v>6772052</v>
      </c>
      <c r="B1543" s="10">
        <v>42940</v>
      </c>
      <c r="C1543" s="11">
        <v>0.40263888888888888</v>
      </c>
      <c r="D1543" s="12">
        <v>0.40825231481481483</v>
      </c>
      <c r="E1543" s="20">
        <f t="shared" si="240"/>
        <v>5.6134259259259522E-3</v>
      </c>
      <c r="F1543" t="str">
        <f t="shared" si="241"/>
        <v>stacjonarny</v>
      </c>
      <c r="G1543" s="23">
        <f t="shared" si="248"/>
        <v>549347</v>
      </c>
      <c r="H1543">
        <f t="shared" si="249"/>
        <v>179378</v>
      </c>
      <c r="I1543">
        <f t="shared" si="242"/>
        <v>0</v>
      </c>
      <c r="J1543">
        <f t="shared" si="243"/>
        <v>0</v>
      </c>
      <c r="K1543">
        <f t="shared" si="244"/>
        <v>728725</v>
      </c>
      <c r="L1543">
        <f t="shared" si="245"/>
        <v>0</v>
      </c>
      <c r="M1543">
        <f t="shared" si="246"/>
        <v>485</v>
      </c>
      <c r="N1543">
        <f t="shared" si="247"/>
        <v>0</v>
      </c>
    </row>
    <row r="1544" spans="1:14" x14ac:dyDescent="0.35">
      <c r="A1544" s="5">
        <v>3305212</v>
      </c>
      <c r="B1544" s="6">
        <v>42940</v>
      </c>
      <c r="C1544" s="7">
        <v>0.40641203703703704</v>
      </c>
      <c r="D1544" s="8">
        <v>0.41187499999999999</v>
      </c>
      <c r="E1544" s="20">
        <f t="shared" si="240"/>
        <v>5.4629629629629473E-3</v>
      </c>
      <c r="F1544" t="str">
        <f t="shared" si="241"/>
        <v>stacjonarny</v>
      </c>
      <c r="G1544" s="23">
        <f t="shared" si="248"/>
        <v>549819</v>
      </c>
      <c r="H1544">
        <f t="shared" si="249"/>
        <v>179378</v>
      </c>
      <c r="I1544">
        <f t="shared" si="242"/>
        <v>0</v>
      </c>
      <c r="J1544">
        <f t="shared" si="243"/>
        <v>0</v>
      </c>
      <c r="K1544">
        <f t="shared" si="244"/>
        <v>729197</v>
      </c>
      <c r="L1544">
        <f t="shared" si="245"/>
        <v>0</v>
      </c>
      <c r="M1544">
        <f t="shared" si="246"/>
        <v>472</v>
      </c>
      <c r="N1544">
        <f t="shared" si="247"/>
        <v>0</v>
      </c>
    </row>
    <row r="1545" spans="1:14" x14ac:dyDescent="0.35">
      <c r="A1545" s="9">
        <v>72701808</v>
      </c>
      <c r="B1545" s="10">
        <v>42940</v>
      </c>
      <c r="C1545" s="11">
        <v>0.40930555555555553</v>
      </c>
      <c r="D1545" s="12">
        <v>0.41968749999999999</v>
      </c>
      <c r="E1545" s="20">
        <f t="shared" si="240"/>
        <v>1.0381944444444458E-2</v>
      </c>
      <c r="F1545" t="str">
        <f t="shared" si="241"/>
        <v>komorkowy</v>
      </c>
      <c r="G1545" s="23">
        <f t="shared" si="248"/>
        <v>549819</v>
      </c>
      <c r="H1545">
        <f t="shared" si="249"/>
        <v>180275</v>
      </c>
      <c r="I1545">
        <f t="shared" si="242"/>
        <v>0</v>
      </c>
      <c r="J1545">
        <f t="shared" si="243"/>
        <v>0</v>
      </c>
      <c r="K1545">
        <f t="shared" si="244"/>
        <v>730094</v>
      </c>
      <c r="L1545">
        <f t="shared" si="245"/>
        <v>0</v>
      </c>
      <c r="M1545">
        <f t="shared" si="246"/>
        <v>0</v>
      </c>
      <c r="N1545">
        <f t="shared" si="247"/>
        <v>897</v>
      </c>
    </row>
    <row r="1546" spans="1:14" x14ac:dyDescent="0.35">
      <c r="A1546" s="5">
        <v>4285095</v>
      </c>
      <c r="B1546" s="6">
        <v>42940</v>
      </c>
      <c r="C1546" s="7">
        <v>0.41351851851851851</v>
      </c>
      <c r="D1546" s="8">
        <v>0.41790509259259262</v>
      </c>
      <c r="E1546" s="20">
        <f t="shared" si="240"/>
        <v>4.3865740740741122E-3</v>
      </c>
      <c r="F1546" t="str">
        <f t="shared" si="241"/>
        <v>stacjonarny</v>
      </c>
      <c r="G1546" s="23">
        <f t="shared" si="248"/>
        <v>550198</v>
      </c>
      <c r="H1546">
        <f t="shared" si="249"/>
        <v>180275</v>
      </c>
      <c r="I1546">
        <f t="shared" si="242"/>
        <v>0</v>
      </c>
      <c r="J1546">
        <f t="shared" si="243"/>
        <v>0</v>
      </c>
      <c r="K1546">
        <f t="shared" si="244"/>
        <v>730473</v>
      </c>
      <c r="L1546">
        <f t="shared" si="245"/>
        <v>0</v>
      </c>
      <c r="M1546">
        <f t="shared" si="246"/>
        <v>379</v>
      </c>
      <c r="N1546">
        <f t="shared" si="247"/>
        <v>0</v>
      </c>
    </row>
    <row r="1547" spans="1:14" x14ac:dyDescent="0.35">
      <c r="A1547" s="9">
        <v>2585298</v>
      </c>
      <c r="B1547" s="10">
        <v>42940</v>
      </c>
      <c r="C1547" s="11">
        <v>0.41853009259259261</v>
      </c>
      <c r="D1547" s="12">
        <v>0.42252314814814818</v>
      </c>
      <c r="E1547" s="20">
        <f t="shared" si="240"/>
        <v>3.9930555555555691E-3</v>
      </c>
      <c r="F1547" t="str">
        <f t="shared" si="241"/>
        <v>stacjonarny</v>
      </c>
      <c r="G1547" s="23">
        <f t="shared" si="248"/>
        <v>550543</v>
      </c>
      <c r="H1547">
        <f t="shared" si="249"/>
        <v>180275</v>
      </c>
      <c r="I1547">
        <f t="shared" si="242"/>
        <v>0</v>
      </c>
      <c r="J1547">
        <f t="shared" si="243"/>
        <v>0</v>
      </c>
      <c r="K1547">
        <f t="shared" si="244"/>
        <v>730818</v>
      </c>
      <c r="L1547">
        <f t="shared" si="245"/>
        <v>0</v>
      </c>
      <c r="M1547">
        <f t="shared" si="246"/>
        <v>345</v>
      </c>
      <c r="N1547">
        <f t="shared" si="247"/>
        <v>0</v>
      </c>
    </row>
    <row r="1548" spans="1:14" x14ac:dyDescent="0.35">
      <c r="A1548" s="5">
        <v>2947035</v>
      </c>
      <c r="B1548" s="6">
        <v>42940</v>
      </c>
      <c r="C1548" s="7">
        <v>0.42241898148148149</v>
      </c>
      <c r="D1548" s="8">
        <v>0.42863425925925924</v>
      </c>
      <c r="E1548" s="20">
        <f t="shared" si="240"/>
        <v>6.2152777777777501E-3</v>
      </c>
      <c r="F1548" t="str">
        <f t="shared" si="241"/>
        <v>stacjonarny</v>
      </c>
      <c r="G1548" s="23">
        <f t="shared" si="248"/>
        <v>551080</v>
      </c>
      <c r="H1548">
        <f t="shared" si="249"/>
        <v>180275</v>
      </c>
      <c r="I1548">
        <f t="shared" si="242"/>
        <v>0</v>
      </c>
      <c r="J1548">
        <f t="shared" si="243"/>
        <v>0</v>
      </c>
      <c r="K1548">
        <f t="shared" si="244"/>
        <v>731355</v>
      </c>
      <c r="L1548">
        <f t="shared" si="245"/>
        <v>0</v>
      </c>
      <c r="M1548">
        <f t="shared" si="246"/>
        <v>537</v>
      </c>
      <c r="N1548">
        <f t="shared" si="247"/>
        <v>0</v>
      </c>
    </row>
    <row r="1549" spans="1:14" x14ac:dyDescent="0.35">
      <c r="A1549" s="9">
        <v>6615729</v>
      </c>
      <c r="B1549" s="10">
        <v>42940</v>
      </c>
      <c r="C1549" s="11">
        <v>0.42561342592592594</v>
      </c>
      <c r="D1549" s="12">
        <v>0.42799768518518516</v>
      </c>
      <c r="E1549" s="20">
        <f t="shared" si="240"/>
        <v>2.3842592592592249E-3</v>
      </c>
      <c r="F1549" t="str">
        <f t="shared" si="241"/>
        <v>stacjonarny</v>
      </c>
      <c r="G1549" s="23">
        <f t="shared" si="248"/>
        <v>551286</v>
      </c>
      <c r="H1549">
        <f t="shared" si="249"/>
        <v>180275</v>
      </c>
      <c r="I1549">
        <f t="shared" si="242"/>
        <v>0</v>
      </c>
      <c r="J1549">
        <f t="shared" si="243"/>
        <v>0</v>
      </c>
      <c r="K1549">
        <f t="shared" si="244"/>
        <v>731561</v>
      </c>
      <c r="L1549">
        <f t="shared" si="245"/>
        <v>0</v>
      </c>
      <c r="M1549">
        <f t="shared" si="246"/>
        <v>206</v>
      </c>
      <c r="N1549">
        <f t="shared" si="247"/>
        <v>0</v>
      </c>
    </row>
    <row r="1550" spans="1:14" x14ac:dyDescent="0.35">
      <c r="A1550" s="5">
        <v>2135609</v>
      </c>
      <c r="B1550" s="6">
        <v>42940</v>
      </c>
      <c r="C1550" s="7">
        <v>0.42563657407407407</v>
      </c>
      <c r="D1550" s="8">
        <v>0.42670138888888887</v>
      </c>
      <c r="E1550" s="20">
        <f t="shared" si="240"/>
        <v>1.0648148148147962E-3</v>
      </c>
      <c r="F1550" t="str">
        <f t="shared" si="241"/>
        <v>stacjonarny</v>
      </c>
      <c r="G1550" s="23">
        <f t="shared" si="248"/>
        <v>551378</v>
      </c>
      <c r="H1550">
        <f t="shared" si="249"/>
        <v>180275</v>
      </c>
      <c r="I1550">
        <f t="shared" si="242"/>
        <v>0</v>
      </c>
      <c r="J1550">
        <f t="shared" si="243"/>
        <v>0</v>
      </c>
      <c r="K1550">
        <f t="shared" si="244"/>
        <v>731653</v>
      </c>
      <c r="L1550">
        <f t="shared" si="245"/>
        <v>0</v>
      </c>
      <c r="M1550">
        <f t="shared" si="246"/>
        <v>92</v>
      </c>
      <c r="N1550">
        <f t="shared" si="247"/>
        <v>0</v>
      </c>
    </row>
    <row r="1551" spans="1:14" x14ac:dyDescent="0.35">
      <c r="A1551" s="9">
        <v>2697566</v>
      </c>
      <c r="B1551" s="10">
        <v>42940</v>
      </c>
      <c r="C1551" s="11">
        <v>0.42951388888888886</v>
      </c>
      <c r="D1551" s="12">
        <v>0.44059027777777776</v>
      </c>
      <c r="E1551" s="20">
        <f t="shared" si="240"/>
        <v>1.1076388888888899E-2</v>
      </c>
      <c r="F1551" t="str">
        <f t="shared" si="241"/>
        <v>stacjonarny</v>
      </c>
      <c r="G1551" s="23">
        <f t="shared" si="248"/>
        <v>552335</v>
      </c>
      <c r="H1551">
        <f t="shared" si="249"/>
        <v>180275</v>
      </c>
      <c r="I1551">
        <f t="shared" si="242"/>
        <v>0</v>
      </c>
      <c r="J1551">
        <f t="shared" si="243"/>
        <v>0</v>
      </c>
      <c r="K1551">
        <f t="shared" si="244"/>
        <v>732610</v>
      </c>
      <c r="L1551">
        <f t="shared" si="245"/>
        <v>0</v>
      </c>
      <c r="M1551">
        <f t="shared" si="246"/>
        <v>957</v>
      </c>
      <c r="N1551">
        <f t="shared" si="247"/>
        <v>0</v>
      </c>
    </row>
    <row r="1552" spans="1:14" x14ac:dyDescent="0.35">
      <c r="A1552" s="5">
        <v>2569721</v>
      </c>
      <c r="B1552" s="6">
        <v>42940</v>
      </c>
      <c r="C1552" s="7">
        <v>0.43133101851851852</v>
      </c>
      <c r="D1552" s="8">
        <v>0.43762731481481482</v>
      </c>
      <c r="E1552" s="20">
        <f t="shared" si="240"/>
        <v>6.2962962962962998E-3</v>
      </c>
      <c r="F1552" t="str">
        <f t="shared" si="241"/>
        <v>stacjonarny</v>
      </c>
      <c r="G1552" s="23">
        <f t="shared" si="248"/>
        <v>552879</v>
      </c>
      <c r="H1552">
        <f t="shared" si="249"/>
        <v>180275</v>
      </c>
      <c r="I1552">
        <f t="shared" si="242"/>
        <v>0</v>
      </c>
      <c r="J1552">
        <f t="shared" si="243"/>
        <v>0</v>
      </c>
      <c r="K1552">
        <f t="shared" si="244"/>
        <v>733154</v>
      </c>
      <c r="L1552">
        <f t="shared" si="245"/>
        <v>0</v>
      </c>
      <c r="M1552">
        <f t="shared" si="246"/>
        <v>544</v>
      </c>
      <c r="N1552">
        <f t="shared" si="247"/>
        <v>0</v>
      </c>
    </row>
    <row r="1553" spans="1:14" x14ac:dyDescent="0.35">
      <c r="A1553" s="9">
        <v>96375379</v>
      </c>
      <c r="B1553" s="10">
        <v>42940</v>
      </c>
      <c r="C1553" s="11">
        <v>0.43637731481481479</v>
      </c>
      <c r="D1553" s="12">
        <v>0.44526620370370368</v>
      </c>
      <c r="E1553" s="20">
        <f t="shared" si="240"/>
        <v>8.8888888888888906E-3</v>
      </c>
      <c r="F1553" t="str">
        <f t="shared" si="241"/>
        <v>komorkowy</v>
      </c>
      <c r="G1553" s="23">
        <f t="shared" si="248"/>
        <v>552879</v>
      </c>
      <c r="H1553">
        <f t="shared" si="249"/>
        <v>181043</v>
      </c>
      <c r="I1553">
        <f t="shared" si="242"/>
        <v>0</v>
      </c>
      <c r="J1553">
        <f t="shared" si="243"/>
        <v>0</v>
      </c>
      <c r="K1553">
        <f t="shared" si="244"/>
        <v>733922</v>
      </c>
      <c r="L1553">
        <f t="shared" si="245"/>
        <v>0</v>
      </c>
      <c r="M1553">
        <f t="shared" si="246"/>
        <v>0</v>
      </c>
      <c r="N1553">
        <f t="shared" si="247"/>
        <v>768</v>
      </c>
    </row>
    <row r="1554" spans="1:14" x14ac:dyDescent="0.35">
      <c r="A1554" s="5">
        <v>3968528766</v>
      </c>
      <c r="B1554" s="6">
        <v>42940</v>
      </c>
      <c r="C1554" s="7">
        <v>0.44081018518518517</v>
      </c>
      <c r="D1554" s="8">
        <v>0.44767361111111109</v>
      </c>
      <c r="E1554" s="20">
        <f t="shared" si="240"/>
        <v>6.8634259259259256E-3</v>
      </c>
      <c r="F1554" t="str">
        <f t="shared" si="241"/>
        <v>zagraniczny</v>
      </c>
      <c r="G1554" s="23">
        <f t="shared" si="248"/>
        <v>552879</v>
      </c>
      <c r="H1554">
        <f t="shared" si="249"/>
        <v>181043</v>
      </c>
      <c r="I1554">
        <f t="shared" si="242"/>
        <v>593</v>
      </c>
      <c r="J1554">
        <f t="shared" si="243"/>
        <v>10</v>
      </c>
      <c r="K1554">
        <f t="shared" si="244"/>
        <v>733922</v>
      </c>
      <c r="L1554">
        <f t="shared" si="245"/>
        <v>0</v>
      </c>
      <c r="M1554">
        <f t="shared" si="246"/>
        <v>0</v>
      </c>
      <c r="N1554">
        <f t="shared" si="247"/>
        <v>0</v>
      </c>
    </row>
    <row r="1555" spans="1:14" x14ac:dyDescent="0.35">
      <c r="A1555" s="9">
        <v>8133585</v>
      </c>
      <c r="B1555" s="10">
        <v>42940</v>
      </c>
      <c r="C1555" s="11">
        <v>0.44185185185185183</v>
      </c>
      <c r="D1555" s="12">
        <v>0.44634259259259257</v>
      </c>
      <c r="E1555" s="20">
        <f t="shared" si="240"/>
        <v>4.4907407407407396E-3</v>
      </c>
      <c r="F1555" t="str">
        <f t="shared" si="241"/>
        <v>stacjonarny</v>
      </c>
      <c r="G1555" s="23">
        <f t="shared" si="248"/>
        <v>553267</v>
      </c>
      <c r="H1555">
        <f t="shared" si="249"/>
        <v>181043</v>
      </c>
      <c r="I1555">
        <f t="shared" si="242"/>
        <v>0</v>
      </c>
      <c r="J1555">
        <f t="shared" si="243"/>
        <v>0</v>
      </c>
      <c r="K1555">
        <f t="shared" si="244"/>
        <v>734310</v>
      </c>
      <c r="L1555">
        <f t="shared" si="245"/>
        <v>0</v>
      </c>
      <c r="M1555">
        <f t="shared" si="246"/>
        <v>388</v>
      </c>
      <c r="N1555">
        <f t="shared" si="247"/>
        <v>0</v>
      </c>
    </row>
    <row r="1556" spans="1:14" x14ac:dyDescent="0.35">
      <c r="A1556" s="5">
        <v>45232967</v>
      </c>
      <c r="B1556" s="6">
        <v>42940</v>
      </c>
      <c r="C1556" s="7">
        <v>0.4462962962962963</v>
      </c>
      <c r="D1556" s="8">
        <v>0.44753472222222224</v>
      </c>
      <c r="E1556" s="20">
        <f t="shared" si="240"/>
        <v>1.2384259259259345E-3</v>
      </c>
      <c r="F1556" t="str">
        <f t="shared" si="241"/>
        <v>komorkowy</v>
      </c>
      <c r="G1556" s="23">
        <f t="shared" si="248"/>
        <v>553267</v>
      </c>
      <c r="H1556">
        <f t="shared" si="249"/>
        <v>181150</v>
      </c>
      <c r="I1556">
        <f t="shared" si="242"/>
        <v>0</v>
      </c>
      <c r="J1556">
        <f t="shared" si="243"/>
        <v>0</v>
      </c>
      <c r="K1556">
        <f t="shared" si="244"/>
        <v>734417</v>
      </c>
      <c r="L1556">
        <f t="shared" si="245"/>
        <v>0</v>
      </c>
      <c r="M1556">
        <f t="shared" si="246"/>
        <v>0</v>
      </c>
      <c r="N1556">
        <f t="shared" si="247"/>
        <v>107</v>
      </c>
    </row>
    <row r="1557" spans="1:14" x14ac:dyDescent="0.35">
      <c r="A1557" s="9">
        <v>8900603</v>
      </c>
      <c r="B1557" s="10">
        <v>42940</v>
      </c>
      <c r="C1557" s="11">
        <v>0.44680555555555557</v>
      </c>
      <c r="D1557" s="12">
        <v>0.45518518518518519</v>
      </c>
      <c r="E1557" s="20">
        <f t="shared" si="240"/>
        <v>8.3796296296296258E-3</v>
      </c>
      <c r="F1557" t="str">
        <f t="shared" si="241"/>
        <v>stacjonarny</v>
      </c>
      <c r="G1557" s="23">
        <f t="shared" si="248"/>
        <v>553991</v>
      </c>
      <c r="H1557">
        <f t="shared" si="249"/>
        <v>181150</v>
      </c>
      <c r="I1557">
        <f t="shared" si="242"/>
        <v>0</v>
      </c>
      <c r="J1557">
        <f t="shared" si="243"/>
        <v>0</v>
      </c>
      <c r="K1557">
        <f t="shared" si="244"/>
        <v>735141</v>
      </c>
      <c r="L1557">
        <f t="shared" si="245"/>
        <v>0</v>
      </c>
      <c r="M1557">
        <f t="shared" si="246"/>
        <v>724</v>
      </c>
      <c r="N1557">
        <f t="shared" si="247"/>
        <v>0</v>
      </c>
    </row>
    <row r="1558" spans="1:14" x14ac:dyDescent="0.35">
      <c r="A1558" s="5">
        <v>9413315</v>
      </c>
      <c r="B1558" s="6">
        <v>42940</v>
      </c>
      <c r="C1558" s="7">
        <v>0.4490277777777778</v>
      </c>
      <c r="D1558" s="8">
        <v>0.45984953703703701</v>
      </c>
      <c r="E1558" s="20">
        <f t="shared" si="240"/>
        <v>1.0821759259259212E-2</v>
      </c>
      <c r="F1558" t="str">
        <f t="shared" si="241"/>
        <v>stacjonarny</v>
      </c>
      <c r="G1558" s="23">
        <f t="shared" si="248"/>
        <v>554926</v>
      </c>
      <c r="H1558">
        <f t="shared" si="249"/>
        <v>181150</v>
      </c>
      <c r="I1558">
        <f t="shared" si="242"/>
        <v>0</v>
      </c>
      <c r="J1558">
        <f t="shared" si="243"/>
        <v>0</v>
      </c>
      <c r="K1558">
        <f t="shared" si="244"/>
        <v>736076</v>
      </c>
      <c r="L1558">
        <f t="shared" si="245"/>
        <v>0</v>
      </c>
      <c r="M1558">
        <f t="shared" si="246"/>
        <v>935</v>
      </c>
      <c r="N1558">
        <f t="shared" si="247"/>
        <v>0</v>
      </c>
    </row>
    <row r="1559" spans="1:14" x14ac:dyDescent="0.35">
      <c r="A1559" s="9">
        <v>9781981</v>
      </c>
      <c r="B1559" s="10">
        <v>42940</v>
      </c>
      <c r="C1559" s="11">
        <v>0.45392361111111112</v>
      </c>
      <c r="D1559" s="12">
        <v>0.4582060185185185</v>
      </c>
      <c r="E1559" s="20">
        <f t="shared" si="240"/>
        <v>4.2824074074073737E-3</v>
      </c>
      <c r="F1559" t="str">
        <f t="shared" si="241"/>
        <v>stacjonarny</v>
      </c>
      <c r="G1559" s="23">
        <f t="shared" si="248"/>
        <v>555296</v>
      </c>
      <c r="H1559">
        <f t="shared" si="249"/>
        <v>181150</v>
      </c>
      <c r="I1559">
        <f t="shared" si="242"/>
        <v>0</v>
      </c>
      <c r="J1559">
        <f t="shared" si="243"/>
        <v>0</v>
      </c>
      <c r="K1559">
        <f t="shared" si="244"/>
        <v>736446</v>
      </c>
      <c r="L1559">
        <f t="shared" si="245"/>
        <v>0</v>
      </c>
      <c r="M1559">
        <f t="shared" si="246"/>
        <v>370</v>
      </c>
      <c r="N1559">
        <f t="shared" si="247"/>
        <v>0</v>
      </c>
    </row>
    <row r="1560" spans="1:14" x14ac:dyDescent="0.35">
      <c r="A1560" s="5">
        <v>9527543</v>
      </c>
      <c r="B1560" s="6">
        <v>42940</v>
      </c>
      <c r="C1560" s="7">
        <v>0.45481481481481484</v>
      </c>
      <c r="D1560" s="8">
        <v>0.45863425925925927</v>
      </c>
      <c r="E1560" s="20">
        <f t="shared" si="240"/>
        <v>3.8194444444444309E-3</v>
      </c>
      <c r="F1560" t="str">
        <f t="shared" si="241"/>
        <v>stacjonarny</v>
      </c>
      <c r="G1560" s="23">
        <f t="shared" si="248"/>
        <v>555626</v>
      </c>
      <c r="H1560">
        <f t="shared" si="249"/>
        <v>181150</v>
      </c>
      <c r="I1560">
        <f t="shared" si="242"/>
        <v>0</v>
      </c>
      <c r="J1560">
        <f t="shared" si="243"/>
        <v>0</v>
      </c>
      <c r="K1560">
        <f t="shared" si="244"/>
        <v>736776</v>
      </c>
      <c r="L1560">
        <f t="shared" si="245"/>
        <v>0</v>
      </c>
      <c r="M1560">
        <f t="shared" si="246"/>
        <v>330</v>
      </c>
      <c r="N1560">
        <f t="shared" si="247"/>
        <v>0</v>
      </c>
    </row>
    <row r="1561" spans="1:14" x14ac:dyDescent="0.35">
      <c r="A1561" s="9">
        <v>91626903</v>
      </c>
      <c r="B1561" s="10">
        <v>42940</v>
      </c>
      <c r="C1561" s="11">
        <v>0.45930555555555558</v>
      </c>
      <c r="D1561" s="12">
        <v>0.46885416666666668</v>
      </c>
      <c r="E1561" s="20">
        <f t="shared" si="240"/>
        <v>9.5486111111111049E-3</v>
      </c>
      <c r="F1561" t="str">
        <f t="shared" si="241"/>
        <v>komorkowy</v>
      </c>
      <c r="G1561" s="23">
        <f t="shared" si="248"/>
        <v>555626</v>
      </c>
      <c r="H1561">
        <f t="shared" si="249"/>
        <v>181975</v>
      </c>
      <c r="I1561">
        <f t="shared" si="242"/>
        <v>0</v>
      </c>
      <c r="J1561">
        <f t="shared" si="243"/>
        <v>0</v>
      </c>
      <c r="K1561">
        <f t="shared" si="244"/>
        <v>737601</v>
      </c>
      <c r="L1561">
        <f t="shared" si="245"/>
        <v>0</v>
      </c>
      <c r="M1561">
        <f t="shared" si="246"/>
        <v>0</v>
      </c>
      <c r="N1561">
        <f t="shared" si="247"/>
        <v>825</v>
      </c>
    </row>
    <row r="1562" spans="1:14" x14ac:dyDescent="0.35">
      <c r="A1562" s="5">
        <v>1475008</v>
      </c>
      <c r="B1562" s="6">
        <v>42940</v>
      </c>
      <c r="C1562" s="7">
        <v>0.46489583333333334</v>
      </c>
      <c r="D1562" s="8">
        <v>0.47530092592592593</v>
      </c>
      <c r="E1562" s="20">
        <f t="shared" si="240"/>
        <v>1.0405092592592591E-2</v>
      </c>
      <c r="F1562" t="str">
        <f t="shared" si="241"/>
        <v>stacjonarny</v>
      </c>
      <c r="G1562" s="23">
        <f t="shared" si="248"/>
        <v>556525</v>
      </c>
      <c r="H1562">
        <f t="shared" si="249"/>
        <v>181975</v>
      </c>
      <c r="I1562">
        <f t="shared" si="242"/>
        <v>0</v>
      </c>
      <c r="J1562">
        <f t="shared" si="243"/>
        <v>0</v>
      </c>
      <c r="K1562">
        <f t="shared" si="244"/>
        <v>738500</v>
      </c>
      <c r="L1562">
        <f t="shared" si="245"/>
        <v>0</v>
      </c>
      <c r="M1562">
        <f t="shared" si="246"/>
        <v>899</v>
      </c>
      <c r="N1562">
        <f t="shared" si="247"/>
        <v>0</v>
      </c>
    </row>
    <row r="1563" spans="1:14" x14ac:dyDescent="0.35">
      <c r="A1563" s="9">
        <v>4767842</v>
      </c>
      <c r="B1563" s="10">
        <v>42940</v>
      </c>
      <c r="C1563" s="11">
        <v>0.46971064814814817</v>
      </c>
      <c r="D1563" s="12">
        <v>0.47116898148148151</v>
      </c>
      <c r="E1563" s="20">
        <f t="shared" si="240"/>
        <v>1.4583333333333393E-3</v>
      </c>
      <c r="F1563" t="str">
        <f t="shared" si="241"/>
        <v>stacjonarny</v>
      </c>
      <c r="G1563" s="23">
        <f t="shared" si="248"/>
        <v>556651</v>
      </c>
      <c r="H1563">
        <f t="shared" si="249"/>
        <v>181975</v>
      </c>
      <c r="I1563">
        <f t="shared" si="242"/>
        <v>0</v>
      </c>
      <c r="J1563">
        <f t="shared" si="243"/>
        <v>0</v>
      </c>
      <c r="K1563">
        <f t="shared" si="244"/>
        <v>738626</v>
      </c>
      <c r="L1563">
        <f t="shared" si="245"/>
        <v>0</v>
      </c>
      <c r="M1563">
        <f t="shared" si="246"/>
        <v>126</v>
      </c>
      <c r="N1563">
        <f t="shared" si="247"/>
        <v>0</v>
      </c>
    </row>
    <row r="1564" spans="1:14" x14ac:dyDescent="0.35">
      <c r="A1564" s="5">
        <v>64586869</v>
      </c>
      <c r="B1564" s="6">
        <v>42940</v>
      </c>
      <c r="C1564" s="7">
        <v>0.47188657407407408</v>
      </c>
      <c r="D1564" s="8">
        <v>0.47260416666666666</v>
      </c>
      <c r="E1564" s="20">
        <f t="shared" si="240"/>
        <v>7.1759259259257524E-4</v>
      </c>
      <c r="F1564" t="str">
        <f t="shared" si="241"/>
        <v>komorkowy</v>
      </c>
      <c r="G1564" s="23">
        <f t="shared" si="248"/>
        <v>556651</v>
      </c>
      <c r="H1564">
        <f t="shared" si="249"/>
        <v>182037</v>
      </c>
      <c r="I1564">
        <f t="shared" si="242"/>
        <v>0</v>
      </c>
      <c r="J1564">
        <f t="shared" si="243"/>
        <v>0</v>
      </c>
      <c r="K1564">
        <f t="shared" si="244"/>
        <v>738688</v>
      </c>
      <c r="L1564">
        <f t="shared" si="245"/>
        <v>0</v>
      </c>
      <c r="M1564">
        <f t="shared" si="246"/>
        <v>0</v>
      </c>
      <c r="N1564">
        <f t="shared" si="247"/>
        <v>62</v>
      </c>
    </row>
    <row r="1565" spans="1:14" x14ac:dyDescent="0.35">
      <c r="A1565" s="9">
        <v>7066389</v>
      </c>
      <c r="B1565" s="10">
        <v>42940</v>
      </c>
      <c r="C1565" s="11">
        <v>0.47590277777777779</v>
      </c>
      <c r="D1565" s="12">
        <v>0.47621527777777778</v>
      </c>
      <c r="E1565" s="20">
        <f t="shared" si="240"/>
        <v>3.1249999999999334E-4</v>
      </c>
      <c r="F1565" t="str">
        <f t="shared" si="241"/>
        <v>stacjonarny</v>
      </c>
      <c r="G1565" s="23">
        <f t="shared" si="248"/>
        <v>556678</v>
      </c>
      <c r="H1565">
        <f t="shared" si="249"/>
        <v>182037</v>
      </c>
      <c r="I1565">
        <f t="shared" si="242"/>
        <v>0</v>
      </c>
      <c r="J1565">
        <f t="shared" si="243"/>
        <v>0</v>
      </c>
      <c r="K1565">
        <f t="shared" si="244"/>
        <v>738715</v>
      </c>
      <c r="L1565">
        <f t="shared" si="245"/>
        <v>0</v>
      </c>
      <c r="M1565">
        <f t="shared" si="246"/>
        <v>27</v>
      </c>
      <c r="N1565">
        <f t="shared" si="247"/>
        <v>0</v>
      </c>
    </row>
    <row r="1566" spans="1:14" x14ac:dyDescent="0.35">
      <c r="A1566" s="5">
        <v>28791070</v>
      </c>
      <c r="B1566" s="6">
        <v>42940</v>
      </c>
      <c r="C1566" s="7">
        <v>0.48082175925925924</v>
      </c>
      <c r="D1566" s="8">
        <v>0.49135416666666665</v>
      </c>
      <c r="E1566" s="20">
        <f t="shared" si="240"/>
        <v>1.0532407407407407E-2</v>
      </c>
      <c r="F1566" t="str">
        <f t="shared" si="241"/>
        <v>komorkowy</v>
      </c>
      <c r="G1566" s="23">
        <f t="shared" si="248"/>
        <v>556678</v>
      </c>
      <c r="H1566">
        <f t="shared" si="249"/>
        <v>182947</v>
      </c>
      <c r="I1566">
        <f t="shared" si="242"/>
        <v>0</v>
      </c>
      <c r="J1566">
        <f t="shared" si="243"/>
        <v>0</v>
      </c>
      <c r="K1566">
        <f t="shared" si="244"/>
        <v>739625</v>
      </c>
      <c r="L1566">
        <f t="shared" si="245"/>
        <v>0</v>
      </c>
      <c r="M1566">
        <f t="shared" si="246"/>
        <v>0</v>
      </c>
      <c r="N1566">
        <f t="shared" si="247"/>
        <v>910</v>
      </c>
    </row>
    <row r="1567" spans="1:14" x14ac:dyDescent="0.35">
      <c r="A1567" s="9">
        <v>5094248</v>
      </c>
      <c r="B1567" s="10">
        <v>42940</v>
      </c>
      <c r="C1567" s="11">
        <v>0.48358796296296297</v>
      </c>
      <c r="D1567" s="12">
        <v>0.48965277777777777</v>
      </c>
      <c r="E1567" s="20">
        <f t="shared" si="240"/>
        <v>6.0648148148148007E-3</v>
      </c>
      <c r="F1567" t="str">
        <f t="shared" si="241"/>
        <v>stacjonarny</v>
      </c>
      <c r="G1567" s="23">
        <f t="shared" si="248"/>
        <v>557202</v>
      </c>
      <c r="H1567">
        <f t="shared" si="249"/>
        <v>182947</v>
      </c>
      <c r="I1567">
        <f t="shared" si="242"/>
        <v>0</v>
      </c>
      <c r="J1567">
        <f t="shared" si="243"/>
        <v>0</v>
      </c>
      <c r="K1567">
        <f t="shared" si="244"/>
        <v>740149</v>
      </c>
      <c r="L1567">
        <f t="shared" si="245"/>
        <v>0</v>
      </c>
      <c r="M1567">
        <f t="shared" si="246"/>
        <v>524</v>
      </c>
      <c r="N1567">
        <f t="shared" si="247"/>
        <v>0</v>
      </c>
    </row>
    <row r="1568" spans="1:14" x14ac:dyDescent="0.35">
      <c r="A1568" s="5">
        <v>44882393</v>
      </c>
      <c r="B1568" s="6">
        <v>42940</v>
      </c>
      <c r="C1568" s="7">
        <v>0.4866550925925926</v>
      </c>
      <c r="D1568" s="8">
        <v>0.49528935185185186</v>
      </c>
      <c r="E1568" s="20">
        <f t="shared" si="240"/>
        <v>8.6342592592592582E-3</v>
      </c>
      <c r="F1568" t="str">
        <f t="shared" si="241"/>
        <v>komorkowy</v>
      </c>
      <c r="G1568" s="23">
        <f t="shared" si="248"/>
        <v>557202</v>
      </c>
      <c r="H1568">
        <f t="shared" si="249"/>
        <v>183693</v>
      </c>
      <c r="I1568">
        <f t="shared" si="242"/>
        <v>0</v>
      </c>
      <c r="J1568">
        <f t="shared" si="243"/>
        <v>0</v>
      </c>
      <c r="K1568">
        <f t="shared" si="244"/>
        <v>740895</v>
      </c>
      <c r="L1568">
        <f t="shared" si="245"/>
        <v>0</v>
      </c>
      <c r="M1568">
        <f t="shared" si="246"/>
        <v>0</v>
      </c>
      <c r="N1568">
        <f t="shared" si="247"/>
        <v>746</v>
      </c>
    </row>
    <row r="1569" spans="1:14" x14ac:dyDescent="0.35">
      <c r="A1569" s="9">
        <v>29391132</v>
      </c>
      <c r="B1569" s="10">
        <v>42940</v>
      </c>
      <c r="C1569" s="11">
        <v>0.48770833333333335</v>
      </c>
      <c r="D1569" s="12">
        <v>0.49613425925925925</v>
      </c>
      <c r="E1569" s="20">
        <f t="shared" si="240"/>
        <v>8.4259259259258923E-3</v>
      </c>
      <c r="F1569" t="str">
        <f t="shared" si="241"/>
        <v>komorkowy</v>
      </c>
      <c r="G1569" s="23">
        <f t="shared" si="248"/>
        <v>557202</v>
      </c>
      <c r="H1569">
        <f t="shared" si="249"/>
        <v>184421</v>
      </c>
      <c r="I1569">
        <f t="shared" si="242"/>
        <v>0</v>
      </c>
      <c r="J1569">
        <f t="shared" si="243"/>
        <v>0</v>
      </c>
      <c r="K1569">
        <f t="shared" si="244"/>
        <v>741623</v>
      </c>
      <c r="L1569">
        <f t="shared" si="245"/>
        <v>0</v>
      </c>
      <c r="M1569">
        <f t="shared" si="246"/>
        <v>0</v>
      </c>
      <c r="N1569">
        <f t="shared" si="247"/>
        <v>728</v>
      </c>
    </row>
    <row r="1570" spans="1:14" x14ac:dyDescent="0.35">
      <c r="A1570" s="5">
        <v>9892639</v>
      </c>
      <c r="B1570" s="6">
        <v>42940</v>
      </c>
      <c r="C1570" s="7">
        <v>0.48836805555555557</v>
      </c>
      <c r="D1570" s="8">
        <v>0.48893518518518519</v>
      </c>
      <c r="E1570" s="20">
        <f t="shared" si="240"/>
        <v>5.6712962962962576E-4</v>
      </c>
      <c r="F1570" t="str">
        <f t="shared" si="241"/>
        <v>stacjonarny</v>
      </c>
      <c r="G1570" s="23">
        <f t="shared" si="248"/>
        <v>557251</v>
      </c>
      <c r="H1570">
        <f t="shared" si="249"/>
        <v>184421</v>
      </c>
      <c r="I1570">
        <f t="shared" si="242"/>
        <v>0</v>
      </c>
      <c r="J1570">
        <f t="shared" si="243"/>
        <v>0</v>
      </c>
      <c r="K1570">
        <f t="shared" si="244"/>
        <v>741672</v>
      </c>
      <c r="L1570">
        <f t="shared" si="245"/>
        <v>0</v>
      </c>
      <c r="M1570">
        <f t="shared" si="246"/>
        <v>49</v>
      </c>
      <c r="N1570">
        <f t="shared" si="247"/>
        <v>0</v>
      </c>
    </row>
    <row r="1571" spans="1:14" x14ac:dyDescent="0.35">
      <c r="A1571" s="9">
        <v>3979295</v>
      </c>
      <c r="B1571" s="10">
        <v>42940</v>
      </c>
      <c r="C1571" s="11">
        <v>0.49062499999999998</v>
      </c>
      <c r="D1571" s="12">
        <v>0.49767361111111114</v>
      </c>
      <c r="E1571" s="20">
        <f t="shared" si="240"/>
        <v>7.0486111111111582E-3</v>
      </c>
      <c r="F1571" t="str">
        <f t="shared" si="241"/>
        <v>stacjonarny</v>
      </c>
      <c r="G1571" s="23">
        <f t="shared" si="248"/>
        <v>557860</v>
      </c>
      <c r="H1571">
        <f t="shared" si="249"/>
        <v>184421</v>
      </c>
      <c r="I1571">
        <f t="shared" si="242"/>
        <v>0</v>
      </c>
      <c r="J1571">
        <f t="shared" si="243"/>
        <v>0</v>
      </c>
      <c r="K1571">
        <f t="shared" si="244"/>
        <v>742281</v>
      </c>
      <c r="L1571">
        <f t="shared" si="245"/>
        <v>0</v>
      </c>
      <c r="M1571">
        <f t="shared" si="246"/>
        <v>609</v>
      </c>
      <c r="N1571">
        <f t="shared" si="247"/>
        <v>0</v>
      </c>
    </row>
    <row r="1572" spans="1:14" x14ac:dyDescent="0.35">
      <c r="A1572" s="5">
        <v>8471219</v>
      </c>
      <c r="B1572" s="6">
        <v>42940</v>
      </c>
      <c r="C1572" s="7">
        <v>0.49229166666666668</v>
      </c>
      <c r="D1572" s="8">
        <v>0.49554398148148149</v>
      </c>
      <c r="E1572" s="20">
        <f t="shared" si="240"/>
        <v>3.2523148148148051E-3</v>
      </c>
      <c r="F1572" t="str">
        <f t="shared" si="241"/>
        <v>stacjonarny</v>
      </c>
      <c r="G1572" s="23">
        <f t="shared" si="248"/>
        <v>558141</v>
      </c>
      <c r="H1572">
        <f t="shared" si="249"/>
        <v>184421</v>
      </c>
      <c r="I1572">
        <f t="shared" si="242"/>
        <v>0</v>
      </c>
      <c r="J1572">
        <f t="shared" si="243"/>
        <v>0</v>
      </c>
      <c r="K1572">
        <f t="shared" si="244"/>
        <v>742562</v>
      </c>
      <c r="L1572">
        <f t="shared" si="245"/>
        <v>0</v>
      </c>
      <c r="M1572">
        <f t="shared" si="246"/>
        <v>281</v>
      </c>
      <c r="N1572">
        <f t="shared" si="247"/>
        <v>0</v>
      </c>
    </row>
    <row r="1573" spans="1:14" x14ac:dyDescent="0.35">
      <c r="A1573" s="9">
        <v>5631380</v>
      </c>
      <c r="B1573" s="10">
        <v>42940</v>
      </c>
      <c r="C1573" s="11">
        <v>0.49274305555555553</v>
      </c>
      <c r="D1573" s="12">
        <v>0.50315972222222227</v>
      </c>
      <c r="E1573" s="20">
        <f t="shared" si="240"/>
        <v>1.0416666666666741E-2</v>
      </c>
      <c r="F1573" t="str">
        <f t="shared" si="241"/>
        <v>stacjonarny</v>
      </c>
      <c r="G1573" s="23">
        <f t="shared" si="248"/>
        <v>559041</v>
      </c>
      <c r="H1573">
        <f t="shared" si="249"/>
        <v>184421</v>
      </c>
      <c r="I1573">
        <f t="shared" si="242"/>
        <v>0</v>
      </c>
      <c r="J1573">
        <f t="shared" si="243"/>
        <v>0</v>
      </c>
      <c r="K1573">
        <f t="shared" si="244"/>
        <v>743462</v>
      </c>
      <c r="L1573">
        <f t="shared" si="245"/>
        <v>0</v>
      </c>
      <c r="M1573">
        <f t="shared" si="246"/>
        <v>900</v>
      </c>
      <c r="N1573">
        <f t="shared" si="247"/>
        <v>0</v>
      </c>
    </row>
    <row r="1574" spans="1:14" x14ac:dyDescent="0.35">
      <c r="A1574" s="5">
        <v>6309138</v>
      </c>
      <c r="B1574" s="6">
        <v>42940</v>
      </c>
      <c r="C1574" s="7">
        <v>0.49416666666666664</v>
      </c>
      <c r="D1574" s="8">
        <v>0.49465277777777777</v>
      </c>
      <c r="E1574" s="20">
        <f t="shared" si="240"/>
        <v>4.8611111111113159E-4</v>
      </c>
      <c r="F1574" t="str">
        <f t="shared" si="241"/>
        <v>stacjonarny</v>
      </c>
      <c r="G1574" s="23">
        <f t="shared" si="248"/>
        <v>559083</v>
      </c>
      <c r="H1574">
        <f t="shared" si="249"/>
        <v>184421</v>
      </c>
      <c r="I1574">
        <f t="shared" si="242"/>
        <v>0</v>
      </c>
      <c r="J1574">
        <f t="shared" si="243"/>
        <v>0</v>
      </c>
      <c r="K1574">
        <f t="shared" si="244"/>
        <v>743504</v>
      </c>
      <c r="L1574">
        <f t="shared" si="245"/>
        <v>0</v>
      </c>
      <c r="M1574">
        <f t="shared" si="246"/>
        <v>42</v>
      </c>
      <c r="N1574">
        <f t="shared" si="247"/>
        <v>0</v>
      </c>
    </row>
    <row r="1575" spans="1:14" x14ac:dyDescent="0.35">
      <c r="A1575" s="9">
        <v>72287838</v>
      </c>
      <c r="B1575" s="10">
        <v>42940</v>
      </c>
      <c r="C1575" s="11">
        <v>0.49633101851851852</v>
      </c>
      <c r="D1575" s="12">
        <v>0.50209490740740736</v>
      </c>
      <c r="E1575" s="20">
        <f t="shared" si="240"/>
        <v>5.7638888888888462E-3</v>
      </c>
      <c r="F1575" t="str">
        <f t="shared" si="241"/>
        <v>komorkowy</v>
      </c>
      <c r="G1575" s="23">
        <f t="shared" si="248"/>
        <v>559083</v>
      </c>
      <c r="H1575">
        <f t="shared" si="249"/>
        <v>184919</v>
      </c>
      <c r="I1575">
        <f t="shared" si="242"/>
        <v>0</v>
      </c>
      <c r="J1575">
        <f t="shared" si="243"/>
        <v>0</v>
      </c>
      <c r="K1575">
        <f t="shared" si="244"/>
        <v>744002</v>
      </c>
      <c r="L1575">
        <f t="shared" si="245"/>
        <v>0</v>
      </c>
      <c r="M1575">
        <f t="shared" si="246"/>
        <v>0</v>
      </c>
      <c r="N1575">
        <f t="shared" si="247"/>
        <v>498</v>
      </c>
    </row>
    <row r="1576" spans="1:14" x14ac:dyDescent="0.35">
      <c r="A1576" s="5">
        <v>2515441</v>
      </c>
      <c r="B1576" s="6">
        <v>42940</v>
      </c>
      <c r="C1576" s="7">
        <v>0.49857638888888889</v>
      </c>
      <c r="D1576" s="8">
        <v>0.50195601851851857</v>
      </c>
      <c r="E1576" s="20">
        <f t="shared" si="240"/>
        <v>3.3796296296296768E-3</v>
      </c>
      <c r="F1576" t="str">
        <f t="shared" si="241"/>
        <v>stacjonarny</v>
      </c>
      <c r="G1576" s="23">
        <f t="shared" si="248"/>
        <v>559375</v>
      </c>
      <c r="H1576">
        <f t="shared" si="249"/>
        <v>184919</v>
      </c>
      <c r="I1576">
        <f t="shared" si="242"/>
        <v>0</v>
      </c>
      <c r="J1576">
        <f t="shared" si="243"/>
        <v>0</v>
      </c>
      <c r="K1576">
        <f t="shared" si="244"/>
        <v>744294</v>
      </c>
      <c r="L1576">
        <f t="shared" si="245"/>
        <v>0</v>
      </c>
      <c r="M1576">
        <f t="shared" si="246"/>
        <v>292</v>
      </c>
      <c r="N1576">
        <f t="shared" si="247"/>
        <v>0</v>
      </c>
    </row>
    <row r="1577" spans="1:14" x14ac:dyDescent="0.35">
      <c r="A1577" s="9">
        <v>8056387</v>
      </c>
      <c r="B1577" s="10">
        <v>42940</v>
      </c>
      <c r="C1577" s="11">
        <v>0.50306712962962963</v>
      </c>
      <c r="D1577" s="12">
        <v>0.51333333333333331</v>
      </c>
      <c r="E1577" s="20">
        <f t="shared" si="240"/>
        <v>1.026620370370368E-2</v>
      </c>
      <c r="F1577" t="str">
        <f t="shared" si="241"/>
        <v>stacjonarny</v>
      </c>
      <c r="G1577" s="23">
        <f t="shared" si="248"/>
        <v>560262</v>
      </c>
      <c r="H1577">
        <f t="shared" si="249"/>
        <v>184919</v>
      </c>
      <c r="I1577">
        <f t="shared" si="242"/>
        <v>0</v>
      </c>
      <c r="J1577">
        <f t="shared" si="243"/>
        <v>0</v>
      </c>
      <c r="K1577">
        <f t="shared" si="244"/>
        <v>745181</v>
      </c>
      <c r="L1577">
        <f t="shared" si="245"/>
        <v>0</v>
      </c>
      <c r="M1577">
        <f t="shared" si="246"/>
        <v>887</v>
      </c>
      <c r="N1577">
        <f t="shared" si="247"/>
        <v>0</v>
      </c>
    </row>
    <row r="1578" spans="1:14" x14ac:dyDescent="0.35">
      <c r="A1578" s="5">
        <v>5489867</v>
      </c>
      <c r="B1578" s="6">
        <v>42940</v>
      </c>
      <c r="C1578" s="7">
        <v>0.50583333333333336</v>
      </c>
      <c r="D1578" s="8">
        <v>0.51407407407407413</v>
      </c>
      <c r="E1578" s="20">
        <f t="shared" si="240"/>
        <v>8.2407407407407707E-3</v>
      </c>
      <c r="F1578" t="str">
        <f t="shared" si="241"/>
        <v>stacjonarny</v>
      </c>
      <c r="G1578" s="23">
        <f t="shared" si="248"/>
        <v>560974</v>
      </c>
      <c r="H1578">
        <f t="shared" si="249"/>
        <v>184919</v>
      </c>
      <c r="I1578">
        <f t="shared" si="242"/>
        <v>0</v>
      </c>
      <c r="J1578">
        <f t="shared" si="243"/>
        <v>0</v>
      </c>
      <c r="K1578">
        <f t="shared" si="244"/>
        <v>745893</v>
      </c>
      <c r="L1578">
        <f t="shared" si="245"/>
        <v>0</v>
      </c>
      <c r="M1578">
        <f t="shared" si="246"/>
        <v>712</v>
      </c>
      <c r="N1578">
        <f t="shared" si="247"/>
        <v>0</v>
      </c>
    </row>
    <row r="1579" spans="1:14" x14ac:dyDescent="0.35">
      <c r="A1579" s="9">
        <v>5528648</v>
      </c>
      <c r="B1579" s="10">
        <v>42940</v>
      </c>
      <c r="C1579" s="11">
        <v>0.50611111111111107</v>
      </c>
      <c r="D1579" s="12">
        <v>0.51354166666666667</v>
      </c>
      <c r="E1579" s="20">
        <f t="shared" si="240"/>
        <v>7.4305555555556069E-3</v>
      </c>
      <c r="F1579" t="str">
        <f t="shared" si="241"/>
        <v>stacjonarny</v>
      </c>
      <c r="G1579" s="23">
        <f t="shared" si="248"/>
        <v>561616</v>
      </c>
      <c r="H1579">
        <f t="shared" si="249"/>
        <v>184919</v>
      </c>
      <c r="I1579">
        <f t="shared" si="242"/>
        <v>0</v>
      </c>
      <c r="J1579">
        <f t="shared" si="243"/>
        <v>0</v>
      </c>
      <c r="K1579">
        <f t="shared" si="244"/>
        <v>746535</v>
      </c>
      <c r="L1579">
        <f t="shared" si="245"/>
        <v>0</v>
      </c>
      <c r="M1579">
        <f t="shared" si="246"/>
        <v>642</v>
      </c>
      <c r="N1579">
        <f t="shared" si="247"/>
        <v>0</v>
      </c>
    </row>
    <row r="1580" spans="1:14" x14ac:dyDescent="0.35">
      <c r="A1580" s="5">
        <v>4293872</v>
      </c>
      <c r="B1580" s="6">
        <v>42940</v>
      </c>
      <c r="C1580" s="7">
        <v>0.50714120370370375</v>
      </c>
      <c r="D1580" s="8">
        <v>0.51232638888888893</v>
      </c>
      <c r="E1580" s="20">
        <f t="shared" si="240"/>
        <v>5.1851851851851816E-3</v>
      </c>
      <c r="F1580" t="str">
        <f t="shared" si="241"/>
        <v>stacjonarny</v>
      </c>
      <c r="G1580" s="23">
        <f t="shared" si="248"/>
        <v>562064</v>
      </c>
      <c r="H1580">
        <f t="shared" si="249"/>
        <v>184919</v>
      </c>
      <c r="I1580">
        <f t="shared" si="242"/>
        <v>0</v>
      </c>
      <c r="J1580">
        <f t="shared" si="243"/>
        <v>0</v>
      </c>
      <c r="K1580">
        <f t="shared" si="244"/>
        <v>746983</v>
      </c>
      <c r="L1580">
        <f t="shared" si="245"/>
        <v>0</v>
      </c>
      <c r="M1580">
        <f t="shared" si="246"/>
        <v>448</v>
      </c>
      <c r="N1580">
        <f t="shared" si="247"/>
        <v>0</v>
      </c>
    </row>
    <row r="1581" spans="1:14" x14ac:dyDescent="0.35">
      <c r="A1581" s="9">
        <v>99625946</v>
      </c>
      <c r="B1581" s="10">
        <v>42940</v>
      </c>
      <c r="C1581" s="11">
        <v>0.51270833333333332</v>
      </c>
      <c r="D1581" s="12">
        <v>0.52407407407407403</v>
      </c>
      <c r="E1581" s="20">
        <f t="shared" si="240"/>
        <v>1.1365740740740704E-2</v>
      </c>
      <c r="F1581" t="str">
        <f t="shared" si="241"/>
        <v>komorkowy</v>
      </c>
      <c r="G1581" s="23">
        <f t="shared" si="248"/>
        <v>562064</v>
      </c>
      <c r="H1581">
        <f t="shared" si="249"/>
        <v>185901</v>
      </c>
      <c r="I1581">
        <f t="shared" si="242"/>
        <v>0</v>
      </c>
      <c r="J1581">
        <f t="shared" si="243"/>
        <v>0</v>
      </c>
      <c r="K1581">
        <f t="shared" si="244"/>
        <v>747965</v>
      </c>
      <c r="L1581">
        <f t="shared" si="245"/>
        <v>0</v>
      </c>
      <c r="M1581">
        <f t="shared" si="246"/>
        <v>0</v>
      </c>
      <c r="N1581">
        <f t="shared" si="247"/>
        <v>982</v>
      </c>
    </row>
    <row r="1582" spans="1:14" x14ac:dyDescent="0.35">
      <c r="A1582" s="5">
        <v>9827875</v>
      </c>
      <c r="B1582" s="6">
        <v>42940</v>
      </c>
      <c r="C1582" s="7">
        <v>0.51512731481481477</v>
      </c>
      <c r="D1582" s="8">
        <v>0.51954861111111106</v>
      </c>
      <c r="E1582" s="20">
        <f t="shared" si="240"/>
        <v>4.4212962962962843E-3</v>
      </c>
      <c r="F1582" t="str">
        <f t="shared" si="241"/>
        <v>stacjonarny</v>
      </c>
      <c r="G1582" s="23">
        <f t="shared" si="248"/>
        <v>562446</v>
      </c>
      <c r="H1582">
        <f t="shared" si="249"/>
        <v>185901</v>
      </c>
      <c r="I1582">
        <f t="shared" si="242"/>
        <v>0</v>
      </c>
      <c r="J1582">
        <f t="shared" si="243"/>
        <v>0</v>
      </c>
      <c r="K1582">
        <f t="shared" si="244"/>
        <v>748347</v>
      </c>
      <c r="L1582">
        <f t="shared" si="245"/>
        <v>0</v>
      </c>
      <c r="M1582">
        <f t="shared" si="246"/>
        <v>382</v>
      </c>
      <c r="N1582">
        <f t="shared" si="247"/>
        <v>0</v>
      </c>
    </row>
    <row r="1583" spans="1:14" x14ac:dyDescent="0.35">
      <c r="A1583" s="9">
        <v>40120881</v>
      </c>
      <c r="B1583" s="10">
        <v>42940</v>
      </c>
      <c r="C1583" s="11">
        <v>0.51746527777777773</v>
      </c>
      <c r="D1583" s="12">
        <v>0.52686342592592594</v>
      </c>
      <c r="E1583" s="20">
        <f t="shared" si="240"/>
        <v>9.398148148148211E-3</v>
      </c>
      <c r="F1583" t="str">
        <f t="shared" si="241"/>
        <v>komorkowy</v>
      </c>
      <c r="G1583" s="23">
        <f t="shared" si="248"/>
        <v>562446</v>
      </c>
      <c r="H1583">
        <f t="shared" si="249"/>
        <v>186713</v>
      </c>
      <c r="I1583">
        <f t="shared" si="242"/>
        <v>0</v>
      </c>
      <c r="J1583">
        <f t="shared" si="243"/>
        <v>0</v>
      </c>
      <c r="K1583">
        <f t="shared" si="244"/>
        <v>749159</v>
      </c>
      <c r="L1583">
        <f t="shared" si="245"/>
        <v>0</v>
      </c>
      <c r="M1583">
        <f t="shared" si="246"/>
        <v>0</v>
      </c>
      <c r="N1583">
        <f t="shared" si="247"/>
        <v>812</v>
      </c>
    </row>
    <row r="1584" spans="1:14" x14ac:dyDescent="0.35">
      <c r="A1584" s="5">
        <v>42373338</v>
      </c>
      <c r="B1584" s="6">
        <v>42940</v>
      </c>
      <c r="C1584" s="7">
        <v>0.51962962962962966</v>
      </c>
      <c r="D1584" s="8">
        <v>0.53030092592592593</v>
      </c>
      <c r="E1584" s="20">
        <f t="shared" si="240"/>
        <v>1.0671296296296262E-2</v>
      </c>
      <c r="F1584" t="str">
        <f t="shared" si="241"/>
        <v>komorkowy</v>
      </c>
      <c r="G1584" s="23">
        <f t="shared" si="248"/>
        <v>562446</v>
      </c>
      <c r="H1584">
        <f t="shared" si="249"/>
        <v>187635</v>
      </c>
      <c r="I1584">
        <f t="shared" si="242"/>
        <v>0</v>
      </c>
      <c r="J1584">
        <f t="shared" si="243"/>
        <v>0</v>
      </c>
      <c r="K1584">
        <f t="shared" si="244"/>
        <v>750081</v>
      </c>
      <c r="L1584">
        <f t="shared" si="245"/>
        <v>0</v>
      </c>
      <c r="M1584">
        <f t="shared" si="246"/>
        <v>0</v>
      </c>
      <c r="N1584">
        <f t="shared" si="247"/>
        <v>922</v>
      </c>
    </row>
    <row r="1585" spans="1:14" x14ac:dyDescent="0.35">
      <c r="A1585" s="9">
        <v>39697250</v>
      </c>
      <c r="B1585" s="10">
        <v>42940</v>
      </c>
      <c r="C1585" s="11">
        <v>0.52520833333333339</v>
      </c>
      <c r="D1585" s="12">
        <v>0.52866898148148145</v>
      </c>
      <c r="E1585" s="20">
        <f t="shared" si="240"/>
        <v>3.46064814814806E-3</v>
      </c>
      <c r="F1585" t="str">
        <f t="shared" si="241"/>
        <v>komorkowy</v>
      </c>
      <c r="G1585" s="23">
        <f t="shared" si="248"/>
        <v>562446</v>
      </c>
      <c r="H1585">
        <f t="shared" si="249"/>
        <v>187934</v>
      </c>
      <c r="I1585">
        <f t="shared" si="242"/>
        <v>0</v>
      </c>
      <c r="J1585">
        <f t="shared" si="243"/>
        <v>0</v>
      </c>
      <c r="K1585">
        <f t="shared" si="244"/>
        <v>750380</v>
      </c>
      <c r="L1585">
        <f t="shared" si="245"/>
        <v>0</v>
      </c>
      <c r="M1585">
        <f t="shared" si="246"/>
        <v>0</v>
      </c>
      <c r="N1585">
        <f t="shared" si="247"/>
        <v>299</v>
      </c>
    </row>
    <row r="1586" spans="1:14" x14ac:dyDescent="0.35">
      <c r="A1586" s="5">
        <v>55464931</v>
      </c>
      <c r="B1586" s="6">
        <v>42940</v>
      </c>
      <c r="C1586" s="7">
        <v>0.5285185185185185</v>
      </c>
      <c r="D1586" s="8">
        <v>0.53349537037037043</v>
      </c>
      <c r="E1586" s="20">
        <f t="shared" si="240"/>
        <v>4.9768518518519267E-3</v>
      </c>
      <c r="F1586" t="str">
        <f t="shared" si="241"/>
        <v>komorkowy</v>
      </c>
      <c r="G1586" s="23">
        <f t="shared" si="248"/>
        <v>562446</v>
      </c>
      <c r="H1586">
        <f t="shared" si="249"/>
        <v>188364</v>
      </c>
      <c r="I1586">
        <f t="shared" si="242"/>
        <v>0</v>
      </c>
      <c r="J1586">
        <f t="shared" si="243"/>
        <v>0</v>
      </c>
      <c r="K1586">
        <f t="shared" si="244"/>
        <v>750810</v>
      </c>
      <c r="L1586">
        <f t="shared" si="245"/>
        <v>0</v>
      </c>
      <c r="M1586">
        <f t="shared" si="246"/>
        <v>0</v>
      </c>
      <c r="N1586">
        <f t="shared" si="247"/>
        <v>430</v>
      </c>
    </row>
    <row r="1587" spans="1:14" x14ac:dyDescent="0.35">
      <c r="A1587" s="9">
        <v>3616291</v>
      </c>
      <c r="B1587" s="10">
        <v>42940</v>
      </c>
      <c r="C1587" s="11">
        <v>0.53403935185185181</v>
      </c>
      <c r="D1587" s="12">
        <v>0.54538194444444443</v>
      </c>
      <c r="E1587" s="20">
        <f t="shared" si="240"/>
        <v>1.1342592592592626E-2</v>
      </c>
      <c r="F1587" t="str">
        <f t="shared" si="241"/>
        <v>stacjonarny</v>
      </c>
      <c r="G1587" s="23">
        <f t="shared" si="248"/>
        <v>563426</v>
      </c>
      <c r="H1587">
        <f t="shared" si="249"/>
        <v>188364</v>
      </c>
      <c r="I1587">
        <f t="shared" si="242"/>
        <v>0</v>
      </c>
      <c r="J1587">
        <f t="shared" si="243"/>
        <v>0</v>
      </c>
      <c r="K1587">
        <f t="shared" si="244"/>
        <v>751790</v>
      </c>
      <c r="L1587">
        <f t="shared" si="245"/>
        <v>0</v>
      </c>
      <c r="M1587">
        <f t="shared" si="246"/>
        <v>980</v>
      </c>
      <c r="N1587">
        <f t="shared" si="247"/>
        <v>0</v>
      </c>
    </row>
    <row r="1588" spans="1:14" x14ac:dyDescent="0.35">
      <c r="A1588" s="5">
        <v>3473734</v>
      </c>
      <c r="B1588" s="6">
        <v>42940</v>
      </c>
      <c r="C1588" s="7">
        <v>0.53949074074074077</v>
      </c>
      <c r="D1588" s="8">
        <v>0.54844907407407406</v>
      </c>
      <c r="E1588" s="20">
        <f t="shared" si="240"/>
        <v>8.9583333333332904E-3</v>
      </c>
      <c r="F1588" t="str">
        <f t="shared" si="241"/>
        <v>stacjonarny</v>
      </c>
      <c r="G1588" s="23">
        <f t="shared" si="248"/>
        <v>564200</v>
      </c>
      <c r="H1588">
        <f t="shared" si="249"/>
        <v>188364</v>
      </c>
      <c r="I1588">
        <f t="shared" si="242"/>
        <v>0</v>
      </c>
      <c r="J1588">
        <f t="shared" si="243"/>
        <v>0</v>
      </c>
      <c r="K1588">
        <f t="shared" si="244"/>
        <v>752564</v>
      </c>
      <c r="L1588">
        <f t="shared" si="245"/>
        <v>0</v>
      </c>
      <c r="M1588">
        <f t="shared" si="246"/>
        <v>774</v>
      </c>
      <c r="N1588">
        <f t="shared" si="247"/>
        <v>0</v>
      </c>
    </row>
    <row r="1589" spans="1:14" x14ac:dyDescent="0.35">
      <c r="A1589" s="9">
        <v>63492662</v>
      </c>
      <c r="B1589" s="10">
        <v>42940</v>
      </c>
      <c r="C1589" s="11">
        <v>0.54060185185185183</v>
      </c>
      <c r="D1589" s="12">
        <v>0.54240740740740745</v>
      </c>
      <c r="E1589" s="20">
        <f t="shared" si="240"/>
        <v>1.8055555555556158E-3</v>
      </c>
      <c r="F1589" t="str">
        <f t="shared" si="241"/>
        <v>komorkowy</v>
      </c>
      <c r="G1589" s="23">
        <f t="shared" si="248"/>
        <v>564200</v>
      </c>
      <c r="H1589">
        <f t="shared" si="249"/>
        <v>188520</v>
      </c>
      <c r="I1589">
        <f t="shared" si="242"/>
        <v>0</v>
      </c>
      <c r="J1589">
        <f t="shared" si="243"/>
        <v>0</v>
      </c>
      <c r="K1589">
        <f t="shared" si="244"/>
        <v>752720</v>
      </c>
      <c r="L1589">
        <f t="shared" si="245"/>
        <v>0</v>
      </c>
      <c r="M1589">
        <f t="shared" si="246"/>
        <v>0</v>
      </c>
      <c r="N1589">
        <f t="shared" si="247"/>
        <v>156</v>
      </c>
    </row>
    <row r="1590" spans="1:14" x14ac:dyDescent="0.35">
      <c r="A1590" s="5">
        <v>2104331</v>
      </c>
      <c r="B1590" s="6">
        <v>42940</v>
      </c>
      <c r="C1590" s="7">
        <v>0.54410879629629627</v>
      </c>
      <c r="D1590" s="8">
        <v>0.55207175925925922</v>
      </c>
      <c r="E1590" s="20">
        <f t="shared" si="240"/>
        <v>7.9629629629629495E-3</v>
      </c>
      <c r="F1590" t="str">
        <f t="shared" si="241"/>
        <v>stacjonarny</v>
      </c>
      <c r="G1590" s="23">
        <f t="shared" si="248"/>
        <v>564888</v>
      </c>
      <c r="H1590">
        <f t="shared" si="249"/>
        <v>188520</v>
      </c>
      <c r="I1590">
        <f t="shared" si="242"/>
        <v>0</v>
      </c>
      <c r="J1590">
        <f t="shared" si="243"/>
        <v>0</v>
      </c>
      <c r="K1590">
        <f t="shared" si="244"/>
        <v>753408</v>
      </c>
      <c r="L1590">
        <f t="shared" si="245"/>
        <v>0</v>
      </c>
      <c r="M1590">
        <f t="shared" si="246"/>
        <v>688</v>
      </c>
      <c r="N1590">
        <f t="shared" si="247"/>
        <v>0</v>
      </c>
    </row>
    <row r="1591" spans="1:14" x14ac:dyDescent="0.35">
      <c r="A1591" s="9">
        <v>9555643</v>
      </c>
      <c r="B1591" s="10">
        <v>42940</v>
      </c>
      <c r="C1591" s="11">
        <v>0.54478009259259264</v>
      </c>
      <c r="D1591" s="12">
        <v>0.55106481481481484</v>
      </c>
      <c r="E1591" s="20">
        <f t="shared" si="240"/>
        <v>6.2847222222222054E-3</v>
      </c>
      <c r="F1591" t="str">
        <f t="shared" si="241"/>
        <v>stacjonarny</v>
      </c>
      <c r="G1591" s="23">
        <f t="shared" si="248"/>
        <v>565431</v>
      </c>
      <c r="H1591">
        <f t="shared" si="249"/>
        <v>188520</v>
      </c>
      <c r="I1591">
        <f t="shared" si="242"/>
        <v>0</v>
      </c>
      <c r="J1591">
        <f t="shared" si="243"/>
        <v>0</v>
      </c>
      <c r="K1591">
        <f t="shared" si="244"/>
        <v>753951</v>
      </c>
      <c r="L1591">
        <f t="shared" si="245"/>
        <v>0</v>
      </c>
      <c r="M1591">
        <f t="shared" si="246"/>
        <v>543</v>
      </c>
      <c r="N1591">
        <f t="shared" si="247"/>
        <v>0</v>
      </c>
    </row>
    <row r="1592" spans="1:14" x14ac:dyDescent="0.35">
      <c r="A1592" s="5">
        <v>5220235</v>
      </c>
      <c r="B1592" s="6">
        <v>42940</v>
      </c>
      <c r="C1592" s="7">
        <v>0.54741898148148149</v>
      </c>
      <c r="D1592" s="8">
        <v>0.54915509259259254</v>
      </c>
      <c r="E1592" s="20">
        <f t="shared" si="240"/>
        <v>1.7361111111110494E-3</v>
      </c>
      <c r="F1592" t="str">
        <f t="shared" si="241"/>
        <v>stacjonarny</v>
      </c>
      <c r="G1592" s="23">
        <f t="shared" si="248"/>
        <v>565581</v>
      </c>
      <c r="H1592">
        <f t="shared" si="249"/>
        <v>188520</v>
      </c>
      <c r="I1592">
        <f t="shared" si="242"/>
        <v>0</v>
      </c>
      <c r="J1592">
        <f t="shared" si="243"/>
        <v>0</v>
      </c>
      <c r="K1592">
        <f t="shared" si="244"/>
        <v>754101</v>
      </c>
      <c r="L1592">
        <f t="shared" si="245"/>
        <v>0</v>
      </c>
      <c r="M1592">
        <f t="shared" si="246"/>
        <v>150</v>
      </c>
      <c r="N1592">
        <f t="shared" si="247"/>
        <v>0</v>
      </c>
    </row>
    <row r="1593" spans="1:14" x14ac:dyDescent="0.35">
      <c r="A1593" s="9">
        <v>26254490</v>
      </c>
      <c r="B1593" s="10">
        <v>42940</v>
      </c>
      <c r="C1593" s="11">
        <v>0.54773148148148143</v>
      </c>
      <c r="D1593" s="12">
        <v>0.55074074074074075</v>
      </c>
      <c r="E1593" s="20">
        <f t="shared" si="240"/>
        <v>3.0092592592593226E-3</v>
      </c>
      <c r="F1593" t="str">
        <f t="shared" si="241"/>
        <v>komorkowy</v>
      </c>
      <c r="G1593" s="23">
        <f t="shared" si="248"/>
        <v>565581</v>
      </c>
      <c r="H1593">
        <f t="shared" si="249"/>
        <v>188780</v>
      </c>
      <c r="I1593">
        <f t="shared" si="242"/>
        <v>0</v>
      </c>
      <c r="J1593">
        <f t="shared" si="243"/>
        <v>0</v>
      </c>
      <c r="K1593">
        <f t="shared" si="244"/>
        <v>754361</v>
      </c>
      <c r="L1593">
        <f t="shared" si="245"/>
        <v>0</v>
      </c>
      <c r="M1593">
        <f t="shared" si="246"/>
        <v>0</v>
      </c>
      <c r="N1593">
        <f t="shared" si="247"/>
        <v>260</v>
      </c>
    </row>
    <row r="1594" spans="1:14" x14ac:dyDescent="0.35">
      <c r="A1594" s="5">
        <v>26463662</v>
      </c>
      <c r="B1594" s="6">
        <v>42940</v>
      </c>
      <c r="C1594" s="7">
        <v>0.55153935185185188</v>
      </c>
      <c r="D1594" s="8">
        <v>0.56090277777777775</v>
      </c>
      <c r="E1594" s="20">
        <f t="shared" si="240"/>
        <v>9.3634259259258723E-3</v>
      </c>
      <c r="F1594" t="str">
        <f t="shared" si="241"/>
        <v>komorkowy</v>
      </c>
      <c r="G1594" s="23">
        <f t="shared" si="248"/>
        <v>565581</v>
      </c>
      <c r="H1594">
        <f t="shared" si="249"/>
        <v>189589</v>
      </c>
      <c r="I1594">
        <f t="shared" si="242"/>
        <v>0</v>
      </c>
      <c r="J1594">
        <f t="shared" si="243"/>
        <v>0</v>
      </c>
      <c r="K1594">
        <f t="shared" si="244"/>
        <v>755170</v>
      </c>
      <c r="L1594">
        <f t="shared" si="245"/>
        <v>0</v>
      </c>
      <c r="M1594">
        <f t="shared" si="246"/>
        <v>0</v>
      </c>
      <c r="N1594">
        <f t="shared" si="247"/>
        <v>809</v>
      </c>
    </row>
    <row r="1595" spans="1:14" x14ac:dyDescent="0.35">
      <c r="A1595" s="9">
        <v>2853860</v>
      </c>
      <c r="B1595" s="10">
        <v>42940</v>
      </c>
      <c r="C1595" s="11">
        <v>0.55491898148148144</v>
      </c>
      <c r="D1595" s="12">
        <v>0.55787037037037035</v>
      </c>
      <c r="E1595" s="20">
        <f t="shared" si="240"/>
        <v>2.9513888888889062E-3</v>
      </c>
      <c r="F1595" t="str">
        <f t="shared" si="241"/>
        <v>stacjonarny</v>
      </c>
      <c r="G1595" s="23">
        <f t="shared" si="248"/>
        <v>565836</v>
      </c>
      <c r="H1595">
        <f t="shared" si="249"/>
        <v>189589</v>
      </c>
      <c r="I1595">
        <f t="shared" si="242"/>
        <v>0</v>
      </c>
      <c r="J1595">
        <f t="shared" si="243"/>
        <v>0</v>
      </c>
      <c r="K1595">
        <f t="shared" si="244"/>
        <v>755425</v>
      </c>
      <c r="L1595">
        <f t="shared" si="245"/>
        <v>0</v>
      </c>
      <c r="M1595">
        <f t="shared" si="246"/>
        <v>255</v>
      </c>
      <c r="N1595">
        <f t="shared" si="247"/>
        <v>0</v>
      </c>
    </row>
    <row r="1596" spans="1:14" x14ac:dyDescent="0.35">
      <c r="A1596" s="5">
        <v>1829028</v>
      </c>
      <c r="B1596" s="6">
        <v>42940</v>
      </c>
      <c r="C1596" s="7">
        <v>0.5602893518518518</v>
      </c>
      <c r="D1596" s="8">
        <v>0.57128472222222226</v>
      </c>
      <c r="E1596" s="20">
        <f t="shared" si="240"/>
        <v>1.0995370370370461E-2</v>
      </c>
      <c r="F1596" t="str">
        <f t="shared" si="241"/>
        <v>stacjonarny</v>
      </c>
      <c r="G1596" s="23">
        <f t="shared" si="248"/>
        <v>566786</v>
      </c>
      <c r="H1596">
        <f t="shared" si="249"/>
        <v>189589</v>
      </c>
      <c r="I1596">
        <f t="shared" si="242"/>
        <v>0</v>
      </c>
      <c r="J1596">
        <f t="shared" si="243"/>
        <v>0</v>
      </c>
      <c r="K1596">
        <f t="shared" si="244"/>
        <v>756375</v>
      </c>
      <c r="L1596">
        <f t="shared" si="245"/>
        <v>0</v>
      </c>
      <c r="M1596">
        <f t="shared" si="246"/>
        <v>950</v>
      </c>
      <c r="N1596">
        <f t="shared" si="247"/>
        <v>0</v>
      </c>
    </row>
    <row r="1597" spans="1:14" x14ac:dyDescent="0.35">
      <c r="A1597" s="9">
        <v>1365581</v>
      </c>
      <c r="B1597" s="10">
        <v>42940</v>
      </c>
      <c r="C1597" s="11">
        <v>0.56196759259259255</v>
      </c>
      <c r="D1597" s="12">
        <v>0.57019675925925928</v>
      </c>
      <c r="E1597" s="20">
        <f t="shared" si="240"/>
        <v>8.2291666666667318E-3</v>
      </c>
      <c r="F1597" t="str">
        <f t="shared" si="241"/>
        <v>stacjonarny</v>
      </c>
      <c r="G1597" s="23">
        <f t="shared" si="248"/>
        <v>567497</v>
      </c>
      <c r="H1597">
        <f t="shared" si="249"/>
        <v>189589</v>
      </c>
      <c r="I1597">
        <f t="shared" si="242"/>
        <v>0</v>
      </c>
      <c r="J1597">
        <f t="shared" si="243"/>
        <v>0</v>
      </c>
      <c r="K1597">
        <f t="shared" si="244"/>
        <v>757086</v>
      </c>
      <c r="L1597">
        <f t="shared" si="245"/>
        <v>0</v>
      </c>
      <c r="M1597">
        <f t="shared" si="246"/>
        <v>711</v>
      </c>
      <c r="N1597">
        <f t="shared" si="247"/>
        <v>0</v>
      </c>
    </row>
    <row r="1598" spans="1:14" x14ac:dyDescent="0.35">
      <c r="A1598" s="5">
        <v>66800387</v>
      </c>
      <c r="B1598" s="6">
        <v>42940</v>
      </c>
      <c r="C1598" s="7">
        <v>0.5634837962962963</v>
      </c>
      <c r="D1598" s="8">
        <v>0.56763888888888892</v>
      </c>
      <c r="E1598" s="20">
        <f t="shared" si="240"/>
        <v>4.155092592592613E-3</v>
      </c>
      <c r="F1598" t="str">
        <f t="shared" si="241"/>
        <v>komorkowy</v>
      </c>
      <c r="G1598" s="23">
        <f t="shared" si="248"/>
        <v>567497</v>
      </c>
      <c r="H1598">
        <f t="shared" si="249"/>
        <v>189948</v>
      </c>
      <c r="I1598">
        <f t="shared" si="242"/>
        <v>0</v>
      </c>
      <c r="J1598">
        <f t="shared" si="243"/>
        <v>0</v>
      </c>
      <c r="K1598">
        <f t="shared" si="244"/>
        <v>757445</v>
      </c>
      <c r="L1598">
        <f t="shared" si="245"/>
        <v>0</v>
      </c>
      <c r="M1598">
        <f t="shared" si="246"/>
        <v>0</v>
      </c>
      <c r="N1598">
        <f t="shared" si="247"/>
        <v>359</v>
      </c>
    </row>
    <row r="1599" spans="1:14" x14ac:dyDescent="0.35">
      <c r="A1599" s="9">
        <v>9282666</v>
      </c>
      <c r="B1599" s="10">
        <v>42940</v>
      </c>
      <c r="C1599" s="11">
        <v>0.56879629629629624</v>
      </c>
      <c r="D1599" s="12">
        <v>0.56934027777777774</v>
      </c>
      <c r="E1599" s="20">
        <f t="shared" si="240"/>
        <v>5.439814814814925E-4</v>
      </c>
      <c r="F1599" t="str">
        <f t="shared" si="241"/>
        <v>stacjonarny</v>
      </c>
      <c r="G1599" s="23">
        <f t="shared" si="248"/>
        <v>567544</v>
      </c>
      <c r="H1599">
        <f t="shared" si="249"/>
        <v>189948</v>
      </c>
      <c r="I1599">
        <f t="shared" si="242"/>
        <v>0</v>
      </c>
      <c r="J1599">
        <f t="shared" si="243"/>
        <v>0</v>
      </c>
      <c r="K1599">
        <f t="shared" si="244"/>
        <v>757492</v>
      </c>
      <c r="L1599">
        <f t="shared" si="245"/>
        <v>0</v>
      </c>
      <c r="M1599">
        <f t="shared" si="246"/>
        <v>47</v>
      </c>
      <c r="N1599">
        <f t="shared" si="247"/>
        <v>0</v>
      </c>
    </row>
    <row r="1600" spans="1:14" x14ac:dyDescent="0.35">
      <c r="A1600" s="5">
        <v>7994769</v>
      </c>
      <c r="B1600" s="6">
        <v>42940</v>
      </c>
      <c r="C1600" s="7">
        <v>0.56980324074074074</v>
      </c>
      <c r="D1600" s="8">
        <v>0.57826388888888891</v>
      </c>
      <c r="E1600" s="20">
        <f t="shared" si="240"/>
        <v>8.4606481481481755E-3</v>
      </c>
      <c r="F1600" t="str">
        <f t="shared" si="241"/>
        <v>stacjonarny</v>
      </c>
      <c r="G1600" s="23">
        <f t="shared" si="248"/>
        <v>568275</v>
      </c>
      <c r="H1600">
        <f t="shared" si="249"/>
        <v>189948</v>
      </c>
      <c r="I1600">
        <f t="shared" si="242"/>
        <v>0</v>
      </c>
      <c r="J1600">
        <f t="shared" si="243"/>
        <v>0</v>
      </c>
      <c r="K1600">
        <f t="shared" si="244"/>
        <v>758223</v>
      </c>
      <c r="L1600">
        <f t="shared" si="245"/>
        <v>0</v>
      </c>
      <c r="M1600">
        <f t="shared" si="246"/>
        <v>731</v>
      </c>
      <c r="N1600">
        <f t="shared" si="247"/>
        <v>0</v>
      </c>
    </row>
    <row r="1601" spans="1:14" x14ac:dyDescent="0.35">
      <c r="A1601" s="9">
        <v>3638038</v>
      </c>
      <c r="B1601" s="10">
        <v>42940</v>
      </c>
      <c r="C1601" s="11">
        <v>0.57262731481481477</v>
      </c>
      <c r="D1601" s="12">
        <v>0.57846064814814813</v>
      </c>
      <c r="E1601" s="20">
        <f t="shared" si="240"/>
        <v>5.833333333333357E-3</v>
      </c>
      <c r="F1601" t="str">
        <f t="shared" si="241"/>
        <v>stacjonarny</v>
      </c>
      <c r="G1601" s="23">
        <f t="shared" si="248"/>
        <v>568779</v>
      </c>
      <c r="H1601">
        <f t="shared" si="249"/>
        <v>189948</v>
      </c>
      <c r="I1601">
        <f t="shared" si="242"/>
        <v>0</v>
      </c>
      <c r="J1601">
        <f t="shared" si="243"/>
        <v>0</v>
      </c>
      <c r="K1601">
        <f t="shared" si="244"/>
        <v>758727</v>
      </c>
      <c r="L1601">
        <f t="shared" si="245"/>
        <v>0</v>
      </c>
      <c r="M1601">
        <f t="shared" si="246"/>
        <v>504</v>
      </c>
      <c r="N1601">
        <f t="shared" si="247"/>
        <v>0</v>
      </c>
    </row>
    <row r="1602" spans="1:14" x14ac:dyDescent="0.35">
      <c r="A1602" s="5">
        <v>5221005</v>
      </c>
      <c r="B1602" s="6">
        <v>42940</v>
      </c>
      <c r="C1602" s="7">
        <v>0.57321759259259264</v>
      </c>
      <c r="D1602" s="8">
        <v>0.57461805555555556</v>
      </c>
      <c r="E1602" s="20">
        <f t="shared" si="240"/>
        <v>1.4004629629629228E-3</v>
      </c>
      <c r="F1602" t="str">
        <f t="shared" si="241"/>
        <v>stacjonarny</v>
      </c>
      <c r="G1602" s="23">
        <f t="shared" si="248"/>
        <v>568900</v>
      </c>
      <c r="H1602">
        <f t="shared" si="249"/>
        <v>189948</v>
      </c>
      <c r="I1602">
        <f t="shared" si="242"/>
        <v>0</v>
      </c>
      <c r="J1602">
        <f t="shared" si="243"/>
        <v>0</v>
      </c>
      <c r="K1602">
        <f t="shared" si="244"/>
        <v>758848</v>
      </c>
      <c r="L1602">
        <f t="shared" si="245"/>
        <v>0</v>
      </c>
      <c r="M1602">
        <f t="shared" si="246"/>
        <v>121</v>
      </c>
      <c r="N1602">
        <f t="shared" si="247"/>
        <v>0</v>
      </c>
    </row>
    <row r="1603" spans="1:14" x14ac:dyDescent="0.35">
      <c r="A1603" s="9">
        <v>3150344</v>
      </c>
      <c r="B1603" s="10">
        <v>42940</v>
      </c>
      <c r="C1603" s="11">
        <v>0.57322916666666668</v>
      </c>
      <c r="D1603" s="12">
        <v>0.58089120370370373</v>
      </c>
      <c r="E1603" s="20">
        <f t="shared" ref="E1603:E1666" si="250">D1603-C1603</f>
        <v>7.6620370370370505E-3</v>
      </c>
      <c r="F1603" t="str">
        <f t="shared" ref="F1603:F1666" si="251">IF(LEN(A1603)=7,"stacjonarny",IF(LEN(A1603)=8,"komorkowy","zagraniczny"))</f>
        <v>stacjonarny</v>
      </c>
      <c r="G1603" s="23">
        <f t="shared" si="248"/>
        <v>569562</v>
      </c>
      <c r="H1603">
        <f t="shared" si="249"/>
        <v>189948</v>
      </c>
      <c r="I1603">
        <f t="shared" ref="I1603:I1666" si="252">IF(F1603="zagraniczny",MINUTE(E1603)*60+SECOND(E1603)+HOUR(E1603)*3600,0)</f>
        <v>0</v>
      </c>
      <c r="J1603">
        <f t="shared" ref="J1603:J1666" si="253">ROUNDUP(I1603/60,0)</f>
        <v>0</v>
      </c>
      <c r="K1603">
        <f t="shared" ref="K1603:K1666" si="254">G1603+H1603</f>
        <v>759510</v>
      </c>
      <c r="L1603">
        <f t="shared" ref="L1603:L1666" si="255">IF(K1603&lt;=48000,1,0)</f>
        <v>0</v>
      </c>
      <c r="M1603">
        <f t="shared" ref="M1603:M1666" si="256">IF(AND(L1603=0,F1603="stacjonarny"),SECOND(E1603)+60*MINUTE(E1603),0)</f>
        <v>662</v>
      </c>
      <c r="N1603">
        <f t="shared" ref="N1603:N1666" si="257">IF(AND(L1603=0,F1603="komorkowy"),SECOND(E1603)+60*MINUTE(E1603),0)</f>
        <v>0</v>
      </c>
    </row>
    <row r="1604" spans="1:14" x14ac:dyDescent="0.35">
      <c r="A1604" s="5">
        <v>2780765</v>
      </c>
      <c r="B1604" s="6">
        <v>42940</v>
      </c>
      <c r="C1604" s="7">
        <v>0.57582175925925927</v>
      </c>
      <c r="D1604" s="8">
        <v>0.57693287037037033</v>
      </c>
      <c r="E1604" s="20">
        <f t="shared" si="250"/>
        <v>1.1111111111110628E-3</v>
      </c>
      <c r="F1604" t="str">
        <f t="shared" si="251"/>
        <v>stacjonarny</v>
      </c>
      <c r="G1604" s="23">
        <f t="shared" ref="G1604:G1667" si="258">IF(F1604="stacjonarny",MINUTE(E1604)*60+SECOND(E1604)+G1603,G1603)</f>
        <v>569658</v>
      </c>
      <c r="H1604">
        <f t="shared" ref="H1604:H1667" si="259">IF(F1604="komorkowy",MINUTE(E1604)*60+SECOND(E1604)+H1603,H1603)</f>
        <v>189948</v>
      </c>
      <c r="I1604">
        <f t="shared" si="252"/>
        <v>0</v>
      </c>
      <c r="J1604">
        <f t="shared" si="253"/>
        <v>0</v>
      </c>
      <c r="K1604">
        <f t="shared" si="254"/>
        <v>759606</v>
      </c>
      <c r="L1604">
        <f t="shared" si="255"/>
        <v>0</v>
      </c>
      <c r="M1604">
        <f t="shared" si="256"/>
        <v>96</v>
      </c>
      <c r="N1604">
        <f t="shared" si="257"/>
        <v>0</v>
      </c>
    </row>
    <row r="1605" spans="1:14" x14ac:dyDescent="0.35">
      <c r="A1605" s="9">
        <v>3720500</v>
      </c>
      <c r="B1605" s="10">
        <v>42940</v>
      </c>
      <c r="C1605" s="11">
        <v>0.57660879629629624</v>
      </c>
      <c r="D1605" s="12">
        <v>0.58250000000000002</v>
      </c>
      <c r="E1605" s="20">
        <f t="shared" si="250"/>
        <v>5.8912037037037734E-3</v>
      </c>
      <c r="F1605" t="str">
        <f t="shared" si="251"/>
        <v>stacjonarny</v>
      </c>
      <c r="G1605" s="23">
        <f t="shared" si="258"/>
        <v>570167</v>
      </c>
      <c r="H1605">
        <f t="shared" si="259"/>
        <v>189948</v>
      </c>
      <c r="I1605">
        <f t="shared" si="252"/>
        <v>0</v>
      </c>
      <c r="J1605">
        <f t="shared" si="253"/>
        <v>0</v>
      </c>
      <c r="K1605">
        <f t="shared" si="254"/>
        <v>760115</v>
      </c>
      <c r="L1605">
        <f t="shared" si="255"/>
        <v>0</v>
      </c>
      <c r="M1605">
        <f t="shared" si="256"/>
        <v>509</v>
      </c>
      <c r="N1605">
        <f t="shared" si="257"/>
        <v>0</v>
      </c>
    </row>
    <row r="1606" spans="1:14" x14ac:dyDescent="0.35">
      <c r="A1606" s="5">
        <v>89419064</v>
      </c>
      <c r="B1606" s="6">
        <v>42940</v>
      </c>
      <c r="C1606" s="7">
        <v>0.57850694444444439</v>
      </c>
      <c r="D1606" s="8">
        <v>0.58456018518518515</v>
      </c>
      <c r="E1606" s="20">
        <f t="shared" si="250"/>
        <v>6.0532407407407618E-3</v>
      </c>
      <c r="F1606" t="str">
        <f t="shared" si="251"/>
        <v>komorkowy</v>
      </c>
      <c r="G1606" s="23">
        <f t="shared" si="258"/>
        <v>570167</v>
      </c>
      <c r="H1606">
        <f t="shared" si="259"/>
        <v>190471</v>
      </c>
      <c r="I1606">
        <f t="shared" si="252"/>
        <v>0</v>
      </c>
      <c r="J1606">
        <f t="shared" si="253"/>
        <v>0</v>
      </c>
      <c r="K1606">
        <f t="shared" si="254"/>
        <v>760638</v>
      </c>
      <c r="L1606">
        <f t="shared" si="255"/>
        <v>0</v>
      </c>
      <c r="M1606">
        <f t="shared" si="256"/>
        <v>0</v>
      </c>
      <c r="N1606">
        <f t="shared" si="257"/>
        <v>523</v>
      </c>
    </row>
    <row r="1607" spans="1:14" x14ac:dyDescent="0.35">
      <c r="A1607" s="9">
        <v>9961121</v>
      </c>
      <c r="B1607" s="10">
        <v>42940</v>
      </c>
      <c r="C1607" s="11">
        <v>0.58304398148148151</v>
      </c>
      <c r="D1607" s="12">
        <v>0.58518518518518514</v>
      </c>
      <c r="E1607" s="20">
        <f t="shared" si="250"/>
        <v>2.1412037037036313E-3</v>
      </c>
      <c r="F1607" t="str">
        <f t="shared" si="251"/>
        <v>stacjonarny</v>
      </c>
      <c r="G1607" s="23">
        <f t="shared" si="258"/>
        <v>570352</v>
      </c>
      <c r="H1607">
        <f t="shared" si="259"/>
        <v>190471</v>
      </c>
      <c r="I1607">
        <f t="shared" si="252"/>
        <v>0</v>
      </c>
      <c r="J1607">
        <f t="shared" si="253"/>
        <v>0</v>
      </c>
      <c r="K1607">
        <f t="shared" si="254"/>
        <v>760823</v>
      </c>
      <c r="L1607">
        <f t="shared" si="255"/>
        <v>0</v>
      </c>
      <c r="M1607">
        <f t="shared" si="256"/>
        <v>185</v>
      </c>
      <c r="N1607">
        <f t="shared" si="257"/>
        <v>0</v>
      </c>
    </row>
    <row r="1608" spans="1:14" x14ac:dyDescent="0.35">
      <c r="A1608" s="5">
        <v>5303411</v>
      </c>
      <c r="B1608" s="6">
        <v>42940</v>
      </c>
      <c r="C1608" s="7">
        <v>0.58652777777777776</v>
      </c>
      <c r="D1608" s="8">
        <v>0.5917824074074074</v>
      </c>
      <c r="E1608" s="20">
        <f t="shared" si="250"/>
        <v>5.2546296296296369E-3</v>
      </c>
      <c r="F1608" t="str">
        <f t="shared" si="251"/>
        <v>stacjonarny</v>
      </c>
      <c r="G1608" s="23">
        <f t="shared" si="258"/>
        <v>570806</v>
      </c>
      <c r="H1608">
        <f t="shared" si="259"/>
        <v>190471</v>
      </c>
      <c r="I1608">
        <f t="shared" si="252"/>
        <v>0</v>
      </c>
      <c r="J1608">
        <f t="shared" si="253"/>
        <v>0</v>
      </c>
      <c r="K1608">
        <f t="shared" si="254"/>
        <v>761277</v>
      </c>
      <c r="L1608">
        <f t="shared" si="255"/>
        <v>0</v>
      </c>
      <c r="M1608">
        <f t="shared" si="256"/>
        <v>454</v>
      </c>
      <c r="N1608">
        <f t="shared" si="257"/>
        <v>0</v>
      </c>
    </row>
    <row r="1609" spans="1:14" x14ac:dyDescent="0.35">
      <c r="A1609" s="9">
        <v>4657345</v>
      </c>
      <c r="B1609" s="10">
        <v>42940</v>
      </c>
      <c r="C1609" s="11">
        <v>0.58981481481481479</v>
      </c>
      <c r="D1609" s="12">
        <v>0.59037037037037032</v>
      </c>
      <c r="E1609" s="20">
        <f t="shared" si="250"/>
        <v>5.5555555555553138E-4</v>
      </c>
      <c r="F1609" t="str">
        <f t="shared" si="251"/>
        <v>stacjonarny</v>
      </c>
      <c r="G1609" s="23">
        <f t="shared" si="258"/>
        <v>570854</v>
      </c>
      <c r="H1609">
        <f t="shared" si="259"/>
        <v>190471</v>
      </c>
      <c r="I1609">
        <f t="shared" si="252"/>
        <v>0</v>
      </c>
      <c r="J1609">
        <f t="shared" si="253"/>
        <v>0</v>
      </c>
      <c r="K1609">
        <f t="shared" si="254"/>
        <v>761325</v>
      </c>
      <c r="L1609">
        <f t="shared" si="255"/>
        <v>0</v>
      </c>
      <c r="M1609">
        <f t="shared" si="256"/>
        <v>48</v>
      </c>
      <c r="N1609">
        <f t="shared" si="257"/>
        <v>0</v>
      </c>
    </row>
    <row r="1610" spans="1:14" x14ac:dyDescent="0.35">
      <c r="A1610" s="5">
        <v>5850216</v>
      </c>
      <c r="B1610" s="6">
        <v>42940</v>
      </c>
      <c r="C1610" s="7">
        <v>0.59325231481481477</v>
      </c>
      <c r="D1610" s="8">
        <v>0.59866898148148151</v>
      </c>
      <c r="E1610" s="20">
        <f t="shared" si="250"/>
        <v>5.4166666666667362E-3</v>
      </c>
      <c r="F1610" t="str">
        <f t="shared" si="251"/>
        <v>stacjonarny</v>
      </c>
      <c r="G1610" s="23">
        <f t="shared" si="258"/>
        <v>571322</v>
      </c>
      <c r="H1610">
        <f t="shared" si="259"/>
        <v>190471</v>
      </c>
      <c r="I1610">
        <f t="shared" si="252"/>
        <v>0</v>
      </c>
      <c r="J1610">
        <f t="shared" si="253"/>
        <v>0</v>
      </c>
      <c r="K1610">
        <f t="shared" si="254"/>
        <v>761793</v>
      </c>
      <c r="L1610">
        <f t="shared" si="255"/>
        <v>0</v>
      </c>
      <c r="M1610">
        <f t="shared" si="256"/>
        <v>468</v>
      </c>
      <c r="N1610">
        <f t="shared" si="257"/>
        <v>0</v>
      </c>
    </row>
    <row r="1611" spans="1:14" x14ac:dyDescent="0.35">
      <c r="A1611" s="9">
        <v>4927402</v>
      </c>
      <c r="B1611" s="10">
        <v>42940</v>
      </c>
      <c r="C1611" s="11">
        <v>0.59351851851851856</v>
      </c>
      <c r="D1611" s="12">
        <v>0.60163194444444446</v>
      </c>
      <c r="E1611" s="20">
        <f t="shared" si="250"/>
        <v>8.113425925925899E-3</v>
      </c>
      <c r="F1611" t="str">
        <f t="shared" si="251"/>
        <v>stacjonarny</v>
      </c>
      <c r="G1611" s="23">
        <f t="shared" si="258"/>
        <v>572023</v>
      </c>
      <c r="H1611">
        <f t="shared" si="259"/>
        <v>190471</v>
      </c>
      <c r="I1611">
        <f t="shared" si="252"/>
        <v>0</v>
      </c>
      <c r="J1611">
        <f t="shared" si="253"/>
        <v>0</v>
      </c>
      <c r="K1611">
        <f t="shared" si="254"/>
        <v>762494</v>
      </c>
      <c r="L1611">
        <f t="shared" si="255"/>
        <v>0</v>
      </c>
      <c r="M1611">
        <f t="shared" si="256"/>
        <v>701</v>
      </c>
      <c r="N1611">
        <f t="shared" si="257"/>
        <v>0</v>
      </c>
    </row>
    <row r="1612" spans="1:14" x14ac:dyDescent="0.35">
      <c r="A1612" s="5">
        <v>60113139</v>
      </c>
      <c r="B1612" s="6">
        <v>42940</v>
      </c>
      <c r="C1612" s="7">
        <v>0.59663194444444445</v>
      </c>
      <c r="D1612" s="8">
        <v>0.60359953703703706</v>
      </c>
      <c r="E1612" s="20">
        <f t="shared" si="250"/>
        <v>6.9675925925926085E-3</v>
      </c>
      <c r="F1612" t="str">
        <f t="shared" si="251"/>
        <v>komorkowy</v>
      </c>
      <c r="G1612" s="23">
        <f t="shared" si="258"/>
        <v>572023</v>
      </c>
      <c r="H1612">
        <f t="shared" si="259"/>
        <v>191073</v>
      </c>
      <c r="I1612">
        <f t="shared" si="252"/>
        <v>0</v>
      </c>
      <c r="J1612">
        <f t="shared" si="253"/>
        <v>0</v>
      </c>
      <c r="K1612">
        <f t="shared" si="254"/>
        <v>763096</v>
      </c>
      <c r="L1612">
        <f t="shared" si="255"/>
        <v>0</v>
      </c>
      <c r="M1612">
        <f t="shared" si="256"/>
        <v>0</v>
      </c>
      <c r="N1612">
        <f t="shared" si="257"/>
        <v>602</v>
      </c>
    </row>
    <row r="1613" spans="1:14" x14ac:dyDescent="0.35">
      <c r="A1613" s="9">
        <v>2644526</v>
      </c>
      <c r="B1613" s="10">
        <v>42940</v>
      </c>
      <c r="C1613" s="11">
        <v>0.59864583333333332</v>
      </c>
      <c r="D1613" s="12">
        <v>0.6056597222222222</v>
      </c>
      <c r="E1613" s="20">
        <f t="shared" si="250"/>
        <v>7.0138888888888751E-3</v>
      </c>
      <c r="F1613" t="str">
        <f t="shared" si="251"/>
        <v>stacjonarny</v>
      </c>
      <c r="G1613" s="23">
        <f t="shared" si="258"/>
        <v>572629</v>
      </c>
      <c r="H1613">
        <f t="shared" si="259"/>
        <v>191073</v>
      </c>
      <c r="I1613">
        <f t="shared" si="252"/>
        <v>0</v>
      </c>
      <c r="J1613">
        <f t="shared" si="253"/>
        <v>0</v>
      </c>
      <c r="K1613">
        <f t="shared" si="254"/>
        <v>763702</v>
      </c>
      <c r="L1613">
        <f t="shared" si="255"/>
        <v>0</v>
      </c>
      <c r="M1613">
        <f t="shared" si="256"/>
        <v>606</v>
      </c>
      <c r="N1613">
        <f t="shared" si="257"/>
        <v>0</v>
      </c>
    </row>
    <row r="1614" spans="1:14" x14ac:dyDescent="0.35">
      <c r="A1614" s="5">
        <v>7226610</v>
      </c>
      <c r="B1614" s="6">
        <v>42940</v>
      </c>
      <c r="C1614" s="7">
        <v>0.6005787037037037</v>
      </c>
      <c r="D1614" s="8">
        <v>0.6107407407407407</v>
      </c>
      <c r="E1614" s="20">
        <f t="shared" si="250"/>
        <v>1.0162037037036997E-2</v>
      </c>
      <c r="F1614" t="str">
        <f t="shared" si="251"/>
        <v>stacjonarny</v>
      </c>
      <c r="G1614" s="23">
        <f t="shared" si="258"/>
        <v>573507</v>
      </c>
      <c r="H1614">
        <f t="shared" si="259"/>
        <v>191073</v>
      </c>
      <c r="I1614">
        <f t="shared" si="252"/>
        <v>0</v>
      </c>
      <c r="J1614">
        <f t="shared" si="253"/>
        <v>0</v>
      </c>
      <c r="K1614">
        <f t="shared" si="254"/>
        <v>764580</v>
      </c>
      <c r="L1614">
        <f t="shared" si="255"/>
        <v>0</v>
      </c>
      <c r="M1614">
        <f t="shared" si="256"/>
        <v>878</v>
      </c>
      <c r="N1614">
        <f t="shared" si="257"/>
        <v>0</v>
      </c>
    </row>
    <row r="1615" spans="1:14" x14ac:dyDescent="0.35">
      <c r="A1615" s="9">
        <v>9328179</v>
      </c>
      <c r="B1615" s="10">
        <v>42940</v>
      </c>
      <c r="C1615" s="11">
        <v>0.60211805555555553</v>
      </c>
      <c r="D1615" s="12">
        <v>0.60282407407407412</v>
      </c>
      <c r="E1615" s="20">
        <f t="shared" si="250"/>
        <v>7.0601851851859188E-4</v>
      </c>
      <c r="F1615" t="str">
        <f t="shared" si="251"/>
        <v>stacjonarny</v>
      </c>
      <c r="G1615" s="23">
        <f t="shared" si="258"/>
        <v>573568</v>
      </c>
      <c r="H1615">
        <f t="shared" si="259"/>
        <v>191073</v>
      </c>
      <c r="I1615">
        <f t="shared" si="252"/>
        <v>0</v>
      </c>
      <c r="J1615">
        <f t="shared" si="253"/>
        <v>0</v>
      </c>
      <c r="K1615">
        <f t="shared" si="254"/>
        <v>764641</v>
      </c>
      <c r="L1615">
        <f t="shared" si="255"/>
        <v>0</v>
      </c>
      <c r="M1615">
        <f t="shared" si="256"/>
        <v>61</v>
      </c>
      <c r="N1615">
        <f t="shared" si="257"/>
        <v>0</v>
      </c>
    </row>
    <row r="1616" spans="1:14" x14ac:dyDescent="0.35">
      <c r="A1616" s="5">
        <v>7457716</v>
      </c>
      <c r="B1616" s="6">
        <v>42940</v>
      </c>
      <c r="C1616" s="7">
        <v>0.6068634259259259</v>
      </c>
      <c r="D1616" s="8">
        <v>0.61152777777777778</v>
      </c>
      <c r="E1616" s="20">
        <f t="shared" si="250"/>
        <v>4.6643518518518778E-3</v>
      </c>
      <c r="F1616" t="str">
        <f t="shared" si="251"/>
        <v>stacjonarny</v>
      </c>
      <c r="G1616" s="23">
        <f t="shared" si="258"/>
        <v>573971</v>
      </c>
      <c r="H1616">
        <f t="shared" si="259"/>
        <v>191073</v>
      </c>
      <c r="I1616">
        <f t="shared" si="252"/>
        <v>0</v>
      </c>
      <c r="J1616">
        <f t="shared" si="253"/>
        <v>0</v>
      </c>
      <c r="K1616">
        <f t="shared" si="254"/>
        <v>765044</v>
      </c>
      <c r="L1616">
        <f t="shared" si="255"/>
        <v>0</v>
      </c>
      <c r="M1616">
        <f t="shared" si="256"/>
        <v>403</v>
      </c>
      <c r="N1616">
        <f t="shared" si="257"/>
        <v>0</v>
      </c>
    </row>
    <row r="1617" spans="1:14" x14ac:dyDescent="0.35">
      <c r="A1617" s="9">
        <v>1739364</v>
      </c>
      <c r="B1617" s="10">
        <v>42940</v>
      </c>
      <c r="C1617" s="11">
        <v>0.61100694444444448</v>
      </c>
      <c r="D1617" s="12">
        <v>0.62071759259259263</v>
      </c>
      <c r="E1617" s="20">
        <f t="shared" si="250"/>
        <v>9.7106481481481488E-3</v>
      </c>
      <c r="F1617" t="str">
        <f t="shared" si="251"/>
        <v>stacjonarny</v>
      </c>
      <c r="G1617" s="23">
        <f t="shared" si="258"/>
        <v>574810</v>
      </c>
      <c r="H1617">
        <f t="shared" si="259"/>
        <v>191073</v>
      </c>
      <c r="I1617">
        <f t="shared" si="252"/>
        <v>0</v>
      </c>
      <c r="J1617">
        <f t="shared" si="253"/>
        <v>0</v>
      </c>
      <c r="K1617">
        <f t="shared" si="254"/>
        <v>765883</v>
      </c>
      <c r="L1617">
        <f t="shared" si="255"/>
        <v>0</v>
      </c>
      <c r="M1617">
        <f t="shared" si="256"/>
        <v>839</v>
      </c>
      <c r="N1617">
        <f t="shared" si="257"/>
        <v>0</v>
      </c>
    </row>
    <row r="1618" spans="1:14" x14ac:dyDescent="0.35">
      <c r="A1618" s="5">
        <v>1677537</v>
      </c>
      <c r="B1618" s="6">
        <v>42940</v>
      </c>
      <c r="C1618" s="7">
        <v>0.61471064814814813</v>
      </c>
      <c r="D1618" s="8">
        <v>0.62232638888888892</v>
      </c>
      <c r="E1618" s="20">
        <f t="shared" si="250"/>
        <v>7.615740740740784E-3</v>
      </c>
      <c r="F1618" t="str">
        <f t="shared" si="251"/>
        <v>stacjonarny</v>
      </c>
      <c r="G1618" s="23">
        <f t="shared" si="258"/>
        <v>575468</v>
      </c>
      <c r="H1618">
        <f t="shared" si="259"/>
        <v>191073</v>
      </c>
      <c r="I1618">
        <f t="shared" si="252"/>
        <v>0</v>
      </c>
      <c r="J1618">
        <f t="shared" si="253"/>
        <v>0</v>
      </c>
      <c r="K1618">
        <f t="shared" si="254"/>
        <v>766541</v>
      </c>
      <c r="L1618">
        <f t="shared" si="255"/>
        <v>0</v>
      </c>
      <c r="M1618">
        <f t="shared" si="256"/>
        <v>658</v>
      </c>
      <c r="N1618">
        <f t="shared" si="257"/>
        <v>0</v>
      </c>
    </row>
    <row r="1619" spans="1:14" x14ac:dyDescent="0.35">
      <c r="A1619" s="9">
        <v>55614678</v>
      </c>
      <c r="B1619" s="10">
        <v>42940</v>
      </c>
      <c r="C1619" s="11">
        <v>0.61826388888888884</v>
      </c>
      <c r="D1619" s="12">
        <v>0.62091435185185184</v>
      </c>
      <c r="E1619" s="20">
        <f t="shared" si="250"/>
        <v>2.6504629629630072E-3</v>
      </c>
      <c r="F1619" t="str">
        <f t="shared" si="251"/>
        <v>komorkowy</v>
      </c>
      <c r="G1619" s="23">
        <f t="shared" si="258"/>
        <v>575468</v>
      </c>
      <c r="H1619">
        <f t="shared" si="259"/>
        <v>191302</v>
      </c>
      <c r="I1619">
        <f t="shared" si="252"/>
        <v>0</v>
      </c>
      <c r="J1619">
        <f t="shared" si="253"/>
        <v>0</v>
      </c>
      <c r="K1619">
        <f t="shared" si="254"/>
        <v>766770</v>
      </c>
      <c r="L1619">
        <f t="shared" si="255"/>
        <v>0</v>
      </c>
      <c r="M1619">
        <f t="shared" si="256"/>
        <v>0</v>
      </c>
      <c r="N1619">
        <f t="shared" si="257"/>
        <v>229</v>
      </c>
    </row>
    <row r="1620" spans="1:14" x14ac:dyDescent="0.35">
      <c r="A1620" s="5">
        <v>4272221</v>
      </c>
      <c r="B1620" s="6">
        <v>42940</v>
      </c>
      <c r="C1620" s="7">
        <v>0.62152777777777779</v>
      </c>
      <c r="D1620" s="8">
        <v>0.62572916666666667</v>
      </c>
      <c r="E1620" s="20">
        <f t="shared" si="250"/>
        <v>4.2013888888888795E-3</v>
      </c>
      <c r="F1620" t="str">
        <f t="shared" si="251"/>
        <v>stacjonarny</v>
      </c>
      <c r="G1620" s="23">
        <f t="shared" si="258"/>
        <v>575831</v>
      </c>
      <c r="H1620">
        <f t="shared" si="259"/>
        <v>191302</v>
      </c>
      <c r="I1620">
        <f t="shared" si="252"/>
        <v>0</v>
      </c>
      <c r="J1620">
        <f t="shared" si="253"/>
        <v>0</v>
      </c>
      <c r="K1620">
        <f t="shared" si="254"/>
        <v>767133</v>
      </c>
      <c r="L1620">
        <f t="shared" si="255"/>
        <v>0</v>
      </c>
      <c r="M1620">
        <f t="shared" si="256"/>
        <v>363</v>
      </c>
      <c r="N1620">
        <f t="shared" si="257"/>
        <v>0</v>
      </c>
    </row>
    <row r="1621" spans="1:14" x14ac:dyDescent="0.35">
      <c r="A1621" s="9">
        <v>1740380</v>
      </c>
      <c r="B1621" s="10">
        <v>42940</v>
      </c>
      <c r="C1621" s="11">
        <v>0.62605324074074076</v>
      </c>
      <c r="D1621" s="12">
        <v>0.63655092592592588</v>
      </c>
      <c r="E1621" s="20">
        <f t="shared" si="250"/>
        <v>1.0497685185185124E-2</v>
      </c>
      <c r="F1621" t="str">
        <f t="shared" si="251"/>
        <v>stacjonarny</v>
      </c>
      <c r="G1621" s="23">
        <f t="shared" si="258"/>
        <v>576738</v>
      </c>
      <c r="H1621">
        <f t="shared" si="259"/>
        <v>191302</v>
      </c>
      <c r="I1621">
        <f t="shared" si="252"/>
        <v>0</v>
      </c>
      <c r="J1621">
        <f t="shared" si="253"/>
        <v>0</v>
      </c>
      <c r="K1621">
        <f t="shared" si="254"/>
        <v>768040</v>
      </c>
      <c r="L1621">
        <f t="shared" si="255"/>
        <v>0</v>
      </c>
      <c r="M1621">
        <f t="shared" si="256"/>
        <v>907</v>
      </c>
      <c r="N1621">
        <f t="shared" si="257"/>
        <v>0</v>
      </c>
    </row>
    <row r="1622" spans="1:14" x14ac:dyDescent="0.35">
      <c r="A1622" s="5">
        <v>6005355</v>
      </c>
      <c r="B1622" s="6">
        <v>42941</v>
      </c>
      <c r="C1622" s="7">
        <v>0.33688657407407407</v>
      </c>
      <c r="D1622" s="8">
        <v>0.34452546296296294</v>
      </c>
      <c r="E1622" s="20">
        <f t="shared" si="250"/>
        <v>7.6388888888888618E-3</v>
      </c>
      <c r="F1622" t="str">
        <f t="shared" si="251"/>
        <v>stacjonarny</v>
      </c>
      <c r="G1622" s="23">
        <f t="shared" si="258"/>
        <v>577398</v>
      </c>
      <c r="H1622">
        <f t="shared" si="259"/>
        <v>191302</v>
      </c>
      <c r="I1622">
        <f t="shared" si="252"/>
        <v>0</v>
      </c>
      <c r="J1622">
        <f t="shared" si="253"/>
        <v>0</v>
      </c>
      <c r="K1622">
        <f t="shared" si="254"/>
        <v>768700</v>
      </c>
      <c r="L1622">
        <f t="shared" si="255"/>
        <v>0</v>
      </c>
      <c r="M1622">
        <f t="shared" si="256"/>
        <v>660</v>
      </c>
      <c r="N1622">
        <f t="shared" si="257"/>
        <v>0</v>
      </c>
    </row>
    <row r="1623" spans="1:14" x14ac:dyDescent="0.35">
      <c r="A1623" s="9">
        <v>2400590</v>
      </c>
      <c r="B1623" s="10">
        <v>42941</v>
      </c>
      <c r="C1623" s="11">
        <v>0.34145833333333331</v>
      </c>
      <c r="D1623" s="12">
        <v>0.34645833333333331</v>
      </c>
      <c r="E1623" s="20">
        <f t="shared" si="250"/>
        <v>5.0000000000000044E-3</v>
      </c>
      <c r="F1623" t="str">
        <f t="shared" si="251"/>
        <v>stacjonarny</v>
      </c>
      <c r="G1623" s="23">
        <f t="shared" si="258"/>
        <v>577830</v>
      </c>
      <c r="H1623">
        <f t="shared" si="259"/>
        <v>191302</v>
      </c>
      <c r="I1623">
        <f t="shared" si="252"/>
        <v>0</v>
      </c>
      <c r="J1623">
        <f t="shared" si="253"/>
        <v>0</v>
      </c>
      <c r="K1623">
        <f t="shared" si="254"/>
        <v>769132</v>
      </c>
      <c r="L1623">
        <f t="shared" si="255"/>
        <v>0</v>
      </c>
      <c r="M1623">
        <f t="shared" si="256"/>
        <v>432</v>
      </c>
      <c r="N1623">
        <f t="shared" si="257"/>
        <v>0</v>
      </c>
    </row>
    <row r="1624" spans="1:14" x14ac:dyDescent="0.35">
      <c r="A1624" s="5">
        <v>7918038</v>
      </c>
      <c r="B1624" s="6">
        <v>42941</v>
      </c>
      <c r="C1624" s="7">
        <v>0.34278935185185183</v>
      </c>
      <c r="D1624" s="8">
        <v>0.34370370370370368</v>
      </c>
      <c r="E1624" s="20">
        <f t="shared" si="250"/>
        <v>9.1435185185184675E-4</v>
      </c>
      <c r="F1624" t="str">
        <f t="shared" si="251"/>
        <v>stacjonarny</v>
      </c>
      <c r="G1624" s="23">
        <f t="shared" si="258"/>
        <v>577909</v>
      </c>
      <c r="H1624">
        <f t="shared" si="259"/>
        <v>191302</v>
      </c>
      <c r="I1624">
        <f t="shared" si="252"/>
        <v>0</v>
      </c>
      <c r="J1624">
        <f t="shared" si="253"/>
        <v>0</v>
      </c>
      <c r="K1624">
        <f t="shared" si="254"/>
        <v>769211</v>
      </c>
      <c r="L1624">
        <f t="shared" si="255"/>
        <v>0</v>
      </c>
      <c r="M1624">
        <f t="shared" si="256"/>
        <v>79</v>
      </c>
      <c r="N1624">
        <f t="shared" si="257"/>
        <v>0</v>
      </c>
    </row>
    <row r="1625" spans="1:14" x14ac:dyDescent="0.35">
      <c r="A1625" s="9">
        <v>7969038</v>
      </c>
      <c r="B1625" s="10">
        <v>42941</v>
      </c>
      <c r="C1625" s="11">
        <v>0.34605324074074073</v>
      </c>
      <c r="D1625" s="12">
        <v>0.35744212962962962</v>
      </c>
      <c r="E1625" s="20">
        <f t="shared" si="250"/>
        <v>1.1388888888888893E-2</v>
      </c>
      <c r="F1625" t="str">
        <f t="shared" si="251"/>
        <v>stacjonarny</v>
      </c>
      <c r="G1625" s="23">
        <f t="shared" si="258"/>
        <v>578893</v>
      </c>
      <c r="H1625">
        <f t="shared" si="259"/>
        <v>191302</v>
      </c>
      <c r="I1625">
        <f t="shared" si="252"/>
        <v>0</v>
      </c>
      <c r="J1625">
        <f t="shared" si="253"/>
        <v>0</v>
      </c>
      <c r="K1625">
        <f t="shared" si="254"/>
        <v>770195</v>
      </c>
      <c r="L1625">
        <f t="shared" si="255"/>
        <v>0</v>
      </c>
      <c r="M1625">
        <f t="shared" si="256"/>
        <v>984</v>
      </c>
      <c r="N1625">
        <f t="shared" si="257"/>
        <v>0</v>
      </c>
    </row>
    <row r="1626" spans="1:14" x14ac:dyDescent="0.35">
      <c r="A1626" s="5">
        <v>5833452</v>
      </c>
      <c r="B1626" s="6">
        <v>42941</v>
      </c>
      <c r="C1626" s="7">
        <v>0.34989583333333335</v>
      </c>
      <c r="D1626" s="8">
        <v>0.35214120370370372</v>
      </c>
      <c r="E1626" s="20">
        <f t="shared" si="250"/>
        <v>2.2453703703703698E-3</v>
      </c>
      <c r="F1626" t="str">
        <f t="shared" si="251"/>
        <v>stacjonarny</v>
      </c>
      <c r="G1626" s="23">
        <f t="shared" si="258"/>
        <v>579087</v>
      </c>
      <c r="H1626">
        <f t="shared" si="259"/>
        <v>191302</v>
      </c>
      <c r="I1626">
        <f t="shared" si="252"/>
        <v>0</v>
      </c>
      <c r="J1626">
        <f t="shared" si="253"/>
        <v>0</v>
      </c>
      <c r="K1626">
        <f t="shared" si="254"/>
        <v>770389</v>
      </c>
      <c r="L1626">
        <f t="shared" si="255"/>
        <v>0</v>
      </c>
      <c r="M1626">
        <f t="shared" si="256"/>
        <v>194</v>
      </c>
      <c r="N1626">
        <f t="shared" si="257"/>
        <v>0</v>
      </c>
    </row>
    <row r="1627" spans="1:14" x14ac:dyDescent="0.35">
      <c r="A1627" s="9">
        <v>11425383</v>
      </c>
      <c r="B1627" s="10">
        <v>42941</v>
      </c>
      <c r="C1627" s="11">
        <v>0.35267361111111112</v>
      </c>
      <c r="D1627" s="12">
        <v>0.36171296296296296</v>
      </c>
      <c r="E1627" s="20">
        <f t="shared" si="250"/>
        <v>9.0393518518518401E-3</v>
      </c>
      <c r="F1627" t="str">
        <f t="shared" si="251"/>
        <v>komorkowy</v>
      </c>
      <c r="G1627" s="23">
        <f t="shared" si="258"/>
        <v>579087</v>
      </c>
      <c r="H1627">
        <f t="shared" si="259"/>
        <v>192083</v>
      </c>
      <c r="I1627">
        <f t="shared" si="252"/>
        <v>0</v>
      </c>
      <c r="J1627">
        <f t="shared" si="253"/>
        <v>0</v>
      </c>
      <c r="K1627">
        <f t="shared" si="254"/>
        <v>771170</v>
      </c>
      <c r="L1627">
        <f t="shared" si="255"/>
        <v>0</v>
      </c>
      <c r="M1627">
        <f t="shared" si="256"/>
        <v>0</v>
      </c>
      <c r="N1627">
        <f t="shared" si="257"/>
        <v>781</v>
      </c>
    </row>
    <row r="1628" spans="1:14" x14ac:dyDescent="0.35">
      <c r="A1628" s="5">
        <v>2900584</v>
      </c>
      <c r="B1628" s="6">
        <v>42941</v>
      </c>
      <c r="C1628" s="7">
        <v>0.35335648148148147</v>
      </c>
      <c r="D1628" s="8">
        <v>0.36329861111111111</v>
      </c>
      <c r="E1628" s="20">
        <f t="shared" si="250"/>
        <v>9.942129629629648E-3</v>
      </c>
      <c r="F1628" t="str">
        <f t="shared" si="251"/>
        <v>stacjonarny</v>
      </c>
      <c r="G1628" s="23">
        <f t="shared" si="258"/>
        <v>579946</v>
      </c>
      <c r="H1628">
        <f t="shared" si="259"/>
        <v>192083</v>
      </c>
      <c r="I1628">
        <f t="shared" si="252"/>
        <v>0</v>
      </c>
      <c r="J1628">
        <f t="shared" si="253"/>
        <v>0</v>
      </c>
      <c r="K1628">
        <f t="shared" si="254"/>
        <v>772029</v>
      </c>
      <c r="L1628">
        <f t="shared" si="255"/>
        <v>0</v>
      </c>
      <c r="M1628">
        <f t="shared" si="256"/>
        <v>859</v>
      </c>
      <c r="N1628">
        <f t="shared" si="257"/>
        <v>0</v>
      </c>
    </row>
    <row r="1629" spans="1:14" x14ac:dyDescent="0.35">
      <c r="A1629" s="9">
        <v>77705897</v>
      </c>
      <c r="B1629" s="10">
        <v>42941</v>
      </c>
      <c r="C1629" s="11">
        <v>0.35603009259259261</v>
      </c>
      <c r="D1629" s="12">
        <v>0.35928240740740741</v>
      </c>
      <c r="E1629" s="20">
        <f t="shared" si="250"/>
        <v>3.2523148148148051E-3</v>
      </c>
      <c r="F1629" t="str">
        <f t="shared" si="251"/>
        <v>komorkowy</v>
      </c>
      <c r="G1629" s="23">
        <f t="shared" si="258"/>
        <v>579946</v>
      </c>
      <c r="H1629">
        <f t="shared" si="259"/>
        <v>192364</v>
      </c>
      <c r="I1629">
        <f t="shared" si="252"/>
        <v>0</v>
      </c>
      <c r="J1629">
        <f t="shared" si="253"/>
        <v>0</v>
      </c>
      <c r="K1629">
        <f t="shared" si="254"/>
        <v>772310</v>
      </c>
      <c r="L1629">
        <f t="shared" si="255"/>
        <v>0</v>
      </c>
      <c r="M1629">
        <f t="shared" si="256"/>
        <v>0</v>
      </c>
      <c r="N1629">
        <f t="shared" si="257"/>
        <v>281</v>
      </c>
    </row>
    <row r="1630" spans="1:14" x14ac:dyDescent="0.35">
      <c r="A1630" s="5">
        <v>48497496</v>
      </c>
      <c r="B1630" s="6">
        <v>42941</v>
      </c>
      <c r="C1630" s="7">
        <v>0.35881944444444447</v>
      </c>
      <c r="D1630" s="8">
        <v>0.36379629629629628</v>
      </c>
      <c r="E1630" s="20">
        <f t="shared" si="250"/>
        <v>4.9768518518518157E-3</v>
      </c>
      <c r="F1630" t="str">
        <f t="shared" si="251"/>
        <v>komorkowy</v>
      </c>
      <c r="G1630" s="23">
        <f t="shared" si="258"/>
        <v>579946</v>
      </c>
      <c r="H1630">
        <f t="shared" si="259"/>
        <v>192794</v>
      </c>
      <c r="I1630">
        <f t="shared" si="252"/>
        <v>0</v>
      </c>
      <c r="J1630">
        <f t="shared" si="253"/>
        <v>0</v>
      </c>
      <c r="K1630">
        <f t="shared" si="254"/>
        <v>772740</v>
      </c>
      <c r="L1630">
        <f t="shared" si="255"/>
        <v>0</v>
      </c>
      <c r="M1630">
        <f t="shared" si="256"/>
        <v>0</v>
      </c>
      <c r="N1630">
        <f t="shared" si="257"/>
        <v>430</v>
      </c>
    </row>
    <row r="1631" spans="1:14" x14ac:dyDescent="0.35">
      <c r="A1631" s="9">
        <v>98695684</v>
      </c>
      <c r="B1631" s="10">
        <v>42941</v>
      </c>
      <c r="C1631" s="11">
        <v>0.3634722222222222</v>
      </c>
      <c r="D1631" s="12">
        <v>0.37498842592592591</v>
      </c>
      <c r="E1631" s="20">
        <f t="shared" si="250"/>
        <v>1.1516203703703709E-2</v>
      </c>
      <c r="F1631" t="str">
        <f t="shared" si="251"/>
        <v>komorkowy</v>
      </c>
      <c r="G1631" s="23">
        <f t="shared" si="258"/>
        <v>579946</v>
      </c>
      <c r="H1631">
        <f t="shared" si="259"/>
        <v>193789</v>
      </c>
      <c r="I1631">
        <f t="shared" si="252"/>
        <v>0</v>
      </c>
      <c r="J1631">
        <f t="shared" si="253"/>
        <v>0</v>
      </c>
      <c r="K1631">
        <f t="shared" si="254"/>
        <v>773735</v>
      </c>
      <c r="L1631">
        <f t="shared" si="255"/>
        <v>0</v>
      </c>
      <c r="M1631">
        <f t="shared" si="256"/>
        <v>0</v>
      </c>
      <c r="N1631">
        <f t="shared" si="257"/>
        <v>995</v>
      </c>
    </row>
    <row r="1632" spans="1:14" x14ac:dyDescent="0.35">
      <c r="A1632" s="5">
        <v>7712618</v>
      </c>
      <c r="B1632" s="6">
        <v>42941</v>
      </c>
      <c r="C1632" s="7">
        <v>0.36773148148148149</v>
      </c>
      <c r="D1632" s="8">
        <v>0.37118055555555557</v>
      </c>
      <c r="E1632" s="20">
        <f t="shared" si="250"/>
        <v>3.4490740740740766E-3</v>
      </c>
      <c r="F1632" t="str">
        <f t="shared" si="251"/>
        <v>stacjonarny</v>
      </c>
      <c r="G1632" s="23">
        <f t="shared" si="258"/>
        <v>580244</v>
      </c>
      <c r="H1632">
        <f t="shared" si="259"/>
        <v>193789</v>
      </c>
      <c r="I1632">
        <f t="shared" si="252"/>
        <v>0</v>
      </c>
      <c r="J1632">
        <f t="shared" si="253"/>
        <v>0</v>
      </c>
      <c r="K1632">
        <f t="shared" si="254"/>
        <v>774033</v>
      </c>
      <c r="L1632">
        <f t="shared" si="255"/>
        <v>0</v>
      </c>
      <c r="M1632">
        <f t="shared" si="256"/>
        <v>298</v>
      </c>
      <c r="N1632">
        <f t="shared" si="257"/>
        <v>0</v>
      </c>
    </row>
    <row r="1633" spans="1:14" x14ac:dyDescent="0.35">
      <c r="A1633" s="9">
        <v>8872311</v>
      </c>
      <c r="B1633" s="10">
        <v>42941</v>
      </c>
      <c r="C1633" s="11">
        <v>0.36854166666666666</v>
      </c>
      <c r="D1633" s="12">
        <v>0.37072916666666667</v>
      </c>
      <c r="E1633" s="20">
        <f t="shared" si="250"/>
        <v>2.1875000000000089E-3</v>
      </c>
      <c r="F1633" t="str">
        <f t="shared" si="251"/>
        <v>stacjonarny</v>
      </c>
      <c r="G1633" s="23">
        <f t="shared" si="258"/>
        <v>580433</v>
      </c>
      <c r="H1633">
        <f t="shared" si="259"/>
        <v>193789</v>
      </c>
      <c r="I1633">
        <f t="shared" si="252"/>
        <v>0</v>
      </c>
      <c r="J1633">
        <f t="shared" si="253"/>
        <v>0</v>
      </c>
      <c r="K1633">
        <f t="shared" si="254"/>
        <v>774222</v>
      </c>
      <c r="L1633">
        <f t="shared" si="255"/>
        <v>0</v>
      </c>
      <c r="M1633">
        <f t="shared" si="256"/>
        <v>189</v>
      </c>
      <c r="N1633">
        <f t="shared" si="257"/>
        <v>0</v>
      </c>
    </row>
    <row r="1634" spans="1:14" x14ac:dyDescent="0.35">
      <c r="A1634" s="5">
        <v>6056372</v>
      </c>
      <c r="B1634" s="6">
        <v>42941</v>
      </c>
      <c r="C1634" s="7">
        <v>0.36930555555555555</v>
      </c>
      <c r="D1634" s="8">
        <v>0.37615740740740738</v>
      </c>
      <c r="E1634" s="20">
        <f t="shared" si="250"/>
        <v>6.8518518518518312E-3</v>
      </c>
      <c r="F1634" t="str">
        <f t="shared" si="251"/>
        <v>stacjonarny</v>
      </c>
      <c r="G1634" s="23">
        <f t="shared" si="258"/>
        <v>581025</v>
      </c>
      <c r="H1634">
        <f t="shared" si="259"/>
        <v>193789</v>
      </c>
      <c r="I1634">
        <f t="shared" si="252"/>
        <v>0</v>
      </c>
      <c r="J1634">
        <f t="shared" si="253"/>
        <v>0</v>
      </c>
      <c r="K1634">
        <f t="shared" si="254"/>
        <v>774814</v>
      </c>
      <c r="L1634">
        <f t="shared" si="255"/>
        <v>0</v>
      </c>
      <c r="M1634">
        <f t="shared" si="256"/>
        <v>592</v>
      </c>
      <c r="N1634">
        <f t="shared" si="257"/>
        <v>0</v>
      </c>
    </row>
    <row r="1635" spans="1:14" x14ac:dyDescent="0.35">
      <c r="A1635" s="9">
        <v>8936656</v>
      </c>
      <c r="B1635" s="10">
        <v>42941</v>
      </c>
      <c r="C1635" s="11">
        <v>0.37222222222222223</v>
      </c>
      <c r="D1635" s="12">
        <v>0.37883101851851853</v>
      </c>
      <c r="E1635" s="20">
        <f t="shared" si="250"/>
        <v>6.6087962962962932E-3</v>
      </c>
      <c r="F1635" t="str">
        <f t="shared" si="251"/>
        <v>stacjonarny</v>
      </c>
      <c r="G1635" s="23">
        <f t="shared" si="258"/>
        <v>581596</v>
      </c>
      <c r="H1635">
        <f t="shared" si="259"/>
        <v>193789</v>
      </c>
      <c r="I1635">
        <f t="shared" si="252"/>
        <v>0</v>
      </c>
      <c r="J1635">
        <f t="shared" si="253"/>
        <v>0</v>
      </c>
      <c r="K1635">
        <f t="shared" si="254"/>
        <v>775385</v>
      </c>
      <c r="L1635">
        <f t="shared" si="255"/>
        <v>0</v>
      </c>
      <c r="M1635">
        <f t="shared" si="256"/>
        <v>571</v>
      </c>
      <c r="N1635">
        <f t="shared" si="257"/>
        <v>0</v>
      </c>
    </row>
    <row r="1636" spans="1:14" x14ac:dyDescent="0.35">
      <c r="A1636" s="5">
        <v>22966872</v>
      </c>
      <c r="B1636" s="6">
        <v>42941</v>
      </c>
      <c r="C1636" s="7">
        <v>0.37277777777777776</v>
      </c>
      <c r="D1636" s="8">
        <v>0.37791666666666668</v>
      </c>
      <c r="E1636" s="20">
        <f t="shared" si="250"/>
        <v>5.138888888888915E-3</v>
      </c>
      <c r="F1636" t="str">
        <f t="shared" si="251"/>
        <v>komorkowy</v>
      </c>
      <c r="G1636" s="23">
        <f t="shared" si="258"/>
        <v>581596</v>
      </c>
      <c r="H1636">
        <f t="shared" si="259"/>
        <v>194233</v>
      </c>
      <c r="I1636">
        <f t="shared" si="252"/>
        <v>0</v>
      </c>
      <c r="J1636">
        <f t="shared" si="253"/>
        <v>0</v>
      </c>
      <c r="K1636">
        <f t="shared" si="254"/>
        <v>775829</v>
      </c>
      <c r="L1636">
        <f t="shared" si="255"/>
        <v>0</v>
      </c>
      <c r="M1636">
        <f t="shared" si="256"/>
        <v>0</v>
      </c>
      <c r="N1636">
        <f t="shared" si="257"/>
        <v>444</v>
      </c>
    </row>
    <row r="1637" spans="1:14" x14ac:dyDescent="0.35">
      <c r="A1637" s="9">
        <v>3908162</v>
      </c>
      <c r="B1637" s="10">
        <v>42941</v>
      </c>
      <c r="C1637" s="11">
        <v>0.37805555555555553</v>
      </c>
      <c r="D1637" s="12">
        <v>0.38770833333333332</v>
      </c>
      <c r="E1637" s="20">
        <f t="shared" si="250"/>
        <v>9.6527777777777879E-3</v>
      </c>
      <c r="F1637" t="str">
        <f t="shared" si="251"/>
        <v>stacjonarny</v>
      </c>
      <c r="G1637" s="23">
        <f t="shared" si="258"/>
        <v>582430</v>
      </c>
      <c r="H1637">
        <f t="shared" si="259"/>
        <v>194233</v>
      </c>
      <c r="I1637">
        <f t="shared" si="252"/>
        <v>0</v>
      </c>
      <c r="J1637">
        <f t="shared" si="253"/>
        <v>0</v>
      </c>
      <c r="K1637">
        <f t="shared" si="254"/>
        <v>776663</v>
      </c>
      <c r="L1637">
        <f t="shared" si="255"/>
        <v>0</v>
      </c>
      <c r="M1637">
        <f t="shared" si="256"/>
        <v>834</v>
      </c>
      <c r="N1637">
        <f t="shared" si="257"/>
        <v>0</v>
      </c>
    </row>
    <row r="1638" spans="1:14" x14ac:dyDescent="0.35">
      <c r="A1638" s="5">
        <v>20485333</v>
      </c>
      <c r="B1638" s="6">
        <v>42941</v>
      </c>
      <c r="C1638" s="7">
        <v>0.38230324074074074</v>
      </c>
      <c r="D1638" s="8">
        <v>0.39293981481481483</v>
      </c>
      <c r="E1638" s="20">
        <f t="shared" si="250"/>
        <v>1.063657407407409E-2</v>
      </c>
      <c r="F1638" t="str">
        <f t="shared" si="251"/>
        <v>komorkowy</v>
      </c>
      <c r="G1638" s="23">
        <f t="shared" si="258"/>
        <v>582430</v>
      </c>
      <c r="H1638">
        <f t="shared" si="259"/>
        <v>195152</v>
      </c>
      <c r="I1638">
        <f t="shared" si="252"/>
        <v>0</v>
      </c>
      <c r="J1638">
        <f t="shared" si="253"/>
        <v>0</v>
      </c>
      <c r="K1638">
        <f t="shared" si="254"/>
        <v>777582</v>
      </c>
      <c r="L1638">
        <f t="shared" si="255"/>
        <v>0</v>
      </c>
      <c r="M1638">
        <f t="shared" si="256"/>
        <v>0</v>
      </c>
      <c r="N1638">
        <f t="shared" si="257"/>
        <v>919</v>
      </c>
    </row>
    <row r="1639" spans="1:14" x14ac:dyDescent="0.35">
      <c r="A1639" s="9">
        <v>78709747</v>
      </c>
      <c r="B1639" s="10">
        <v>42941</v>
      </c>
      <c r="C1639" s="11">
        <v>0.38638888888888889</v>
      </c>
      <c r="D1639" s="12">
        <v>0.38983796296296297</v>
      </c>
      <c r="E1639" s="20">
        <f t="shared" si="250"/>
        <v>3.4490740740740766E-3</v>
      </c>
      <c r="F1639" t="str">
        <f t="shared" si="251"/>
        <v>komorkowy</v>
      </c>
      <c r="G1639" s="23">
        <f t="shared" si="258"/>
        <v>582430</v>
      </c>
      <c r="H1639">
        <f t="shared" si="259"/>
        <v>195450</v>
      </c>
      <c r="I1639">
        <f t="shared" si="252"/>
        <v>0</v>
      </c>
      <c r="J1639">
        <f t="shared" si="253"/>
        <v>0</v>
      </c>
      <c r="K1639">
        <f t="shared" si="254"/>
        <v>777880</v>
      </c>
      <c r="L1639">
        <f t="shared" si="255"/>
        <v>0</v>
      </c>
      <c r="M1639">
        <f t="shared" si="256"/>
        <v>0</v>
      </c>
      <c r="N1639">
        <f t="shared" si="257"/>
        <v>298</v>
      </c>
    </row>
    <row r="1640" spans="1:14" x14ac:dyDescent="0.35">
      <c r="A1640" s="5">
        <v>1859884</v>
      </c>
      <c r="B1640" s="6">
        <v>42941</v>
      </c>
      <c r="C1640" s="7">
        <v>0.38668981481481479</v>
      </c>
      <c r="D1640" s="8">
        <v>0.3913773148148148</v>
      </c>
      <c r="E1640" s="20">
        <f t="shared" si="250"/>
        <v>4.6875000000000111E-3</v>
      </c>
      <c r="F1640" t="str">
        <f t="shared" si="251"/>
        <v>stacjonarny</v>
      </c>
      <c r="G1640" s="23">
        <f t="shared" si="258"/>
        <v>582835</v>
      </c>
      <c r="H1640">
        <f t="shared" si="259"/>
        <v>195450</v>
      </c>
      <c r="I1640">
        <f t="shared" si="252"/>
        <v>0</v>
      </c>
      <c r="J1640">
        <f t="shared" si="253"/>
        <v>0</v>
      </c>
      <c r="K1640">
        <f t="shared" si="254"/>
        <v>778285</v>
      </c>
      <c r="L1640">
        <f t="shared" si="255"/>
        <v>0</v>
      </c>
      <c r="M1640">
        <f t="shared" si="256"/>
        <v>405</v>
      </c>
      <c r="N1640">
        <f t="shared" si="257"/>
        <v>0</v>
      </c>
    </row>
    <row r="1641" spans="1:14" x14ac:dyDescent="0.35">
      <c r="A1641" s="9">
        <v>2866546</v>
      </c>
      <c r="B1641" s="10">
        <v>42941</v>
      </c>
      <c r="C1641" s="11">
        <v>0.39038194444444446</v>
      </c>
      <c r="D1641" s="12">
        <v>0.39797453703703706</v>
      </c>
      <c r="E1641" s="20">
        <f t="shared" si="250"/>
        <v>7.5925925925925952E-3</v>
      </c>
      <c r="F1641" t="str">
        <f t="shared" si="251"/>
        <v>stacjonarny</v>
      </c>
      <c r="G1641" s="23">
        <f t="shared" si="258"/>
        <v>583491</v>
      </c>
      <c r="H1641">
        <f t="shared" si="259"/>
        <v>195450</v>
      </c>
      <c r="I1641">
        <f t="shared" si="252"/>
        <v>0</v>
      </c>
      <c r="J1641">
        <f t="shared" si="253"/>
        <v>0</v>
      </c>
      <c r="K1641">
        <f t="shared" si="254"/>
        <v>778941</v>
      </c>
      <c r="L1641">
        <f t="shared" si="255"/>
        <v>0</v>
      </c>
      <c r="M1641">
        <f t="shared" si="256"/>
        <v>656</v>
      </c>
      <c r="N1641">
        <f t="shared" si="257"/>
        <v>0</v>
      </c>
    </row>
    <row r="1642" spans="1:14" x14ac:dyDescent="0.35">
      <c r="A1642" s="5">
        <v>23715237</v>
      </c>
      <c r="B1642" s="6">
        <v>42941</v>
      </c>
      <c r="C1642" s="7">
        <v>0.39152777777777775</v>
      </c>
      <c r="D1642" s="8">
        <v>0.39559027777777778</v>
      </c>
      <c r="E1642" s="20">
        <f t="shared" si="250"/>
        <v>4.0625000000000244E-3</v>
      </c>
      <c r="F1642" t="str">
        <f t="shared" si="251"/>
        <v>komorkowy</v>
      </c>
      <c r="G1642" s="23">
        <f t="shared" si="258"/>
        <v>583491</v>
      </c>
      <c r="H1642">
        <f t="shared" si="259"/>
        <v>195801</v>
      </c>
      <c r="I1642">
        <f t="shared" si="252"/>
        <v>0</v>
      </c>
      <c r="J1642">
        <f t="shared" si="253"/>
        <v>0</v>
      </c>
      <c r="K1642">
        <f t="shared" si="254"/>
        <v>779292</v>
      </c>
      <c r="L1642">
        <f t="shared" si="255"/>
        <v>0</v>
      </c>
      <c r="M1642">
        <f t="shared" si="256"/>
        <v>0</v>
      </c>
      <c r="N1642">
        <f t="shared" si="257"/>
        <v>351</v>
      </c>
    </row>
    <row r="1643" spans="1:14" x14ac:dyDescent="0.35">
      <c r="A1643" s="9">
        <v>6013508</v>
      </c>
      <c r="B1643" s="10">
        <v>42941</v>
      </c>
      <c r="C1643" s="11">
        <v>0.39195601851851852</v>
      </c>
      <c r="D1643" s="12">
        <v>0.39401620370370372</v>
      </c>
      <c r="E1643" s="20">
        <f t="shared" si="250"/>
        <v>2.0601851851851927E-3</v>
      </c>
      <c r="F1643" t="str">
        <f t="shared" si="251"/>
        <v>stacjonarny</v>
      </c>
      <c r="G1643" s="23">
        <f t="shared" si="258"/>
        <v>583669</v>
      </c>
      <c r="H1643">
        <f t="shared" si="259"/>
        <v>195801</v>
      </c>
      <c r="I1643">
        <f t="shared" si="252"/>
        <v>0</v>
      </c>
      <c r="J1643">
        <f t="shared" si="253"/>
        <v>0</v>
      </c>
      <c r="K1643">
        <f t="shared" si="254"/>
        <v>779470</v>
      </c>
      <c r="L1643">
        <f t="shared" si="255"/>
        <v>0</v>
      </c>
      <c r="M1643">
        <f t="shared" si="256"/>
        <v>178</v>
      </c>
      <c r="N1643">
        <f t="shared" si="257"/>
        <v>0</v>
      </c>
    </row>
    <row r="1644" spans="1:14" x14ac:dyDescent="0.35">
      <c r="A1644" s="5">
        <v>6175467</v>
      </c>
      <c r="B1644" s="6">
        <v>42941</v>
      </c>
      <c r="C1644" s="7">
        <v>0.39753472222222225</v>
      </c>
      <c r="D1644" s="8">
        <v>0.40424768518518517</v>
      </c>
      <c r="E1644" s="20">
        <f t="shared" si="250"/>
        <v>6.7129629629629206E-3</v>
      </c>
      <c r="F1644" t="str">
        <f t="shared" si="251"/>
        <v>stacjonarny</v>
      </c>
      <c r="G1644" s="23">
        <f t="shared" si="258"/>
        <v>584249</v>
      </c>
      <c r="H1644">
        <f t="shared" si="259"/>
        <v>195801</v>
      </c>
      <c r="I1644">
        <f t="shared" si="252"/>
        <v>0</v>
      </c>
      <c r="J1644">
        <f t="shared" si="253"/>
        <v>0</v>
      </c>
      <c r="K1644">
        <f t="shared" si="254"/>
        <v>780050</v>
      </c>
      <c r="L1644">
        <f t="shared" si="255"/>
        <v>0</v>
      </c>
      <c r="M1644">
        <f t="shared" si="256"/>
        <v>580</v>
      </c>
      <c r="N1644">
        <f t="shared" si="257"/>
        <v>0</v>
      </c>
    </row>
    <row r="1645" spans="1:14" x14ac:dyDescent="0.35">
      <c r="A1645" s="9">
        <v>22416837</v>
      </c>
      <c r="B1645" s="10">
        <v>42941</v>
      </c>
      <c r="C1645" s="11">
        <v>0.39881944444444445</v>
      </c>
      <c r="D1645" s="12">
        <v>0.40244212962962961</v>
      </c>
      <c r="E1645" s="20">
        <f t="shared" si="250"/>
        <v>3.6226851851851594E-3</v>
      </c>
      <c r="F1645" t="str">
        <f t="shared" si="251"/>
        <v>komorkowy</v>
      </c>
      <c r="G1645" s="23">
        <f t="shared" si="258"/>
        <v>584249</v>
      </c>
      <c r="H1645">
        <f t="shared" si="259"/>
        <v>196114</v>
      </c>
      <c r="I1645">
        <f t="shared" si="252"/>
        <v>0</v>
      </c>
      <c r="J1645">
        <f t="shared" si="253"/>
        <v>0</v>
      </c>
      <c r="K1645">
        <f t="shared" si="254"/>
        <v>780363</v>
      </c>
      <c r="L1645">
        <f t="shared" si="255"/>
        <v>0</v>
      </c>
      <c r="M1645">
        <f t="shared" si="256"/>
        <v>0</v>
      </c>
      <c r="N1645">
        <f t="shared" si="257"/>
        <v>313</v>
      </c>
    </row>
    <row r="1646" spans="1:14" x14ac:dyDescent="0.35">
      <c r="A1646" s="5">
        <v>9065927</v>
      </c>
      <c r="B1646" s="6">
        <v>42941</v>
      </c>
      <c r="C1646" s="7">
        <v>0.3991898148148148</v>
      </c>
      <c r="D1646" s="8">
        <v>0.40934027777777776</v>
      </c>
      <c r="E1646" s="20">
        <f t="shared" si="250"/>
        <v>1.0150462962962958E-2</v>
      </c>
      <c r="F1646" t="str">
        <f t="shared" si="251"/>
        <v>stacjonarny</v>
      </c>
      <c r="G1646" s="23">
        <f t="shared" si="258"/>
        <v>585126</v>
      </c>
      <c r="H1646">
        <f t="shared" si="259"/>
        <v>196114</v>
      </c>
      <c r="I1646">
        <f t="shared" si="252"/>
        <v>0</v>
      </c>
      <c r="J1646">
        <f t="shared" si="253"/>
        <v>0</v>
      </c>
      <c r="K1646">
        <f t="shared" si="254"/>
        <v>781240</v>
      </c>
      <c r="L1646">
        <f t="shared" si="255"/>
        <v>0</v>
      </c>
      <c r="M1646">
        <f t="shared" si="256"/>
        <v>877</v>
      </c>
      <c r="N1646">
        <f t="shared" si="257"/>
        <v>0</v>
      </c>
    </row>
    <row r="1647" spans="1:14" x14ac:dyDescent="0.35">
      <c r="A1647" s="9">
        <v>8849918</v>
      </c>
      <c r="B1647" s="10">
        <v>42941</v>
      </c>
      <c r="C1647" s="11">
        <v>0.40263888888888888</v>
      </c>
      <c r="D1647" s="12">
        <v>0.40636574074074072</v>
      </c>
      <c r="E1647" s="20">
        <f t="shared" si="250"/>
        <v>3.7268518518518423E-3</v>
      </c>
      <c r="F1647" t="str">
        <f t="shared" si="251"/>
        <v>stacjonarny</v>
      </c>
      <c r="G1647" s="23">
        <f t="shared" si="258"/>
        <v>585448</v>
      </c>
      <c r="H1647">
        <f t="shared" si="259"/>
        <v>196114</v>
      </c>
      <c r="I1647">
        <f t="shared" si="252"/>
        <v>0</v>
      </c>
      <c r="J1647">
        <f t="shared" si="253"/>
        <v>0</v>
      </c>
      <c r="K1647">
        <f t="shared" si="254"/>
        <v>781562</v>
      </c>
      <c r="L1647">
        <f t="shared" si="255"/>
        <v>0</v>
      </c>
      <c r="M1647">
        <f t="shared" si="256"/>
        <v>322</v>
      </c>
      <c r="N1647">
        <f t="shared" si="257"/>
        <v>0</v>
      </c>
    </row>
    <row r="1648" spans="1:14" x14ac:dyDescent="0.35">
      <c r="A1648" s="5">
        <v>8250018</v>
      </c>
      <c r="B1648" s="6">
        <v>42941</v>
      </c>
      <c r="C1648" s="7">
        <v>0.40552083333333333</v>
      </c>
      <c r="D1648" s="8">
        <v>0.41104166666666669</v>
      </c>
      <c r="E1648" s="20">
        <f t="shared" si="250"/>
        <v>5.5208333333333637E-3</v>
      </c>
      <c r="F1648" t="str">
        <f t="shared" si="251"/>
        <v>stacjonarny</v>
      </c>
      <c r="G1648" s="23">
        <f t="shared" si="258"/>
        <v>585925</v>
      </c>
      <c r="H1648">
        <f t="shared" si="259"/>
        <v>196114</v>
      </c>
      <c r="I1648">
        <f t="shared" si="252"/>
        <v>0</v>
      </c>
      <c r="J1648">
        <f t="shared" si="253"/>
        <v>0</v>
      </c>
      <c r="K1648">
        <f t="shared" si="254"/>
        <v>782039</v>
      </c>
      <c r="L1648">
        <f t="shared" si="255"/>
        <v>0</v>
      </c>
      <c r="M1648">
        <f t="shared" si="256"/>
        <v>477</v>
      </c>
      <c r="N1648">
        <f t="shared" si="257"/>
        <v>0</v>
      </c>
    </row>
    <row r="1649" spans="1:14" x14ac:dyDescent="0.35">
      <c r="A1649" s="9">
        <v>20349502</v>
      </c>
      <c r="B1649" s="10">
        <v>42941</v>
      </c>
      <c r="C1649" s="11">
        <v>0.40979166666666667</v>
      </c>
      <c r="D1649" s="12">
        <v>0.41252314814814817</v>
      </c>
      <c r="E1649" s="20">
        <f t="shared" si="250"/>
        <v>2.7314814814815014E-3</v>
      </c>
      <c r="F1649" t="str">
        <f t="shared" si="251"/>
        <v>komorkowy</v>
      </c>
      <c r="G1649" s="23">
        <f t="shared" si="258"/>
        <v>585925</v>
      </c>
      <c r="H1649">
        <f t="shared" si="259"/>
        <v>196350</v>
      </c>
      <c r="I1649">
        <f t="shared" si="252"/>
        <v>0</v>
      </c>
      <c r="J1649">
        <f t="shared" si="253"/>
        <v>0</v>
      </c>
      <c r="K1649">
        <f t="shared" si="254"/>
        <v>782275</v>
      </c>
      <c r="L1649">
        <f t="shared" si="255"/>
        <v>0</v>
      </c>
      <c r="M1649">
        <f t="shared" si="256"/>
        <v>0</v>
      </c>
      <c r="N1649">
        <f t="shared" si="257"/>
        <v>236</v>
      </c>
    </row>
    <row r="1650" spans="1:14" x14ac:dyDescent="0.35">
      <c r="A1650" s="5">
        <v>9894723</v>
      </c>
      <c r="B1650" s="6">
        <v>42941</v>
      </c>
      <c r="C1650" s="7">
        <v>0.40988425925925925</v>
      </c>
      <c r="D1650" s="8">
        <v>0.41157407407407409</v>
      </c>
      <c r="E1650" s="20">
        <f t="shared" si="250"/>
        <v>1.6898148148148384E-3</v>
      </c>
      <c r="F1650" t="str">
        <f t="shared" si="251"/>
        <v>stacjonarny</v>
      </c>
      <c r="G1650" s="23">
        <f t="shared" si="258"/>
        <v>586071</v>
      </c>
      <c r="H1650">
        <f t="shared" si="259"/>
        <v>196350</v>
      </c>
      <c r="I1650">
        <f t="shared" si="252"/>
        <v>0</v>
      </c>
      <c r="J1650">
        <f t="shared" si="253"/>
        <v>0</v>
      </c>
      <c r="K1650">
        <f t="shared" si="254"/>
        <v>782421</v>
      </c>
      <c r="L1650">
        <f t="shared" si="255"/>
        <v>0</v>
      </c>
      <c r="M1650">
        <f t="shared" si="256"/>
        <v>146</v>
      </c>
      <c r="N1650">
        <f t="shared" si="257"/>
        <v>0</v>
      </c>
    </row>
    <row r="1651" spans="1:14" x14ac:dyDescent="0.35">
      <c r="A1651" s="9">
        <v>9458504</v>
      </c>
      <c r="B1651" s="10">
        <v>42941</v>
      </c>
      <c r="C1651" s="11">
        <v>0.41054398148148147</v>
      </c>
      <c r="D1651" s="12">
        <v>0.41620370370370369</v>
      </c>
      <c r="E1651" s="20">
        <f t="shared" si="250"/>
        <v>5.6597222222222188E-3</v>
      </c>
      <c r="F1651" t="str">
        <f t="shared" si="251"/>
        <v>stacjonarny</v>
      </c>
      <c r="G1651" s="23">
        <f t="shared" si="258"/>
        <v>586560</v>
      </c>
      <c r="H1651">
        <f t="shared" si="259"/>
        <v>196350</v>
      </c>
      <c r="I1651">
        <f t="shared" si="252"/>
        <v>0</v>
      </c>
      <c r="J1651">
        <f t="shared" si="253"/>
        <v>0</v>
      </c>
      <c r="K1651">
        <f t="shared" si="254"/>
        <v>782910</v>
      </c>
      <c r="L1651">
        <f t="shared" si="255"/>
        <v>0</v>
      </c>
      <c r="M1651">
        <f t="shared" si="256"/>
        <v>489</v>
      </c>
      <c r="N1651">
        <f t="shared" si="257"/>
        <v>0</v>
      </c>
    </row>
    <row r="1652" spans="1:14" x14ac:dyDescent="0.35">
      <c r="A1652" s="5">
        <v>6741642</v>
      </c>
      <c r="B1652" s="6">
        <v>42941</v>
      </c>
      <c r="C1652" s="7">
        <v>0.41449074074074072</v>
      </c>
      <c r="D1652" s="8">
        <v>0.42371527777777779</v>
      </c>
      <c r="E1652" s="20">
        <f t="shared" si="250"/>
        <v>9.2245370370370727E-3</v>
      </c>
      <c r="F1652" t="str">
        <f t="shared" si="251"/>
        <v>stacjonarny</v>
      </c>
      <c r="G1652" s="23">
        <f t="shared" si="258"/>
        <v>587357</v>
      </c>
      <c r="H1652">
        <f t="shared" si="259"/>
        <v>196350</v>
      </c>
      <c r="I1652">
        <f t="shared" si="252"/>
        <v>0</v>
      </c>
      <c r="J1652">
        <f t="shared" si="253"/>
        <v>0</v>
      </c>
      <c r="K1652">
        <f t="shared" si="254"/>
        <v>783707</v>
      </c>
      <c r="L1652">
        <f t="shared" si="255"/>
        <v>0</v>
      </c>
      <c r="M1652">
        <f t="shared" si="256"/>
        <v>797</v>
      </c>
      <c r="N1652">
        <f t="shared" si="257"/>
        <v>0</v>
      </c>
    </row>
    <row r="1653" spans="1:14" x14ac:dyDescent="0.35">
      <c r="A1653" s="9">
        <v>4824710</v>
      </c>
      <c r="B1653" s="10">
        <v>42941</v>
      </c>
      <c r="C1653" s="11">
        <v>0.42008101851851853</v>
      </c>
      <c r="D1653" s="12">
        <v>0.4206597222222222</v>
      </c>
      <c r="E1653" s="20">
        <f t="shared" si="250"/>
        <v>5.7870370370366464E-4</v>
      </c>
      <c r="F1653" t="str">
        <f t="shared" si="251"/>
        <v>stacjonarny</v>
      </c>
      <c r="G1653" s="23">
        <f t="shared" si="258"/>
        <v>587407</v>
      </c>
      <c r="H1653">
        <f t="shared" si="259"/>
        <v>196350</v>
      </c>
      <c r="I1653">
        <f t="shared" si="252"/>
        <v>0</v>
      </c>
      <c r="J1653">
        <f t="shared" si="253"/>
        <v>0</v>
      </c>
      <c r="K1653">
        <f t="shared" si="254"/>
        <v>783757</v>
      </c>
      <c r="L1653">
        <f t="shared" si="255"/>
        <v>0</v>
      </c>
      <c r="M1653">
        <f t="shared" si="256"/>
        <v>50</v>
      </c>
      <c r="N1653">
        <f t="shared" si="257"/>
        <v>0</v>
      </c>
    </row>
    <row r="1654" spans="1:14" x14ac:dyDescent="0.35">
      <c r="A1654" s="5">
        <v>6465122</v>
      </c>
      <c r="B1654" s="6">
        <v>42941</v>
      </c>
      <c r="C1654" s="7">
        <v>0.42188657407407409</v>
      </c>
      <c r="D1654" s="8">
        <v>0.43138888888888888</v>
      </c>
      <c r="E1654" s="20">
        <f t="shared" si="250"/>
        <v>9.5023148148147829E-3</v>
      </c>
      <c r="F1654" t="str">
        <f t="shared" si="251"/>
        <v>stacjonarny</v>
      </c>
      <c r="G1654" s="23">
        <f t="shared" si="258"/>
        <v>588228</v>
      </c>
      <c r="H1654">
        <f t="shared" si="259"/>
        <v>196350</v>
      </c>
      <c r="I1654">
        <f t="shared" si="252"/>
        <v>0</v>
      </c>
      <c r="J1654">
        <f t="shared" si="253"/>
        <v>0</v>
      </c>
      <c r="K1654">
        <f t="shared" si="254"/>
        <v>784578</v>
      </c>
      <c r="L1654">
        <f t="shared" si="255"/>
        <v>0</v>
      </c>
      <c r="M1654">
        <f t="shared" si="256"/>
        <v>821</v>
      </c>
      <c r="N1654">
        <f t="shared" si="257"/>
        <v>0</v>
      </c>
    </row>
    <row r="1655" spans="1:14" x14ac:dyDescent="0.35">
      <c r="A1655" s="9">
        <v>6940373</v>
      </c>
      <c r="B1655" s="10">
        <v>42941</v>
      </c>
      <c r="C1655" s="11">
        <v>0.42711805555555554</v>
      </c>
      <c r="D1655" s="12">
        <v>0.43450231481481483</v>
      </c>
      <c r="E1655" s="20">
        <f t="shared" si="250"/>
        <v>7.3842592592592848E-3</v>
      </c>
      <c r="F1655" t="str">
        <f t="shared" si="251"/>
        <v>stacjonarny</v>
      </c>
      <c r="G1655" s="23">
        <f t="shared" si="258"/>
        <v>588866</v>
      </c>
      <c r="H1655">
        <f t="shared" si="259"/>
        <v>196350</v>
      </c>
      <c r="I1655">
        <f t="shared" si="252"/>
        <v>0</v>
      </c>
      <c r="J1655">
        <f t="shared" si="253"/>
        <v>0</v>
      </c>
      <c r="K1655">
        <f t="shared" si="254"/>
        <v>785216</v>
      </c>
      <c r="L1655">
        <f t="shared" si="255"/>
        <v>0</v>
      </c>
      <c r="M1655">
        <f t="shared" si="256"/>
        <v>638</v>
      </c>
      <c r="N1655">
        <f t="shared" si="257"/>
        <v>0</v>
      </c>
    </row>
    <row r="1656" spans="1:14" x14ac:dyDescent="0.35">
      <c r="A1656" s="5">
        <v>81613163</v>
      </c>
      <c r="B1656" s="6">
        <v>42941</v>
      </c>
      <c r="C1656" s="7">
        <v>0.43004629629629632</v>
      </c>
      <c r="D1656" s="8">
        <v>0.43855324074074076</v>
      </c>
      <c r="E1656" s="20">
        <f t="shared" si="250"/>
        <v>8.506944444444442E-3</v>
      </c>
      <c r="F1656" t="str">
        <f t="shared" si="251"/>
        <v>komorkowy</v>
      </c>
      <c r="G1656" s="23">
        <f t="shared" si="258"/>
        <v>588866</v>
      </c>
      <c r="H1656">
        <f t="shared" si="259"/>
        <v>197085</v>
      </c>
      <c r="I1656">
        <f t="shared" si="252"/>
        <v>0</v>
      </c>
      <c r="J1656">
        <f t="shared" si="253"/>
        <v>0</v>
      </c>
      <c r="K1656">
        <f t="shared" si="254"/>
        <v>785951</v>
      </c>
      <c r="L1656">
        <f t="shared" si="255"/>
        <v>0</v>
      </c>
      <c r="M1656">
        <f t="shared" si="256"/>
        <v>0</v>
      </c>
      <c r="N1656">
        <f t="shared" si="257"/>
        <v>735</v>
      </c>
    </row>
    <row r="1657" spans="1:14" x14ac:dyDescent="0.35">
      <c r="A1657" s="9">
        <v>9894998</v>
      </c>
      <c r="B1657" s="10">
        <v>42941</v>
      </c>
      <c r="C1657" s="11">
        <v>0.4344675925925926</v>
      </c>
      <c r="D1657" s="12">
        <v>0.44442129629629629</v>
      </c>
      <c r="E1657" s="20">
        <f t="shared" si="250"/>
        <v>9.9537037037036868E-3</v>
      </c>
      <c r="F1657" t="str">
        <f t="shared" si="251"/>
        <v>stacjonarny</v>
      </c>
      <c r="G1657" s="23">
        <f t="shared" si="258"/>
        <v>589726</v>
      </c>
      <c r="H1657">
        <f t="shared" si="259"/>
        <v>197085</v>
      </c>
      <c r="I1657">
        <f t="shared" si="252"/>
        <v>0</v>
      </c>
      <c r="J1657">
        <f t="shared" si="253"/>
        <v>0</v>
      </c>
      <c r="K1657">
        <f t="shared" si="254"/>
        <v>786811</v>
      </c>
      <c r="L1657">
        <f t="shared" si="255"/>
        <v>0</v>
      </c>
      <c r="M1657">
        <f t="shared" si="256"/>
        <v>860</v>
      </c>
      <c r="N1657">
        <f t="shared" si="257"/>
        <v>0</v>
      </c>
    </row>
    <row r="1658" spans="1:14" x14ac:dyDescent="0.35">
      <c r="A1658" s="5">
        <v>7663988</v>
      </c>
      <c r="B1658" s="6">
        <v>42941</v>
      </c>
      <c r="C1658" s="7">
        <v>0.43884259259259262</v>
      </c>
      <c r="D1658" s="8">
        <v>0.44464120370370369</v>
      </c>
      <c r="E1658" s="20">
        <f t="shared" si="250"/>
        <v>5.7986111111110739E-3</v>
      </c>
      <c r="F1658" t="str">
        <f t="shared" si="251"/>
        <v>stacjonarny</v>
      </c>
      <c r="G1658" s="23">
        <f t="shared" si="258"/>
        <v>590227</v>
      </c>
      <c r="H1658">
        <f t="shared" si="259"/>
        <v>197085</v>
      </c>
      <c r="I1658">
        <f t="shared" si="252"/>
        <v>0</v>
      </c>
      <c r="J1658">
        <f t="shared" si="253"/>
        <v>0</v>
      </c>
      <c r="K1658">
        <f t="shared" si="254"/>
        <v>787312</v>
      </c>
      <c r="L1658">
        <f t="shared" si="255"/>
        <v>0</v>
      </c>
      <c r="M1658">
        <f t="shared" si="256"/>
        <v>501</v>
      </c>
      <c r="N1658">
        <f t="shared" si="257"/>
        <v>0</v>
      </c>
    </row>
    <row r="1659" spans="1:14" x14ac:dyDescent="0.35">
      <c r="A1659" s="9">
        <v>29555837</v>
      </c>
      <c r="B1659" s="10">
        <v>42941</v>
      </c>
      <c r="C1659" s="11">
        <v>0.44231481481481483</v>
      </c>
      <c r="D1659" s="12">
        <v>0.45185185185185184</v>
      </c>
      <c r="E1659" s="20">
        <f t="shared" si="250"/>
        <v>9.5370370370370106E-3</v>
      </c>
      <c r="F1659" t="str">
        <f t="shared" si="251"/>
        <v>komorkowy</v>
      </c>
      <c r="G1659" s="23">
        <f t="shared" si="258"/>
        <v>590227</v>
      </c>
      <c r="H1659">
        <f t="shared" si="259"/>
        <v>197909</v>
      </c>
      <c r="I1659">
        <f t="shared" si="252"/>
        <v>0</v>
      </c>
      <c r="J1659">
        <f t="shared" si="253"/>
        <v>0</v>
      </c>
      <c r="K1659">
        <f t="shared" si="254"/>
        <v>788136</v>
      </c>
      <c r="L1659">
        <f t="shared" si="255"/>
        <v>0</v>
      </c>
      <c r="M1659">
        <f t="shared" si="256"/>
        <v>0</v>
      </c>
      <c r="N1659">
        <f t="shared" si="257"/>
        <v>824</v>
      </c>
    </row>
    <row r="1660" spans="1:14" x14ac:dyDescent="0.35">
      <c r="A1660" s="5">
        <v>6890486</v>
      </c>
      <c r="B1660" s="6">
        <v>42941</v>
      </c>
      <c r="C1660" s="7">
        <v>0.44594907407407408</v>
      </c>
      <c r="D1660" s="8">
        <v>0.45099537037037035</v>
      </c>
      <c r="E1660" s="20">
        <f t="shared" si="250"/>
        <v>5.046296296296271E-3</v>
      </c>
      <c r="F1660" t="str">
        <f t="shared" si="251"/>
        <v>stacjonarny</v>
      </c>
      <c r="G1660" s="23">
        <f t="shared" si="258"/>
        <v>590663</v>
      </c>
      <c r="H1660">
        <f t="shared" si="259"/>
        <v>197909</v>
      </c>
      <c r="I1660">
        <f t="shared" si="252"/>
        <v>0</v>
      </c>
      <c r="J1660">
        <f t="shared" si="253"/>
        <v>0</v>
      </c>
      <c r="K1660">
        <f t="shared" si="254"/>
        <v>788572</v>
      </c>
      <c r="L1660">
        <f t="shared" si="255"/>
        <v>0</v>
      </c>
      <c r="M1660">
        <f t="shared" si="256"/>
        <v>436</v>
      </c>
      <c r="N1660">
        <f t="shared" si="257"/>
        <v>0</v>
      </c>
    </row>
    <row r="1661" spans="1:14" x14ac:dyDescent="0.35">
      <c r="A1661" s="9">
        <v>1992079</v>
      </c>
      <c r="B1661" s="10">
        <v>42941</v>
      </c>
      <c r="C1661" s="11">
        <v>0.45004629629629628</v>
      </c>
      <c r="D1661" s="12">
        <v>0.45568287037037036</v>
      </c>
      <c r="E1661" s="20">
        <f t="shared" si="250"/>
        <v>5.6365740740740855E-3</v>
      </c>
      <c r="F1661" t="str">
        <f t="shared" si="251"/>
        <v>stacjonarny</v>
      </c>
      <c r="G1661" s="23">
        <f t="shared" si="258"/>
        <v>591150</v>
      </c>
      <c r="H1661">
        <f t="shared" si="259"/>
        <v>197909</v>
      </c>
      <c r="I1661">
        <f t="shared" si="252"/>
        <v>0</v>
      </c>
      <c r="J1661">
        <f t="shared" si="253"/>
        <v>0</v>
      </c>
      <c r="K1661">
        <f t="shared" si="254"/>
        <v>789059</v>
      </c>
      <c r="L1661">
        <f t="shared" si="255"/>
        <v>0</v>
      </c>
      <c r="M1661">
        <f t="shared" si="256"/>
        <v>487</v>
      </c>
      <c r="N1661">
        <f t="shared" si="257"/>
        <v>0</v>
      </c>
    </row>
    <row r="1662" spans="1:14" x14ac:dyDescent="0.35">
      <c r="A1662" s="5">
        <v>7599611</v>
      </c>
      <c r="B1662" s="6">
        <v>42941</v>
      </c>
      <c r="C1662" s="7">
        <v>0.45217592592592593</v>
      </c>
      <c r="D1662" s="8">
        <v>0.4568402777777778</v>
      </c>
      <c r="E1662" s="20">
        <f t="shared" si="250"/>
        <v>4.6643518518518778E-3</v>
      </c>
      <c r="F1662" t="str">
        <f t="shared" si="251"/>
        <v>stacjonarny</v>
      </c>
      <c r="G1662" s="23">
        <f t="shared" si="258"/>
        <v>591553</v>
      </c>
      <c r="H1662">
        <f t="shared" si="259"/>
        <v>197909</v>
      </c>
      <c r="I1662">
        <f t="shared" si="252"/>
        <v>0</v>
      </c>
      <c r="J1662">
        <f t="shared" si="253"/>
        <v>0</v>
      </c>
      <c r="K1662">
        <f t="shared" si="254"/>
        <v>789462</v>
      </c>
      <c r="L1662">
        <f t="shared" si="255"/>
        <v>0</v>
      </c>
      <c r="M1662">
        <f t="shared" si="256"/>
        <v>403</v>
      </c>
      <c r="N1662">
        <f t="shared" si="257"/>
        <v>0</v>
      </c>
    </row>
    <row r="1663" spans="1:14" x14ac:dyDescent="0.35">
      <c r="A1663" s="9">
        <v>1418351</v>
      </c>
      <c r="B1663" s="10">
        <v>42941</v>
      </c>
      <c r="C1663" s="11">
        <v>0.45377314814814818</v>
      </c>
      <c r="D1663" s="12">
        <v>0.45409722222222221</v>
      </c>
      <c r="E1663" s="20">
        <f t="shared" si="250"/>
        <v>3.2407407407403221E-4</v>
      </c>
      <c r="F1663" t="str">
        <f t="shared" si="251"/>
        <v>stacjonarny</v>
      </c>
      <c r="G1663" s="23">
        <f t="shared" si="258"/>
        <v>591581</v>
      </c>
      <c r="H1663">
        <f t="shared" si="259"/>
        <v>197909</v>
      </c>
      <c r="I1663">
        <f t="shared" si="252"/>
        <v>0</v>
      </c>
      <c r="J1663">
        <f t="shared" si="253"/>
        <v>0</v>
      </c>
      <c r="K1663">
        <f t="shared" si="254"/>
        <v>789490</v>
      </c>
      <c r="L1663">
        <f t="shared" si="255"/>
        <v>0</v>
      </c>
      <c r="M1663">
        <f t="shared" si="256"/>
        <v>28</v>
      </c>
      <c r="N1663">
        <f t="shared" si="257"/>
        <v>0</v>
      </c>
    </row>
    <row r="1664" spans="1:14" x14ac:dyDescent="0.35">
      <c r="A1664" s="5">
        <v>5883714</v>
      </c>
      <c r="B1664" s="6">
        <v>42941</v>
      </c>
      <c r="C1664" s="7">
        <v>0.45886574074074077</v>
      </c>
      <c r="D1664" s="8">
        <v>0.46630787037037036</v>
      </c>
      <c r="E1664" s="20">
        <f t="shared" si="250"/>
        <v>7.4421296296295902E-3</v>
      </c>
      <c r="F1664" t="str">
        <f t="shared" si="251"/>
        <v>stacjonarny</v>
      </c>
      <c r="G1664" s="23">
        <f t="shared" si="258"/>
        <v>592224</v>
      </c>
      <c r="H1664">
        <f t="shared" si="259"/>
        <v>197909</v>
      </c>
      <c r="I1664">
        <f t="shared" si="252"/>
        <v>0</v>
      </c>
      <c r="J1664">
        <f t="shared" si="253"/>
        <v>0</v>
      </c>
      <c r="K1664">
        <f t="shared" si="254"/>
        <v>790133</v>
      </c>
      <c r="L1664">
        <f t="shared" si="255"/>
        <v>0</v>
      </c>
      <c r="M1664">
        <f t="shared" si="256"/>
        <v>643</v>
      </c>
      <c r="N1664">
        <f t="shared" si="257"/>
        <v>0</v>
      </c>
    </row>
    <row r="1665" spans="1:14" x14ac:dyDescent="0.35">
      <c r="A1665" s="9">
        <v>1457083</v>
      </c>
      <c r="B1665" s="10">
        <v>42941</v>
      </c>
      <c r="C1665" s="11">
        <v>0.46381944444444445</v>
      </c>
      <c r="D1665" s="12">
        <v>0.47520833333333334</v>
      </c>
      <c r="E1665" s="20">
        <f t="shared" si="250"/>
        <v>1.1388888888888893E-2</v>
      </c>
      <c r="F1665" t="str">
        <f t="shared" si="251"/>
        <v>stacjonarny</v>
      </c>
      <c r="G1665" s="23">
        <f t="shared" si="258"/>
        <v>593208</v>
      </c>
      <c r="H1665">
        <f t="shared" si="259"/>
        <v>197909</v>
      </c>
      <c r="I1665">
        <f t="shared" si="252"/>
        <v>0</v>
      </c>
      <c r="J1665">
        <f t="shared" si="253"/>
        <v>0</v>
      </c>
      <c r="K1665">
        <f t="shared" si="254"/>
        <v>791117</v>
      </c>
      <c r="L1665">
        <f t="shared" si="255"/>
        <v>0</v>
      </c>
      <c r="M1665">
        <f t="shared" si="256"/>
        <v>984</v>
      </c>
      <c r="N1665">
        <f t="shared" si="257"/>
        <v>0</v>
      </c>
    </row>
    <row r="1666" spans="1:14" x14ac:dyDescent="0.35">
      <c r="A1666" s="5">
        <v>9948096</v>
      </c>
      <c r="B1666" s="6">
        <v>42941</v>
      </c>
      <c r="C1666" s="7">
        <v>0.46564814814814814</v>
      </c>
      <c r="D1666" s="8">
        <v>0.47028935185185183</v>
      </c>
      <c r="E1666" s="20">
        <f t="shared" si="250"/>
        <v>4.6412037037036891E-3</v>
      </c>
      <c r="F1666" t="str">
        <f t="shared" si="251"/>
        <v>stacjonarny</v>
      </c>
      <c r="G1666" s="23">
        <f t="shared" si="258"/>
        <v>593609</v>
      </c>
      <c r="H1666">
        <f t="shared" si="259"/>
        <v>197909</v>
      </c>
      <c r="I1666">
        <f t="shared" si="252"/>
        <v>0</v>
      </c>
      <c r="J1666">
        <f t="shared" si="253"/>
        <v>0</v>
      </c>
      <c r="K1666">
        <f t="shared" si="254"/>
        <v>791518</v>
      </c>
      <c r="L1666">
        <f t="shared" si="255"/>
        <v>0</v>
      </c>
      <c r="M1666">
        <f t="shared" si="256"/>
        <v>401</v>
      </c>
      <c r="N1666">
        <f t="shared" si="257"/>
        <v>0</v>
      </c>
    </row>
    <row r="1667" spans="1:14" x14ac:dyDescent="0.35">
      <c r="A1667" s="9">
        <v>2567031</v>
      </c>
      <c r="B1667" s="10">
        <v>42941</v>
      </c>
      <c r="C1667" s="11">
        <v>0.47077546296296297</v>
      </c>
      <c r="D1667" s="12">
        <v>0.47538194444444443</v>
      </c>
      <c r="E1667" s="20">
        <f t="shared" ref="E1667:E1730" si="260">D1667-C1667</f>
        <v>4.6064814814814614E-3</v>
      </c>
      <c r="F1667" t="str">
        <f t="shared" ref="F1667:F1730" si="261">IF(LEN(A1667)=7,"stacjonarny",IF(LEN(A1667)=8,"komorkowy","zagraniczny"))</f>
        <v>stacjonarny</v>
      </c>
      <c r="G1667" s="23">
        <f t="shared" si="258"/>
        <v>594007</v>
      </c>
      <c r="H1667">
        <f t="shared" si="259"/>
        <v>197909</v>
      </c>
      <c r="I1667">
        <f t="shared" ref="I1667:I1730" si="262">IF(F1667="zagraniczny",MINUTE(E1667)*60+SECOND(E1667)+HOUR(E1667)*3600,0)</f>
        <v>0</v>
      </c>
      <c r="J1667">
        <f t="shared" ref="J1667:J1730" si="263">ROUNDUP(I1667/60,0)</f>
        <v>0</v>
      </c>
      <c r="K1667">
        <f t="shared" ref="K1667:K1730" si="264">G1667+H1667</f>
        <v>791916</v>
      </c>
      <c r="L1667">
        <f t="shared" ref="L1667:L1730" si="265">IF(K1667&lt;=48000,1,0)</f>
        <v>0</v>
      </c>
      <c r="M1667">
        <f t="shared" ref="M1667:M1730" si="266">IF(AND(L1667=0,F1667="stacjonarny"),SECOND(E1667)+60*MINUTE(E1667),0)</f>
        <v>398</v>
      </c>
      <c r="N1667">
        <f t="shared" ref="N1667:N1730" si="267">IF(AND(L1667=0,F1667="komorkowy"),SECOND(E1667)+60*MINUTE(E1667),0)</f>
        <v>0</v>
      </c>
    </row>
    <row r="1668" spans="1:14" x14ac:dyDescent="0.35">
      <c r="A1668" s="5">
        <v>5952625</v>
      </c>
      <c r="B1668" s="6">
        <v>42941</v>
      </c>
      <c r="C1668" s="7">
        <v>0.4729976851851852</v>
      </c>
      <c r="D1668" s="8">
        <v>0.47553240740740743</v>
      </c>
      <c r="E1668" s="20">
        <f t="shared" si="260"/>
        <v>2.5347222222222299E-3</v>
      </c>
      <c r="F1668" t="str">
        <f t="shared" si="261"/>
        <v>stacjonarny</v>
      </c>
      <c r="G1668" s="23">
        <f t="shared" ref="G1668:G1731" si="268">IF(F1668="stacjonarny",MINUTE(E1668)*60+SECOND(E1668)+G1667,G1667)</f>
        <v>594226</v>
      </c>
      <c r="H1668">
        <f t="shared" ref="H1668:H1731" si="269">IF(F1668="komorkowy",MINUTE(E1668)*60+SECOND(E1668)+H1667,H1667)</f>
        <v>197909</v>
      </c>
      <c r="I1668">
        <f t="shared" si="262"/>
        <v>0</v>
      </c>
      <c r="J1668">
        <f t="shared" si="263"/>
        <v>0</v>
      </c>
      <c r="K1668">
        <f t="shared" si="264"/>
        <v>792135</v>
      </c>
      <c r="L1668">
        <f t="shared" si="265"/>
        <v>0</v>
      </c>
      <c r="M1668">
        <f t="shared" si="266"/>
        <v>219</v>
      </c>
      <c r="N1668">
        <f t="shared" si="267"/>
        <v>0</v>
      </c>
    </row>
    <row r="1669" spans="1:14" x14ac:dyDescent="0.35">
      <c r="A1669" s="9">
        <v>8284495</v>
      </c>
      <c r="B1669" s="10">
        <v>42941</v>
      </c>
      <c r="C1669" s="11">
        <v>0.47385416666666669</v>
      </c>
      <c r="D1669" s="12">
        <v>0.47505787037037039</v>
      </c>
      <c r="E1669" s="20">
        <f t="shared" si="260"/>
        <v>1.2037037037037068E-3</v>
      </c>
      <c r="F1669" t="str">
        <f t="shared" si="261"/>
        <v>stacjonarny</v>
      </c>
      <c r="G1669" s="23">
        <f t="shared" si="268"/>
        <v>594330</v>
      </c>
      <c r="H1669">
        <f t="shared" si="269"/>
        <v>197909</v>
      </c>
      <c r="I1669">
        <f t="shared" si="262"/>
        <v>0</v>
      </c>
      <c r="J1669">
        <f t="shared" si="263"/>
        <v>0</v>
      </c>
      <c r="K1669">
        <f t="shared" si="264"/>
        <v>792239</v>
      </c>
      <c r="L1669">
        <f t="shared" si="265"/>
        <v>0</v>
      </c>
      <c r="M1669">
        <f t="shared" si="266"/>
        <v>104</v>
      </c>
      <c r="N1669">
        <f t="shared" si="267"/>
        <v>0</v>
      </c>
    </row>
    <row r="1670" spans="1:14" x14ac:dyDescent="0.35">
      <c r="A1670" s="5">
        <v>5354141</v>
      </c>
      <c r="B1670" s="6">
        <v>42941</v>
      </c>
      <c r="C1670" s="7">
        <v>0.47591435185185182</v>
      </c>
      <c r="D1670" s="8">
        <v>0.47734953703703703</v>
      </c>
      <c r="E1670" s="20">
        <f t="shared" si="260"/>
        <v>1.435185185185206E-3</v>
      </c>
      <c r="F1670" t="str">
        <f t="shared" si="261"/>
        <v>stacjonarny</v>
      </c>
      <c r="G1670" s="23">
        <f t="shared" si="268"/>
        <v>594454</v>
      </c>
      <c r="H1670">
        <f t="shared" si="269"/>
        <v>197909</v>
      </c>
      <c r="I1670">
        <f t="shared" si="262"/>
        <v>0</v>
      </c>
      <c r="J1670">
        <f t="shared" si="263"/>
        <v>0</v>
      </c>
      <c r="K1670">
        <f t="shared" si="264"/>
        <v>792363</v>
      </c>
      <c r="L1670">
        <f t="shared" si="265"/>
        <v>0</v>
      </c>
      <c r="M1670">
        <f t="shared" si="266"/>
        <v>124</v>
      </c>
      <c r="N1670">
        <f t="shared" si="267"/>
        <v>0</v>
      </c>
    </row>
    <row r="1671" spans="1:14" x14ac:dyDescent="0.35">
      <c r="A1671" s="9">
        <v>5713477</v>
      </c>
      <c r="B1671" s="10">
        <v>42941</v>
      </c>
      <c r="C1671" s="11">
        <v>0.4770138888888889</v>
      </c>
      <c r="D1671" s="12">
        <v>0.48685185185185187</v>
      </c>
      <c r="E1671" s="20">
        <f t="shared" si="260"/>
        <v>9.837962962962965E-3</v>
      </c>
      <c r="F1671" t="str">
        <f t="shared" si="261"/>
        <v>stacjonarny</v>
      </c>
      <c r="G1671" s="23">
        <f t="shared" si="268"/>
        <v>595304</v>
      </c>
      <c r="H1671">
        <f t="shared" si="269"/>
        <v>197909</v>
      </c>
      <c r="I1671">
        <f t="shared" si="262"/>
        <v>0</v>
      </c>
      <c r="J1671">
        <f t="shared" si="263"/>
        <v>0</v>
      </c>
      <c r="K1671">
        <f t="shared" si="264"/>
        <v>793213</v>
      </c>
      <c r="L1671">
        <f t="shared" si="265"/>
        <v>0</v>
      </c>
      <c r="M1671">
        <f t="shared" si="266"/>
        <v>850</v>
      </c>
      <c r="N1671">
        <f t="shared" si="267"/>
        <v>0</v>
      </c>
    </row>
    <row r="1672" spans="1:14" x14ac:dyDescent="0.35">
      <c r="A1672" s="5">
        <v>6865322</v>
      </c>
      <c r="B1672" s="6">
        <v>42941</v>
      </c>
      <c r="C1672" s="7">
        <v>0.47781249999999997</v>
      </c>
      <c r="D1672" s="8">
        <v>0.48425925925925928</v>
      </c>
      <c r="E1672" s="20">
        <f t="shared" si="260"/>
        <v>6.4467592592593048E-3</v>
      </c>
      <c r="F1672" t="str">
        <f t="shared" si="261"/>
        <v>stacjonarny</v>
      </c>
      <c r="G1672" s="23">
        <f t="shared" si="268"/>
        <v>595861</v>
      </c>
      <c r="H1672">
        <f t="shared" si="269"/>
        <v>197909</v>
      </c>
      <c r="I1672">
        <f t="shared" si="262"/>
        <v>0</v>
      </c>
      <c r="J1672">
        <f t="shared" si="263"/>
        <v>0</v>
      </c>
      <c r="K1672">
        <f t="shared" si="264"/>
        <v>793770</v>
      </c>
      <c r="L1672">
        <f t="shared" si="265"/>
        <v>0</v>
      </c>
      <c r="M1672">
        <f t="shared" si="266"/>
        <v>557</v>
      </c>
      <c r="N1672">
        <f t="shared" si="267"/>
        <v>0</v>
      </c>
    </row>
    <row r="1673" spans="1:14" x14ac:dyDescent="0.35">
      <c r="A1673" s="9">
        <v>9007177570</v>
      </c>
      <c r="B1673" s="10">
        <v>42941</v>
      </c>
      <c r="C1673" s="11">
        <v>0.47957175925925927</v>
      </c>
      <c r="D1673" s="12">
        <v>0.48254629629629631</v>
      </c>
      <c r="E1673" s="20">
        <f t="shared" si="260"/>
        <v>2.9745370370370394E-3</v>
      </c>
      <c r="F1673" t="str">
        <f t="shared" si="261"/>
        <v>zagraniczny</v>
      </c>
      <c r="G1673" s="23">
        <f t="shared" si="268"/>
        <v>595861</v>
      </c>
      <c r="H1673">
        <f t="shared" si="269"/>
        <v>197909</v>
      </c>
      <c r="I1673">
        <f t="shared" si="262"/>
        <v>257</v>
      </c>
      <c r="J1673">
        <f t="shared" si="263"/>
        <v>5</v>
      </c>
      <c r="K1673">
        <f t="shared" si="264"/>
        <v>793770</v>
      </c>
      <c r="L1673">
        <f t="shared" si="265"/>
        <v>0</v>
      </c>
      <c r="M1673">
        <f t="shared" si="266"/>
        <v>0</v>
      </c>
      <c r="N1673">
        <f t="shared" si="267"/>
        <v>0</v>
      </c>
    </row>
    <row r="1674" spans="1:14" x14ac:dyDescent="0.35">
      <c r="A1674" s="5">
        <v>49920930</v>
      </c>
      <c r="B1674" s="6">
        <v>42941</v>
      </c>
      <c r="C1674" s="7">
        <v>0.48457175925925927</v>
      </c>
      <c r="D1674" s="8">
        <v>0.48851851851851852</v>
      </c>
      <c r="E1674" s="20">
        <f t="shared" si="260"/>
        <v>3.9467592592592471E-3</v>
      </c>
      <c r="F1674" t="str">
        <f t="shared" si="261"/>
        <v>komorkowy</v>
      </c>
      <c r="G1674" s="23">
        <f t="shared" si="268"/>
        <v>595861</v>
      </c>
      <c r="H1674">
        <f t="shared" si="269"/>
        <v>198250</v>
      </c>
      <c r="I1674">
        <f t="shared" si="262"/>
        <v>0</v>
      </c>
      <c r="J1674">
        <f t="shared" si="263"/>
        <v>0</v>
      </c>
      <c r="K1674">
        <f t="shared" si="264"/>
        <v>794111</v>
      </c>
      <c r="L1674">
        <f t="shared" si="265"/>
        <v>0</v>
      </c>
      <c r="M1674">
        <f t="shared" si="266"/>
        <v>0</v>
      </c>
      <c r="N1674">
        <f t="shared" si="267"/>
        <v>341</v>
      </c>
    </row>
    <row r="1675" spans="1:14" x14ac:dyDescent="0.35">
      <c r="A1675" s="9">
        <v>3624713</v>
      </c>
      <c r="B1675" s="10">
        <v>42941</v>
      </c>
      <c r="C1675" s="11">
        <v>0.48563657407407407</v>
      </c>
      <c r="D1675" s="12">
        <v>0.49687500000000001</v>
      </c>
      <c r="E1675" s="20">
        <f t="shared" si="260"/>
        <v>1.1238425925925943E-2</v>
      </c>
      <c r="F1675" t="str">
        <f t="shared" si="261"/>
        <v>stacjonarny</v>
      </c>
      <c r="G1675" s="23">
        <f t="shared" si="268"/>
        <v>596832</v>
      </c>
      <c r="H1675">
        <f t="shared" si="269"/>
        <v>198250</v>
      </c>
      <c r="I1675">
        <f t="shared" si="262"/>
        <v>0</v>
      </c>
      <c r="J1675">
        <f t="shared" si="263"/>
        <v>0</v>
      </c>
      <c r="K1675">
        <f t="shared" si="264"/>
        <v>795082</v>
      </c>
      <c r="L1675">
        <f t="shared" si="265"/>
        <v>0</v>
      </c>
      <c r="M1675">
        <f t="shared" si="266"/>
        <v>971</v>
      </c>
      <c r="N1675">
        <f t="shared" si="267"/>
        <v>0</v>
      </c>
    </row>
    <row r="1676" spans="1:14" x14ac:dyDescent="0.35">
      <c r="A1676" s="5">
        <v>39848401</v>
      </c>
      <c r="B1676" s="6">
        <v>42941</v>
      </c>
      <c r="C1676" s="7">
        <v>0.48615740740740743</v>
      </c>
      <c r="D1676" s="8">
        <v>0.49478009259259259</v>
      </c>
      <c r="E1676" s="20">
        <f t="shared" si="260"/>
        <v>8.6226851851851638E-3</v>
      </c>
      <c r="F1676" t="str">
        <f t="shared" si="261"/>
        <v>komorkowy</v>
      </c>
      <c r="G1676" s="23">
        <f t="shared" si="268"/>
        <v>596832</v>
      </c>
      <c r="H1676">
        <f t="shared" si="269"/>
        <v>198995</v>
      </c>
      <c r="I1676">
        <f t="shared" si="262"/>
        <v>0</v>
      </c>
      <c r="J1676">
        <f t="shared" si="263"/>
        <v>0</v>
      </c>
      <c r="K1676">
        <f t="shared" si="264"/>
        <v>795827</v>
      </c>
      <c r="L1676">
        <f t="shared" si="265"/>
        <v>0</v>
      </c>
      <c r="M1676">
        <f t="shared" si="266"/>
        <v>0</v>
      </c>
      <c r="N1676">
        <f t="shared" si="267"/>
        <v>745</v>
      </c>
    </row>
    <row r="1677" spans="1:14" x14ac:dyDescent="0.35">
      <c r="A1677" s="9">
        <v>4131448</v>
      </c>
      <c r="B1677" s="10">
        <v>42941</v>
      </c>
      <c r="C1677" s="11">
        <v>0.48975694444444445</v>
      </c>
      <c r="D1677" s="12">
        <v>0.49530092592592595</v>
      </c>
      <c r="E1677" s="20">
        <f t="shared" si="260"/>
        <v>5.5439814814814969E-3</v>
      </c>
      <c r="F1677" t="str">
        <f t="shared" si="261"/>
        <v>stacjonarny</v>
      </c>
      <c r="G1677" s="23">
        <f t="shared" si="268"/>
        <v>597311</v>
      </c>
      <c r="H1677">
        <f t="shared" si="269"/>
        <v>198995</v>
      </c>
      <c r="I1677">
        <f t="shared" si="262"/>
        <v>0</v>
      </c>
      <c r="J1677">
        <f t="shared" si="263"/>
        <v>0</v>
      </c>
      <c r="K1677">
        <f t="shared" si="264"/>
        <v>796306</v>
      </c>
      <c r="L1677">
        <f t="shared" si="265"/>
        <v>0</v>
      </c>
      <c r="M1677">
        <f t="shared" si="266"/>
        <v>479</v>
      </c>
      <c r="N1677">
        <f t="shared" si="267"/>
        <v>0</v>
      </c>
    </row>
    <row r="1678" spans="1:14" x14ac:dyDescent="0.35">
      <c r="A1678" s="5">
        <v>2239958</v>
      </c>
      <c r="B1678" s="6">
        <v>42941</v>
      </c>
      <c r="C1678" s="7">
        <v>0.49523148148148149</v>
      </c>
      <c r="D1678" s="8">
        <v>0.49962962962962965</v>
      </c>
      <c r="E1678" s="20">
        <f t="shared" si="260"/>
        <v>4.398148148148151E-3</v>
      </c>
      <c r="F1678" t="str">
        <f t="shared" si="261"/>
        <v>stacjonarny</v>
      </c>
      <c r="G1678" s="23">
        <f t="shared" si="268"/>
        <v>597691</v>
      </c>
      <c r="H1678">
        <f t="shared" si="269"/>
        <v>198995</v>
      </c>
      <c r="I1678">
        <f t="shared" si="262"/>
        <v>0</v>
      </c>
      <c r="J1678">
        <f t="shared" si="263"/>
        <v>0</v>
      </c>
      <c r="K1678">
        <f t="shared" si="264"/>
        <v>796686</v>
      </c>
      <c r="L1678">
        <f t="shared" si="265"/>
        <v>0</v>
      </c>
      <c r="M1678">
        <f t="shared" si="266"/>
        <v>380</v>
      </c>
      <c r="N1678">
        <f t="shared" si="267"/>
        <v>0</v>
      </c>
    </row>
    <row r="1679" spans="1:14" x14ac:dyDescent="0.35">
      <c r="A1679" s="9">
        <v>3680149</v>
      </c>
      <c r="B1679" s="10">
        <v>42941</v>
      </c>
      <c r="C1679" s="11">
        <v>0.49556712962962962</v>
      </c>
      <c r="D1679" s="12">
        <v>0.49927083333333333</v>
      </c>
      <c r="E1679" s="20">
        <f t="shared" si="260"/>
        <v>3.703703703703709E-3</v>
      </c>
      <c r="F1679" t="str">
        <f t="shared" si="261"/>
        <v>stacjonarny</v>
      </c>
      <c r="G1679" s="23">
        <f t="shared" si="268"/>
        <v>598011</v>
      </c>
      <c r="H1679">
        <f t="shared" si="269"/>
        <v>198995</v>
      </c>
      <c r="I1679">
        <f t="shared" si="262"/>
        <v>0</v>
      </c>
      <c r="J1679">
        <f t="shared" si="263"/>
        <v>0</v>
      </c>
      <c r="K1679">
        <f t="shared" si="264"/>
        <v>797006</v>
      </c>
      <c r="L1679">
        <f t="shared" si="265"/>
        <v>0</v>
      </c>
      <c r="M1679">
        <f t="shared" si="266"/>
        <v>320</v>
      </c>
      <c r="N1679">
        <f t="shared" si="267"/>
        <v>0</v>
      </c>
    </row>
    <row r="1680" spans="1:14" x14ac:dyDescent="0.35">
      <c r="A1680" s="5">
        <v>3654212</v>
      </c>
      <c r="B1680" s="6">
        <v>42941</v>
      </c>
      <c r="C1680" s="7">
        <v>0.49739583333333331</v>
      </c>
      <c r="D1680" s="8">
        <v>0.49787037037037035</v>
      </c>
      <c r="E1680" s="20">
        <f t="shared" si="260"/>
        <v>4.745370370370372E-4</v>
      </c>
      <c r="F1680" t="str">
        <f t="shared" si="261"/>
        <v>stacjonarny</v>
      </c>
      <c r="G1680" s="23">
        <f t="shared" si="268"/>
        <v>598052</v>
      </c>
      <c r="H1680">
        <f t="shared" si="269"/>
        <v>198995</v>
      </c>
      <c r="I1680">
        <f t="shared" si="262"/>
        <v>0</v>
      </c>
      <c r="J1680">
        <f t="shared" si="263"/>
        <v>0</v>
      </c>
      <c r="K1680">
        <f t="shared" si="264"/>
        <v>797047</v>
      </c>
      <c r="L1680">
        <f t="shared" si="265"/>
        <v>0</v>
      </c>
      <c r="M1680">
        <f t="shared" si="266"/>
        <v>41</v>
      </c>
      <c r="N1680">
        <f t="shared" si="267"/>
        <v>0</v>
      </c>
    </row>
    <row r="1681" spans="1:14" x14ac:dyDescent="0.35">
      <c r="A1681" s="9">
        <v>3192053</v>
      </c>
      <c r="B1681" s="10">
        <v>42941</v>
      </c>
      <c r="C1681" s="11">
        <v>0.49796296296296294</v>
      </c>
      <c r="D1681" s="12">
        <v>0.5053009259259259</v>
      </c>
      <c r="E1681" s="20">
        <f t="shared" si="260"/>
        <v>7.3379629629629628E-3</v>
      </c>
      <c r="F1681" t="str">
        <f t="shared" si="261"/>
        <v>stacjonarny</v>
      </c>
      <c r="G1681" s="23">
        <f t="shared" si="268"/>
        <v>598686</v>
      </c>
      <c r="H1681">
        <f t="shared" si="269"/>
        <v>198995</v>
      </c>
      <c r="I1681">
        <f t="shared" si="262"/>
        <v>0</v>
      </c>
      <c r="J1681">
        <f t="shared" si="263"/>
        <v>0</v>
      </c>
      <c r="K1681">
        <f t="shared" si="264"/>
        <v>797681</v>
      </c>
      <c r="L1681">
        <f t="shared" si="265"/>
        <v>0</v>
      </c>
      <c r="M1681">
        <f t="shared" si="266"/>
        <v>634</v>
      </c>
      <c r="N1681">
        <f t="shared" si="267"/>
        <v>0</v>
      </c>
    </row>
    <row r="1682" spans="1:14" x14ac:dyDescent="0.35">
      <c r="A1682" s="5">
        <v>2355456</v>
      </c>
      <c r="B1682" s="6">
        <v>42941</v>
      </c>
      <c r="C1682" s="7">
        <v>0.50027777777777782</v>
      </c>
      <c r="D1682" s="8">
        <v>0.50983796296296291</v>
      </c>
      <c r="E1682" s="20">
        <f t="shared" si="260"/>
        <v>9.5601851851850883E-3</v>
      </c>
      <c r="F1682" t="str">
        <f t="shared" si="261"/>
        <v>stacjonarny</v>
      </c>
      <c r="G1682" s="23">
        <f t="shared" si="268"/>
        <v>599512</v>
      </c>
      <c r="H1682">
        <f t="shared" si="269"/>
        <v>198995</v>
      </c>
      <c r="I1682">
        <f t="shared" si="262"/>
        <v>0</v>
      </c>
      <c r="J1682">
        <f t="shared" si="263"/>
        <v>0</v>
      </c>
      <c r="K1682">
        <f t="shared" si="264"/>
        <v>798507</v>
      </c>
      <c r="L1682">
        <f t="shared" si="265"/>
        <v>0</v>
      </c>
      <c r="M1682">
        <f t="shared" si="266"/>
        <v>826</v>
      </c>
      <c r="N1682">
        <f t="shared" si="267"/>
        <v>0</v>
      </c>
    </row>
    <row r="1683" spans="1:14" x14ac:dyDescent="0.35">
      <c r="A1683" s="9">
        <v>64932677</v>
      </c>
      <c r="B1683" s="10">
        <v>42941</v>
      </c>
      <c r="C1683" s="11">
        <v>0.50436342592592598</v>
      </c>
      <c r="D1683" s="12">
        <v>0.51339120370370372</v>
      </c>
      <c r="E1683" s="20">
        <f t="shared" si="260"/>
        <v>9.0277777777777457E-3</v>
      </c>
      <c r="F1683" t="str">
        <f t="shared" si="261"/>
        <v>komorkowy</v>
      </c>
      <c r="G1683" s="23">
        <f t="shared" si="268"/>
        <v>599512</v>
      </c>
      <c r="H1683">
        <f t="shared" si="269"/>
        <v>199775</v>
      </c>
      <c r="I1683">
        <f t="shared" si="262"/>
        <v>0</v>
      </c>
      <c r="J1683">
        <f t="shared" si="263"/>
        <v>0</v>
      </c>
      <c r="K1683">
        <f t="shared" si="264"/>
        <v>799287</v>
      </c>
      <c r="L1683">
        <f t="shared" si="265"/>
        <v>0</v>
      </c>
      <c r="M1683">
        <f t="shared" si="266"/>
        <v>0</v>
      </c>
      <c r="N1683">
        <f t="shared" si="267"/>
        <v>780</v>
      </c>
    </row>
    <row r="1684" spans="1:14" x14ac:dyDescent="0.35">
      <c r="A1684" s="5">
        <v>9419117</v>
      </c>
      <c r="B1684" s="6">
        <v>42941</v>
      </c>
      <c r="C1684" s="7">
        <v>0.50545138888888885</v>
      </c>
      <c r="D1684" s="8">
        <v>0.50761574074074078</v>
      </c>
      <c r="E1684" s="20">
        <f t="shared" si="260"/>
        <v>2.1643518518519311E-3</v>
      </c>
      <c r="F1684" t="str">
        <f t="shared" si="261"/>
        <v>stacjonarny</v>
      </c>
      <c r="G1684" s="23">
        <f t="shared" si="268"/>
        <v>599699</v>
      </c>
      <c r="H1684">
        <f t="shared" si="269"/>
        <v>199775</v>
      </c>
      <c r="I1684">
        <f t="shared" si="262"/>
        <v>0</v>
      </c>
      <c r="J1684">
        <f t="shared" si="263"/>
        <v>0</v>
      </c>
      <c r="K1684">
        <f t="shared" si="264"/>
        <v>799474</v>
      </c>
      <c r="L1684">
        <f t="shared" si="265"/>
        <v>0</v>
      </c>
      <c r="M1684">
        <f t="shared" si="266"/>
        <v>187</v>
      </c>
      <c r="N1684">
        <f t="shared" si="267"/>
        <v>0</v>
      </c>
    </row>
    <row r="1685" spans="1:14" x14ac:dyDescent="0.35">
      <c r="A1685" s="9">
        <v>2509631</v>
      </c>
      <c r="B1685" s="10">
        <v>42941</v>
      </c>
      <c r="C1685" s="11">
        <v>0.51025462962962964</v>
      </c>
      <c r="D1685" s="12">
        <v>0.52134259259259264</v>
      </c>
      <c r="E1685" s="20">
        <f t="shared" si="260"/>
        <v>1.1087962962962994E-2</v>
      </c>
      <c r="F1685" t="str">
        <f t="shared" si="261"/>
        <v>stacjonarny</v>
      </c>
      <c r="G1685" s="23">
        <f t="shared" si="268"/>
        <v>600657</v>
      </c>
      <c r="H1685">
        <f t="shared" si="269"/>
        <v>199775</v>
      </c>
      <c r="I1685">
        <f t="shared" si="262"/>
        <v>0</v>
      </c>
      <c r="J1685">
        <f t="shared" si="263"/>
        <v>0</v>
      </c>
      <c r="K1685">
        <f t="shared" si="264"/>
        <v>800432</v>
      </c>
      <c r="L1685">
        <f t="shared" si="265"/>
        <v>0</v>
      </c>
      <c r="M1685">
        <f t="shared" si="266"/>
        <v>958</v>
      </c>
      <c r="N1685">
        <f t="shared" si="267"/>
        <v>0</v>
      </c>
    </row>
    <row r="1686" spans="1:14" x14ac:dyDescent="0.35">
      <c r="A1686" s="5">
        <v>4505950</v>
      </c>
      <c r="B1686" s="6">
        <v>42941</v>
      </c>
      <c r="C1686" s="7">
        <v>0.51373842592592589</v>
      </c>
      <c r="D1686" s="8">
        <v>0.52304398148148146</v>
      </c>
      <c r="E1686" s="20">
        <f t="shared" si="260"/>
        <v>9.3055555555555669E-3</v>
      </c>
      <c r="F1686" t="str">
        <f t="shared" si="261"/>
        <v>stacjonarny</v>
      </c>
      <c r="G1686" s="23">
        <f t="shared" si="268"/>
        <v>601461</v>
      </c>
      <c r="H1686">
        <f t="shared" si="269"/>
        <v>199775</v>
      </c>
      <c r="I1686">
        <f t="shared" si="262"/>
        <v>0</v>
      </c>
      <c r="J1686">
        <f t="shared" si="263"/>
        <v>0</v>
      </c>
      <c r="K1686">
        <f t="shared" si="264"/>
        <v>801236</v>
      </c>
      <c r="L1686">
        <f t="shared" si="265"/>
        <v>0</v>
      </c>
      <c r="M1686">
        <f t="shared" si="266"/>
        <v>804</v>
      </c>
      <c r="N1686">
        <f t="shared" si="267"/>
        <v>0</v>
      </c>
    </row>
    <row r="1687" spans="1:14" x14ac:dyDescent="0.35">
      <c r="A1687" s="9">
        <v>39663331</v>
      </c>
      <c r="B1687" s="10">
        <v>42941</v>
      </c>
      <c r="C1687" s="11">
        <v>0.51447916666666671</v>
      </c>
      <c r="D1687" s="12">
        <v>0.51800925925925922</v>
      </c>
      <c r="E1687" s="20">
        <f t="shared" si="260"/>
        <v>3.5300925925925153E-3</v>
      </c>
      <c r="F1687" t="str">
        <f t="shared" si="261"/>
        <v>komorkowy</v>
      </c>
      <c r="G1687" s="23">
        <f t="shared" si="268"/>
        <v>601461</v>
      </c>
      <c r="H1687">
        <f t="shared" si="269"/>
        <v>200080</v>
      </c>
      <c r="I1687">
        <f t="shared" si="262"/>
        <v>0</v>
      </c>
      <c r="J1687">
        <f t="shared" si="263"/>
        <v>0</v>
      </c>
      <c r="K1687">
        <f t="shared" si="264"/>
        <v>801541</v>
      </c>
      <c r="L1687">
        <f t="shared" si="265"/>
        <v>0</v>
      </c>
      <c r="M1687">
        <f t="shared" si="266"/>
        <v>0</v>
      </c>
      <c r="N1687">
        <f t="shared" si="267"/>
        <v>305</v>
      </c>
    </row>
    <row r="1688" spans="1:14" x14ac:dyDescent="0.35">
      <c r="A1688" s="5">
        <v>73350537</v>
      </c>
      <c r="B1688" s="6">
        <v>42941</v>
      </c>
      <c r="C1688" s="7">
        <v>0.51847222222222222</v>
      </c>
      <c r="D1688" s="8">
        <v>0.5267708333333333</v>
      </c>
      <c r="E1688" s="20">
        <f t="shared" si="260"/>
        <v>8.2986111111110761E-3</v>
      </c>
      <c r="F1688" t="str">
        <f t="shared" si="261"/>
        <v>komorkowy</v>
      </c>
      <c r="G1688" s="23">
        <f t="shared" si="268"/>
        <v>601461</v>
      </c>
      <c r="H1688">
        <f t="shared" si="269"/>
        <v>200797</v>
      </c>
      <c r="I1688">
        <f t="shared" si="262"/>
        <v>0</v>
      </c>
      <c r="J1688">
        <f t="shared" si="263"/>
        <v>0</v>
      </c>
      <c r="K1688">
        <f t="shared" si="264"/>
        <v>802258</v>
      </c>
      <c r="L1688">
        <f t="shared" si="265"/>
        <v>0</v>
      </c>
      <c r="M1688">
        <f t="shared" si="266"/>
        <v>0</v>
      </c>
      <c r="N1688">
        <f t="shared" si="267"/>
        <v>717</v>
      </c>
    </row>
    <row r="1689" spans="1:14" x14ac:dyDescent="0.35">
      <c r="A1689" s="9">
        <v>36929553</v>
      </c>
      <c r="B1689" s="10">
        <v>42941</v>
      </c>
      <c r="C1689" s="11">
        <v>0.52155092592592589</v>
      </c>
      <c r="D1689" s="12">
        <v>0.52667824074074077</v>
      </c>
      <c r="E1689" s="20">
        <f t="shared" si="260"/>
        <v>5.1273148148148762E-3</v>
      </c>
      <c r="F1689" t="str">
        <f t="shared" si="261"/>
        <v>komorkowy</v>
      </c>
      <c r="G1689" s="23">
        <f t="shared" si="268"/>
        <v>601461</v>
      </c>
      <c r="H1689">
        <f t="shared" si="269"/>
        <v>201240</v>
      </c>
      <c r="I1689">
        <f t="shared" si="262"/>
        <v>0</v>
      </c>
      <c r="J1689">
        <f t="shared" si="263"/>
        <v>0</v>
      </c>
      <c r="K1689">
        <f t="shared" si="264"/>
        <v>802701</v>
      </c>
      <c r="L1689">
        <f t="shared" si="265"/>
        <v>0</v>
      </c>
      <c r="M1689">
        <f t="shared" si="266"/>
        <v>0</v>
      </c>
      <c r="N1689">
        <f t="shared" si="267"/>
        <v>443</v>
      </c>
    </row>
    <row r="1690" spans="1:14" x14ac:dyDescent="0.35">
      <c r="A1690" s="5">
        <v>74135093</v>
      </c>
      <c r="B1690" s="6">
        <v>42941</v>
      </c>
      <c r="C1690" s="7">
        <v>0.52232638888888894</v>
      </c>
      <c r="D1690" s="8">
        <v>0.52666666666666662</v>
      </c>
      <c r="E1690" s="20">
        <f t="shared" si="260"/>
        <v>4.3402777777776791E-3</v>
      </c>
      <c r="F1690" t="str">
        <f t="shared" si="261"/>
        <v>komorkowy</v>
      </c>
      <c r="G1690" s="23">
        <f t="shared" si="268"/>
        <v>601461</v>
      </c>
      <c r="H1690">
        <f t="shared" si="269"/>
        <v>201615</v>
      </c>
      <c r="I1690">
        <f t="shared" si="262"/>
        <v>0</v>
      </c>
      <c r="J1690">
        <f t="shared" si="263"/>
        <v>0</v>
      </c>
      <c r="K1690">
        <f t="shared" si="264"/>
        <v>803076</v>
      </c>
      <c r="L1690">
        <f t="shared" si="265"/>
        <v>0</v>
      </c>
      <c r="M1690">
        <f t="shared" si="266"/>
        <v>0</v>
      </c>
      <c r="N1690">
        <f t="shared" si="267"/>
        <v>375</v>
      </c>
    </row>
    <row r="1691" spans="1:14" x14ac:dyDescent="0.35">
      <c r="A1691" s="9">
        <v>3505978</v>
      </c>
      <c r="B1691" s="10">
        <v>42941</v>
      </c>
      <c r="C1691" s="11">
        <v>0.52393518518518523</v>
      </c>
      <c r="D1691" s="12">
        <v>0.53479166666666667</v>
      </c>
      <c r="E1691" s="20">
        <f t="shared" si="260"/>
        <v>1.0856481481481439E-2</v>
      </c>
      <c r="F1691" t="str">
        <f t="shared" si="261"/>
        <v>stacjonarny</v>
      </c>
      <c r="G1691" s="23">
        <f t="shared" si="268"/>
        <v>602399</v>
      </c>
      <c r="H1691">
        <f t="shared" si="269"/>
        <v>201615</v>
      </c>
      <c r="I1691">
        <f t="shared" si="262"/>
        <v>0</v>
      </c>
      <c r="J1691">
        <f t="shared" si="263"/>
        <v>0</v>
      </c>
      <c r="K1691">
        <f t="shared" si="264"/>
        <v>804014</v>
      </c>
      <c r="L1691">
        <f t="shared" si="265"/>
        <v>0</v>
      </c>
      <c r="M1691">
        <f t="shared" si="266"/>
        <v>938</v>
      </c>
      <c r="N1691">
        <f t="shared" si="267"/>
        <v>0</v>
      </c>
    </row>
    <row r="1692" spans="1:14" x14ac:dyDescent="0.35">
      <c r="A1692" s="5">
        <v>4483996</v>
      </c>
      <c r="B1692" s="6">
        <v>42941</v>
      </c>
      <c r="C1692" s="7">
        <v>0.52584490740740741</v>
      </c>
      <c r="D1692" s="8">
        <v>0.53660879629629632</v>
      </c>
      <c r="E1692" s="20">
        <f t="shared" si="260"/>
        <v>1.0763888888888906E-2</v>
      </c>
      <c r="F1692" t="str">
        <f t="shared" si="261"/>
        <v>stacjonarny</v>
      </c>
      <c r="G1692" s="23">
        <f t="shared" si="268"/>
        <v>603329</v>
      </c>
      <c r="H1692">
        <f t="shared" si="269"/>
        <v>201615</v>
      </c>
      <c r="I1692">
        <f t="shared" si="262"/>
        <v>0</v>
      </c>
      <c r="J1692">
        <f t="shared" si="263"/>
        <v>0</v>
      </c>
      <c r="K1692">
        <f t="shared" si="264"/>
        <v>804944</v>
      </c>
      <c r="L1692">
        <f t="shared" si="265"/>
        <v>0</v>
      </c>
      <c r="M1692">
        <f t="shared" si="266"/>
        <v>930</v>
      </c>
      <c r="N1692">
        <f t="shared" si="267"/>
        <v>0</v>
      </c>
    </row>
    <row r="1693" spans="1:14" x14ac:dyDescent="0.35">
      <c r="A1693" s="9">
        <v>6264844</v>
      </c>
      <c r="B1693" s="10">
        <v>42941</v>
      </c>
      <c r="C1693" s="11">
        <v>0.52655092592592589</v>
      </c>
      <c r="D1693" s="12">
        <v>0.52703703703703708</v>
      </c>
      <c r="E1693" s="20">
        <f t="shared" si="260"/>
        <v>4.861111111111871E-4</v>
      </c>
      <c r="F1693" t="str">
        <f t="shared" si="261"/>
        <v>stacjonarny</v>
      </c>
      <c r="G1693" s="23">
        <f t="shared" si="268"/>
        <v>603371</v>
      </c>
      <c r="H1693">
        <f t="shared" si="269"/>
        <v>201615</v>
      </c>
      <c r="I1693">
        <f t="shared" si="262"/>
        <v>0</v>
      </c>
      <c r="J1693">
        <f t="shared" si="263"/>
        <v>0</v>
      </c>
      <c r="K1693">
        <f t="shared" si="264"/>
        <v>804986</v>
      </c>
      <c r="L1693">
        <f t="shared" si="265"/>
        <v>0</v>
      </c>
      <c r="M1693">
        <f t="shared" si="266"/>
        <v>42</v>
      </c>
      <c r="N1693">
        <f t="shared" si="267"/>
        <v>0</v>
      </c>
    </row>
    <row r="1694" spans="1:14" x14ac:dyDescent="0.35">
      <c r="A1694" s="5">
        <v>92127966</v>
      </c>
      <c r="B1694" s="6">
        <v>42941</v>
      </c>
      <c r="C1694" s="7">
        <v>0.5317708333333333</v>
      </c>
      <c r="D1694" s="8">
        <v>0.53724537037037035</v>
      </c>
      <c r="E1694" s="20">
        <f t="shared" si="260"/>
        <v>5.4745370370370416E-3</v>
      </c>
      <c r="F1694" t="str">
        <f t="shared" si="261"/>
        <v>komorkowy</v>
      </c>
      <c r="G1694" s="23">
        <f t="shared" si="268"/>
        <v>603371</v>
      </c>
      <c r="H1694">
        <f t="shared" si="269"/>
        <v>202088</v>
      </c>
      <c r="I1694">
        <f t="shared" si="262"/>
        <v>0</v>
      </c>
      <c r="J1694">
        <f t="shared" si="263"/>
        <v>0</v>
      </c>
      <c r="K1694">
        <f t="shared" si="264"/>
        <v>805459</v>
      </c>
      <c r="L1694">
        <f t="shared" si="265"/>
        <v>0</v>
      </c>
      <c r="M1694">
        <f t="shared" si="266"/>
        <v>0</v>
      </c>
      <c r="N1694">
        <f t="shared" si="267"/>
        <v>473</v>
      </c>
    </row>
    <row r="1695" spans="1:14" x14ac:dyDescent="0.35">
      <c r="A1695" s="9">
        <v>7353916</v>
      </c>
      <c r="B1695" s="10">
        <v>42941</v>
      </c>
      <c r="C1695" s="11">
        <v>0.53456018518518522</v>
      </c>
      <c r="D1695" s="12">
        <v>0.53718750000000004</v>
      </c>
      <c r="E1695" s="20">
        <f t="shared" si="260"/>
        <v>2.6273148148148184E-3</v>
      </c>
      <c r="F1695" t="str">
        <f t="shared" si="261"/>
        <v>stacjonarny</v>
      </c>
      <c r="G1695" s="23">
        <f t="shared" si="268"/>
        <v>603598</v>
      </c>
      <c r="H1695">
        <f t="shared" si="269"/>
        <v>202088</v>
      </c>
      <c r="I1695">
        <f t="shared" si="262"/>
        <v>0</v>
      </c>
      <c r="J1695">
        <f t="shared" si="263"/>
        <v>0</v>
      </c>
      <c r="K1695">
        <f t="shared" si="264"/>
        <v>805686</v>
      </c>
      <c r="L1695">
        <f t="shared" si="265"/>
        <v>0</v>
      </c>
      <c r="M1695">
        <f t="shared" si="266"/>
        <v>227</v>
      </c>
      <c r="N1695">
        <f t="shared" si="267"/>
        <v>0</v>
      </c>
    </row>
    <row r="1696" spans="1:14" x14ac:dyDescent="0.35">
      <c r="A1696" s="5">
        <v>5440420</v>
      </c>
      <c r="B1696" s="6">
        <v>42941</v>
      </c>
      <c r="C1696" s="7">
        <v>0.53535879629629635</v>
      </c>
      <c r="D1696" s="8">
        <v>0.54219907407407408</v>
      </c>
      <c r="E1696" s="20">
        <f t="shared" si="260"/>
        <v>6.8402777777777368E-3</v>
      </c>
      <c r="F1696" t="str">
        <f t="shared" si="261"/>
        <v>stacjonarny</v>
      </c>
      <c r="G1696" s="23">
        <f t="shared" si="268"/>
        <v>604189</v>
      </c>
      <c r="H1696">
        <f t="shared" si="269"/>
        <v>202088</v>
      </c>
      <c r="I1696">
        <f t="shared" si="262"/>
        <v>0</v>
      </c>
      <c r="J1696">
        <f t="shared" si="263"/>
        <v>0</v>
      </c>
      <c r="K1696">
        <f t="shared" si="264"/>
        <v>806277</v>
      </c>
      <c r="L1696">
        <f t="shared" si="265"/>
        <v>0</v>
      </c>
      <c r="M1696">
        <f t="shared" si="266"/>
        <v>591</v>
      </c>
      <c r="N1696">
        <f t="shared" si="267"/>
        <v>0</v>
      </c>
    </row>
    <row r="1697" spans="1:14" x14ac:dyDescent="0.35">
      <c r="A1697" s="9">
        <v>8840288</v>
      </c>
      <c r="B1697" s="10">
        <v>42941</v>
      </c>
      <c r="C1697" s="11">
        <v>0.53964120370370372</v>
      </c>
      <c r="D1697" s="12">
        <v>0.54101851851851857</v>
      </c>
      <c r="E1697" s="20">
        <f t="shared" si="260"/>
        <v>1.3773148148148451E-3</v>
      </c>
      <c r="F1697" t="str">
        <f t="shared" si="261"/>
        <v>stacjonarny</v>
      </c>
      <c r="G1697" s="23">
        <f t="shared" si="268"/>
        <v>604308</v>
      </c>
      <c r="H1697">
        <f t="shared" si="269"/>
        <v>202088</v>
      </c>
      <c r="I1697">
        <f t="shared" si="262"/>
        <v>0</v>
      </c>
      <c r="J1697">
        <f t="shared" si="263"/>
        <v>0</v>
      </c>
      <c r="K1697">
        <f t="shared" si="264"/>
        <v>806396</v>
      </c>
      <c r="L1697">
        <f t="shared" si="265"/>
        <v>0</v>
      </c>
      <c r="M1697">
        <f t="shared" si="266"/>
        <v>119</v>
      </c>
      <c r="N1697">
        <f t="shared" si="267"/>
        <v>0</v>
      </c>
    </row>
    <row r="1698" spans="1:14" x14ac:dyDescent="0.35">
      <c r="A1698" s="5">
        <v>9007177570</v>
      </c>
      <c r="B1698" s="6">
        <v>42941</v>
      </c>
      <c r="C1698" s="7">
        <v>0.54324074074074069</v>
      </c>
      <c r="D1698" s="8">
        <v>0.54956018518518523</v>
      </c>
      <c r="E1698" s="20">
        <f t="shared" si="260"/>
        <v>6.3194444444445441E-3</v>
      </c>
      <c r="F1698" t="str">
        <f t="shared" si="261"/>
        <v>zagraniczny</v>
      </c>
      <c r="G1698" s="23">
        <f t="shared" si="268"/>
        <v>604308</v>
      </c>
      <c r="H1698">
        <f t="shared" si="269"/>
        <v>202088</v>
      </c>
      <c r="I1698">
        <f t="shared" si="262"/>
        <v>546</v>
      </c>
      <c r="J1698">
        <f t="shared" si="263"/>
        <v>10</v>
      </c>
      <c r="K1698">
        <f t="shared" si="264"/>
        <v>806396</v>
      </c>
      <c r="L1698">
        <f t="shared" si="265"/>
        <v>0</v>
      </c>
      <c r="M1698">
        <f t="shared" si="266"/>
        <v>0</v>
      </c>
      <c r="N1698">
        <f t="shared" si="267"/>
        <v>0</v>
      </c>
    </row>
    <row r="1699" spans="1:14" x14ac:dyDescent="0.35">
      <c r="A1699" s="9">
        <v>24850212</v>
      </c>
      <c r="B1699" s="10">
        <v>42941</v>
      </c>
      <c r="C1699" s="11">
        <v>0.54350694444444447</v>
      </c>
      <c r="D1699" s="12">
        <v>0.54767361111111112</v>
      </c>
      <c r="E1699" s="20">
        <f t="shared" si="260"/>
        <v>4.1666666666666519E-3</v>
      </c>
      <c r="F1699" t="str">
        <f t="shared" si="261"/>
        <v>komorkowy</v>
      </c>
      <c r="G1699" s="23">
        <f t="shared" si="268"/>
        <v>604308</v>
      </c>
      <c r="H1699">
        <f t="shared" si="269"/>
        <v>202448</v>
      </c>
      <c r="I1699">
        <f t="shared" si="262"/>
        <v>0</v>
      </c>
      <c r="J1699">
        <f t="shared" si="263"/>
        <v>0</v>
      </c>
      <c r="K1699">
        <f t="shared" si="264"/>
        <v>806756</v>
      </c>
      <c r="L1699">
        <f t="shared" si="265"/>
        <v>0</v>
      </c>
      <c r="M1699">
        <f t="shared" si="266"/>
        <v>0</v>
      </c>
      <c r="N1699">
        <f t="shared" si="267"/>
        <v>360</v>
      </c>
    </row>
    <row r="1700" spans="1:14" x14ac:dyDescent="0.35">
      <c r="A1700" s="5">
        <v>7857206</v>
      </c>
      <c r="B1700" s="6">
        <v>42941</v>
      </c>
      <c r="C1700" s="7">
        <v>0.54858796296296297</v>
      </c>
      <c r="D1700" s="8">
        <v>0.55077546296296298</v>
      </c>
      <c r="E1700" s="20">
        <f t="shared" si="260"/>
        <v>2.1875000000000089E-3</v>
      </c>
      <c r="F1700" t="str">
        <f t="shared" si="261"/>
        <v>stacjonarny</v>
      </c>
      <c r="G1700" s="23">
        <f t="shared" si="268"/>
        <v>604497</v>
      </c>
      <c r="H1700">
        <f t="shared" si="269"/>
        <v>202448</v>
      </c>
      <c r="I1700">
        <f t="shared" si="262"/>
        <v>0</v>
      </c>
      <c r="J1700">
        <f t="shared" si="263"/>
        <v>0</v>
      </c>
      <c r="K1700">
        <f t="shared" si="264"/>
        <v>806945</v>
      </c>
      <c r="L1700">
        <f t="shared" si="265"/>
        <v>0</v>
      </c>
      <c r="M1700">
        <f t="shared" si="266"/>
        <v>189</v>
      </c>
      <c r="N1700">
        <f t="shared" si="267"/>
        <v>0</v>
      </c>
    </row>
    <row r="1701" spans="1:14" x14ac:dyDescent="0.35">
      <c r="A1701" s="9">
        <v>9007177570</v>
      </c>
      <c r="B1701" s="10">
        <v>42941</v>
      </c>
      <c r="C1701" s="11">
        <v>0.5519560185185185</v>
      </c>
      <c r="D1701" s="12">
        <v>0.55625000000000002</v>
      </c>
      <c r="E1701" s="20">
        <f t="shared" si="260"/>
        <v>4.2939814814815236E-3</v>
      </c>
      <c r="F1701" t="str">
        <f t="shared" si="261"/>
        <v>zagraniczny</v>
      </c>
      <c r="G1701" s="23">
        <f t="shared" si="268"/>
        <v>604497</v>
      </c>
      <c r="H1701">
        <f t="shared" si="269"/>
        <v>202448</v>
      </c>
      <c r="I1701">
        <f t="shared" si="262"/>
        <v>371</v>
      </c>
      <c r="J1701">
        <f t="shared" si="263"/>
        <v>7</v>
      </c>
      <c r="K1701">
        <f t="shared" si="264"/>
        <v>806945</v>
      </c>
      <c r="L1701">
        <f t="shared" si="265"/>
        <v>0</v>
      </c>
      <c r="M1701">
        <f t="shared" si="266"/>
        <v>0</v>
      </c>
      <c r="N1701">
        <f t="shared" si="267"/>
        <v>0</v>
      </c>
    </row>
    <row r="1702" spans="1:14" x14ac:dyDescent="0.35">
      <c r="A1702" s="5">
        <v>96375379</v>
      </c>
      <c r="B1702" s="6">
        <v>42941</v>
      </c>
      <c r="C1702" s="7">
        <v>0.55320601851851847</v>
      </c>
      <c r="D1702" s="8">
        <v>0.55569444444444449</v>
      </c>
      <c r="E1702" s="20">
        <f t="shared" si="260"/>
        <v>2.4884259259260189E-3</v>
      </c>
      <c r="F1702" t="str">
        <f t="shared" si="261"/>
        <v>komorkowy</v>
      </c>
      <c r="G1702" s="23">
        <f t="shared" si="268"/>
        <v>604497</v>
      </c>
      <c r="H1702">
        <f t="shared" si="269"/>
        <v>202663</v>
      </c>
      <c r="I1702">
        <f t="shared" si="262"/>
        <v>0</v>
      </c>
      <c r="J1702">
        <f t="shared" si="263"/>
        <v>0</v>
      </c>
      <c r="K1702">
        <f t="shared" si="264"/>
        <v>807160</v>
      </c>
      <c r="L1702">
        <f t="shared" si="265"/>
        <v>0</v>
      </c>
      <c r="M1702">
        <f t="shared" si="266"/>
        <v>0</v>
      </c>
      <c r="N1702">
        <f t="shared" si="267"/>
        <v>215</v>
      </c>
    </row>
    <row r="1703" spans="1:14" x14ac:dyDescent="0.35">
      <c r="A1703" s="9">
        <v>6146223</v>
      </c>
      <c r="B1703" s="10">
        <v>42941</v>
      </c>
      <c r="C1703" s="11">
        <v>0.55517361111111108</v>
      </c>
      <c r="D1703" s="12">
        <v>0.56013888888888885</v>
      </c>
      <c r="E1703" s="20">
        <f t="shared" si="260"/>
        <v>4.9652777777777768E-3</v>
      </c>
      <c r="F1703" t="str">
        <f t="shared" si="261"/>
        <v>stacjonarny</v>
      </c>
      <c r="G1703" s="23">
        <f t="shared" si="268"/>
        <v>604926</v>
      </c>
      <c r="H1703">
        <f t="shared" si="269"/>
        <v>202663</v>
      </c>
      <c r="I1703">
        <f t="shared" si="262"/>
        <v>0</v>
      </c>
      <c r="J1703">
        <f t="shared" si="263"/>
        <v>0</v>
      </c>
      <c r="K1703">
        <f t="shared" si="264"/>
        <v>807589</v>
      </c>
      <c r="L1703">
        <f t="shared" si="265"/>
        <v>0</v>
      </c>
      <c r="M1703">
        <f t="shared" si="266"/>
        <v>429</v>
      </c>
      <c r="N1703">
        <f t="shared" si="267"/>
        <v>0</v>
      </c>
    </row>
    <row r="1704" spans="1:14" x14ac:dyDescent="0.35">
      <c r="A1704" s="5">
        <v>7119239917</v>
      </c>
      <c r="B1704" s="6">
        <v>42941</v>
      </c>
      <c r="C1704" s="7">
        <v>0.56033564814814818</v>
      </c>
      <c r="D1704" s="8">
        <v>0.56570601851851854</v>
      </c>
      <c r="E1704" s="20">
        <f t="shared" si="260"/>
        <v>5.3703703703703587E-3</v>
      </c>
      <c r="F1704" t="str">
        <f t="shared" si="261"/>
        <v>zagraniczny</v>
      </c>
      <c r="G1704" s="23">
        <f t="shared" si="268"/>
        <v>604926</v>
      </c>
      <c r="H1704">
        <f t="shared" si="269"/>
        <v>202663</v>
      </c>
      <c r="I1704">
        <f t="shared" si="262"/>
        <v>464</v>
      </c>
      <c r="J1704">
        <f t="shared" si="263"/>
        <v>8</v>
      </c>
      <c r="K1704">
        <f t="shared" si="264"/>
        <v>807589</v>
      </c>
      <c r="L1704">
        <f t="shared" si="265"/>
        <v>0</v>
      </c>
      <c r="M1704">
        <f t="shared" si="266"/>
        <v>0</v>
      </c>
      <c r="N1704">
        <f t="shared" si="267"/>
        <v>0</v>
      </c>
    </row>
    <row r="1705" spans="1:14" x14ac:dyDescent="0.35">
      <c r="A1705" s="9">
        <v>8622421</v>
      </c>
      <c r="B1705" s="10">
        <v>42941</v>
      </c>
      <c r="C1705" s="11">
        <v>0.56459490740740736</v>
      </c>
      <c r="D1705" s="12">
        <v>0.56638888888888894</v>
      </c>
      <c r="E1705" s="20">
        <f t="shared" si="260"/>
        <v>1.7939814814815769E-3</v>
      </c>
      <c r="F1705" t="str">
        <f t="shared" si="261"/>
        <v>stacjonarny</v>
      </c>
      <c r="G1705" s="23">
        <f t="shared" si="268"/>
        <v>605081</v>
      </c>
      <c r="H1705">
        <f t="shared" si="269"/>
        <v>202663</v>
      </c>
      <c r="I1705">
        <f t="shared" si="262"/>
        <v>0</v>
      </c>
      <c r="J1705">
        <f t="shared" si="263"/>
        <v>0</v>
      </c>
      <c r="K1705">
        <f t="shared" si="264"/>
        <v>807744</v>
      </c>
      <c r="L1705">
        <f t="shared" si="265"/>
        <v>0</v>
      </c>
      <c r="M1705">
        <f t="shared" si="266"/>
        <v>155</v>
      </c>
      <c r="N1705">
        <f t="shared" si="267"/>
        <v>0</v>
      </c>
    </row>
    <row r="1706" spans="1:14" x14ac:dyDescent="0.35">
      <c r="A1706" s="5">
        <v>2304726</v>
      </c>
      <c r="B1706" s="6">
        <v>42941</v>
      </c>
      <c r="C1706" s="7">
        <v>0.56620370370370365</v>
      </c>
      <c r="D1706" s="8">
        <v>0.57226851851851857</v>
      </c>
      <c r="E1706" s="20">
        <f t="shared" si="260"/>
        <v>6.0648148148149117E-3</v>
      </c>
      <c r="F1706" t="str">
        <f t="shared" si="261"/>
        <v>stacjonarny</v>
      </c>
      <c r="G1706" s="23">
        <f t="shared" si="268"/>
        <v>605605</v>
      </c>
      <c r="H1706">
        <f t="shared" si="269"/>
        <v>202663</v>
      </c>
      <c r="I1706">
        <f t="shared" si="262"/>
        <v>0</v>
      </c>
      <c r="J1706">
        <f t="shared" si="263"/>
        <v>0</v>
      </c>
      <c r="K1706">
        <f t="shared" si="264"/>
        <v>808268</v>
      </c>
      <c r="L1706">
        <f t="shared" si="265"/>
        <v>0</v>
      </c>
      <c r="M1706">
        <f t="shared" si="266"/>
        <v>524</v>
      </c>
      <c r="N1706">
        <f t="shared" si="267"/>
        <v>0</v>
      </c>
    </row>
    <row r="1707" spans="1:14" x14ac:dyDescent="0.35">
      <c r="A1707" s="9">
        <v>9183185</v>
      </c>
      <c r="B1707" s="10">
        <v>42941</v>
      </c>
      <c r="C1707" s="11">
        <v>0.56643518518518521</v>
      </c>
      <c r="D1707" s="12">
        <v>0.5687268518518519</v>
      </c>
      <c r="E1707" s="20">
        <f t="shared" si="260"/>
        <v>2.2916666666666918E-3</v>
      </c>
      <c r="F1707" t="str">
        <f t="shared" si="261"/>
        <v>stacjonarny</v>
      </c>
      <c r="G1707" s="23">
        <f t="shared" si="268"/>
        <v>605803</v>
      </c>
      <c r="H1707">
        <f t="shared" si="269"/>
        <v>202663</v>
      </c>
      <c r="I1707">
        <f t="shared" si="262"/>
        <v>0</v>
      </c>
      <c r="J1707">
        <f t="shared" si="263"/>
        <v>0</v>
      </c>
      <c r="K1707">
        <f t="shared" si="264"/>
        <v>808466</v>
      </c>
      <c r="L1707">
        <f t="shared" si="265"/>
        <v>0</v>
      </c>
      <c r="M1707">
        <f t="shared" si="266"/>
        <v>198</v>
      </c>
      <c r="N1707">
        <f t="shared" si="267"/>
        <v>0</v>
      </c>
    </row>
    <row r="1708" spans="1:14" x14ac:dyDescent="0.35">
      <c r="A1708" s="5">
        <v>2185216</v>
      </c>
      <c r="B1708" s="6">
        <v>42941</v>
      </c>
      <c r="C1708" s="7">
        <v>0.56959490740740737</v>
      </c>
      <c r="D1708" s="8">
        <v>0.57927083333333329</v>
      </c>
      <c r="E1708" s="20">
        <f t="shared" si="260"/>
        <v>9.6759259259259212E-3</v>
      </c>
      <c r="F1708" t="str">
        <f t="shared" si="261"/>
        <v>stacjonarny</v>
      </c>
      <c r="G1708" s="23">
        <f t="shared" si="268"/>
        <v>606639</v>
      </c>
      <c r="H1708">
        <f t="shared" si="269"/>
        <v>202663</v>
      </c>
      <c r="I1708">
        <f t="shared" si="262"/>
        <v>0</v>
      </c>
      <c r="J1708">
        <f t="shared" si="263"/>
        <v>0</v>
      </c>
      <c r="K1708">
        <f t="shared" si="264"/>
        <v>809302</v>
      </c>
      <c r="L1708">
        <f t="shared" si="265"/>
        <v>0</v>
      </c>
      <c r="M1708">
        <f t="shared" si="266"/>
        <v>836</v>
      </c>
      <c r="N1708">
        <f t="shared" si="267"/>
        <v>0</v>
      </c>
    </row>
    <row r="1709" spans="1:14" x14ac:dyDescent="0.35">
      <c r="A1709" s="9">
        <v>9664191</v>
      </c>
      <c r="B1709" s="10">
        <v>42941</v>
      </c>
      <c r="C1709" s="11">
        <v>0.56974537037037032</v>
      </c>
      <c r="D1709" s="12">
        <v>0.57015046296296301</v>
      </c>
      <c r="E1709" s="20">
        <f t="shared" si="260"/>
        <v>4.0509259259269292E-4</v>
      </c>
      <c r="F1709" t="str">
        <f t="shared" si="261"/>
        <v>stacjonarny</v>
      </c>
      <c r="G1709" s="23">
        <f t="shared" si="268"/>
        <v>606674</v>
      </c>
      <c r="H1709">
        <f t="shared" si="269"/>
        <v>202663</v>
      </c>
      <c r="I1709">
        <f t="shared" si="262"/>
        <v>0</v>
      </c>
      <c r="J1709">
        <f t="shared" si="263"/>
        <v>0</v>
      </c>
      <c r="K1709">
        <f t="shared" si="264"/>
        <v>809337</v>
      </c>
      <c r="L1709">
        <f t="shared" si="265"/>
        <v>0</v>
      </c>
      <c r="M1709">
        <f t="shared" si="266"/>
        <v>35</v>
      </c>
      <c r="N1709">
        <f t="shared" si="267"/>
        <v>0</v>
      </c>
    </row>
    <row r="1710" spans="1:14" x14ac:dyDescent="0.35">
      <c r="A1710" s="5">
        <v>8743781</v>
      </c>
      <c r="B1710" s="6">
        <v>42941</v>
      </c>
      <c r="C1710" s="7">
        <v>0.57284722222222217</v>
      </c>
      <c r="D1710" s="8">
        <v>0.58149305555555553</v>
      </c>
      <c r="E1710" s="20">
        <f t="shared" si="260"/>
        <v>8.6458333333333526E-3</v>
      </c>
      <c r="F1710" t="str">
        <f t="shared" si="261"/>
        <v>stacjonarny</v>
      </c>
      <c r="G1710" s="23">
        <f t="shared" si="268"/>
        <v>607421</v>
      </c>
      <c r="H1710">
        <f t="shared" si="269"/>
        <v>202663</v>
      </c>
      <c r="I1710">
        <f t="shared" si="262"/>
        <v>0</v>
      </c>
      <c r="J1710">
        <f t="shared" si="263"/>
        <v>0</v>
      </c>
      <c r="K1710">
        <f t="shared" si="264"/>
        <v>810084</v>
      </c>
      <c r="L1710">
        <f t="shared" si="265"/>
        <v>0</v>
      </c>
      <c r="M1710">
        <f t="shared" si="266"/>
        <v>747</v>
      </c>
      <c r="N1710">
        <f t="shared" si="267"/>
        <v>0</v>
      </c>
    </row>
    <row r="1711" spans="1:14" x14ac:dyDescent="0.35">
      <c r="A1711" s="9">
        <v>97997759</v>
      </c>
      <c r="B1711" s="10">
        <v>42941</v>
      </c>
      <c r="C1711" s="11">
        <v>0.57335648148148144</v>
      </c>
      <c r="D1711" s="12">
        <v>0.5735069444444445</v>
      </c>
      <c r="E1711" s="20">
        <f t="shared" si="260"/>
        <v>1.504629629630605E-4</v>
      </c>
      <c r="F1711" t="str">
        <f t="shared" si="261"/>
        <v>komorkowy</v>
      </c>
      <c r="G1711" s="23">
        <f t="shared" si="268"/>
        <v>607421</v>
      </c>
      <c r="H1711">
        <f t="shared" si="269"/>
        <v>202676</v>
      </c>
      <c r="I1711">
        <f t="shared" si="262"/>
        <v>0</v>
      </c>
      <c r="J1711">
        <f t="shared" si="263"/>
        <v>0</v>
      </c>
      <c r="K1711">
        <f t="shared" si="264"/>
        <v>810097</v>
      </c>
      <c r="L1711">
        <f t="shared" si="265"/>
        <v>0</v>
      </c>
      <c r="M1711">
        <f t="shared" si="266"/>
        <v>0</v>
      </c>
      <c r="N1711">
        <f t="shared" si="267"/>
        <v>13</v>
      </c>
    </row>
    <row r="1712" spans="1:14" x14ac:dyDescent="0.35">
      <c r="A1712" s="5">
        <v>4100331</v>
      </c>
      <c r="B1712" s="6">
        <v>42941</v>
      </c>
      <c r="C1712" s="7">
        <v>0.57863425925925926</v>
      </c>
      <c r="D1712" s="8">
        <v>0.58030092592592597</v>
      </c>
      <c r="E1712" s="20">
        <f t="shared" si="260"/>
        <v>1.6666666666667052E-3</v>
      </c>
      <c r="F1712" t="str">
        <f t="shared" si="261"/>
        <v>stacjonarny</v>
      </c>
      <c r="G1712" s="23">
        <f t="shared" si="268"/>
        <v>607565</v>
      </c>
      <c r="H1712">
        <f t="shared" si="269"/>
        <v>202676</v>
      </c>
      <c r="I1712">
        <f t="shared" si="262"/>
        <v>0</v>
      </c>
      <c r="J1712">
        <f t="shared" si="263"/>
        <v>0</v>
      </c>
      <c r="K1712">
        <f t="shared" si="264"/>
        <v>810241</v>
      </c>
      <c r="L1712">
        <f t="shared" si="265"/>
        <v>0</v>
      </c>
      <c r="M1712">
        <f t="shared" si="266"/>
        <v>144</v>
      </c>
      <c r="N1712">
        <f t="shared" si="267"/>
        <v>0</v>
      </c>
    </row>
    <row r="1713" spans="1:14" x14ac:dyDescent="0.35">
      <c r="A1713" s="9">
        <v>7215284</v>
      </c>
      <c r="B1713" s="10">
        <v>42941</v>
      </c>
      <c r="C1713" s="11">
        <v>0.57974537037037033</v>
      </c>
      <c r="D1713" s="12">
        <v>0.59083333333333332</v>
      </c>
      <c r="E1713" s="20">
        <f t="shared" si="260"/>
        <v>1.1087962962962994E-2</v>
      </c>
      <c r="F1713" t="str">
        <f t="shared" si="261"/>
        <v>stacjonarny</v>
      </c>
      <c r="G1713" s="23">
        <f t="shared" si="268"/>
        <v>608523</v>
      </c>
      <c r="H1713">
        <f t="shared" si="269"/>
        <v>202676</v>
      </c>
      <c r="I1713">
        <f t="shared" si="262"/>
        <v>0</v>
      </c>
      <c r="J1713">
        <f t="shared" si="263"/>
        <v>0</v>
      </c>
      <c r="K1713">
        <f t="shared" si="264"/>
        <v>811199</v>
      </c>
      <c r="L1713">
        <f t="shared" si="265"/>
        <v>0</v>
      </c>
      <c r="M1713">
        <f t="shared" si="266"/>
        <v>958</v>
      </c>
      <c r="N1713">
        <f t="shared" si="267"/>
        <v>0</v>
      </c>
    </row>
    <row r="1714" spans="1:14" x14ac:dyDescent="0.35">
      <c r="A1714" s="5">
        <v>9474267</v>
      </c>
      <c r="B1714" s="6">
        <v>42941</v>
      </c>
      <c r="C1714" s="7">
        <v>0.58423611111111107</v>
      </c>
      <c r="D1714" s="8">
        <v>0.59392361111111114</v>
      </c>
      <c r="E1714" s="20">
        <f t="shared" si="260"/>
        <v>9.6875000000000711E-3</v>
      </c>
      <c r="F1714" t="str">
        <f t="shared" si="261"/>
        <v>stacjonarny</v>
      </c>
      <c r="G1714" s="23">
        <f t="shared" si="268"/>
        <v>609360</v>
      </c>
      <c r="H1714">
        <f t="shared" si="269"/>
        <v>202676</v>
      </c>
      <c r="I1714">
        <f t="shared" si="262"/>
        <v>0</v>
      </c>
      <c r="J1714">
        <f t="shared" si="263"/>
        <v>0</v>
      </c>
      <c r="K1714">
        <f t="shared" si="264"/>
        <v>812036</v>
      </c>
      <c r="L1714">
        <f t="shared" si="265"/>
        <v>0</v>
      </c>
      <c r="M1714">
        <f t="shared" si="266"/>
        <v>837</v>
      </c>
      <c r="N1714">
        <f t="shared" si="267"/>
        <v>0</v>
      </c>
    </row>
    <row r="1715" spans="1:14" x14ac:dyDescent="0.35">
      <c r="A1715" s="9">
        <v>3200206</v>
      </c>
      <c r="B1715" s="10">
        <v>42941</v>
      </c>
      <c r="C1715" s="11">
        <v>0.58784722222222219</v>
      </c>
      <c r="D1715" s="12">
        <v>0.59894675925925922</v>
      </c>
      <c r="E1715" s="20">
        <f t="shared" si="260"/>
        <v>1.1099537037037033E-2</v>
      </c>
      <c r="F1715" t="str">
        <f t="shared" si="261"/>
        <v>stacjonarny</v>
      </c>
      <c r="G1715" s="23">
        <f t="shared" si="268"/>
        <v>610319</v>
      </c>
      <c r="H1715">
        <f t="shared" si="269"/>
        <v>202676</v>
      </c>
      <c r="I1715">
        <f t="shared" si="262"/>
        <v>0</v>
      </c>
      <c r="J1715">
        <f t="shared" si="263"/>
        <v>0</v>
      </c>
      <c r="K1715">
        <f t="shared" si="264"/>
        <v>812995</v>
      </c>
      <c r="L1715">
        <f t="shared" si="265"/>
        <v>0</v>
      </c>
      <c r="M1715">
        <f t="shared" si="266"/>
        <v>959</v>
      </c>
      <c r="N1715">
        <f t="shared" si="267"/>
        <v>0</v>
      </c>
    </row>
    <row r="1716" spans="1:14" x14ac:dyDescent="0.35">
      <c r="A1716" s="5">
        <v>72014227</v>
      </c>
      <c r="B1716" s="6">
        <v>42941</v>
      </c>
      <c r="C1716" s="7">
        <v>0.58899305555555559</v>
      </c>
      <c r="D1716" s="8">
        <v>0.59116898148148145</v>
      </c>
      <c r="E1716" s="20">
        <f t="shared" si="260"/>
        <v>2.175925925925859E-3</v>
      </c>
      <c r="F1716" t="str">
        <f t="shared" si="261"/>
        <v>komorkowy</v>
      </c>
      <c r="G1716" s="23">
        <f t="shared" si="268"/>
        <v>610319</v>
      </c>
      <c r="H1716">
        <f t="shared" si="269"/>
        <v>202864</v>
      </c>
      <c r="I1716">
        <f t="shared" si="262"/>
        <v>0</v>
      </c>
      <c r="J1716">
        <f t="shared" si="263"/>
        <v>0</v>
      </c>
      <c r="K1716">
        <f t="shared" si="264"/>
        <v>813183</v>
      </c>
      <c r="L1716">
        <f t="shared" si="265"/>
        <v>0</v>
      </c>
      <c r="M1716">
        <f t="shared" si="266"/>
        <v>0</v>
      </c>
      <c r="N1716">
        <f t="shared" si="267"/>
        <v>188</v>
      </c>
    </row>
    <row r="1717" spans="1:14" x14ac:dyDescent="0.35">
      <c r="A1717" s="9">
        <v>3976931</v>
      </c>
      <c r="B1717" s="10">
        <v>42941</v>
      </c>
      <c r="C1717" s="11">
        <v>0.59350694444444441</v>
      </c>
      <c r="D1717" s="12">
        <v>0.59811342592592598</v>
      </c>
      <c r="E1717" s="20">
        <f t="shared" si="260"/>
        <v>4.6064814814815724E-3</v>
      </c>
      <c r="F1717" t="str">
        <f t="shared" si="261"/>
        <v>stacjonarny</v>
      </c>
      <c r="G1717" s="23">
        <f t="shared" si="268"/>
        <v>610717</v>
      </c>
      <c r="H1717">
        <f t="shared" si="269"/>
        <v>202864</v>
      </c>
      <c r="I1717">
        <f t="shared" si="262"/>
        <v>0</v>
      </c>
      <c r="J1717">
        <f t="shared" si="263"/>
        <v>0</v>
      </c>
      <c r="K1717">
        <f t="shared" si="264"/>
        <v>813581</v>
      </c>
      <c r="L1717">
        <f t="shared" si="265"/>
        <v>0</v>
      </c>
      <c r="M1717">
        <f t="shared" si="266"/>
        <v>398</v>
      </c>
      <c r="N1717">
        <f t="shared" si="267"/>
        <v>0</v>
      </c>
    </row>
    <row r="1718" spans="1:14" x14ac:dyDescent="0.35">
      <c r="A1718" s="5">
        <v>6717763</v>
      </c>
      <c r="B1718" s="6">
        <v>42941</v>
      </c>
      <c r="C1718" s="7">
        <v>0.596099537037037</v>
      </c>
      <c r="D1718" s="8">
        <v>0.60069444444444442</v>
      </c>
      <c r="E1718" s="20">
        <f t="shared" si="260"/>
        <v>4.5949074074074225E-3</v>
      </c>
      <c r="F1718" t="str">
        <f t="shared" si="261"/>
        <v>stacjonarny</v>
      </c>
      <c r="G1718" s="23">
        <f t="shared" si="268"/>
        <v>611114</v>
      </c>
      <c r="H1718">
        <f t="shared" si="269"/>
        <v>202864</v>
      </c>
      <c r="I1718">
        <f t="shared" si="262"/>
        <v>0</v>
      </c>
      <c r="J1718">
        <f t="shared" si="263"/>
        <v>0</v>
      </c>
      <c r="K1718">
        <f t="shared" si="264"/>
        <v>813978</v>
      </c>
      <c r="L1718">
        <f t="shared" si="265"/>
        <v>0</v>
      </c>
      <c r="M1718">
        <f t="shared" si="266"/>
        <v>397</v>
      </c>
      <c r="N1718">
        <f t="shared" si="267"/>
        <v>0</v>
      </c>
    </row>
    <row r="1719" spans="1:14" x14ac:dyDescent="0.35">
      <c r="A1719" s="9">
        <v>2117176</v>
      </c>
      <c r="B1719" s="10">
        <v>42941</v>
      </c>
      <c r="C1719" s="11">
        <v>0.5995138888888889</v>
      </c>
      <c r="D1719" s="12">
        <v>0.60322916666666671</v>
      </c>
      <c r="E1719" s="20">
        <f t="shared" si="260"/>
        <v>3.7152777777778034E-3</v>
      </c>
      <c r="F1719" t="str">
        <f t="shared" si="261"/>
        <v>stacjonarny</v>
      </c>
      <c r="G1719" s="23">
        <f t="shared" si="268"/>
        <v>611435</v>
      </c>
      <c r="H1719">
        <f t="shared" si="269"/>
        <v>202864</v>
      </c>
      <c r="I1719">
        <f t="shared" si="262"/>
        <v>0</v>
      </c>
      <c r="J1719">
        <f t="shared" si="263"/>
        <v>0</v>
      </c>
      <c r="K1719">
        <f t="shared" si="264"/>
        <v>814299</v>
      </c>
      <c r="L1719">
        <f t="shared" si="265"/>
        <v>0</v>
      </c>
      <c r="M1719">
        <f t="shared" si="266"/>
        <v>321</v>
      </c>
      <c r="N1719">
        <f t="shared" si="267"/>
        <v>0</v>
      </c>
    </row>
    <row r="1720" spans="1:14" x14ac:dyDescent="0.35">
      <c r="A1720" s="5">
        <v>67688044</v>
      </c>
      <c r="B1720" s="6">
        <v>42941</v>
      </c>
      <c r="C1720" s="7">
        <v>0.60341435185185188</v>
      </c>
      <c r="D1720" s="8">
        <v>0.60423611111111108</v>
      </c>
      <c r="E1720" s="20">
        <f t="shared" si="260"/>
        <v>8.2175925925920268E-4</v>
      </c>
      <c r="F1720" t="str">
        <f t="shared" si="261"/>
        <v>komorkowy</v>
      </c>
      <c r="G1720" s="23">
        <f t="shared" si="268"/>
        <v>611435</v>
      </c>
      <c r="H1720">
        <f t="shared" si="269"/>
        <v>202935</v>
      </c>
      <c r="I1720">
        <f t="shared" si="262"/>
        <v>0</v>
      </c>
      <c r="J1720">
        <f t="shared" si="263"/>
        <v>0</v>
      </c>
      <c r="K1720">
        <f t="shared" si="264"/>
        <v>814370</v>
      </c>
      <c r="L1720">
        <f t="shared" si="265"/>
        <v>0</v>
      </c>
      <c r="M1720">
        <f t="shared" si="266"/>
        <v>0</v>
      </c>
      <c r="N1720">
        <f t="shared" si="267"/>
        <v>71</v>
      </c>
    </row>
    <row r="1721" spans="1:14" x14ac:dyDescent="0.35">
      <c r="A1721" s="9">
        <v>3824371</v>
      </c>
      <c r="B1721" s="10">
        <v>42941</v>
      </c>
      <c r="C1721" s="11">
        <v>0.60442129629629626</v>
      </c>
      <c r="D1721" s="12">
        <v>0.61266203703703703</v>
      </c>
      <c r="E1721" s="20">
        <f t="shared" si="260"/>
        <v>8.2407407407407707E-3</v>
      </c>
      <c r="F1721" t="str">
        <f t="shared" si="261"/>
        <v>stacjonarny</v>
      </c>
      <c r="G1721" s="23">
        <f t="shared" si="268"/>
        <v>612147</v>
      </c>
      <c r="H1721">
        <f t="shared" si="269"/>
        <v>202935</v>
      </c>
      <c r="I1721">
        <f t="shared" si="262"/>
        <v>0</v>
      </c>
      <c r="J1721">
        <f t="shared" si="263"/>
        <v>0</v>
      </c>
      <c r="K1721">
        <f t="shared" si="264"/>
        <v>815082</v>
      </c>
      <c r="L1721">
        <f t="shared" si="265"/>
        <v>0</v>
      </c>
      <c r="M1721">
        <f t="shared" si="266"/>
        <v>712</v>
      </c>
      <c r="N1721">
        <f t="shared" si="267"/>
        <v>0</v>
      </c>
    </row>
    <row r="1722" spans="1:14" x14ac:dyDescent="0.35">
      <c r="A1722" s="5">
        <v>3025855</v>
      </c>
      <c r="B1722" s="6">
        <v>42941</v>
      </c>
      <c r="C1722" s="7">
        <v>0.60601851851851851</v>
      </c>
      <c r="D1722" s="8">
        <v>0.60782407407407413</v>
      </c>
      <c r="E1722" s="20">
        <f t="shared" si="260"/>
        <v>1.8055555555556158E-3</v>
      </c>
      <c r="F1722" t="str">
        <f t="shared" si="261"/>
        <v>stacjonarny</v>
      </c>
      <c r="G1722" s="23">
        <f t="shared" si="268"/>
        <v>612303</v>
      </c>
      <c r="H1722">
        <f t="shared" si="269"/>
        <v>202935</v>
      </c>
      <c r="I1722">
        <f t="shared" si="262"/>
        <v>0</v>
      </c>
      <c r="J1722">
        <f t="shared" si="263"/>
        <v>0</v>
      </c>
      <c r="K1722">
        <f t="shared" si="264"/>
        <v>815238</v>
      </c>
      <c r="L1722">
        <f t="shared" si="265"/>
        <v>0</v>
      </c>
      <c r="M1722">
        <f t="shared" si="266"/>
        <v>156</v>
      </c>
      <c r="N1722">
        <f t="shared" si="267"/>
        <v>0</v>
      </c>
    </row>
    <row r="1723" spans="1:14" x14ac:dyDescent="0.35">
      <c r="A1723" s="9">
        <v>8773356</v>
      </c>
      <c r="B1723" s="10">
        <v>42941</v>
      </c>
      <c r="C1723" s="11">
        <v>0.60879629629629628</v>
      </c>
      <c r="D1723" s="12">
        <v>0.61106481481481478</v>
      </c>
      <c r="E1723" s="20">
        <f t="shared" si="260"/>
        <v>2.2685185185185031E-3</v>
      </c>
      <c r="F1723" t="str">
        <f t="shared" si="261"/>
        <v>stacjonarny</v>
      </c>
      <c r="G1723" s="23">
        <f t="shared" si="268"/>
        <v>612499</v>
      </c>
      <c r="H1723">
        <f t="shared" si="269"/>
        <v>202935</v>
      </c>
      <c r="I1723">
        <f t="shared" si="262"/>
        <v>0</v>
      </c>
      <c r="J1723">
        <f t="shared" si="263"/>
        <v>0</v>
      </c>
      <c r="K1723">
        <f t="shared" si="264"/>
        <v>815434</v>
      </c>
      <c r="L1723">
        <f t="shared" si="265"/>
        <v>0</v>
      </c>
      <c r="M1723">
        <f t="shared" si="266"/>
        <v>196</v>
      </c>
      <c r="N1723">
        <f t="shared" si="267"/>
        <v>0</v>
      </c>
    </row>
    <row r="1724" spans="1:14" x14ac:dyDescent="0.35">
      <c r="A1724" s="5">
        <v>1211446</v>
      </c>
      <c r="B1724" s="6">
        <v>42941</v>
      </c>
      <c r="C1724" s="7">
        <v>0.61202546296296301</v>
      </c>
      <c r="D1724" s="8">
        <v>0.62135416666666665</v>
      </c>
      <c r="E1724" s="20">
        <f t="shared" si="260"/>
        <v>9.3287037037036447E-3</v>
      </c>
      <c r="F1724" t="str">
        <f t="shared" si="261"/>
        <v>stacjonarny</v>
      </c>
      <c r="G1724" s="23">
        <f t="shared" si="268"/>
        <v>613305</v>
      </c>
      <c r="H1724">
        <f t="shared" si="269"/>
        <v>202935</v>
      </c>
      <c r="I1724">
        <f t="shared" si="262"/>
        <v>0</v>
      </c>
      <c r="J1724">
        <f t="shared" si="263"/>
        <v>0</v>
      </c>
      <c r="K1724">
        <f t="shared" si="264"/>
        <v>816240</v>
      </c>
      <c r="L1724">
        <f t="shared" si="265"/>
        <v>0</v>
      </c>
      <c r="M1724">
        <f t="shared" si="266"/>
        <v>806</v>
      </c>
      <c r="N1724">
        <f t="shared" si="267"/>
        <v>0</v>
      </c>
    </row>
    <row r="1725" spans="1:14" x14ac:dyDescent="0.35">
      <c r="A1725" s="9">
        <v>3607585</v>
      </c>
      <c r="B1725" s="10">
        <v>42941</v>
      </c>
      <c r="C1725" s="11">
        <v>0.61460648148148145</v>
      </c>
      <c r="D1725" s="12">
        <v>0.62116898148148147</v>
      </c>
      <c r="E1725" s="20">
        <f t="shared" si="260"/>
        <v>6.5625000000000266E-3</v>
      </c>
      <c r="F1725" t="str">
        <f t="shared" si="261"/>
        <v>stacjonarny</v>
      </c>
      <c r="G1725" s="23">
        <f t="shared" si="268"/>
        <v>613872</v>
      </c>
      <c r="H1725">
        <f t="shared" si="269"/>
        <v>202935</v>
      </c>
      <c r="I1725">
        <f t="shared" si="262"/>
        <v>0</v>
      </c>
      <c r="J1725">
        <f t="shared" si="263"/>
        <v>0</v>
      </c>
      <c r="K1725">
        <f t="shared" si="264"/>
        <v>816807</v>
      </c>
      <c r="L1725">
        <f t="shared" si="265"/>
        <v>0</v>
      </c>
      <c r="M1725">
        <f t="shared" si="266"/>
        <v>567</v>
      </c>
      <c r="N1725">
        <f t="shared" si="267"/>
        <v>0</v>
      </c>
    </row>
    <row r="1726" spans="1:14" x14ac:dyDescent="0.35">
      <c r="A1726" s="5">
        <v>5492379</v>
      </c>
      <c r="B1726" s="6">
        <v>42941</v>
      </c>
      <c r="C1726" s="7">
        <v>0.61895833333333339</v>
      </c>
      <c r="D1726" s="8">
        <v>0.61971064814814814</v>
      </c>
      <c r="E1726" s="20">
        <f t="shared" si="260"/>
        <v>7.5231481481474738E-4</v>
      </c>
      <c r="F1726" t="str">
        <f t="shared" si="261"/>
        <v>stacjonarny</v>
      </c>
      <c r="G1726" s="23">
        <f t="shared" si="268"/>
        <v>613937</v>
      </c>
      <c r="H1726">
        <f t="shared" si="269"/>
        <v>202935</v>
      </c>
      <c r="I1726">
        <f t="shared" si="262"/>
        <v>0</v>
      </c>
      <c r="J1726">
        <f t="shared" si="263"/>
        <v>0</v>
      </c>
      <c r="K1726">
        <f t="shared" si="264"/>
        <v>816872</v>
      </c>
      <c r="L1726">
        <f t="shared" si="265"/>
        <v>0</v>
      </c>
      <c r="M1726">
        <f t="shared" si="266"/>
        <v>65</v>
      </c>
      <c r="N1726">
        <f t="shared" si="267"/>
        <v>0</v>
      </c>
    </row>
    <row r="1727" spans="1:14" x14ac:dyDescent="0.35">
      <c r="A1727" s="9">
        <v>84589848</v>
      </c>
      <c r="B1727" s="10">
        <v>42941</v>
      </c>
      <c r="C1727" s="11">
        <v>0.61971064814814814</v>
      </c>
      <c r="D1727" s="12">
        <v>0.62334490740740744</v>
      </c>
      <c r="E1727" s="20">
        <f t="shared" si="260"/>
        <v>3.6342592592593093E-3</v>
      </c>
      <c r="F1727" t="str">
        <f t="shared" si="261"/>
        <v>komorkowy</v>
      </c>
      <c r="G1727" s="23">
        <f t="shared" si="268"/>
        <v>613937</v>
      </c>
      <c r="H1727">
        <f t="shared" si="269"/>
        <v>203249</v>
      </c>
      <c r="I1727">
        <f t="shared" si="262"/>
        <v>0</v>
      </c>
      <c r="J1727">
        <f t="shared" si="263"/>
        <v>0</v>
      </c>
      <c r="K1727">
        <f t="shared" si="264"/>
        <v>817186</v>
      </c>
      <c r="L1727">
        <f t="shared" si="265"/>
        <v>0</v>
      </c>
      <c r="M1727">
        <f t="shared" si="266"/>
        <v>0</v>
      </c>
      <c r="N1727">
        <f t="shared" si="267"/>
        <v>314</v>
      </c>
    </row>
    <row r="1728" spans="1:14" x14ac:dyDescent="0.35">
      <c r="A1728" s="5">
        <v>7622848</v>
      </c>
      <c r="B1728" s="6">
        <v>42941</v>
      </c>
      <c r="C1728" s="7">
        <v>0.62008101851851849</v>
      </c>
      <c r="D1728" s="8">
        <v>0.62776620370370373</v>
      </c>
      <c r="E1728" s="20">
        <f t="shared" si="260"/>
        <v>7.6851851851852393E-3</v>
      </c>
      <c r="F1728" t="str">
        <f t="shared" si="261"/>
        <v>stacjonarny</v>
      </c>
      <c r="G1728" s="23">
        <f t="shared" si="268"/>
        <v>614601</v>
      </c>
      <c r="H1728">
        <f t="shared" si="269"/>
        <v>203249</v>
      </c>
      <c r="I1728">
        <f t="shared" si="262"/>
        <v>0</v>
      </c>
      <c r="J1728">
        <f t="shared" si="263"/>
        <v>0</v>
      </c>
      <c r="K1728">
        <f t="shared" si="264"/>
        <v>817850</v>
      </c>
      <c r="L1728">
        <f t="shared" si="265"/>
        <v>0</v>
      </c>
      <c r="M1728">
        <f t="shared" si="266"/>
        <v>664</v>
      </c>
      <c r="N1728">
        <f t="shared" si="267"/>
        <v>0</v>
      </c>
    </row>
    <row r="1729" spans="1:14" x14ac:dyDescent="0.35">
      <c r="A1729" s="9">
        <v>7883595</v>
      </c>
      <c r="B1729" s="10">
        <v>42941</v>
      </c>
      <c r="C1729" s="11">
        <v>0.62149305555555556</v>
      </c>
      <c r="D1729" s="12">
        <v>0.624537037037037</v>
      </c>
      <c r="E1729" s="20">
        <f t="shared" si="260"/>
        <v>3.0439814814814392E-3</v>
      </c>
      <c r="F1729" t="str">
        <f t="shared" si="261"/>
        <v>stacjonarny</v>
      </c>
      <c r="G1729" s="23">
        <f t="shared" si="268"/>
        <v>614864</v>
      </c>
      <c r="H1729">
        <f t="shared" si="269"/>
        <v>203249</v>
      </c>
      <c r="I1729">
        <f t="shared" si="262"/>
        <v>0</v>
      </c>
      <c r="J1729">
        <f t="shared" si="263"/>
        <v>0</v>
      </c>
      <c r="K1729">
        <f t="shared" si="264"/>
        <v>818113</v>
      </c>
      <c r="L1729">
        <f t="shared" si="265"/>
        <v>0</v>
      </c>
      <c r="M1729">
        <f t="shared" si="266"/>
        <v>263</v>
      </c>
      <c r="N1729">
        <f t="shared" si="267"/>
        <v>0</v>
      </c>
    </row>
    <row r="1730" spans="1:14" x14ac:dyDescent="0.35">
      <c r="A1730" s="5">
        <v>4804872</v>
      </c>
      <c r="B1730" s="6">
        <v>42941</v>
      </c>
      <c r="C1730" s="7">
        <v>0.62472222222222218</v>
      </c>
      <c r="D1730" s="8">
        <v>0.6360069444444445</v>
      </c>
      <c r="E1730" s="20">
        <f t="shared" si="260"/>
        <v>1.1284722222222321E-2</v>
      </c>
      <c r="F1730" t="str">
        <f t="shared" si="261"/>
        <v>stacjonarny</v>
      </c>
      <c r="G1730" s="23">
        <f t="shared" si="268"/>
        <v>615839</v>
      </c>
      <c r="H1730">
        <f t="shared" si="269"/>
        <v>203249</v>
      </c>
      <c r="I1730">
        <f t="shared" si="262"/>
        <v>0</v>
      </c>
      <c r="J1730">
        <f t="shared" si="263"/>
        <v>0</v>
      </c>
      <c r="K1730">
        <f t="shared" si="264"/>
        <v>819088</v>
      </c>
      <c r="L1730">
        <f t="shared" si="265"/>
        <v>0</v>
      </c>
      <c r="M1730">
        <f t="shared" si="266"/>
        <v>975</v>
      </c>
      <c r="N1730">
        <f t="shared" si="267"/>
        <v>0</v>
      </c>
    </row>
    <row r="1731" spans="1:14" x14ac:dyDescent="0.35">
      <c r="A1731" s="9">
        <v>61812355</v>
      </c>
      <c r="B1731" s="10">
        <v>42941</v>
      </c>
      <c r="C1731" s="11">
        <v>0.6292592592592593</v>
      </c>
      <c r="D1731" s="12">
        <v>0.63806712962962964</v>
      </c>
      <c r="E1731" s="20">
        <f t="shared" ref="E1731:E1794" si="270">D1731-C1731</f>
        <v>8.8078703703703409E-3</v>
      </c>
      <c r="F1731" t="str">
        <f t="shared" ref="F1731:F1794" si="271">IF(LEN(A1731)=7,"stacjonarny",IF(LEN(A1731)=8,"komorkowy","zagraniczny"))</f>
        <v>komorkowy</v>
      </c>
      <c r="G1731" s="23">
        <f t="shared" si="268"/>
        <v>615839</v>
      </c>
      <c r="H1731">
        <f t="shared" si="269"/>
        <v>204010</v>
      </c>
      <c r="I1731">
        <f t="shared" ref="I1731:I1794" si="272">IF(F1731="zagraniczny",MINUTE(E1731)*60+SECOND(E1731)+HOUR(E1731)*3600,0)</f>
        <v>0</v>
      </c>
      <c r="J1731">
        <f t="shared" ref="J1731:J1794" si="273">ROUNDUP(I1731/60,0)</f>
        <v>0</v>
      </c>
      <c r="K1731">
        <f t="shared" ref="K1731:K1794" si="274">G1731+H1731</f>
        <v>819849</v>
      </c>
      <c r="L1731">
        <f t="shared" ref="L1731:L1794" si="275">IF(K1731&lt;=48000,1,0)</f>
        <v>0</v>
      </c>
      <c r="M1731">
        <f t="shared" ref="M1731:M1794" si="276">IF(AND(L1731=0,F1731="stacjonarny"),SECOND(E1731)+60*MINUTE(E1731),0)</f>
        <v>0</v>
      </c>
      <c r="N1731">
        <f t="shared" ref="N1731:N1794" si="277">IF(AND(L1731=0,F1731="komorkowy"),SECOND(E1731)+60*MINUTE(E1731),0)</f>
        <v>761</v>
      </c>
    </row>
    <row r="1732" spans="1:14" x14ac:dyDescent="0.35">
      <c r="A1732" s="5">
        <v>6493766</v>
      </c>
      <c r="B1732" s="6">
        <v>42942</v>
      </c>
      <c r="C1732" s="7">
        <v>0.33584490740740741</v>
      </c>
      <c r="D1732" s="8">
        <v>0.33677083333333335</v>
      </c>
      <c r="E1732" s="20">
        <f t="shared" si="270"/>
        <v>9.2592592592594114E-4</v>
      </c>
      <c r="F1732" t="str">
        <f t="shared" si="271"/>
        <v>stacjonarny</v>
      </c>
      <c r="G1732" s="23">
        <f t="shared" ref="G1732:G1795" si="278">IF(F1732="stacjonarny",MINUTE(E1732)*60+SECOND(E1732)+G1731,G1731)</f>
        <v>615919</v>
      </c>
      <c r="H1732">
        <f t="shared" ref="H1732:H1795" si="279">IF(F1732="komorkowy",MINUTE(E1732)*60+SECOND(E1732)+H1731,H1731)</f>
        <v>204010</v>
      </c>
      <c r="I1732">
        <f t="shared" si="272"/>
        <v>0</v>
      </c>
      <c r="J1732">
        <f t="shared" si="273"/>
        <v>0</v>
      </c>
      <c r="K1732">
        <f t="shared" si="274"/>
        <v>819929</v>
      </c>
      <c r="L1732">
        <f t="shared" si="275"/>
        <v>0</v>
      </c>
      <c r="M1732">
        <f t="shared" si="276"/>
        <v>80</v>
      </c>
      <c r="N1732">
        <f t="shared" si="277"/>
        <v>0</v>
      </c>
    </row>
    <row r="1733" spans="1:14" x14ac:dyDescent="0.35">
      <c r="A1733" s="9">
        <v>4965118</v>
      </c>
      <c r="B1733" s="10">
        <v>42942</v>
      </c>
      <c r="C1733" s="11">
        <v>0.33710648148148148</v>
      </c>
      <c r="D1733" s="12">
        <v>0.34759259259259262</v>
      </c>
      <c r="E1733" s="20">
        <f t="shared" si="270"/>
        <v>1.048611111111114E-2</v>
      </c>
      <c r="F1733" t="str">
        <f t="shared" si="271"/>
        <v>stacjonarny</v>
      </c>
      <c r="G1733" s="23">
        <f t="shared" si="278"/>
        <v>616825</v>
      </c>
      <c r="H1733">
        <f t="shared" si="279"/>
        <v>204010</v>
      </c>
      <c r="I1733">
        <f t="shared" si="272"/>
        <v>0</v>
      </c>
      <c r="J1733">
        <f t="shared" si="273"/>
        <v>0</v>
      </c>
      <c r="K1733">
        <f t="shared" si="274"/>
        <v>820835</v>
      </c>
      <c r="L1733">
        <f t="shared" si="275"/>
        <v>0</v>
      </c>
      <c r="M1733">
        <f t="shared" si="276"/>
        <v>906</v>
      </c>
      <c r="N1733">
        <f t="shared" si="277"/>
        <v>0</v>
      </c>
    </row>
    <row r="1734" spans="1:14" x14ac:dyDescent="0.35">
      <c r="A1734" s="5">
        <v>7973476</v>
      </c>
      <c r="B1734" s="6">
        <v>42942</v>
      </c>
      <c r="C1734" s="7">
        <v>0.34250000000000003</v>
      </c>
      <c r="D1734" s="8">
        <v>0.35003472222222221</v>
      </c>
      <c r="E1734" s="20">
        <f t="shared" si="270"/>
        <v>7.5347222222221788E-3</v>
      </c>
      <c r="F1734" t="str">
        <f t="shared" si="271"/>
        <v>stacjonarny</v>
      </c>
      <c r="G1734" s="23">
        <f t="shared" si="278"/>
        <v>617476</v>
      </c>
      <c r="H1734">
        <f t="shared" si="279"/>
        <v>204010</v>
      </c>
      <c r="I1734">
        <f t="shared" si="272"/>
        <v>0</v>
      </c>
      <c r="J1734">
        <f t="shared" si="273"/>
        <v>0</v>
      </c>
      <c r="K1734">
        <f t="shared" si="274"/>
        <v>821486</v>
      </c>
      <c r="L1734">
        <f t="shared" si="275"/>
        <v>0</v>
      </c>
      <c r="M1734">
        <f t="shared" si="276"/>
        <v>651</v>
      </c>
      <c r="N1734">
        <f t="shared" si="277"/>
        <v>0</v>
      </c>
    </row>
    <row r="1735" spans="1:14" x14ac:dyDescent="0.35">
      <c r="A1735" s="9">
        <v>6642574</v>
      </c>
      <c r="B1735" s="10">
        <v>42942</v>
      </c>
      <c r="C1735" s="11">
        <v>0.34575231481481483</v>
      </c>
      <c r="D1735" s="12">
        <v>0.35645833333333332</v>
      </c>
      <c r="E1735" s="20">
        <f t="shared" si="270"/>
        <v>1.070601851851849E-2</v>
      </c>
      <c r="F1735" t="str">
        <f t="shared" si="271"/>
        <v>stacjonarny</v>
      </c>
      <c r="G1735" s="23">
        <f t="shared" si="278"/>
        <v>618401</v>
      </c>
      <c r="H1735">
        <f t="shared" si="279"/>
        <v>204010</v>
      </c>
      <c r="I1735">
        <f t="shared" si="272"/>
        <v>0</v>
      </c>
      <c r="J1735">
        <f t="shared" si="273"/>
        <v>0</v>
      </c>
      <c r="K1735">
        <f t="shared" si="274"/>
        <v>822411</v>
      </c>
      <c r="L1735">
        <f t="shared" si="275"/>
        <v>0</v>
      </c>
      <c r="M1735">
        <f t="shared" si="276"/>
        <v>925</v>
      </c>
      <c r="N1735">
        <f t="shared" si="277"/>
        <v>0</v>
      </c>
    </row>
    <row r="1736" spans="1:14" x14ac:dyDescent="0.35">
      <c r="A1736" s="5">
        <v>2325155</v>
      </c>
      <c r="B1736" s="6">
        <v>42942</v>
      </c>
      <c r="C1736" s="7">
        <v>0.34759259259259262</v>
      </c>
      <c r="D1736" s="8">
        <v>0.35511574074074076</v>
      </c>
      <c r="E1736" s="20">
        <f t="shared" si="270"/>
        <v>7.5231481481481399E-3</v>
      </c>
      <c r="F1736" t="str">
        <f t="shared" si="271"/>
        <v>stacjonarny</v>
      </c>
      <c r="G1736" s="23">
        <f t="shared" si="278"/>
        <v>619051</v>
      </c>
      <c r="H1736">
        <f t="shared" si="279"/>
        <v>204010</v>
      </c>
      <c r="I1736">
        <f t="shared" si="272"/>
        <v>0</v>
      </c>
      <c r="J1736">
        <f t="shared" si="273"/>
        <v>0</v>
      </c>
      <c r="K1736">
        <f t="shared" si="274"/>
        <v>823061</v>
      </c>
      <c r="L1736">
        <f t="shared" si="275"/>
        <v>0</v>
      </c>
      <c r="M1736">
        <f t="shared" si="276"/>
        <v>650</v>
      </c>
      <c r="N1736">
        <f t="shared" si="277"/>
        <v>0</v>
      </c>
    </row>
    <row r="1737" spans="1:14" x14ac:dyDescent="0.35">
      <c r="A1737" s="9">
        <v>1340323</v>
      </c>
      <c r="B1737" s="10">
        <v>42942</v>
      </c>
      <c r="C1737" s="11">
        <v>0.34994212962962962</v>
      </c>
      <c r="D1737" s="12">
        <v>0.35781249999999998</v>
      </c>
      <c r="E1737" s="20">
        <f t="shared" si="270"/>
        <v>7.8703703703703609E-3</v>
      </c>
      <c r="F1737" t="str">
        <f t="shared" si="271"/>
        <v>stacjonarny</v>
      </c>
      <c r="G1737" s="23">
        <f t="shared" si="278"/>
        <v>619731</v>
      </c>
      <c r="H1737">
        <f t="shared" si="279"/>
        <v>204010</v>
      </c>
      <c r="I1737">
        <f t="shared" si="272"/>
        <v>0</v>
      </c>
      <c r="J1737">
        <f t="shared" si="273"/>
        <v>0</v>
      </c>
      <c r="K1737">
        <f t="shared" si="274"/>
        <v>823741</v>
      </c>
      <c r="L1737">
        <f t="shared" si="275"/>
        <v>0</v>
      </c>
      <c r="M1737">
        <f t="shared" si="276"/>
        <v>680</v>
      </c>
      <c r="N1737">
        <f t="shared" si="277"/>
        <v>0</v>
      </c>
    </row>
    <row r="1738" spans="1:14" x14ac:dyDescent="0.35">
      <c r="A1738" s="5">
        <v>8957203</v>
      </c>
      <c r="B1738" s="6">
        <v>42942</v>
      </c>
      <c r="C1738" s="7">
        <v>0.35454861111111113</v>
      </c>
      <c r="D1738" s="8">
        <v>0.3629398148148148</v>
      </c>
      <c r="E1738" s="20">
        <f t="shared" si="270"/>
        <v>8.3912037037036646E-3</v>
      </c>
      <c r="F1738" t="str">
        <f t="shared" si="271"/>
        <v>stacjonarny</v>
      </c>
      <c r="G1738" s="23">
        <f t="shared" si="278"/>
        <v>620456</v>
      </c>
      <c r="H1738">
        <f t="shared" si="279"/>
        <v>204010</v>
      </c>
      <c r="I1738">
        <f t="shared" si="272"/>
        <v>0</v>
      </c>
      <c r="J1738">
        <f t="shared" si="273"/>
        <v>0</v>
      </c>
      <c r="K1738">
        <f t="shared" si="274"/>
        <v>824466</v>
      </c>
      <c r="L1738">
        <f t="shared" si="275"/>
        <v>0</v>
      </c>
      <c r="M1738">
        <f t="shared" si="276"/>
        <v>725</v>
      </c>
      <c r="N1738">
        <f t="shared" si="277"/>
        <v>0</v>
      </c>
    </row>
    <row r="1739" spans="1:14" x14ac:dyDescent="0.35">
      <c r="A1739" s="9">
        <v>8276893</v>
      </c>
      <c r="B1739" s="10">
        <v>42942</v>
      </c>
      <c r="C1739" s="11">
        <v>0.3590740740740741</v>
      </c>
      <c r="D1739" s="12">
        <v>0.36600694444444443</v>
      </c>
      <c r="E1739" s="20">
        <f t="shared" si="270"/>
        <v>6.9328703703703254E-3</v>
      </c>
      <c r="F1739" t="str">
        <f t="shared" si="271"/>
        <v>stacjonarny</v>
      </c>
      <c r="G1739" s="23">
        <f t="shared" si="278"/>
        <v>621055</v>
      </c>
      <c r="H1739">
        <f t="shared" si="279"/>
        <v>204010</v>
      </c>
      <c r="I1739">
        <f t="shared" si="272"/>
        <v>0</v>
      </c>
      <c r="J1739">
        <f t="shared" si="273"/>
        <v>0</v>
      </c>
      <c r="K1739">
        <f t="shared" si="274"/>
        <v>825065</v>
      </c>
      <c r="L1739">
        <f t="shared" si="275"/>
        <v>0</v>
      </c>
      <c r="M1739">
        <f t="shared" si="276"/>
        <v>599</v>
      </c>
      <c r="N1739">
        <f t="shared" si="277"/>
        <v>0</v>
      </c>
    </row>
    <row r="1740" spans="1:14" x14ac:dyDescent="0.35">
      <c r="A1740" s="5">
        <v>7894591002</v>
      </c>
      <c r="B1740" s="6">
        <v>42942</v>
      </c>
      <c r="C1740" s="7">
        <v>0.36476851851851849</v>
      </c>
      <c r="D1740" s="8">
        <v>0.37505787037037036</v>
      </c>
      <c r="E1740" s="20">
        <f t="shared" si="270"/>
        <v>1.0289351851851869E-2</v>
      </c>
      <c r="F1740" t="str">
        <f t="shared" si="271"/>
        <v>zagraniczny</v>
      </c>
      <c r="G1740" s="23">
        <f t="shared" si="278"/>
        <v>621055</v>
      </c>
      <c r="H1740">
        <f t="shared" si="279"/>
        <v>204010</v>
      </c>
      <c r="I1740">
        <f t="shared" si="272"/>
        <v>889</v>
      </c>
      <c r="J1740">
        <f t="shared" si="273"/>
        <v>15</v>
      </c>
      <c r="K1740">
        <f t="shared" si="274"/>
        <v>825065</v>
      </c>
      <c r="L1740">
        <f t="shared" si="275"/>
        <v>0</v>
      </c>
      <c r="M1740">
        <f t="shared" si="276"/>
        <v>0</v>
      </c>
      <c r="N1740">
        <f t="shared" si="277"/>
        <v>0</v>
      </c>
    </row>
    <row r="1741" spans="1:14" x14ac:dyDescent="0.35">
      <c r="A1741" s="9">
        <v>26891502</v>
      </c>
      <c r="B1741" s="10">
        <v>42942</v>
      </c>
      <c r="C1741" s="11">
        <v>0.3697685185185185</v>
      </c>
      <c r="D1741" s="12">
        <v>0.37656250000000002</v>
      </c>
      <c r="E1741" s="20">
        <f t="shared" si="270"/>
        <v>6.7939814814815258E-3</v>
      </c>
      <c r="F1741" t="str">
        <f t="shared" si="271"/>
        <v>komorkowy</v>
      </c>
      <c r="G1741" s="23">
        <f t="shared" si="278"/>
        <v>621055</v>
      </c>
      <c r="H1741">
        <f t="shared" si="279"/>
        <v>204597</v>
      </c>
      <c r="I1741">
        <f t="shared" si="272"/>
        <v>0</v>
      </c>
      <c r="J1741">
        <f t="shared" si="273"/>
        <v>0</v>
      </c>
      <c r="K1741">
        <f t="shared" si="274"/>
        <v>825652</v>
      </c>
      <c r="L1741">
        <f t="shared" si="275"/>
        <v>0</v>
      </c>
      <c r="M1741">
        <f t="shared" si="276"/>
        <v>0</v>
      </c>
      <c r="N1741">
        <f t="shared" si="277"/>
        <v>587</v>
      </c>
    </row>
    <row r="1742" spans="1:14" x14ac:dyDescent="0.35">
      <c r="A1742" s="5">
        <v>71021004</v>
      </c>
      <c r="B1742" s="6">
        <v>42942</v>
      </c>
      <c r="C1742" s="7">
        <v>0.37305555555555553</v>
      </c>
      <c r="D1742" s="8">
        <v>0.38090277777777776</v>
      </c>
      <c r="E1742" s="20">
        <f t="shared" si="270"/>
        <v>7.8472222222222276E-3</v>
      </c>
      <c r="F1742" t="str">
        <f t="shared" si="271"/>
        <v>komorkowy</v>
      </c>
      <c r="G1742" s="23">
        <f t="shared" si="278"/>
        <v>621055</v>
      </c>
      <c r="H1742">
        <f t="shared" si="279"/>
        <v>205275</v>
      </c>
      <c r="I1742">
        <f t="shared" si="272"/>
        <v>0</v>
      </c>
      <c r="J1742">
        <f t="shared" si="273"/>
        <v>0</v>
      </c>
      <c r="K1742">
        <f t="shared" si="274"/>
        <v>826330</v>
      </c>
      <c r="L1742">
        <f t="shared" si="275"/>
        <v>0</v>
      </c>
      <c r="M1742">
        <f t="shared" si="276"/>
        <v>0</v>
      </c>
      <c r="N1742">
        <f t="shared" si="277"/>
        <v>678</v>
      </c>
    </row>
    <row r="1743" spans="1:14" x14ac:dyDescent="0.35">
      <c r="A1743" s="9">
        <v>17314583</v>
      </c>
      <c r="B1743" s="10">
        <v>42942</v>
      </c>
      <c r="C1743" s="11">
        <v>0.37843749999999998</v>
      </c>
      <c r="D1743" s="12">
        <v>0.38879629629629631</v>
      </c>
      <c r="E1743" s="20">
        <f t="shared" si="270"/>
        <v>1.0358796296296324E-2</v>
      </c>
      <c r="F1743" t="str">
        <f t="shared" si="271"/>
        <v>komorkowy</v>
      </c>
      <c r="G1743" s="23">
        <f t="shared" si="278"/>
        <v>621055</v>
      </c>
      <c r="H1743">
        <f t="shared" si="279"/>
        <v>206170</v>
      </c>
      <c r="I1743">
        <f t="shared" si="272"/>
        <v>0</v>
      </c>
      <c r="J1743">
        <f t="shared" si="273"/>
        <v>0</v>
      </c>
      <c r="K1743">
        <f t="shared" si="274"/>
        <v>827225</v>
      </c>
      <c r="L1743">
        <f t="shared" si="275"/>
        <v>0</v>
      </c>
      <c r="M1743">
        <f t="shared" si="276"/>
        <v>0</v>
      </c>
      <c r="N1743">
        <f t="shared" si="277"/>
        <v>895</v>
      </c>
    </row>
    <row r="1744" spans="1:14" x14ac:dyDescent="0.35">
      <c r="A1744" s="5">
        <v>3972159</v>
      </c>
      <c r="B1744" s="6">
        <v>42942</v>
      </c>
      <c r="C1744" s="7">
        <v>0.37895833333333334</v>
      </c>
      <c r="D1744" s="8">
        <v>0.38263888888888886</v>
      </c>
      <c r="E1744" s="20">
        <f t="shared" si="270"/>
        <v>3.6805555555555203E-3</v>
      </c>
      <c r="F1744" t="str">
        <f t="shared" si="271"/>
        <v>stacjonarny</v>
      </c>
      <c r="G1744" s="23">
        <f t="shared" si="278"/>
        <v>621373</v>
      </c>
      <c r="H1744">
        <f t="shared" si="279"/>
        <v>206170</v>
      </c>
      <c r="I1744">
        <f t="shared" si="272"/>
        <v>0</v>
      </c>
      <c r="J1744">
        <f t="shared" si="273"/>
        <v>0</v>
      </c>
      <c r="K1744">
        <f t="shared" si="274"/>
        <v>827543</v>
      </c>
      <c r="L1744">
        <f t="shared" si="275"/>
        <v>0</v>
      </c>
      <c r="M1744">
        <f t="shared" si="276"/>
        <v>318</v>
      </c>
      <c r="N1744">
        <f t="shared" si="277"/>
        <v>0</v>
      </c>
    </row>
    <row r="1745" spans="1:14" x14ac:dyDescent="0.35">
      <c r="A1745" s="9">
        <v>94989369</v>
      </c>
      <c r="B1745" s="10">
        <v>42942</v>
      </c>
      <c r="C1745" s="11">
        <v>0.37965277777777778</v>
      </c>
      <c r="D1745" s="12">
        <v>0.39068287037037036</v>
      </c>
      <c r="E1745" s="20">
        <f t="shared" si="270"/>
        <v>1.1030092592592577E-2</v>
      </c>
      <c r="F1745" t="str">
        <f t="shared" si="271"/>
        <v>komorkowy</v>
      </c>
      <c r="G1745" s="23">
        <f t="shared" si="278"/>
        <v>621373</v>
      </c>
      <c r="H1745">
        <f t="shared" si="279"/>
        <v>207123</v>
      </c>
      <c r="I1745">
        <f t="shared" si="272"/>
        <v>0</v>
      </c>
      <c r="J1745">
        <f t="shared" si="273"/>
        <v>0</v>
      </c>
      <c r="K1745">
        <f t="shared" si="274"/>
        <v>828496</v>
      </c>
      <c r="L1745">
        <f t="shared" si="275"/>
        <v>0</v>
      </c>
      <c r="M1745">
        <f t="shared" si="276"/>
        <v>0</v>
      </c>
      <c r="N1745">
        <f t="shared" si="277"/>
        <v>953</v>
      </c>
    </row>
    <row r="1746" spans="1:14" x14ac:dyDescent="0.35">
      <c r="A1746" s="5">
        <v>4857453</v>
      </c>
      <c r="B1746" s="6">
        <v>42942</v>
      </c>
      <c r="C1746" s="7">
        <v>0.38013888888888892</v>
      </c>
      <c r="D1746" s="8">
        <v>0.385625</v>
      </c>
      <c r="E1746" s="20">
        <f t="shared" si="270"/>
        <v>5.4861111111110805E-3</v>
      </c>
      <c r="F1746" t="str">
        <f t="shared" si="271"/>
        <v>stacjonarny</v>
      </c>
      <c r="G1746" s="23">
        <f t="shared" si="278"/>
        <v>621847</v>
      </c>
      <c r="H1746">
        <f t="shared" si="279"/>
        <v>207123</v>
      </c>
      <c r="I1746">
        <f t="shared" si="272"/>
        <v>0</v>
      </c>
      <c r="J1746">
        <f t="shared" si="273"/>
        <v>0</v>
      </c>
      <c r="K1746">
        <f t="shared" si="274"/>
        <v>828970</v>
      </c>
      <c r="L1746">
        <f t="shared" si="275"/>
        <v>0</v>
      </c>
      <c r="M1746">
        <f t="shared" si="276"/>
        <v>474</v>
      </c>
      <c r="N1746">
        <f t="shared" si="277"/>
        <v>0</v>
      </c>
    </row>
    <row r="1747" spans="1:14" x14ac:dyDescent="0.35">
      <c r="A1747" s="9">
        <v>7980513</v>
      </c>
      <c r="B1747" s="10">
        <v>42942</v>
      </c>
      <c r="C1747" s="11">
        <v>0.38197916666666665</v>
      </c>
      <c r="D1747" s="12">
        <v>0.38288194444444446</v>
      </c>
      <c r="E1747" s="20">
        <f t="shared" si="270"/>
        <v>9.0277777777780788E-4</v>
      </c>
      <c r="F1747" t="str">
        <f t="shared" si="271"/>
        <v>stacjonarny</v>
      </c>
      <c r="G1747" s="23">
        <f t="shared" si="278"/>
        <v>621925</v>
      </c>
      <c r="H1747">
        <f t="shared" si="279"/>
        <v>207123</v>
      </c>
      <c r="I1747">
        <f t="shared" si="272"/>
        <v>0</v>
      </c>
      <c r="J1747">
        <f t="shared" si="273"/>
        <v>0</v>
      </c>
      <c r="K1747">
        <f t="shared" si="274"/>
        <v>829048</v>
      </c>
      <c r="L1747">
        <f t="shared" si="275"/>
        <v>0</v>
      </c>
      <c r="M1747">
        <f t="shared" si="276"/>
        <v>78</v>
      </c>
      <c r="N1747">
        <f t="shared" si="277"/>
        <v>0</v>
      </c>
    </row>
    <row r="1748" spans="1:14" x14ac:dyDescent="0.35">
      <c r="A1748" s="5">
        <v>6896175</v>
      </c>
      <c r="B1748" s="6">
        <v>42942</v>
      </c>
      <c r="C1748" s="7">
        <v>0.38309027777777777</v>
      </c>
      <c r="D1748" s="8">
        <v>0.38425925925925924</v>
      </c>
      <c r="E1748" s="20">
        <f t="shared" si="270"/>
        <v>1.1689814814814792E-3</v>
      </c>
      <c r="F1748" t="str">
        <f t="shared" si="271"/>
        <v>stacjonarny</v>
      </c>
      <c r="G1748" s="23">
        <f t="shared" si="278"/>
        <v>622026</v>
      </c>
      <c r="H1748">
        <f t="shared" si="279"/>
        <v>207123</v>
      </c>
      <c r="I1748">
        <f t="shared" si="272"/>
        <v>0</v>
      </c>
      <c r="J1748">
        <f t="shared" si="273"/>
        <v>0</v>
      </c>
      <c r="K1748">
        <f t="shared" si="274"/>
        <v>829149</v>
      </c>
      <c r="L1748">
        <f t="shared" si="275"/>
        <v>0</v>
      </c>
      <c r="M1748">
        <f t="shared" si="276"/>
        <v>101</v>
      </c>
      <c r="N1748">
        <f t="shared" si="277"/>
        <v>0</v>
      </c>
    </row>
    <row r="1749" spans="1:14" x14ac:dyDescent="0.35">
      <c r="A1749" s="9">
        <v>1689993</v>
      </c>
      <c r="B1749" s="10">
        <v>42942</v>
      </c>
      <c r="C1749" s="11">
        <v>0.38337962962962963</v>
      </c>
      <c r="D1749" s="12">
        <v>0.38748842592592592</v>
      </c>
      <c r="E1749" s="20">
        <f t="shared" si="270"/>
        <v>4.108796296296291E-3</v>
      </c>
      <c r="F1749" t="str">
        <f t="shared" si="271"/>
        <v>stacjonarny</v>
      </c>
      <c r="G1749" s="23">
        <f t="shared" si="278"/>
        <v>622381</v>
      </c>
      <c r="H1749">
        <f t="shared" si="279"/>
        <v>207123</v>
      </c>
      <c r="I1749">
        <f t="shared" si="272"/>
        <v>0</v>
      </c>
      <c r="J1749">
        <f t="shared" si="273"/>
        <v>0</v>
      </c>
      <c r="K1749">
        <f t="shared" si="274"/>
        <v>829504</v>
      </c>
      <c r="L1749">
        <f t="shared" si="275"/>
        <v>0</v>
      </c>
      <c r="M1749">
        <f t="shared" si="276"/>
        <v>355</v>
      </c>
      <c r="N1749">
        <f t="shared" si="277"/>
        <v>0</v>
      </c>
    </row>
    <row r="1750" spans="1:14" x14ac:dyDescent="0.35">
      <c r="A1750" s="5">
        <v>1183006</v>
      </c>
      <c r="B1750" s="6">
        <v>42942</v>
      </c>
      <c r="C1750" s="7">
        <v>0.38601851851851854</v>
      </c>
      <c r="D1750" s="8">
        <v>0.39283564814814814</v>
      </c>
      <c r="E1750" s="20">
        <f t="shared" si="270"/>
        <v>6.8171296296296036E-3</v>
      </c>
      <c r="F1750" t="str">
        <f t="shared" si="271"/>
        <v>stacjonarny</v>
      </c>
      <c r="G1750" s="23">
        <f t="shared" si="278"/>
        <v>622970</v>
      </c>
      <c r="H1750">
        <f t="shared" si="279"/>
        <v>207123</v>
      </c>
      <c r="I1750">
        <f t="shared" si="272"/>
        <v>0</v>
      </c>
      <c r="J1750">
        <f t="shared" si="273"/>
        <v>0</v>
      </c>
      <c r="K1750">
        <f t="shared" si="274"/>
        <v>830093</v>
      </c>
      <c r="L1750">
        <f t="shared" si="275"/>
        <v>0</v>
      </c>
      <c r="M1750">
        <f t="shared" si="276"/>
        <v>589</v>
      </c>
      <c r="N1750">
        <f t="shared" si="277"/>
        <v>0</v>
      </c>
    </row>
    <row r="1751" spans="1:14" x14ac:dyDescent="0.35">
      <c r="A1751" s="9">
        <v>9446278</v>
      </c>
      <c r="B1751" s="10">
        <v>42942</v>
      </c>
      <c r="C1751" s="11">
        <v>0.38871527777777776</v>
      </c>
      <c r="D1751" s="12">
        <v>0.38982638888888888</v>
      </c>
      <c r="E1751" s="20">
        <f t="shared" si="270"/>
        <v>1.1111111111111183E-3</v>
      </c>
      <c r="F1751" t="str">
        <f t="shared" si="271"/>
        <v>stacjonarny</v>
      </c>
      <c r="G1751" s="23">
        <f t="shared" si="278"/>
        <v>623066</v>
      </c>
      <c r="H1751">
        <f t="shared" si="279"/>
        <v>207123</v>
      </c>
      <c r="I1751">
        <f t="shared" si="272"/>
        <v>0</v>
      </c>
      <c r="J1751">
        <f t="shared" si="273"/>
        <v>0</v>
      </c>
      <c r="K1751">
        <f t="shared" si="274"/>
        <v>830189</v>
      </c>
      <c r="L1751">
        <f t="shared" si="275"/>
        <v>0</v>
      </c>
      <c r="M1751">
        <f t="shared" si="276"/>
        <v>96</v>
      </c>
      <c r="N1751">
        <f t="shared" si="277"/>
        <v>0</v>
      </c>
    </row>
    <row r="1752" spans="1:14" x14ac:dyDescent="0.35">
      <c r="A1752" s="5">
        <v>2445944</v>
      </c>
      <c r="B1752" s="6">
        <v>42942</v>
      </c>
      <c r="C1752" s="7">
        <v>0.3895601851851852</v>
      </c>
      <c r="D1752" s="8">
        <v>0.39548611111111109</v>
      </c>
      <c r="E1752" s="20">
        <f t="shared" si="270"/>
        <v>5.9259259259258901E-3</v>
      </c>
      <c r="F1752" t="str">
        <f t="shared" si="271"/>
        <v>stacjonarny</v>
      </c>
      <c r="G1752" s="23">
        <f t="shared" si="278"/>
        <v>623578</v>
      </c>
      <c r="H1752">
        <f t="shared" si="279"/>
        <v>207123</v>
      </c>
      <c r="I1752">
        <f t="shared" si="272"/>
        <v>0</v>
      </c>
      <c r="J1752">
        <f t="shared" si="273"/>
        <v>0</v>
      </c>
      <c r="K1752">
        <f t="shared" si="274"/>
        <v>830701</v>
      </c>
      <c r="L1752">
        <f t="shared" si="275"/>
        <v>0</v>
      </c>
      <c r="M1752">
        <f t="shared" si="276"/>
        <v>512</v>
      </c>
      <c r="N1752">
        <f t="shared" si="277"/>
        <v>0</v>
      </c>
    </row>
    <row r="1753" spans="1:14" x14ac:dyDescent="0.35">
      <c r="A1753" s="9">
        <v>4404713</v>
      </c>
      <c r="B1753" s="10">
        <v>42942</v>
      </c>
      <c r="C1753" s="11">
        <v>0.39533564814814814</v>
      </c>
      <c r="D1753" s="12">
        <v>0.39599537037037036</v>
      </c>
      <c r="E1753" s="20">
        <f t="shared" si="270"/>
        <v>6.5972222222221433E-4</v>
      </c>
      <c r="F1753" t="str">
        <f t="shared" si="271"/>
        <v>stacjonarny</v>
      </c>
      <c r="G1753" s="23">
        <f t="shared" si="278"/>
        <v>623635</v>
      </c>
      <c r="H1753">
        <f t="shared" si="279"/>
        <v>207123</v>
      </c>
      <c r="I1753">
        <f t="shared" si="272"/>
        <v>0</v>
      </c>
      <c r="J1753">
        <f t="shared" si="273"/>
        <v>0</v>
      </c>
      <c r="K1753">
        <f t="shared" si="274"/>
        <v>830758</v>
      </c>
      <c r="L1753">
        <f t="shared" si="275"/>
        <v>0</v>
      </c>
      <c r="M1753">
        <f t="shared" si="276"/>
        <v>57</v>
      </c>
      <c r="N1753">
        <f t="shared" si="277"/>
        <v>0</v>
      </c>
    </row>
    <row r="1754" spans="1:14" x14ac:dyDescent="0.35">
      <c r="A1754" s="5">
        <v>6495153</v>
      </c>
      <c r="B1754" s="6">
        <v>42942</v>
      </c>
      <c r="C1754" s="7">
        <v>0.4001736111111111</v>
      </c>
      <c r="D1754" s="8">
        <v>0.40406249999999999</v>
      </c>
      <c r="E1754" s="20">
        <f t="shared" si="270"/>
        <v>3.8888888888888862E-3</v>
      </c>
      <c r="F1754" t="str">
        <f t="shared" si="271"/>
        <v>stacjonarny</v>
      </c>
      <c r="G1754" s="23">
        <f t="shared" si="278"/>
        <v>623971</v>
      </c>
      <c r="H1754">
        <f t="shared" si="279"/>
        <v>207123</v>
      </c>
      <c r="I1754">
        <f t="shared" si="272"/>
        <v>0</v>
      </c>
      <c r="J1754">
        <f t="shared" si="273"/>
        <v>0</v>
      </c>
      <c r="K1754">
        <f t="shared" si="274"/>
        <v>831094</v>
      </c>
      <c r="L1754">
        <f t="shared" si="275"/>
        <v>0</v>
      </c>
      <c r="M1754">
        <f t="shared" si="276"/>
        <v>336</v>
      </c>
      <c r="N1754">
        <f t="shared" si="277"/>
        <v>0</v>
      </c>
    </row>
    <row r="1755" spans="1:14" x14ac:dyDescent="0.35">
      <c r="A1755" s="9">
        <v>2684831</v>
      </c>
      <c r="B1755" s="10">
        <v>42942</v>
      </c>
      <c r="C1755" s="11">
        <v>0.40130787037037036</v>
      </c>
      <c r="D1755" s="12">
        <v>0.40658564814814813</v>
      </c>
      <c r="E1755" s="20">
        <f t="shared" si="270"/>
        <v>5.2777777777777701E-3</v>
      </c>
      <c r="F1755" t="str">
        <f t="shared" si="271"/>
        <v>stacjonarny</v>
      </c>
      <c r="G1755" s="23">
        <f t="shared" si="278"/>
        <v>624427</v>
      </c>
      <c r="H1755">
        <f t="shared" si="279"/>
        <v>207123</v>
      </c>
      <c r="I1755">
        <f t="shared" si="272"/>
        <v>0</v>
      </c>
      <c r="J1755">
        <f t="shared" si="273"/>
        <v>0</v>
      </c>
      <c r="K1755">
        <f t="shared" si="274"/>
        <v>831550</v>
      </c>
      <c r="L1755">
        <f t="shared" si="275"/>
        <v>0</v>
      </c>
      <c r="M1755">
        <f t="shared" si="276"/>
        <v>456</v>
      </c>
      <c r="N1755">
        <f t="shared" si="277"/>
        <v>0</v>
      </c>
    </row>
    <row r="1756" spans="1:14" x14ac:dyDescent="0.35">
      <c r="A1756" s="5">
        <v>8748493</v>
      </c>
      <c r="B1756" s="6">
        <v>42942</v>
      </c>
      <c r="C1756" s="7">
        <v>0.40415509259259258</v>
      </c>
      <c r="D1756" s="8">
        <v>0.40443287037037035</v>
      </c>
      <c r="E1756" s="20">
        <f t="shared" si="270"/>
        <v>2.7777777777776569E-4</v>
      </c>
      <c r="F1756" t="str">
        <f t="shared" si="271"/>
        <v>stacjonarny</v>
      </c>
      <c r="G1756" s="23">
        <f t="shared" si="278"/>
        <v>624451</v>
      </c>
      <c r="H1756">
        <f t="shared" si="279"/>
        <v>207123</v>
      </c>
      <c r="I1756">
        <f t="shared" si="272"/>
        <v>0</v>
      </c>
      <c r="J1756">
        <f t="shared" si="273"/>
        <v>0</v>
      </c>
      <c r="K1756">
        <f t="shared" si="274"/>
        <v>831574</v>
      </c>
      <c r="L1756">
        <f t="shared" si="275"/>
        <v>0</v>
      </c>
      <c r="M1756">
        <f t="shared" si="276"/>
        <v>24</v>
      </c>
      <c r="N1756">
        <f t="shared" si="277"/>
        <v>0</v>
      </c>
    </row>
    <row r="1757" spans="1:14" x14ac:dyDescent="0.35">
      <c r="A1757" s="9">
        <v>7230252</v>
      </c>
      <c r="B1757" s="10">
        <v>42942</v>
      </c>
      <c r="C1757" s="11">
        <v>0.40771990740740743</v>
      </c>
      <c r="D1757" s="12">
        <v>0.41290509259259262</v>
      </c>
      <c r="E1757" s="20">
        <f t="shared" si="270"/>
        <v>5.1851851851851816E-3</v>
      </c>
      <c r="F1757" t="str">
        <f t="shared" si="271"/>
        <v>stacjonarny</v>
      </c>
      <c r="G1757" s="23">
        <f t="shared" si="278"/>
        <v>624899</v>
      </c>
      <c r="H1757">
        <f t="shared" si="279"/>
        <v>207123</v>
      </c>
      <c r="I1757">
        <f t="shared" si="272"/>
        <v>0</v>
      </c>
      <c r="J1757">
        <f t="shared" si="273"/>
        <v>0</v>
      </c>
      <c r="K1757">
        <f t="shared" si="274"/>
        <v>832022</v>
      </c>
      <c r="L1757">
        <f t="shared" si="275"/>
        <v>0</v>
      </c>
      <c r="M1757">
        <f t="shared" si="276"/>
        <v>448</v>
      </c>
      <c r="N1757">
        <f t="shared" si="277"/>
        <v>0</v>
      </c>
    </row>
    <row r="1758" spans="1:14" x14ac:dyDescent="0.35">
      <c r="A1758" s="5">
        <v>5082463</v>
      </c>
      <c r="B1758" s="6">
        <v>42942</v>
      </c>
      <c r="C1758" s="7">
        <v>0.41269675925925925</v>
      </c>
      <c r="D1758" s="8">
        <v>0.42046296296296298</v>
      </c>
      <c r="E1758" s="20">
        <f t="shared" si="270"/>
        <v>7.7662037037037335E-3</v>
      </c>
      <c r="F1758" t="str">
        <f t="shared" si="271"/>
        <v>stacjonarny</v>
      </c>
      <c r="G1758" s="23">
        <f t="shared" si="278"/>
        <v>625570</v>
      </c>
      <c r="H1758">
        <f t="shared" si="279"/>
        <v>207123</v>
      </c>
      <c r="I1758">
        <f t="shared" si="272"/>
        <v>0</v>
      </c>
      <c r="J1758">
        <f t="shared" si="273"/>
        <v>0</v>
      </c>
      <c r="K1758">
        <f t="shared" si="274"/>
        <v>832693</v>
      </c>
      <c r="L1758">
        <f t="shared" si="275"/>
        <v>0</v>
      </c>
      <c r="M1758">
        <f t="shared" si="276"/>
        <v>671</v>
      </c>
      <c r="N1758">
        <f t="shared" si="277"/>
        <v>0</v>
      </c>
    </row>
    <row r="1759" spans="1:14" x14ac:dyDescent="0.35">
      <c r="A1759" s="9">
        <v>1830054</v>
      </c>
      <c r="B1759" s="10">
        <v>42942</v>
      </c>
      <c r="C1759" s="11">
        <v>0.41390046296296296</v>
      </c>
      <c r="D1759" s="12">
        <v>0.42016203703703703</v>
      </c>
      <c r="E1759" s="20">
        <f t="shared" si="270"/>
        <v>6.2615740740740722E-3</v>
      </c>
      <c r="F1759" t="str">
        <f t="shared" si="271"/>
        <v>stacjonarny</v>
      </c>
      <c r="G1759" s="23">
        <f t="shared" si="278"/>
        <v>626111</v>
      </c>
      <c r="H1759">
        <f t="shared" si="279"/>
        <v>207123</v>
      </c>
      <c r="I1759">
        <f t="shared" si="272"/>
        <v>0</v>
      </c>
      <c r="J1759">
        <f t="shared" si="273"/>
        <v>0</v>
      </c>
      <c r="K1759">
        <f t="shared" si="274"/>
        <v>833234</v>
      </c>
      <c r="L1759">
        <f t="shared" si="275"/>
        <v>0</v>
      </c>
      <c r="M1759">
        <f t="shared" si="276"/>
        <v>541</v>
      </c>
      <c r="N1759">
        <f t="shared" si="277"/>
        <v>0</v>
      </c>
    </row>
    <row r="1760" spans="1:14" x14ac:dyDescent="0.35">
      <c r="A1760" s="5">
        <v>5223970</v>
      </c>
      <c r="B1760" s="6">
        <v>42942</v>
      </c>
      <c r="C1760" s="7">
        <v>0.41413194444444446</v>
      </c>
      <c r="D1760" s="8">
        <v>0.41684027777777777</v>
      </c>
      <c r="E1760" s="20">
        <f t="shared" si="270"/>
        <v>2.7083333333333126E-3</v>
      </c>
      <c r="F1760" t="str">
        <f t="shared" si="271"/>
        <v>stacjonarny</v>
      </c>
      <c r="G1760" s="23">
        <f t="shared" si="278"/>
        <v>626345</v>
      </c>
      <c r="H1760">
        <f t="shared" si="279"/>
        <v>207123</v>
      </c>
      <c r="I1760">
        <f t="shared" si="272"/>
        <v>0</v>
      </c>
      <c r="J1760">
        <f t="shared" si="273"/>
        <v>0</v>
      </c>
      <c r="K1760">
        <f t="shared" si="274"/>
        <v>833468</v>
      </c>
      <c r="L1760">
        <f t="shared" si="275"/>
        <v>0</v>
      </c>
      <c r="M1760">
        <f t="shared" si="276"/>
        <v>234</v>
      </c>
      <c r="N1760">
        <f t="shared" si="277"/>
        <v>0</v>
      </c>
    </row>
    <row r="1761" spans="1:14" x14ac:dyDescent="0.35">
      <c r="A1761" s="9">
        <v>8369071681</v>
      </c>
      <c r="B1761" s="10">
        <v>42942</v>
      </c>
      <c r="C1761" s="11">
        <v>0.41935185185185186</v>
      </c>
      <c r="D1761" s="12">
        <v>0.42133101851851851</v>
      </c>
      <c r="E1761" s="20">
        <f t="shared" si="270"/>
        <v>1.979166666666643E-3</v>
      </c>
      <c r="F1761" t="str">
        <f t="shared" si="271"/>
        <v>zagraniczny</v>
      </c>
      <c r="G1761" s="23">
        <f t="shared" si="278"/>
        <v>626345</v>
      </c>
      <c r="H1761">
        <f t="shared" si="279"/>
        <v>207123</v>
      </c>
      <c r="I1761">
        <f t="shared" si="272"/>
        <v>171</v>
      </c>
      <c r="J1761">
        <f t="shared" si="273"/>
        <v>3</v>
      </c>
      <c r="K1761">
        <f t="shared" si="274"/>
        <v>833468</v>
      </c>
      <c r="L1761">
        <f t="shared" si="275"/>
        <v>0</v>
      </c>
      <c r="M1761">
        <f t="shared" si="276"/>
        <v>0</v>
      </c>
      <c r="N1761">
        <f t="shared" si="277"/>
        <v>0</v>
      </c>
    </row>
    <row r="1762" spans="1:14" x14ac:dyDescent="0.35">
      <c r="A1762" s="5">
        <v>5582631</v>
      </c>
      <c r="B1762" s="6">
        <v>42942</v>
      </c>
      <c r="C1762" s="7">
        <v>0.42229166666666668</v>
      </c>
      <c r="D1762" s="8">
        <v>0.42271990740740739</v>
      </c>
      <c r="E1762" s="20">
        <f t="shared" si="270"/>
        <v>4.2824074074071516E-4</v>
      </c>
      <c r="F1762" t="str">
        <f t="shared" si="271"/>
        <v>stacjonarny</v>
      </c>
      <c r="G1762" s="23">
        <f t="shared" si="278"/>
        <v>626382</v>
      </c>
      <c r="H1762">
        <f t="shared" si="279"/>
        <v>207123</v>
      </c>
      <c r="I1762">
        <f t="shared" si="272"/>
        <v>0</v>
      </c>
      <c r="J1762">
        <f t="shared" si="273"/>
        <v>0</v>
      </c>
      <c r="K1762">
        <f t="shared" si="274"/>
        <v>833505</v>
      </c>
      <c r="L1762">
        <f t="shared" si="275"/>
        <v>0</v>
      </c>
      <c r="M1762">
        <f t="shared" si="276"/>
        <v>37</v>
      </c>
      <c r="N1762">
        <f t="shared" si="277"/>
        <v>0</v>
      </c>
    </row>
    <row r="1763" spans="1:14" x14ac:dyDescent="0.35">
      <c r="A1763" s="9">
        <v>68043713</v>
      </c>
      <c r="B1763" s="10">
        <v>42942</v>
      </c>
      <c r="C1763" s="11">
        <v>0.42366898148148147</v>
      </c>
      <c r="D1763" s="12">
        <v>0.42792824074074076</v>
      </c>
      <c r="E1763" s="20">
        <f t="shared" si="270"/>
        <v>4.2592592592592959E-3</v>
      </c>
      <c r="F1763" t="str">
        <f t="shared" si="271"/>
        <v>komorkowy</v>
      </c>
      <c r="G1763" s="23">
        <f t="shared" si="278"/>
        <v>626382</v>
      </c>
      <c r="H1763">
        <f t="shared" si="279"/>
        <v>207491</v>
      </c>
      <c r="I1763">
        <f t="shared" si="272"/>
        <v>0</v>
      </c>
      <c r="J1763">
        <f t="shared" si="273"/>
        <v>0</v>
      </c>
      <c r="K1763">
        <f t="shared" si="274"/>
        <v>833873</v>
      </c>
      <c r="L1763">
        <f t="shared" si="275"/>
        <v>0</v>
      </c>
      <c r="M1763">
        <f t="shared" si="276"/>
        <v>0</v>
      </c>
      <c r="N1763">
        <f t="shared" si="277"/>
        <v>368</v>
      </c>
    </row>
    <row r="1764" spans="1:14" x14ac:dyDescent="0.35">
      <c r="A1764" s="5">
        <v>89263578</v>
      </c>
      <c r="B1764" s="6">
        <v>42942</v>
      </c>
      <c r="C1764" s="7">
        <v>0.42912037037037037</v>
      </c>
      <c r="D1764" s="8">
        <v>0.43753472222222223</v>
      </c>
      <c r="E1764" s="20">
        <f t="shared" si="270"/>
        <v>8.4143518518518534E-3</v>
      </c>
      <c r="F1764" t="str">
        <f t="shared" si="271"/>
        <v>komorkowy</v>
      </c>
      <c r="G1764" s="23">
        <f t="shared" si="278"/>
        <v>626382</v>
      </c>
      <c r="H1764">
        <f t="shared" si="279"/>
        <v>208218</v>
      </c>
      <c r="I1764">
        <f t="shared" si="272"/>
        <v>0</v>
      </c>
      <c r="J1764">
        <f t="shared" si="273"/>
        <v>0</v>
      </c>
      <c r="K1764">
        <f t="shared" si="274"/>
        <v>834600</v>
      </c>
      <c r="L1764">
        <f t="shared" si="275"/>
        <v>0</v>
      </c>
      <c r="M1764">
        <f t="shared" si="276"/>
        <v>0</v>
      </c>
      <c r="N1764">
        <f t="shared" si="277"/>
        <v>727</v>
      </c>
    </row>
    <row r="1765" spans="1:14" x14ac:dyDescent="0.35">
      <c r="A1765" s="9">
        <v>7511410</v>
      </c>
      <c r="B1765" s="10">
        <v>42942</v>
      </c>
      <c r="C1765" s="11">
        <v>0.43304398148148149</v>
      </c>
      <c r="D1765" s="12">
        <v>0.43761574074074072</v>
      </c>
      <c r="E1765" s="20">
        <f t="shared" si="270"/>
        <v>4.5717592592592338E-3</v>
      </c>
      <c r="F1765" t="str">
        <f t="shared" si="271"/>
        <v>stacjonarny</v>
      </c>
      <c r="G1765" s="23">
        <f t="shared" si="278"/>
        <v>626777</v>
      </c>
      <c r="H1765">
        <f t="shared" si="279"/>
        <v>208218</v>
      </c>
      <c r="I1765">
        <f t="shared" si="272"/>
        <v>0</v>
      </c>
      <c r="J1765">
        <f t="shared" si="273"/>
        <v>0</v>
      </c>
      <c r="K1765">
        <f t="shared" si="274"/>
        <v>834995</v>
      </c>
      <c r="L1765">
        <f t="shared" si="275"/>
        <v>0</v>
      </c>
      <c r="M1765">
        <f t="shared" si="276"/>
        <v>395</v>
      </c>
      <c r="N1765">
        <f t="shared" si="277"/>
        <v>0</v>
      </c>
    </row>
    <row r="1766" spans="1:14" x14ac:dyDescent="0.35">
      <c r="A1766" s="5">
        <v>2128803</v>
      </c>
      <c r="B1766" s="6">
        <v>42942</v>
      </c>
      <c r="C1766" s="7">
        <v>0.43815972222222221</v>
      </c>
      <c r="D1766" s="8">
        <v>0.44572916666666668</v>
      </c>
      <c r="E1766" s="20">
        <f t="shared" si="270"/>
        <v>7.569444444444462E-3</v>
      </c>
      <c r="F1766" t="str">
        <f t="shared" si="271"/>
        <v>stacjonarny</v>
      </c>
      <c r="G1766" s="23">
        <f t="shared" si="278"/>
        <v>627431</v>
      </c>
      <c r="H1766">
        <f t="shared" si="279"/>
        <v>208218</v>
      </c>
      <c r="I1766">
        <f t="shared" si="272"/>
        <v>0</v>
      </c>
      <c r="J1766">
        <f t="shared" si="273"/>
        <v>0</v>
      </c>
      <c r="K1766">
        <f t="shared" si="274"/>
        <v>835649</v>
      </c>
      <c r="L1766">
        <f t="shared" si="275"/>
        <v>0</v>
      </c>
      <c r="M1766">
        <f t="shared" si="276"/>
        <v>654</v>
      </c>
      <c r="N1766">
        <f t="shared" si="277"/>
        <v>0</v>
      </c>
    </row>
    <row r="1767" spans="1:14" x14ac:dyDescent="0.35">
      <c r="A1767" s="9">
        <v>3135285</v>
      </c>
      <c r="B1767" s="10">
        <v>42942</v>
      </c>
      <c r="C1767" s="11">
        <v>0.43896990740740743</v>
      </c>
      <c r="D1767" s="12">
        <v>0.44863425925925926</v>
      </c>
      <c r="E1767" s="20">
        <f t="shared" si="270"/>
        <v>9.6643518518518268E-3</v>
      </c>
      <c r="F1767" t="str">
        <f t="shared" si="271"/>
        <v>stacjonarny</v>
      </c>
      <c r="G1767" s="23">
        <f t="shared" si="278"/>
        <v>628266</v>
      </c>
      <c r="H1767">
        <f t="shared" si="279"/>
        <v>208218</v>
      </c>
      <c r="I1767">
        <f t="shared" si="272"/>
        <v>0</v>
      </c>
      <c r="J1767">
        <f t="shared" si="273"/>
        <v>0</v>
      </c>
      <c r="K1767">
        <f t="shared" si="274"/>
        <v>836484</v>
      </c>
      <c r="L1767">
        <f t="shared" si="275"/>
        <v>0</v>
      </c>
      <c r="M1767">
        <f t="shared" si="276"/>
        <v>835</v>
      </c>
      <c r="N1767">
        <f t="shared" si="277"/>
        <v>0</v>
      </c>
    </row>
    <row r="1768" spans="1:14" x14ac:dyDescent="0.35">
      <c r="A1768" s="5">
        <v>5231877</v>
      </c>
      <c r="B1768" s="6">
        <v>42942</v>
      </c>
      <c r="C1768" s="7">
        <v>0.44265046296296295</v>
      </c>
      <c r="D1768" s="8">
        <v>0.45337962962962963</v>
      </c>
      <c r="E1768" s="20">
        <f t="shared" si="270"/>
        <v>1.0729166666666679E-2</v>
      </c>
      <c r="F1768" t="str">
        <f t="shared" si="271"/>
        <v>stacjonarny</v>
      </c>
      <c r="G1768" s="23">
        <f t="shared" si="278"/>
        <v>629193</v>
      </c>
      <c r="H1768">
        <f t="shared" si="279"/>
        <v>208218</v>
      </c>
      <c r="I1768">
        <f t="shared" si="272"/>
        <v>0</v>
      </c>
      <c r="J1768">
        <f t="shared" si="273"/>
        <v>0</v>
      </c>
      <c r="K1768">
        <f t="shared" si="274"/>
        <v>837411</v>
      </c>
      <c r="L1768">
        <f t="shared" si="275"/>
        <v>0</v>
      </c>
      <c r="M1768">
        <f t="shared" si="276"/>
        <v>927</v>
      </c>
      <c r="N1768">
        <f t="shared" si="277"/>
        <v>0</v>
      </c>
    </row>
    <row r="1769" spans="1:14" x14ac:dyDescent="0.35">
      <c r="A1769" s="9">
        <v>98391891</v>
      </c>
      <c r="B1769" s="10">
        <v>42942</v>
      </c>
      <c r="C1769" s="11">
        <v>0.44289351851851849</v>
      </c>
      <c r="D1769" s="12">
        <v>0.44364583333333335</v>
      </c>
      <c r="E1769" s="20">
        <f t="shared" si="270"/>
        <v>7.523148148148584E-4</v>
      </c>
      <c r="F1769" t="str">
        <f t="shared" si="271"/>
        <v>komorkowy</v>
      </c>
      <c r="G1769" s="23">
        <f t="shared" si="278"/>
        <v>629193</v>
      </c>
      <c r="H1769">
        <f t="shared" si="279"/>
        <v>208283</v>
      </c>
      <c r="I1769">
        <f t="shared" si="272"/>
        <v>0</v>
      </c>
      <c r="J1769">
        <f t="shared" si="273"/>
        <v>0</v>
      </c>
      <c r="K1769">
        <f t="shared" si="274"/>
        <v>837476</v>
      </c>
      <c r="L1769">
        <f t="shared" si="275"/>
        <v>0</v>
      </c>
      <c r="M1769">
        <f t="shared" si="276"/>
        <v>0</v>
      </c>
      <c r="N1769">
        <f t="shared" si="277"/>
        <v>65</v>
      </c>
    </row>
    <row r="1770" spans="1:14" x14ac:dyDescent="0.35">
      <c r="A1770" s="5">
        <v>9865524</v>
      </c>
      <c r="B1770" s="6">
        <v>42942</v>
      </c>
      <c r="C1770" s="7">
        <v>0.44298611111111114</v>
      </c>
      <c r="D1770" s="8">
        <v>0.45023148148148145</v>
      </c>
      <c r="E1770" s="20">
        <f t="shared" si="270"/>
        <v>7.2453703703703187E-3</v>
      </c>
      <c r="F1770" t="str">
        <f t="shared" si="271"/>
        <v>stacjonarny</v>
      </c>
      <c r="G1770" s="23">
        <f t="shared" si="278"/>
        <v>629819</v>
      </c>
      <c r="H1770">
        <f t="shared" si="279"/>
        <v>208283</v>
      </c>
      <c r="I1770">
        <f t="shared" si="272"/>
        <v>0</v>
      </c>
      <c r="J1770">
        <f t="shared" si="273"/>
        <v>0</v>
      </c>
      <c r="K1770">
        <f t="shared" si="274"/>
        <v>838102</v>
      </c>
      <c r="L1770">
        <f t="shared" si="275"/>
        <v>0</v>
      </c>
      <c r="M1770">
        <f t="shared" si="276"/>
        <v>626</v>
      </c>
      <c r="N1770">
        <f t="shared" si="277"/>
        <v>0</v>
      </c>
    </row>
    <row r="1771" spans="1:14" x14ac:dyDescent="0.35">
      <c r="A1771" s="9">
        <v>7988607</v>
      </c>
      <c r="B1771" s="10">
        <v>42942</v>
      </c>
      <c r="C1771" s="11">
        <v>0.44300925925925927</v>
      </c>
      <c r="D1771" s="12">
        <v>0.4513773148148148</v>
      </c>
      <c r="E1771" s="20">
        <f t="shared" si="270"/>
        <v>8.3680555555555314E-3</v>
      </c>
      <c r="F1771" t="str">
        <f t="shared" si="271"/>
        <v>stacjonarny</v>
      </c>
      <c r="G1771" s="23">
        <f t="shared" si="278"/>
        <v>630542</v>
      </c>
      <c r="H1771">
        <f t="shared" si="279"/>
        <v>208283</v>
      </c>
      <c r="I1771">
        <f t="shared" si="272"/>
        <v>0</v>
      </c>
      <c r="J1771">
        <f t="shared" si="273"/>
        <v>0</v>
      </c>
      <c r="K1771">
        <f t="shared" si="274"/>
        <v>838825</v>
      </c>
      <c r="L1771">
        <f t="shared" si="275"/>
        <v>0</v>
      </c>
      <c r="M1771">
        <f t="shared" si="276"/>
        <v>723</v>
      </c>
      <c r="N1771">
        <f t="shared" si="277"/>
        <v>0</v>
      </c>
    </row>
    <row r="1772" spans="1:14" x14ac:dyDescent="0.35">
      <c r="A1772" s="5">
        <v>4599598</v>
      </c>
      <c r="B1772" s="6">
        <v>42942</v>
      </c>
      <c r="C1772" s="7">
        <v>0.44710648148148147</v>
      </c>
      <c r="D1772" s="8">
        <v>0.45658564814814817</v>
      </c>
      <c r="E1772" s="20">
        <f t="shared" si="270"/>
        <v>9.4791666666667052E-3</v>
      </c>
      <c r="F1772" t="str">
        <f t="shared" si="271"/>
        <v>stacjonarny</v>
      </c>
      <c r="G1772" s="23">
        <f t="shared" si="278"/>
        <v>631361</v>
      </c>
      <c r="H1772">
        <f t="shared" si="279"/>
        <v>208283</v>
      </c>
      <c r="I1772">
        <f t="shared" si="272"/>
        <v>0</v>
      </c>
      <c r="J1772">
        <f t="shared" si="273"/>
        <v>0</v>
      </c>
      <c r="K1772">
        <f t="shared" si="274"/>
        <v>839644</v>
      </c>
      <c r="L1772">
        <f t="shared" si="275"/>
        <v>0</v>
      </c>
      <c r="M1772">
        <f t="shared" si="276"/>
        <v>819</v>
      </c>
      <c r="N1772">
        <f t="shared" si="277"/>
        <v>0</v>
      </c>
    </row>
    <row r="1773" spans="1:14" x14ac:dyDescent="0.35">
      <c r="A1773" s="9">
        <v>59984179</v>
      </c>
      <c r="B1773" s="10">
        <v>42942</v>
      </c>
      <c r="C1773" s="11">
        <v>0.44815972222222222</v>
      </c>
      <c r="D1773" s="12">
        <v>0.45435185185185184</v>
      </c>
      <c r="E1773" s="20">
        <f t="shared" si="270"/>
        <v>6.1921296296296169E-3</v>
      </c>
      <c r="F1773" t="str">
        <f t="shared" si="271"/>
        <v>komorkowy</v>
      </c>
      <c r="G1773" s="23">
        <f t="shared" si="278"/>
        <v>631361</v>
      </c>
      <c r="H1773">
        <f t="shared" si="279"/>
        <v>208818</v>
      </c>
      <c r="I1773">
        <f t="shared" si="272"/>
        <v>0</v>
      </c>
      <c r="J1773">
        <f t="shared" si="273"/>
        <v>0</v>
      </c>
      <c r="K1773">
        <f t="shared" si="274"/>
        <v>840179</v>
      </c>
      <c r="L1773">
        <f t="shared" si="275"/>
        <v>0</v>
      </c>
      <c r="M1773">
        <f t="shared" si="276"/>
        <v>0</v>
      </c>
      <c r="N1773">
        <f t="shared" si="277"/>
        <v>535</v>
      </c>
    </row>
    <row r="1774" spans="1:14" x14ac:dyDescent="0.35">
      <c r="A1774" s="5">
        <v>9763924</v>
      </c>
      <c r="B1774" s="6">
        <v>42942</v>
      </c>
      <c r="C1774" s="7">
        <v>0.44972222222222225</v>
      </c>
      <c r="D1774" s="8">
        <v>0.45559027777777777</v>
      </c>
      <c r="E1774" s="20">
        <f t="shared" si="270"/>
        <v>5.8680555555555292E-3</v>
      </c>
      <c r="F1774" t="str">
        <f t="shared" si="271"/>
        <v>stacjonarny</v>
      </c>
      <c r="G1774" s="23">
        <f t="shared" si="278"/>
        <v>631868</v>
      </c>
      <c r="H1774">
        <f t="shared" si="279"/>
        <v>208818</v>
      </c>
      <c r="I1774">
        <f t="shared" si="272"/>
        <v>0</v>
      </c>
      <c r="J1774">
        <f t="shared" si="273"/>
        <v>0</v>
      </c>
      <c r="K1774">
        <f t="shared" si="274"/>
        <v>840686</v>
      </c>
      <c r="L1774">
        <f t="shared" si="275"/>
        <v>0</v>
      </c>
      <c r="M1774">
        <f t="shared" si="276"/>
        <v>507</v>
      </c>
      <c r="N1774">
        <f t="shared" si="277"/>
        <v>0</v>
      </c>
    </row>
    <row r="1775" spans="1:14" x14ac:dyDescent="0.35">
      <c r="A1775" s="9">
        <v>1531672</v>
      </c>
      <c r="B1775" s="10">
        <v>42942</v>
      </c>
      <c r="C1775" s="11">
        <v>0.45021990740740742</v>
      </c>
      <c r="D1775" s="12">
        <v>0.46079861111111109</v>
      </c>
      <c r="E1775" s="20">
        <f t="shared" si="270"/>
        <v>1.0578703703703674E-2</v>
      </c>
      <c r="F1775" t="str">
        <f t="shared" si="271"/>
        <v>stacjonarny</v>
      </c>
      <c r="G1775" s="23">
        <f t="shared" si="278"/>
        <v>632782</v>
      </c>
      <c r="H1775">
        <f t="shared" si="279"/>
        <v>208818</v>
      </c>
      <c r="I1775">
        <f t="shared" si="272"/>
        <v>0</v>
      </c>
      <c r="J1775">
        <f t="shared" si="273"/>
        <v>0</v>
      </c>
      <c r="K1775">
        <f t="shared" si="274"/>
        <v>841600</v>
      </c>
      <c r="L1775">
        <f t="shared" si="275"/>
        <v>0</v>
      </c>
      <c r="M1775">
        <f t="shared" si="276"/>
        <v>914</v>
      </c>
      <c r="N1775">
        <f t="shared" si="277"/>
        <v>0</v>
      </c>
    </row>
    <row r="1776" spans="1:14" x14ac:dyDescent="0.35">
      <c r="A1776" s="5">
        <v>59723258</v>
      </c>
      <c r="B1776" s="6">
        <v>42942</v>
      </c>
      <c r="C1776" s="7">
        <v>0.4503125</v>
      </c>
      <c r="D1776" s="8">
        <v>0.4601736111111111</v>
      </c>
      <c r="E1776" s="20">
        <f t="shared" si="270"/>
        <v>9.8611111111110983E-3</v>
      </c>
      <c r="F1776" t="str">
        <f t="shared" si="271"/>
        <v>komorkowy</v>
      </c>
      <c r="G1776" s="23">
        <f t="shared" si="278"/>
        <v>632782</v>
      </c>
      <c r="H1776">
        <f t="shared" si="279"/>
        <v>209670</v>
      </c>
      <c r="I1776">
        <f t="shared" si="272"/>
        <v>0</v>
      </c>
      <c r="J1776">
        <f t="shared" si="273"/>
        <v>0</v>
      </c>
      <c r="K1776">
        <f t="shared" si="274"/>
        <v>842452</v>
      </c>
      <c r="L1776">
        <f t="shared" si="275"/>
        <v>0</v>
      </c>
      <c r="M1776">
        <f t="shared" si="276"/>
        <v>0</v>
      </c>
      <c r="N1776">
        <f t="shared" si="277"/>
        <v>852</v>
      </c>
    </row>
    <row r="1777" spans="1:14" x14ac:dyDescent="0.35">
      <c r="A1777" s="9">
        <v>6878722</v>
      </c>
      <c r="B1777" s="10">
        <v>42942</v>
      </c>
      <c r="C1777" s="11">
        <v>0.45333333333333331</v>
      </c>
      <c r="D1777" s="12">
        <v>0.45443287037037039</v>
      </c>
      <c r="E1777" s="20">
        <f t="shared" si="270"/>
        <v>1.0995370370370794E-3</v>
      </c>
      <c r="F1777" t="str">
        <f t="shared" si="271"/>
        <v>stacjonarny</v>
      </c>
      <c r="G1777" s="23">
        <f t="shared" si="278"/>
        <v>632877</v>
      </c>
      <c r="H1777">
        <f t="shared" si="279"/>
        <v>209670</v>
      </c>
      <c r="I1777">
        <f t="shared" si="272"/>
        <v>0</v>
      </c>
      <c r="J1777">
        <f t="shared" si="273"/>
        <v>0</v>
      </c>
      <c r="K1777">
        <f t="shared" si="274"/>
        <v>842547</v>
      </c>
      <c r="L1777">
        <f t="shared" si="275"/>
        <v>0</v>
      </c>
      <c r="M1777">
        <f t="shared" si="276"/>
        <v>95</v>
      </c>
      <c r="N1777">
        <f t="shared" si="277"/>
        <v>0</v>
      </c>
    </row>
    <row r="1778" spans="1:14" x14ac:dyDescent="0.35">
      <c r="A1778" s="5">
        <v>49278984</v>
      </c>
      <c r="B1778" s="6">
        <v>42942</v>
      </c>
      <c r="C1778" s="7">
        <v>0.45531250000000001</v>
      </c>
      <c r="D1778" s="8">
        <v>0.45717592592592593</v>
      </c>
      <c r="E1778" s="20">
        <f t="shared" si="270"/>
        <v>1.8634259259259212E-3</v>
      </c>
      <c r="F1778" t="str">
        <f t="shared" si="271"/>
        <v>komorkowy</v>
      </c>
      <c r="G1778" s="23">
        <f t="shared" si="278"/>
        <v>632877</v>
      </c>
      <c r="H1778">
        <f t="shared" si="279"/>
        <v>209831</v>
      </c>
      <c r="I1778">
        <f t="shared" si="272"/>
        <v>0</v>
      </c>
      <c r="J1778">
        <f t="shared" si="273"/>
        <v>0</v>
      </c>
      <c r="K1778">
        <f t="shared" si="274"/>
        <v>842708</v>
      </c>
      <c r="L1778">
        <f t="shared" si="275"/>
        <v>0</v>
      </c>
      <c r="M1778">
        <f t="shared" si="276"/>
        <v>0</v>
      </c>
      <c r="N1778">
        <f t="shared" si="277"/>
        <v>161</v>
      </c>
    </row>
    <row r="1779" spans="1:14" x14ac:dyDescent="0.35">
      <c r="A1779" s="9">
        <v>5672312</v>
      </c>
      <c r="B1779" s="10">
        <v>42942</v>
      </c>
      <c r="C1779" s="11">
        <v>0.45554398148148151</v>
      </c>
      <c r="D1779" s="12">
        <v>0.45913194444444444</v>
      </c>
      <c r="E1779" s="20">
        <f t="shared" si="270"/>
        <v>3.5879629629629317E-3</v>
      </c>
      <c r="F1779" t="str">
        <f t="shared" si="271"/>
        <v>stacjonarny</v>
      </c>
      <c r="G1779" s="23">
        <f t="shared" si="278"/>
        <v>633187</v>
      </c>
      <c r="H1779">
        <f t="shared" si="279"/>
        <v>209831</v>
      </c>
      <c r="I1779">
        <f t="shared" si="272"/>
        <v>0</v>
      </c>
      <c r="J1779">
        <f t="shared" si="273"/>
        <v>0</v>
      </c>
      <c r="K1779">
        <f t="shared" si="274"/>
        <v>843018</v>
      </c>
      <c r="L1779">
        <f t="shared" si="275"/>
        <v>0</v>
      </c>
      <c r="M1779">
        <f t="shared" si="276"/>
        <v>310</v>
      </c>
      <c r="N1779">
        <f t="shared" si="277"/>
        <v>0</v>
      </c>
    </row>
    <row r="1780" spans="1:14" x14ac:dyDescent="0.35">
      <c r="A1780" s="5">
        <v>9716545</v>
      </c>
      <c r="B1780" s="6">
        <v>42942</v>
      </c>
      <c r="C1780" s="7">
        <v>0.45726851851851852</v>
      </c>
      <c r="D1780" s="8">
        <v>0.46751157407407407</v>
      </c>
      <c r="E1780" s="20">
        <f t="shared" si="270"/>
        <v>1.0243055555555547E-2</v>
      </c>
      <c r="F1780" t="str">
        <f t="shared" si="271"/>
        <v>stacjonarny</v>
      </c>
      <c r="G1780" s="23">
        <f t="shared" si="278"/>
        <v>634072</v>
      </c>
      <c r="H1780">
        <f t="shared" si="279"/>
        <v>209831</v>
      </c>
      <c r="I1780">
        <f t="shared" si="272"/>
        <v>0</v>
      </c>
      <c r="J1780">
        <f t="shared" si="273"/>
        <v>0</v>
      </c>
      <c r="K1780">
        <f t="shared" si="274"/>
        <v>843903</v>
      </c>
      <c r="L1780">
        <f t="shared" si="275"/>
        <v>0</v>
      </c>
      <c r="M1780">
        <f t="shared" si="276"/>
        <v>885</v>
      </c>
      <c r="N1780">
        <f t="shared" si="277"/>
        <v>0</v>
      </c>
    </row>
    <row r="1781" spans="1:14" x14ac:dyDescent="0.35">
      <c r="A1781" s="9">
        <v>97953696</v>
      </c>
      <c r="B1781" s="10">
        <v>42942</v>
      </c>
      <c r="C1781" s="11">
        <v>0.46297453703703706</v>
      </c>
      <c r="D1781" s="12">
        <v>0.47129629629629627</v>
      </c>
      <c r="E1781" s="20">
        <f t="shared" si="270"/>
        <v>8.3217592592592093E-3</v>
      </c>
      <c r="F1781" t="str">
        <f t="shared" si="271"/>
        <v>komorkowy</v>
      </c>
      <c r="G1781" s="23">
        <f t="shared" si="278"/>
        <v>634072</v>
      </c>
      <c r="H1781">
        <f t="shared" si="279"/>
        <v>210550</v>
      </c>
      <c r="I1781">
        <f t="shared" si="272"/>
        <v>0</v>
      </c>
      <c r="J1781">
        <f t="shared" si="273"/>
        <v>0</v>
      </c>
      <c r="K1781">
        <f t="shared" si="274"/>
        <v>844622</v>
      </c>
      <c r="L1781">
        <f t="shared" si="275"/>
        <v>0</v>
      </c>
      <c r="M1781">
        <f t="shared" si="276"/>
        <v>0</v>
      </c>
      <c r="N1781">
        <f t="shared" si="277"/>
        <v>719</v>
      </c>
    </row>
    <row r="1782" spans="1:14" x14ac:dyDescent="0.35">
      <c r="A1782" s="5">
        <v>18636086</v>
      </c>
      <c r="B1782" s="6">
        <v>42942</v>
      </c>
      <c r="C1782" s="7">
        <v>0.46431712962962962</v>
      </c>
      <c r="D1782" s="8">
        <v>0.47060185185185183</v>
      </c>
      <c r="E1782" s="20">
        <f t="shared" si="270"/>
        <v>6.2847222222222054E-3</v>
      </c>
      <c r="F1782" t="str">
        <f t="shared" si="271"/>
        <v>komorkowy</v>
      </c>
      <c r="G1782" s="23">
        <f t="shared" si="278"/>
        <v>634072</v>
      </c>
      <c r="H1782">
        <f t="shared" si="279"/>
        <v>211093</v>
      </c>
      <c r="I1782">
        <f t="shared" si="272"/>
        <v>0</v>
      </c>
      <c r="J1782">
        <f t="shared" si="273"/>
        <v>0</v>
      </c>
      <c r="K1782">
        <f t="shared" si="274"/>
        <v>845165</v>
      </c>
      <c r="L1782">
        <f t="shared" si="275"/>
        <v>0</v>
      </c>
      <c r="M1782">
        <f t="shared" si="276"/>
        <v>0</v>
      </c>
      <c r="N1782">
        <f t="shared" si="277"/>
        <v>543</v>
      </c>
    </row>
    <row r="1783" spans="1:14" x14ac:dyDescent="0.35">
      <c r="A1783" s="9">
        <v>2071691</v>
      </c>
      <c r="B1783" s="10">
        <v>42942</v>
      </c>
      <c r="C1783" s="11">
        <v>0.46703703703703703</v>
      </c>
      <c r="D1783" s="12">
        <v>0.47262731481481479</v>
      </c>
      <c r="E1783" s="20">
        <f t="shared" si="270"/>
        <v>5.5902777777777635E-3</v>
      </c>
      <c r="F1783" t="str">
        <f t="shared" si="271"/>
        <v>stacjonarny</v>
      </c>
      <c r="G1783" s="23">
        <f t="shared" si="278"/>
        <v>634555</v>
      </c>
      <c r="H1783">
        <f t="shared" si="279"/>
        <v>211093</v>
      </c>
      <c r="I1783">
        <f t="shared" si="272"/>
        <v>0</v>
      </c>
      <c r="J1783">
        <f t="shared" si="273"/>
        <v>0</v>
      </c>
      <c r="K1783">
        <f t="shared" si="274"/>
        <v>845648</v>
      </c>
      <c r="L1783">
        <f t="shared" si="275"/>
        <v>0</v>
      </c>
      <c r="M1783">
        <f t="shared" si="276"/>
        <v>483</v>
      </c>
      <c r="N1783">
        <f t="shared" si="277"/>
        <v>0</v>
      </c>
    </row>
    <row r="1784" spans="1:14" x14ac:dyDescent="0.35">
      <c r="A1784" s="5">
        <v>8023179</v>
      </c>
      <c r="B1784" s="6">
        <v>42942</v>
      </c>
      <c r="C1784" s="7">
        <v>0.46703703703703703</v>
      </c>
      <c r="D1784" s="8">
        <v>0.47568287037037038</v>
      </c>
      <c r="E1784" s="20">
        <f t="shared" si="270"/>
        <v>8.6458333333333526E-3</v>
      </c>
      <c r="F1784" t="str">
        <f t="shared" si="271"/>
        <v>stacjonarny</v>
      </c>
      <c r="G1784" s="23">
        <f t="shared" si="278"/>
        <v>635302</v>
      </c>
      <c r="H1784">
        <f t="shared" si="279"/>
        <v>211093</v>
      </c>
      <c r="I1784">
        <f t="shared" si="272"/>
        <v>0</v>
      </c>
      <c r="J1784">
        <f t="shared" si="273"/>
        <v>0</v>
      </c>
      <c r="K1784">
        <f t="shared" si="274"/>
        <v>846395</v>
      </c>
      <c r="L1784">
        <f t="shared" si="275"/>
        <v>0</v>
      </c>
      <c r="M1784">
        <f t="shared" si="276"/>
        <v>747</v>
      </c>
      <c r="N1784">
        <f t="shared" si="277"/>
        <v>0</v>
      </c>
    </row>
    <row r="1785" spans="1:14" x14ac:dyDescent="0.35">
      <c r="A1785" s="9">
        <v>3533421</v>
      </c>
      <c r="B1785" s="10">
        <v>42942</v>
      </c>
      <c r="C1785" s="11">
        <v>0.47266203703703702</v>
      </c>
      <c r="D1785" s="12">
        <v>0.48297453703703702</v>
      </c>
      <c r="E1785" s="20">
        <f t="shared" si="270"/>
        <v>1.0312500000000002E-2</v>
      </c>
      <c r="F1785" t="str">
        <f t="shared" si="271"/>
        <v>stacjonarny</v>
      </c>
      <c r="G1785" s="23">
        <f t="shared" si="278"/>
        <v>636193</v>
      </c>
      <c r="H1785">
        <f t="shared" si="279"/>
        <v>211093</v>
      </c>
      <c r="I1785">
        <f t="shared" si="272"/>
        <v>0</v>
      </c>
      <c r="J1785">
        <f t="shared" si="273"/>
        <v>0</v>
      </c>
      <c r="K1785">
        <f t="shared" si="274"/>
        <v>847286</v>
      </c>
      <c r="L1785">
        <f t="shared" si="275"/>
        <v>0</v>
      </c>
      <c r="M1785">
        <f t="shared" si="276"/>
        <v>891</v>
      </c>
      <c r="N1785">
        <f t="shared" si="277"/>
        <v>0</v>
      </c>
    </row>
    <row r="1786" spans="1:14" x14ac:dyDescent="0.35">
      <c r="A1786" s="5">
        <v>1160932</v>
      </c>
      <c r="B1786" s="6">
        <v>42942</v>
      </c>
      <c r="C1786" s="7">
        <v>0.47515046296296298</v>
      </c>
      <c r="D1786" s="8">
        <v>0.47552083333333334</v>
      </c>
      <c r="E1786" s="20">
        <f t="shared" si="270"/>
        <v>3.7037037037035425E-4</v>
      </c>
      <c r="F1786" t="str">
        <f t="shared" si="271"/>
        <v>stacjonarny</v>
      </c>
      <c r="G1786" s="23">
        <f t="shared" si="278"/>
        <v>636225</v>
      </c>
      <c r="H1786">
        <f t="shared" si="279"/>
        <v>211093</v>
      </c>
      <c r="I1786">
        <f t="shared" si="272"/>
        <v>0</v>
      </c>
      <c r="J1786">
        <f t="shared" si="273"/>
        <v>0</v>
      </c>
      <c r="K1786">
        <f t="shared" si="274"/>
        <v>847318</v>
      </c>
      <c r="L1786">
        <f t="shared" si="275"/>
        <v>0</v>
      </c>
      <c r="M1786">
        <f t="shared" si="276"/>
        <v>32</v>
      </c>
      <c r="N1786">
        <f t="shared" si="277"/>
        <v>0</v>
      </c>
    </row>
    <row r="1787" spans="1:14" x14ac:dyDescent="0.35">
      <c r="A1787" s="9">
        <v>6320579</v>
      </c>
      <c r="B1787" s="10">
        <v>42942</v>
      </c>
      <c r="C1787" s="11">
        <v>0.48082175925925924</v>
      </c>
      <c r="D1787" s="12">
        <v>0.48585648148148147</v>
      </c>
      <c r="E1787" s="20">
        <f t="shared" si="270"/>
        <v>5.0347222222222321E-3</v>
      </c>
      <c r="F1787" t="str">
        <f t="shared" si="271"/>
        <v>stacjonarny</v>
      </c>
      <c r="G1787" s="23">
        <f t="shared" si="278"/>
        <v>636660</v>
      </c>
      <c r="H1787">
        <f t="shared" si="279"/>
        <v>211093</v>
      </c>
      <c r="I1787">
        <f t="shared" si="272"/>
        <v>0</v>
      </c>
      <c r="J1787">
        <f t="shared" si="273"/>
        <v>0</v>
      </c>
      <c r="K1787">
        <f t="shared" si="274"/>
        <v>847753</v>
      </c>
      <c r="L1787">
        <f t="shared" si="275"/>
        <v>0</v>
      </c>
      <c r="M1787">
        <f t="shared" si="276"/>
        <v>435</v>
      </c>
      <c r="N1787">
        <f t="shared" si="277"/>
        <v>0</v>
      </c>
    </row>
    <row r="1788" spans="1:14" x14ac:dyDescent="0.35">
      <c r="A1788" s="5">
        <v>6021417</v>
      </c>
      <c r="B1788" s="6">
        <v>42942</v>
      </c>
      <c r="C1788" s="7">
        <v>0.48534722222222221</v>
      </c>
      <c r="D1788" s="8">
        <v>0.48814814814814816</v>
      </c>
      <c r="E1788" s="20">
        <f t="shared" si="270"/>
        <v>2.8009259259259567E-3</v>
      </c>
      <c r="F1788" t="str">
        <f t="shared" si="271"/>
        <v>stacjonarny</v>
      </c>
      <c r="G1788" s="23">
        <f t="shared" si="278"/>
        <v>636902</v>
      </c>
      <c r="H1788">
        <f t="shared" si="279"/>
        <v>211093</v>
      </c>
      <c r="I1788">
        <f t="shared" si="272"/>
        <v>0</v>
      </c>
      <c r="J1788">
        <f t="shared" si="273"/>
        <v>0</v>
      </c>
      <c r="K1788">
        <f t="shared" si="274"/>
        <v>847995</v>
      </c>
      <c r="L1788">
        <f t="shared" si="275"/>
        <v>0</v>
      </c>
      <c r="M1788">
        <f t="shared" si="276"/>
        <v>242</v>
      </c>
      <c r="N1788">
        <f t="shared" si="277"/>
        <v>0</v>
      </c>
    </row>
    <row r="1789" spans="1:14" x14ac:dyDescent="0.35">
      <c r="A1789" s="9">
        <v>3638658</v>
      </c>
      <c r="B1789" s="10">
        <v>42942</v>
      </c>
      <c r="C1789" s="11">
        <v>0.48700231481481482</v>
      </c>
      <c r="D1789" s="12">
        <v>0.49305555555555558</v>
      </c>
      <c r="E1789" s="20">
        <f t="shared" si="270"/>
        <v>6.0532407407407618E-3</v>
      </c>
      <c r="F1789" t="str">
        <f t="shared" si="271"/>
        <v>stacjonarny</v>
      </c>
      <c r="G1789" s="23">
        <f t="shared" si="278"/>
        <v>637425</v>
      </c>
      <c r="H1789">
        <f t="shared" si="279"/>
        <v>211093</v>
      </c>
      <c r="I1789">
        <f t="shared" si="272"/>
        <v>0</v>
      </c>
      <c r="J1789">
        <f t="shared" si="273"/>
        <v>0</v>
      </c>
      <c r="K1789">
        <f t="shared" si="274"/>
        <v>848518</v>
      </c>
      <c r="L1789">
        <f t="shared" si="275"/>
        <v>0</v>
      </c>
      <c r="M1789">
        <f t="shared" si="276"/>
        <v>523</v>
      </c>
      <c r="N1789">
        <f t="shared" si="277"/>
        <v>0</v>
      </c>
    </row>
    <row r="1790" spans="1:14" x14ac:dyDescent="0.35">
      <c r="A1790" s="5">
        <v>7595348</v>
      </c>
      <c r="B1790" s="6">
        <v>42942</v>
      </c>
      <c r="C1790" s="7">
        <v>0.48849537037037039</v>
      </c>
      <c r="D1790" s="8">
        <v>0.49665509259259261</v>
      </c>
      <c r="E1790" s="20">
        <f t="shared" si="270"/>
        <v>8.159722222222221E-3</v>
      </c>
      <c r="F1790" t="str">
        <f t="shared" si="271"/>
        <v>stacjonarny</v>
      </c>
      <c r="G1790" s="23">
        <f t="shared" si="278"/>
        <v>638130</v>
      </c>
      <c r="H1790">
        <f t="shared" si="279"/>
        <v>211093</v>
      </c>
      <c r="I1790">
        <f t="shared" si="272"/>
        <v>0</v>
      </c>
      <c r="J1790">
        <f t="shared" si="273"/>
        <v>0</v>
      </c>
      <c r="K1790">
        <f t="shared" si="274"/>
        <v>849223</v>
      </c>
      <c r="L1790">
        <f t="shared" si="275"/>
        <v>0</v>
      </c>
      <c r="M1790">
        <f t="shared" si="276"/>
        <v>705</v>
      </c>
      <c r="N1790">
        <f t="shared" si="277"/>
        <v>0</v>
      </c>
    </row>
    <row r="1791" spans="1:14" x14ac:dyDescent="0.35">
      <c r="A1791" s="9">
        <v>6637746981</v>
      </c>
      <c r="B1791" s="10">
        <v>42942</v>
      </c>
      <c r="C1791" s="11">
        <v>0.49020833333333336</v>
      </c>
      <c r="D1791" s="12">
        <v>0.49932870370370369</v>
      </c>
      <c r="E1791" s="20">
        <f t="shared" si="270"/>
        <v>9.1203703703703343E-3</v>
      </c>
      <c r="F1791" t="str">
        <f t="shared" si="271"/>
        <v>zagraniczny</v>
      </c>
      <c r="G1791" s="23">
        <f t="shared" si="278"/>
        <v>638130</v>
      </c>
      <c r="H1791">
        <f t="shared" si="279"/>
        <v>211093</v>
      </c>
      <c r="I1791">
        <f t="shared" si="272"/>
        <v>788</v>
      </c>
      <c r="J1791">
        <f t="shared" si="273"/>
        <v>14</v>
      </c>
      <c r="K1791">
        <f t="shared" si="274"/>
        <v>849223</v>
      </c>
      <c r="L1791">
        <f t="shared" si="275"/>
        <v>0</v>
      </c>
      <c r="M1791">
        <f t="shared" si="276"/>
        <v>0</v>
      </c>
      <c r="N1791">
        <f t="shared" si="277"/>
        <v>0</v>
      </c>
    </row>
    <row r="1792" spans="1:14" x14ac:dyDescent="0.35">
      <c r="A1792" s="5">
        <v>8501947</v>
      </c>
      <c r="B1792" s="6">
        <v>42942</v>
      </c>
      <c r="C1792" s="7">
        <v>0.49135416666666665</v>
      </c>
      <c r="D1792" s="8">
        <v>0.49472222222222223</v>
      </c>
      <c r="E1792" s="20">
        <f t="shared" si="270"/>
        <v>3.3680555555555824E-3</v>
      </c>
      <c r="F1792" t="str">
        <f t="shared" si="271"/>
        <v>stacjonarny</v>
      </c>
      <c r="G1792" s="23">
        <f t="shared" si="278"/>
        <v>638421</v>
      </c>
      <c r="H1792">
        <f t="shared" si="279"/>
        <v>211093</v>
      </c>
      <c r="I1792">
        <f t="shared" si="272"/>
        <v>0</v>
      </c>
      <c r="J1792">
        <f t="shared" si="273"/>
        <v>0</v>
      </c>
      <c r="K1792">
        <f t="shared" si="274"/>
        <v>849514</v>
      </c>
      <c r="L1792">
        <f t="shared" si="275"/>
        <v>0</v>
      </c>
      <c r="M1792">
        <f t="shared" si="276"/>
        <v>291</v>
      </c>
      <c r="N1792">
        <f t="shared" si="277"/>
        <v>0</v>
      </c>
    </row>
    <row r="1793" spans="1:14" x14ac:dyDescent="0.35">
      <c r="A1793" s="9">
        <v>85666950</v>
      </c>
      <c r="B1793" s="10">
        <v>42942</v>
      </c>
      <c r="C1793" s="11">
        <v>0.49417824074074074</v>
      </c>
      <c r="D1793" s="12">
        <v>0.50312500000000004</v>
      </c>
      <c r="E1793" s="20">
        <f t="shared" si="270"/>
        <v>8.946759259259307E-3</v>
      </c>
      <c r="F1793" t="str">
        <f t="shared" si="271"/>
        <v>komorkowy</v>
      </c>
      <c r="G1793" s="23">
        <f t="shared" si="278"/>
        <v>638421</v>
      </c>
      <c r="H1793">
        <f t="shared" si="279"/>
        <v>211866</v>
      </c>
      <c r="I1793">
        <f t="shared" si="272"/>
        <v>0</v>
      </c>
      <c r="J1793">
        <f t="shared" si="273"/>
        <v>0</v>
      </c>
      <c r="K1793">
        <f t="shared" si="274"/>
        <v>850287</v>
      </c>
      <c r="L1793">
        <f t="shared" si="275"/>
        <v>0</v>
      </c>
      <c r="M1793">
        <f t="shared" si="276"/>
        <v>0</v>
      </c>
      <c r="N1793">
        <f t="shared" si="277"/>
        <v>773</v>
      </c>
    </row>
    <row r="1794" spans="1:14" x14ac:dyDescent="0.35">
      <c r="A1794" s="5">
        <v>72289518</v>
      </c>
      <c r="B1794" s="6">
        <v>42942</v>
      </c>
      <c r="C1794" s="7">
        <v>0.49541666666666667</v>
      </c>
      <c r="D1794" s="8">
        <v>0.49947916666666664</v>
      </c>
      <c r="E1794" s="20">
        <f t="shared" si="270"/>
        <v>4.0624999999999689E-3</v>
      </c>
      <c r="F1794" t="str">
        <f t="shared" si="271"/>
        <v>komorkowy</v>
      </c>
      <c r="G1794" s="23">
        <f t="shared" si="278"/>
        <v>638421</v>
      </c>
      <c r="H1794">
        <f t="shared" si="279"/>
        <v>212217</v>
      </c>
      <c r="I1794">
        <f t="shared" si="272"/>
        <v>0</v>
      </c>
      <c r="J1794">
        <f t="shared" si="273"/>
        <v>0</v>
      </c>
      <c r="K1794">
        <f t="shared" si="274"/>
        <v>850638</v>
      </c>
      <c r="L1794">
        <f t="shared" si="275"/>
        <v>0</v>
      </c>
      <c r="M1794">
        <f t="shared" si="276"/>
        <v>0</v>
      </c>
      <c r="N1794">
        <f t="shared" si="277"/>
        <v>351</v>
      </c>
    </row>
    <row r="1795" spans="1:14" x14ac:dyDescent="0.35">
      <c r="A1795" s="9">
        <v>4419123</v>
      </c>
      <c r="B1795" s="10">
        <v>42942</v>
      </c>
      <c r="C1795" s="11">
        <v>0.49952546296296296</v>
      </c>
      <c r="D1795" s="12">
        <v>0.50207175925925929</v>
      </c>
      <c r="E1795" s="20">
        <f t="shared" ref="E1795:E1858" si="280">D1795-C1795</f>
        <v>2.5462962962963243E-3</v>
      </c>
      <c r="F1795" t="str">
        <f t="shared" ref="F1795:F1858" si="281">IF(LEN(A1795)=7,"stacjonarny",IF(LEN(A1795)=8,"komorkowy","zagraniczny"))</f>
        <v>stacjonarny</v>
      </c>
      <c r="G1795" s="23">
        <f t="shared" si="278"/>
        <v>638641</v>
      </c>
      <c r="H1795">
        <f t="shared" si="279"/>
        <v>212217</v>
      </c>
      <c r="I1795">
        <f t="shared" ref="I1795:I1858" si="282">IF(F1795="zagraniczny",MINUTE(E1795)*60+SECOND(E1795)+HOUR(E1795)*3600,0)</f>
        <v>0</v>
      </c>
      <c r="J1795">
        <f t="shared" ref="J1795:J1858" si="283">ROUNDUP(I1795/60,0)</f>
        <v>0</v>
      </c>
      <c r="K1795">
        <f t="shared" ref="K1795:K1858" si="284">G1795+H1795</f>
        <v>850858</v>
      </c>
      <c r="L1795">
        <f t="shared" ref="L1795:L1858" si="285">IF(K1795&lt;=48000,1,0)</f>
        <v>0</v>
      </c>
      <c r="M1795">
        <f t="shared" ref="M1795:M1858" si="286">IF(AND(L1795=0,F1795="stacjonarny"),SECOND(E1795)+60*MINUTE(E1795),0)</f>
        <v>220</v>
      </c>
      <c r="N1795">
        <f t="shared" ref="N1795:N1858" si="287">IF(AND(L1795=0,F1795="komorkowy"),SECOND(E1795)+60*MINUTE(E1795),0)</f>
        <v>0</v>
      </c>
    </row>
    <row r="1796" spans="1:14" x14ac:dyDescent="0.35">
      <c r="A1796" s="5">
        <v>75645195</v>
      </c>
      <c r="B1796" s="6">
        <v>42942</v>
      </c>
      <c r="C1796" s="7">
        <v>0.5046180555555555</v>
      </c>
      <c r="D1796" s="8">
        <v>0.50491898148148151</v>
      </c>
      <c r="E1796" s="20">
        <f t="shared" si="280"/>
        <v>3.0092592592600997E-4</v>
      </c>
      <c r="F1796" t="str">
        <f t="shared" si="281"/>
        <v>komorkowy</v>
      </c>
      <c r="G1796" s="23">
        <f t="shared" ref="G1796:G1859" si="288">IF(F1796="stacjonarny",MINUTE(E1796)*60+SECOND(E1796)+G1795,G1795)</f>
        <v>638641</v>
      </c>
      <c r="H1796">
        <f t="shared" ref="H1796:H1859" si="289">IF(F1796="komorkowy",MINUTE(E1796)*60+SECOND(E1796)+H1795,H1795)</f>
        <v>212243</v>
      </c>
      <c r="I1796">
        <f t="shared" si="282"/>
        <v>0</v>
      </c>
      <c r="J1796">
        <f t="shared" si="283"/>
        <v>0</v>
      </c>
      <c r="K1796">
        <f t="shared" si="284"/>
        <v>850884</v>
      </c>
      <c r="L1796">
        <f t="shared" si="285"/>
        <v>0</v>
      </c>
      <c r="M1796">
        <f t="shared" si="286"/>
        <v>0</v>
      </c>
      <c r="N1796">
        <f t="shared" si="287"/>
        <v>26</v>
      </c>
    </row>
    <row r="1797" spans="1:14" x14ac:dyDescent="0.35">
      <c r="A1797" s="9">
        <v>4305960</v>
      </c>
      <c r="B1797" s="10">
        <v>42942</v>
      </c>
      <c r="C1797" s="11">
        <v>0.50671296296296298</v>
      </c>
      <c r="D1797" s="12">
        <v>0.51233796296296297</v>
      </c>
      <c r="E1797" s="20">
        <f t="shared" si="280"/>
        <v>5.6249999999999911E-3</v>
      </c>
      <c r="F1797" t="str">
        <f t="shared" si="281"/>
        <v>stacjonarny</v>
      </c>
      <c r="G1797" s="23">
        <f t="shared" si="288"/>
        <v>639127</v>
      </c>
      <c r="H1797">
        <f t="shared" si="289"/>
        <v>212243</v>
      </c>
      <c r="I1797">
        <f t="shared" si="282"/>
        <v>0</v>
      </c>
      <c r="J1797">
        <f t="shared" si="283"/>
        <v>0</v>
      </c>
      <c r="K1797">
        <f t="shared" si="284"/>
        <v>851370</v>
      </c>
      <c r="L1797">
        <f t="shared" si="285"/>
        <v>0</v>
      </c>
      <c r="M1797">
        <f t="shared" si="286"/>
        <v>486</v>
      </c>
      <c r="N1797">
        <f t="shared" si="287"/>
        <v>0</v>
      </c>
    </row>
    <row r="1798" spans="1:14" x14ac:dyDescent="0.35">
      <c r="A1798" s="5">
        <v>21681406</v>
      </c>
      <c r="B1798" s="6">
        <v>42942</v>
      </c>
      <c r="C1798" s="7">
        <v>0.50876157407407407</v>
      </c>
      <c r="D1798" s="8">
        <v>0.51472222222222219</v>
      </c>
      <c r="E1798" s="20">
        <f t="shared" si="280"/>
        <v>5.9606481481481177E-3</v>
      </c>
      <c r="F1798" t="str">
        <f t="shared" si="281"/>
        <v>komorkowy</v>
      </c>
      <c r="G1798" s="23">
        <f t="shared" si="288"/>
        <v>639127</v>
      </c>
      <c r="H1798">
        <f t="shared" si="289"/>
        <v>212758</v>
      </c>
      <c r="I1798">
        <f t="shared" si="282"/>
        <v>0</v>
      </c>
      <c r="J1798">
        <f t="shared" si="283"/>
        <v>0</v>
      </c>
      <c r="K1798">
        <f t="shared" si="284"/>
        <v>851885</v>
      </c>
      <c r="L1798">
        <f t="shared" si="285"/>
        <v>0</v>
      </c>
      <c r="M1798">
        <f t="shared" si="286"/>
        <v>0</v>
      </c>
      <c r="N1798">
        <f t="shared" si="287"/>
        <v>515</v>
      </c>
    </row>
    <row r="1799" spans="1:14" x14ac:dyDescent="0.35">
      <c r="A1799" s="9">
        <v>6401011</v>
      </c>
      <c r="B1799" s="10">
        <v>42942</v>
      </c>
      <c r="C1799" s="11">
        <v>0.51140046296296293</v>
      </c>
      <c r="D1799" s="12">
        <v>0.5186574074074074</v>
      </c>
      <c r="E1799" s="20">
        <f t="shared" si="280"/>
        <v>7.2569444444444686E-3</v>
      </c>
      <c r="F1799" t="str">
        <f t="shared" si="281"/>
        <v>stacjonarny</v>
      </c>
      <c r="G1799" s="23">
        <f t="shared" si="288"/>
        <v>639754</v>
      </c>
      <c r="H1799">
        <f t="shared" si="289"/>
        <v>212758</v>
      </c>
      <c r="I1799">
        <f t="shared" si="282"/>
        <v>0</v>
      </c>
      <c r="J1799">
        <f t="shared" si="283"/>
        <v>0</v>
      </c>
      <c r="K1799">
        <f t="shared" si="284"/>
        <v>852512</v>
      </c>
      <c r="L1799">
        <f t="shared" si="285"/>
        <v>0</v>
      </c>
      <c r="M1799">
        <f t="shared" si="286"/>
        <v>627</v>
      </c>
      <c r="N1799">
        <f t="shared" si="287"/>
        <v>0</v>
      </c>
    </row>
    <row r="1800" spans="1:14" x14ac:dyDescent="0.35">
      <c r="A1800" s="5">
        <v>1879412</v>
      </c>
      <c r="B1800" s="6">
        <v>42942</v>
      </c>
      <c r="C1800" s="7">
        <v>0.51546296296296301</v>
      </c>
      <c r="D1800" s="8">
        <v>0.52481481481481485</v>
      </c>
      <c r="E1800" s="20">
        <f t="shared" si="280"/>
        <v>9.3518518518518334E-3</v>
      </c>
      <c r="F1800" t="str">
        <f t="shared" si="281"/>
        <v>stacjonarny</v>
      </c>
      <c r="G1800" s="23">
        <f t="shared" si="288"/>
        <v>640562</v>
      </c>
      <c r="H1800">
        <f t="shared" si="289"/>
        <v>212758</v>
      </c>
      <c r="I1800">
        <f t="shared" si="282"/>
        <v>0</v>
      </c>
      <c r="J1800">
        <f t="shared" si="283"/>
        <v>0</v>
      </c>
      <c r="K1800">
        <f t="shared" si="284"/>
        <v>853320</v>
      </c>
      <c r="L1800">
        <f t="shared" si="285"/>
        <v>0</v>
      </c>
      <c r="M1800">
        <f t="shared" si="286"/>
        <v>808</v>
      </c>
      <c r="N1800">
        <f t="shared" si="287"/>
        <v>0</v>
      </c>
    </row>
    <row r="1801" spans="1:14" x14ac:dyDescent="0.35">
      <c r="A1801" s="9">
        <v>6218089</v>
      </c>
      <c r="B1801" s="10">
        <v>42942</v>
      </c>
      <c r="C1801" s="11">
        <v>0.51712962962962961</v>
      </c>
      <c r="D1801" s="12">
        <v>0.52177083333333329</v>
      </c>
      <c r="E1801" s="20">
        <f t="shared" si="280"/>
        <v>4.6412037037036891E-3</v>
      </c>
      <c r="F1801" t="str">
        <f t="shared" si="281"/>
        <v>stacjonarny</v>
      </c>
      <c r="G1801" s="23">
        <f t="shared" si="288"/>
        <v>640963</v>
      </c>
      <c r="H1801">
        <f t="shared" si="289"/>
        <v>212758</v>
      </c>
      <c r="I1801">
        <f t="shared" si="282"/>
        <v>0</v>
      </c>
      <c r="J1801">
        <f t="shared" si="283"/>
        <v>0</v>
      </c>
      <c r="K1801">
        <f t="shared" si="284"/>
        <v>853721</v>
      </c>
      <c r="L1801">
        <f t="shared" si="285"/>
        <v>0</v>
      </c>
      <c r="M1801">
        <f t="shared" si="286"/>
        <v>401</v>
      </c>
      <c r="N1801">
        <f t="shared" si="287"/>
        <v>0</v>
      </c>
    </row>
    <row r="1802" spans="1:14" x14ac:dyDescent="0.35">
      <c r="A1802" s="5">
        <v>3408462348</v>
      </c>
      <c r="B1802" s="6">
        <v>42942</v>
      </c>
      <c r="C1802" s="7">
        <v>0.52173611111111107</v>
      </c>
      <c r="D1802" s="8">
        <v>0.52998842592592588</v>
      </c>
      <c r="E1802" s="20">
        <f t="shared" si="280"/>
        <v>8.2523148148148096E-3</v>
      </c>
      <c r="F1802" t="str">
        <f t="shared" si="281"/>
        <v>zagraniczny</v>
      </c>
      <c r="G1802" s="23">
        <f t="shared" si="288"/>
        <v>640963</v>
      </c>
      <c r="H1802">
        <f t="shared" si="289"/>
        <v>212758</v>
      </c>
      <c r="I1802">
        <f t="shared" si="282"/>
        <v>713</v>
      </c>
      <c r="J1802">
        <f t="shared" si="283"/>
        <v>12</v>
      </c>
      <c r="K1802">
        <f t="shared" si="284"/>
        <v>853721</v>
      </c>
      <c r="L1802">
        <f t="shared" si="285"/>
        <v>0</v>
      </c>
      <c r="M1802">
        <f t="shared" si="286"/>
        <v>0</v>
      </c>
      <c r="N1802">
        <f t="shared" si="287"/>
        <v>0</v>
      </c>
    </row>
    <row r="1803" spans="1:14" x14ac:dyDescent="0.35">
      <c r="A1803" s="9">
        <v>9535780</v>
      </c>
      <c r="B1803" s="10">
        <v>42942</v>
      </c>
      <c r="C1803" s="11">
        <v>0.52265046296296291</v>
      </c>
      <c r="D1803" s="12">
        <v>0.53091435185185187</v>
      </c>
      <c r="E1803" s="20">
        <f t="shared" si="280"/>
        <v>8.2638888888889594E-3</v>
      </c>
      <c r="F1803" t="str">
        <f t="shared" si="281"/>
        <v>stacjonarny</v>
      </c>
      <c r="G1803" s="23">
        <f t="shared" si="288"/>
        <v>641677</v>
      </c>
      <c r="H1803">
        <f t="shared" si="289"/>
        <v>212758</v>
      </c>
      <c r="I1803">
        <f t="shared" si="282"/>
        <v>0</v>
      </c>
      <c r="J1803">
        <f t="shared" si="283"/>
        <v>0</v>
      </c>
      <c r="K1803">
        <f t="shared" si="284"/>
        <v>854435</v>
      </c>
      <c r="L1803">
        <f t="shared" si="285"/>
        <v>0</v>
      </c>
      <c r="M1803">
        <f t="shared" si="286"/>
        <v>714</v>
      </c>
      <c r="N1803">
        <f t="shared" si="287"/>
        <v>0</v>
      </c>
    </row>
    <row r="1804" spans="1:14" x14ac:dyDescent="0.35">
      <c r="A1804" s="5">
        <v>4945889</v>
      </c>
      <c r="B1804" s="6">
        <v>42942</v>
      </c>
      <c r="C1804" s="7">
        <v>0.52790509259259255</v>
      </c>
      <c r="D1804" s="8">
        <v>0.53581018518518519</v>
      </c>
      <c r="E1804" s="20">
        <f t="shared" si="280"/>
        <v>7.9050925925926441E-3</v>
      </c>
      <c r="F1804" t="str">
        <f t="shared" si="281"/>
        <v>stacjonarny</v>
      </c>
      <c r="G1804" s="23">
        <f t="shared" si="288"/>
        <v>642360</v>
      </c>
      <c r="H1804">
        <f t="shared" si="289"/>
        <v>212758</v>
      </c>
      <c r="I1804">
        <f t="shared" si="282"/>
        <v>0</v>
      </c>
      <c r="J1804">
        <f t="shared" si="283"/>
        <v>0</v>
      </c>
      <c r="K1804">
        <f t="shared" si="284"/>
        <v>855118</v>
      </c>
      <c r="L1804">
        <f t="shared" si="285"/>
        <v>0</v>
      </c>
      <c r="M1804">
        <f t="shared" si="286"/>
        <v>683</v>
      </c>
      <c r="N1804">
        <f t="shared" si="287"/>
        <v>0</v>
      </c>
    </row>
    <row r="1805" spans="1:14" x14ac:dyDescent="0.35">
      <c r="A1805" s="9">
        <v>8985437</v>
      </c>
      <c r="B1805" s="10">
        <v>42942</v>
      </c>
      <c r="C1805" s="11">
        <v>0.52937500000000004</v>
      </c>
      <c r="D1805" s="12">
        <v>0.53609953703703705</v>
      </c>
      <c r="E1805" s="20">
        <f t="shared" si="280"/>
        <v>6.724537037037015E-3</v>
      </c>
      <c r="F1805" t="str">
        <f t="shared" si="281"/>
        <v>stacjonarny</v>
      </c>
      <c r="G1805" s="23">
        <f t="shared" si="288"/>
        <v>642941</v>
      </c>
      <c r="H1805">
        <f t="shared" si="289"/>
        <v>212758</v>
      </c>
      <c r="I1805">
        <f t="shared" si="282"/>
        <v>0</v>
      </c>
      <c r="J1805">
        <f t="shared" si="283"/>
        <v>0</v>
      </c>
      <c r="K1805">
        <f t="shared" si="284"/>
        <v>855699</v>
      </c>
      <c r="L1805">
        <f t="shared" si="285"/>
        <v>0</v>
      </c>
      <c r="M1805">
        <f t="shared" si="286"/>
        <v>581</v>
      </c>
      <c r="N1805">
        <f t="shared" si="287"/>
        <v>0</v>
      </c>
    </row>
    <row r="1806" spans="1:14" x14ac:dyDescent="0.35">
      <c r="A1806" s="5">
        <v>57891628</v>
      </c>
      <c r="B1806" s="6">
        <v>42942</v>
      </c>
      <c r="C1806" s="7">
        <v>0.53282407407407406</v>
      </c>
      <c r="D1806" s="8">
        <v>0.53501157407407407</v>
      </c>
      <c r="E1806" s="20">
        <f t="shared" si="280"/>
        <v>2.1875000000000089E-3</v>
      </c>
      <c r="F1806" t="str">
        <f t="shared" si="281"/>
        <v>komorkowy</v>
      </c>
      <c r="G1806" s="23">
        <f t="shared" si="288"/>
        <v>642941</v>
      </c>
      <c r="H1806">
        <f t="shared" si="289"/>
        <v>212947</v>
      </c>
      <c r="I1806">
        <f t="shared" si="282"/>
        <v>0</v>
      </c>
      <c r="J1806">
        <f t="shared" si="283"/>
        <v>0</v>
      </c>
      <c r="K1806">
        <f t="shared" si="284"/>
        <v>855888</v>
      </c>
      <c r="L1806">
        <f t="shared" si="285"/>
        <v>0</v>
      </c>
      <c r="M1806">
        <f t="shared" si="286"/>
        <v>0</v>
      </c>
      <c r="N1806">
        <f t="shared" si="287"/>
        <v>189</v>
      </c>
    </row>
    <row r="1807" spans="1:14" x14ac:dyDescent="0.35">
      <c r="A1807" s="9">
        <v>9772824</v>
      </c>
      <c r="B1807" s="10">
        <v>42942</v>
      </c>
      <c r="C1807" s="11">
        <v>0.53344907407407405</v>
      </c>
      <c r="D1807" s="12">
        <v>0.54386574074074079</v>
      </c>
      <c r="E1807" s="20">
        <f t="shared" si="280"/>
        <v>1.0416666666666741E-2</v>
      </c>
      <c r="F1807" t="str">
        <f t="shared" si="281"/>
        <v>stacjonarny</v>
      </c>
      <c r="G1807" s="23">
        <f t="shared" si="288"/>
        <v>643841</v>
      </c>
      <c r="H1807">
        <f t="shared" si="289"/>
        <v>212947</v>
      </c>
      <c r="I1807">
        <f t="shared" si="282"/>
        <v>0</v>
      </c>
      <c r="J1807">
        <f t="shared" si="283"/>
        <v>0</v>
      </c>
      <c r="K1807">
        <f t="shared" si="284"/>
        <v>856788</v>
      </c>
      <c r="L1807">
        <f t="shared" si="285"/>
        <v>0</v>
      </c>
      <c r="M1807">
        <f t="shared" si="286"/>
        <v>900</v>
      </c>
      <c r="N1807">
        <f t="shared" si="287"/>
        <v>0</v>
      </c>
    </row>
    <row r="1808" spans="1:14" x14ac:dyDescent="0.35">
      <c r="A1808" s="5">
        <v>4154521</v>
      </c>
      <c r="B1808" s="6">
        <v>42942</v>
      </c>
      <c r="C1808" s="7">
        <v>0.53439814814814812</v>
      </c>
      <c r="D1808" s="8">
        <v>0.53813657407407411</v>
      </c>
      <c r="E1808" s="20">
        <f t="shared" si="280"/>
        <v>3.7384259259259922E-3</v>
      </c>
      <c r="F1808" t="str">
        <f t="shared" si="281"/>
        <v>stacjonarny</v>
      </c>
      <c r="G1808" s="23">
        <f t="shared" si="288"/>
        <v>644164</v>
      </c>
      <c r="H1808">
        <f t="shared" si="289"/>
        <v>212947</v>
      </c>
      <c r="I1808">
        <f t="shared" si="282"/>
        <v>0</v>
      </c>
      <c r="J1808">
        <f t="shared" si="283"/>
        <v>0</v>
      </c>
      <c r="K1808">
        <f t="shared" si="284"/>
        <v>857111</v>
      </c>
      <c r="L1808">
        <f t="shared" si="285"/>
        <v>0</v>
      </c>
      <c r="M1808">
        <f t="shared" si="286"/>
        <v>323</v>
      </c>
      <c r="N1808">
        <f t="shared" si="287"/>
        <v>0</v>
      </c>
    </row>
    <row r="1809" spans="1:14" x14ac:dyDescent="0.35">
      <c r="A1809" s="9">
        <v>96977805</v>
      </c>
      <c r="B1809" s="10">
        <v>42942</v>
      </c>
      <c r="C1809" s="11">
        <v>0.53601851851851856</v>
      </c>
      <c r="D1809" s="12">
        <v>0.54394675925925928</v>
      </c>
      <c r="E1809" s="20">
        <f t="shared" si="280"/>
        <v>7.9282407407407218E-3</v>
      </c>
      <c r="F1809" t="str">
        <f t="shared" si="281"/>
        <v>komorkowy</v>
      </c>
      <c r="G1809" s="23">
        <f t="shared" si="288"/>
        <v>644164</v>
      </c>
      <c r="H1809">
        <f t="shared" si="289"/>
        <v>213632</v>
      </c>
      <c r="I1809">
        <f t="shared" si="282"/>
        <v>0</v>
      </c>
      <c r="J1809">
        <f t="shared" si="283"/>
        <v>0</v>
      </c>
      <c r="K1809">
        <f t="shared" si="284"/>
        <v>857796</v>
      </c>
      <c r="L1809">
        <f t="shared" si="285"/>
        <v>0</v>
      </c>
      <c r="M1809">
        <f t="shared" si="286"/>
        <v>0</v>
      </c>
      <c r="N1809">
        <f t="shared" si="287"/>
        <v>685</v>
      </c>
    </row>
    <row r="1810" spans="1:14" x14ac:dyDescent="0.35">
      <c r="A1810" s="5">
        <v>24665933</v>
      </c>
      <c r="B1810" s="6">
        <v>42942</v>
      </c>
      <c r="C1810" s="7">
        <v>0.53666666666666663</v>
      </c>
      <c r="D1810" s="8">
        <v>0.5370949074074074</v>
      </c>
      <c r="E1810" s="20">
        <f t="shared" si="280"/>
        <v>4.2824074074077068E-4</v>
      </c>
      <c r="F1810" t="str">
        <f t="shared" si="281"/>
        <v>komorkowy</v>
      </c>
      <c r="G1810" s="23">
        <f t="shared" si="288"/>
        <v>644164</v>
      </c>
      <c r="H1810">
        <f t="shared" si="289"/>
        <v>213669</v>
      </c>
      <c r="I1810">
        <f t="shared" si="282"/>
        <v>0</v>
      </c>
      <c r="J1810">
        <f t="shared" si="283"/>
        <v>0</v>
      </c>
      <c r="K1810">
        <f t="shared" si="284"/>
        <v>857833</v>
      </c>
      <c r="L1810">
        <f t="shared" si="285"/>
        <v>0</v>
      </c>
      <c r="M1810">
        <f t="shared" si="286"/>
        <v>0</v>
      </c>
      <c r="N1810">
        <f t="shared" si="287"/>
        <v>37</v>
      </c>
    </row>
    <row r="1811" spans="1:14" x14ac:dyDescent="0.35">
      <c r="A1811" s="9">
        <v>5465004</v>
      </c>
      <c r="B1811" s="10">
        <v>42942</v>
      </c>
      <c r="C1811" s="11">
        <v>0.54017361111111106</v>
      </c>
      <c r="D1811" s="12">
        <v>0.54915509259259254</v>
      </c>
      <c r="E1811" s="20">
        <f t="shared" si="280"/>
        <v>8.9814814814814792E-3</v>
      </c>
      <c r="F1811" t="str">
        <f t="shared" si="281"/>
        <v>stacjonarny</v>
      </c>
      <c r="G1811" s="23">
        <f t="shared" si="288"/>
        <v>644940</v>
      </c>
      <c r="H1811">
        <f t="shared" si="289"/>
        <v>213669</v>
      </c>
      <c r="I1811">
        <f t="shared" si="282"/>
        <v>0</v>
      </c>
      <c r="J1811">
        <f t="shared" si="283"/>
        <v>0</v>
      </c>
      <c r="K1811">
        <f t="shared" si="284"/>
        <v>858609</v>
      </c>
      <c r="L1811">
        <f t="shared" si="285"/>
        <v>0</v>
      </c>
      <c r="M1811">
        <f t="shared" si="286"/>
        <v>776</v>
      </c>
      <c r="N1811">
        <f t="shared" si="287"/>
        <v>0</v>
      </c>
    </row>
    <row r="1812" spans="1:14" x14ac:dyDescent="0.35">
      <c r="A1812" s="5">
        <v>9560827</v>
      </c>
      <c r="B1812" s="6">
        <v>42942</v>
      </c>
      <c r="C1812" s="7">
        <v>0.54069444444444448</v>
      </c>
      <c r="D1812" s="8">
        <v>0.55103009259259261</v>
      </c>
      <c r="E1812" s="20">
        <f t="shared" si="280"/>
        <v>1.0335648148148135E-2</v>
      </c>
      <c r="F1812" t="str">
        <f t="shared" si="281"/>
        <v>stacjonarny</v>
      </c>
      <c r="G1812" s="23">
        <f t="shared" si="288"/>
        <v>645833</v>
      </c>
      <c r="H1812">
        <f t="shared" si="289"/>
        <v>213669</v>
      </c>
      <c r="I1812">
        <f t="shared" si="282"/>
        <v>0</v>
      </c>
      <c r="J1812">
        <f t="shared" si="283"/>
        <v>0</v>
      </c>
      <c r="K1812">
        <f t="shared" si="284"/>
        <v>859502</v>
      </c>
      <c r="L1812">
        <f t="shared" si="285"/>
        <v>0</v>
      </c>
      <c r="M1812">
        <f t="shared" si="286"/>
        <v>893</v>
      </c>
      <c r="N1812">
        <f t="shared" si="287"/>
        <v>0</v>
      </c>
    </row>
    <row r="1813" spans="1:14" x14ac:dyDescent="0.35">
      <c r="A1813" s="9">
        <v>3443287</v>
      </c>
      <c r="B1813" s="10">
        <v>42942</v>
      </c>
      <c r="C1813" s="11">
        <v>0.54593749999999996</v>
      </c>
      <c r="D1813" s="12">
        <v>0.55622685185185183</v>
      </c>
      <c r="E1813" s="20">
        <f t="shared" si="280"/>
        <v>1.0289351851851869E-2</v>
      </c>
      <c r="F1813" t="str">
        <f t="shared" si="281"/>
        <v>stacjonarny</v>
      </c>
      <c r="G1813" s="23">
        <f t="shared" si="288"/>
        <v>646722</v>
      </c>
      <c r="H1813">
        <f t="shared" si="289"/>
        <v>213669</v>
      </c>
      <c r="I1813">
        <f t="shared" si="282"/>
        <v>0</v>
      </c>
      <c r="J1813">
        <f t="shared" si="283"/>
        <v>0</v>
      </c>
      <c r="K1813">
        <f t="shared" si="284"/>
        <v>860391</v>
      </c>
      <c r="L1813">
        <f t="shared" si="285"/>
        <v>0</v>
      </c>
      <c r="M1813">
        <f t="shared" si="286"/>
        <v>889</v>
      </c>
      <c r="N1813">
        <f t="shared" si="287"/>
        <v>0</v>
      </c>
    </row>
    <row r="1814" spans="1:14" x14ac:dyDescent="0.35">
      <c r="A1814" s="5">
        <v>7551668</v>
      </c>
      <c r="B1814" s="6">
        <v>42942</v>
      </c>
      <c r="C1814" s="7">
        <v>0.55053240740740739</v>
      </c>
      <c r="D1814" s="8">
        <v>0.55672453703703706</v>
      </c>
      <c r="E1814" s="20">
        <f t="shared" si="280"/>
        <v>6.1921296296296724E-3</v>
      </c>
      <c r="F1814" t="str">
        <f t="shared" si="281"/>
        <v>stacjonarny</v>
      </c>
      <c r="G1814" s="23">
        <f t="shared" si="288"/>
        <v>647257</v>
      </c>
      <c r="H1814">
        <f t="shared" si="289"/>
        <v>213669</v>
      </c>
      <c r="I1814">
        <f t="shared" si="282"/>
        <v>0</v>
      </c>
      <c r="J1814">
        <f t="shared" si="283"/>
        <v>0</v>
      </c>
      <c r="K1814">
        <f t="shared" si="284"/>
        <v>860926</v>
      </c>
      <c r="L1814">
        <f t="shared" si="285"/>
        <v>0</v>
      </c>
      <c r="M1814">
        <f t="shared" si="286"/>
        <v>535</v>
      </c>
      <c r="N1814">
        <f t="shared" si="287"/>
        <v>0</v>
      </c>
    </row>
    <row r="1815" spans="1:14" x14ac:dyDescent="0.35">
      <c r="A1815" s="9">
        <v>3189059</v>
      </c>
      <c r="B1815" s="10">
        <v>42942</v>
      </c>
      <c r="C1815" s="11">
        <v>0.55462962962962958</v>
      </c>
      <c r="D1815" s="12">
        <v>0.56101851851851847</v>
      </c>
      <c r="E1815" s="20">
        <f t="shared" si="280"/>
        <v>6.3888888888888884E-3</v>
      </c>
      <c r="F1815" t="str">
        <f t="shared" si="281"/>
        <v>stacjonarny</v>
      </c>
      <c r="G1815" s="23">
        <f t="shared" si="288"/>
        <v>647809</v>
      </c>
      <c r="H1815">
        <f t="shared" si="289"/>
        <v>213669</v>
      </c>
      <c r="I1815">
        <f t="shared" si="282"/>
        <v>0</v>
      </c>
      <c r="J1815">
        <f t="shared" si="283"/>
        <v>0</v>
      </c>
      <c r="K1815">
        <f t="shared" si="284"/>
        <v>861478</v>
      </c>
      <c r="L1815">
        <f t="shared" si="285"/>
        <v>0</v>
      </c>
      <c r="M1815">
        <f t="shared" si="286"/>
        <v>552</v>
      </c>
      <c r="N1815">
        <f t="shared" si="287"/>
        <v>0</v>
      </c>
    </row>
    <row r="1816" spans="1:14" x14ac:dyDescent="0.35">
      <c r="A1816" s="5">
        <v>9061957</v>
      </c>
      <c r="B1816" s="6">
        <v>42942</v>
      </c>
      <c r="C1816" s="7">
        <v>0.55604166666666666</v>
      </c>
      <c r="D1816" s="8">
        <v>0.56381944444444443</v>
      </c>
      <c r="E1816" s="20">
        <f t="shared" si="280"/>
        <v>7.7777777777777724E-3</v>
      </c>
      <c r="F1816" t="str">
        <f t="shared" si="281"/>
        <v>stacjonarny</v>
      </c>
      <c r="G1816" s="23">
        <f t="shared" si="288"/>
        <v>648481</v>
      </c>
      <c r="H1816">
        <f t="shared" si="289"/>
        <v>213669</v>
      </c>
      <c r="I1816">
        <f t="shared" si="282"/>
        <v>0</v>
      </c>
      <c r="J1816">
        <f t="shared" si="283"/>
        <v>0</v>
      </c>
      <c r="K1816">
        <f t="shared" si="284"/>
        <v>862150</v>
      </c>
      <c r="L1816">
        <f t="shared" si="285"/>
        <v>0</v>
      </c>
      <c r="M1816">
        <f t="shared" si="286"/>
        <v>672</v>
      </c>
      <c r="N1816">
        <f t="shared" si="287"/>
        <v>0</v>
      </c>
    </row>
    <row r="1817" spans="1:14" x14ac:dyDescent="0.35">
      <c r="A1817" s="9">
        <v>2109147679</v>
      </c>
      <c r="B1817" s="10">
        <v>42942</v>
      </c>
      <c r="C1817" s="11">
        <v>0.56098379629629624</v>
      </c>
      <c r="D1817" s="12">
        <v>0.56753472222222223</v>
      </c>
      <c r="E1817" s="20">
        <f t="shared" si="280"/>
        <v>6.5509259259259878E-3</v>
      </c>
      <c r="F1817" t="str">
        <f t="shared" si="281"/>
        <v>zagraniczny</v>
      </c>
      <c r="G1817" s="23">
        <f t="shared" si="288"/>
        <v>648481</v>
      </c>
      <c r="H1817">
        <f t="shared" si="289"/>
        <v>213669</v>
      </c>
      <c r="I1817">
        <f t="shared" si="282"/>
        <v>566</v>
      </c>
      <c r="J1817">
        <f t="shared" si="283"/>
        <v>10</v>
      </c>
      <c r="K1817">
        <f t="shared" si="284"/>
        <v>862150</v>
      </c>
      <c r="L1817">
        <f t="shared" si="285"/>
        <v>0</v>
      </c>
      <c r="M1817">
        <f t="shared" si="286"/>
        <v>0</v>
      </c>
      <c r="N1817">
        <f t="shared" si="287"/>
        <v>0</v>
      </c>
    </row>
    <row r="1818" spans="1:14" x14ac:dyDescent="0.35">
      <c r="A1818" s="5">
        <v>59508384</v>
      </c>
      <c r="B1818" s="6">
        <v>42942</v>
      </c>
      <c r="C1818" s="7">
        <v>0.56232638888888886</v>
      </c>
      <c r="D1818" s="8">
        <v>0.56594907407407402</v>
      </c>
      <c r="E1818" s="20">
        <f t="shared" si="280"/>
        <v>3.6226851851851594E-3</v>
      </c>
      <c r="F1818" t="str">
        <f t="shared" si="281"/>
        <v>komorkowy</v>
      </c>
      <c r="G1818" s="23">
        <f t="shared" si="288"/>
        <v>648481</v>
      </c>
      <c r="H1818">
        <f t="shared" si="289"/>
        <v>213982</v>
      </c>
      <c r="I1818">
        <f t="shared" si="282"/>
        <v>0</v>
      </c>
      <c r="J1818">
        <f t="shared" si="283"/>
        <v>0</v>
      </c>
      <c r="K1818">
        <f t="shared" si="284"/>
        <v>862463</v>
      </c>
      <c r="L1818">
        <f t="shared" si="285"/>
        <v>0</v>
      </c>
      <c r="M1818">
        <f t="shared" si="286"/>
        <v>0</v>
      </c>
      <c r="N1818">
        <f t="shared" si="287"/>
        <v>313</v>
      </c>
    </row>
    <row r="1819" spans="1:14" x14ac:dyDescent="0.35">
      <c r="A1819" s="9">
        <v>48529464</v>
      </c>
      <c r="B1819" s="10">
        <v>42942</v>
      </c>
      <c r="C1819" s="11">
        <v>0.56283564814814813</v>
      </c>
      <c r="D1819" s="12">
        <v>0.56427083333333339</v>
      </c>
      <c r="E1819" s="20">
        <f t="shared" si="280"/>
        <v>1.4351851851852615E-3</v>
      </c>
      <c r="F1819" t="str">
        <f t="shared" si="281"/>
        <v>komorkowy</v>
      </c>
      <c r="G1819" s="23">
        <f t="shared" si="288"/>
        <v>648481</v>
      </c>
      <c r="H1819">
        <f t="shared" si="289"/>
        <v>214106</v>
      </c>
      <c r="I1819">
        <f t="shared" si="282"/>
        <v>0</v>
      </c>
      <c r="J1819">
        <f t="shared" si="283"/>
        <v>0</v>
      </c>
      <c r="K1819">
        <f t="shared" si="284"/>
        <v>862587</v>
      </c>
      <c r="L1819">
        <f t="shared" si="285"/>
        <v>0</v>
      </c>
      <c r="M1819">
        <f t="shared" si="286"/>
        <v>0</v>
      </c>
      <c r="N1819">
        <f t="shared" si="287"/>
        <v>124</v>
      </c>
    </row>
    <row r="1820" spans="1:14" x14ac:dyDescent="0.35">
      <c r="A1820" s="5">
        <v>4082744</v>
      </c>
      <c r="B1820" s="6">
        <v>42942</v>
      </c>
      <c r="C1820" s="7">
        <v>0.56481481481481477</v>
      </c>
      <c r="D1820" s="8">
        <v>0.57565972222222217</v>
      </c>
      <c r="E1820" s="20">
        <f t="shared" si="280"/>
        <v>1.08449074074074E-2</v>
      </c>
      <c r="F1820" t="str">
        <f t="shared" si="281"/>
        <v>stacjonarny</v>
      </c>
      <c r="G1820" s="23">
        <f t="shared" si="288"/>
        <v>649418</v>
      </c>
      <c r="H1820">
        <f t="shared" si="289"/>
        <v>214106</v>
      </c>
      <c r="I1820">
        <f t="shared" si="282"/>
        <v>0</v>
      </c>
      <c r="J1820">
        <f t="shared" si="283"/>
        <v>0</v>
      </c>
      <c r="K1820">
        <f t="shared" si="284"/>
        <v>863524</v>
      </c>
      <c r="L1820">
        <f t="shared" si="285"/>
        <v>0</v>
      </c>
      <c r="M1820">
        <f t="shared" si="286"/>
        <v>937</v>
      </c>
      <c r="N1820">
        <f t="shared" si="287"/>
        <v>0</v>
      </c>
    </row>
    <row r="1821" spans="1:14" x14ac:dyDescent="0.35">
      <c r="A1821" s="9">
        <v>2395447</v>
      </c>
      <c r="B1821" s="10">
        <v>42942</v>
      </c>
      <c r="C1821" s="11">
        <v>0.56805555555555554</v>
      </c>
      <c r="D1821" s="12">
        <v>0.56937499999999996</v>
      </c>
      <c r="E1821" s="20">
        <f t="shared" si="280"/>
        <v>1.3194444444444287E-3</v>
      </c>
      <c r="F1821" t="str">
        <f t="shared" si="281"/>
        <v>stacjonarny</v>
      </c>
      <c r="G1821" s="23">
        <f t="shared" si="288"/>
        <v>649532</v>
      </c>
      <c r="H1821">
        <f t="shared" si="289"/>
        <v>214106</v>
      </c>
      <c r="I1821">
        <f t="shared" si="282"/>
        <v>0</v>
      </c>
      <c r="J1821">
        <f t="shared" si="283"/>
        <v>0</v>
      </c>
      <c r="K1821">
        <f t="shared" si="284"/>
        <v>863638</v>
      </c>
      <c r="L1821">
        <f t="shared" si="285"/>
        <v>0</v>
      </c>
      <c r="M1821">
        <f t="shared" si="286"/>
        <v>114</v>
      </c>
      <c r="N1821">
        <f t="shared" si="287"/>
        <v>0</v>
      </c>
    </row>
    <row r="1822" spans="1:14" x14ac:dyDescent="0.35">
      <c r="A1822" s="5">
        <v>96620804</v>
      </c>
      <c r="B1822" s="6">
        <v>42942</v>
      </c>
      <c r="C1822" s="7">
        <v>0.56945601851851857</v>
      </c>
      <c r="D1822" s="8">
        <v>0.5776041666666667</v>
      </c>
      <c r="E1822" s="20">
        <f t="shared" si="280"/>
        <v>8.1481481481481266E-3</v>
      </c>
      <c r="F1822" t="str">
        <f t="shared" si="281"/>
        <v>komorkowy</v>
      </c>
      <c r="G1822" s="23">
        <f t="shared" si="288"/>
        <v>649532</v>
      </c>
      <c r="H1822">
        <f t="shared" si="289"/>
        <v>214810</v>
      </c>
      <c r="I1822">
        <f t="shared" si="282"/>
        <v>0</v>
      </c>
      <c r="J1822">
        <f t="shared" si="283"/>
        <v>0</v>
      </c>
      <c r="K1822">
        <f t="shared" si="284"/>
        <v>864342</v>
      </c>
      <c r="L1822">
        <f t="shared" si="285"/>
        <v>0</v>
      </c>
      <c r="M1822">
        <f t="shared" si="286"/>
        <v>0</v>
      </c>
      <c r="N1822">
        <f t="shared" si="287"/>
        <v>704</v>
      </c>
    </row>
    <row r="1823" spans="1:14" x14ac:dyDescent="0.35">
      <c r="A1823" s="9">
        <v>9489003225</v>
      </c>
      <c r="B1823" s="10">
        <v>42942</v>
      </c>
      <c r="C1823" s="11">
        <v>0.57263888888888892</v>
      </c>
      <c r="D1823" s="12">
        <v>0.57309027777777777</v>
      </c>
      <c r="E1823" s="20">
        <f t="shared" si="280"/>
        <v>4.5138888888884843E-4</v>
      </c>
      <c r="F1823" t="str">
        <f t="shared" si="281"/>
        <v>zagraniczny</v>
      </c>
      <c r="G1823" s="23">
        <f t="shared" si="288"/>
        <v>649532</v>
      </c>
      <c r="H1823">
        <f t="shared" si="289"/>
        <v>214810</v>
      </c>
      <c r="I1823">
        <f t="shared" si="282"/>
        <v>39</v>
      </c>
      <c r="J1823">
        <f t="shared" si="283"/>
        <v>1</v>
      </c>
      <c r="K1823">
        <f t="shared" si="284"/>
        <v>864342</v>
      </c>
      <c r="L1823">
        <f t="shared" si="285"/>
        <v>0</v>
      </c>
      <c r="M1823">
        <f t="shared" si="286"/>
        <v>0</v>
      </c>
      <c r="N1823">
        <f t="shared" si="287"/>
        <v>0</v>
      </c>
    </row>
    <row r="1824" spans="1:14" x14ac:dyDescent="0.35">
      <c r="A1824" s="5">
        <v>6897893</v>
      </c>
      <c r="B1824" s="6">
        <v>42942</v>
      </c>
      <c r="C1824" s="7">
        <v>0.57662037037037039</v>
      </c>
      <c r="D1824" s="8">
        <v>0.58204861111111106</v>
      </c>
      <c r="E1824" s="20">
        <f t="shared" si="280"/>
        <v>5.4282407407406641E-3</v>
      </c>
      <c r="F1824" t="str">
        <f t="shared" si="281"/>
        <v>stacjonarny</v>
      </c>
      <c r="G1824" s="23">
        <f t="shared" si="288"/>
        <v>650001</v>
      </c>
      <c r="H1824">
        <f t="shared" si="289"/>
        <v>214810</v>
      </c>
      <c r="I1824">
        <f t="shared" si="282"/>
        <v>0</v>
      </c>
      <c r="J1824">
        <f t="shared" si="283"/>
        <v>0</v>
      </c>
      <c r="K1824">
        <f t="shared" si="284"/>
        <v>864811</v>
      </c>
      <c r="L1824">
        <f t="shared" si="285"/>
        <v>0</v>
      </c>
      <c r="M1824">
        <f t="shared" si="286"/>
        <v>469</v>
      </c>
      <c r="N1824">
        <f t="shared" si="287"/>
        <v>0</v>
      </c>
    </row>
    <row r="1825" spans="1:14" x14ac:dyDescent="0.35">
      <c r="A1825" s="9">
        <v>9759222</v>
      </c>
      <c r="B1825" s="10">
        <v>42942</v>
      </c>
      <c r="C1825" s="11">
        <v>0.58021990740740736</v>
      </c>
      <c r="D1825" s="12">
        <v>0.58726851851851847</v>
      </c>
      <c r="E1825" s="20">
        <f t="shared" si="280"/>
        <v>7.0486111111111027E-3</v>
      </c>
      <c r="F1825" t="str">
        <f t="shared" si="281"/>
        <v>stacjonarny</v>
      </c>
      <c r="G1825" s="23">
        <f t="shared" si="288"/>
        <v>650610</v>
      </c>
      <c r="H1825">
        <f t="shared" si="289"/>
        <v>214810</v>
      </c>
      <c r="I1825">
        <f t="shared" si="282"/>
        <v>0</v>
      </c>
      <c r="J1825">
        <f t="shared" si="283"/>
        <v>0</v>
      </c>
      <c r="K1825">
        <f t="shared" si="284"/>
        <v>865420</v>
      </c>
      <c r="L1825">
        <f t="shared" si="285"/>
        <v>0</v>
      </c>
      <c r="M1825">
        <f t="shared" si="286"/>
        <v>609</v>
      </c>
      <c r="N1825">
        <f t="shared" si="287"/>
        <v>0</v>
      </c>
    </row>
    <row r="1826" spans="1:14" x14ac:dyDescent="0.35">
      <c r="A1826" s="5">
        <v>39793981</v>
      </c>
      <c r="B1826" s="6">
        <v>42942</v>
      </c>
      <c r="C1826" s="7">
        <v>0.58101851851851849</v>
      </c>
      <c r="D1826" s="8">
        <v>0.58164351851851848</v>
      </c>
      <c r="E1826" s="20">
        <f t="shared" si="280"/>
        <v>6.2499999999998668E-4</v>
      </c>
      <c r="F1826" t="str">
        <f t="shared" si="281"/>
        <v>komorkowy</v>
      </c>
      <c r="G1826" s="23">
        <f t="shared" si="288"/>
        <v>650610</v>
      </c>
      <c r="H1826">
        <f t="shared" si="289"/>
        <v>214864</v>
      </c>
      <c r="I1826">
        <f t="shared" si="282"/>
        <v>0</v>
      </c>
      <c r="J1826">
        <f t="shared" si="283"/>
        <v>0</v>
      </c>
      <c r="K1826">
        <f t="shared" si="284"/>
        <v>865474</v>
      </c>
      <c r="L1826">
        <f t="shared" si="285"/>
        <v>0</v>
      </c>
      <c r="M1826">
        <f t="shared" si="286"/>
        <v>0</v>
      </c>
      <c r="N1826">
        <f t="shared" si="287"/>
        <v>54</v>
      </c>
    </row>
    <row r="1827" spans="1:14" x14ac:dyDescent="0.35">
      <c r="A1827" s="9">
        <v>3759991</v>
      </c>
      <c r="B1827" s="10">
        <v>42942</v>
      </c>
      <c r="C1827" s="11">
        <v>0.58408564814814812</v>
      </c>
      <c r="D1827" s="12">
        <v>0.58677083333333335</v>
      </c>
      <c r="E1827" s="20">
        <f t="shared" si="280"/>
        <v>2.6851851851852349E-3</v>
      </c>
      <c r="F1827" t="str">
        <f t="shared" si="281"/>
        <v>stacjonarny</v>
      </c>
      <c r="G1827" s="23">
        <f t="shared" si="288"/>
        <v>650842</v>
      </c>
      <c r="H1827">
        <f t="shared" si="289"/>
        <v>214864</v>
      </c>
      <c r="I1827">
        <f t="shared" si="282"/>
        <v>0</v>
      </c>
      <c r="J1827">
        <f t="shared" si="283"/>
        <v>0</v>
      </c>
      <c r="K1827">
        <f t="shared" si="284"/>
        <v>865706</v>
      </c>
      <c r="L1827">
        <f t="shared" si="285"/>
        <v>0</v>
      </c>
      <c r="M1827">
        <f t="shared" si="286"/>
        <v>232</v>
      </c>
      <c r="N1827">
        <f t="shared" si="287"/>
        <v>0</v>
      </c>
    </row>
    <row r="1828" spans="1:14" x14ac:dyDescent="0.35">
      <c r="A1828" s="5">
        <v>37838778</v>
      </c>
      <c r="B1828" s="6">
        <v>42942</v>
      </c>
      <c r="C1828" s="7">
        <v>0.58770833333333339</v>
      </c>
      <c r="D1828" s="8">
        <v>0.59591435185185182</v>
      </c>
      <c r="E1828" s="20">
        <f t="shared" si="280"/>
        <v>8.206018518518432E-3</v>
      </c>
      <c r="F1828" t="str">
        <f t="shared" si="281"/>
        <v>komorkowy</v>
      </c>
      <c r="G1828" s="23">
        <f t="shared" si="288"/>
        <v>650842</v>
      </c>
      <c r="H1828">
        <f t="shared" si="289"/>
        <v>215573</v>
      </c>
      <c r="I1828">
        <f t="shared" si="282"/>
        <v>0</v>
      </c>
      <c r="J1828">
        <f t="shared" si="283"/>
        <v>0</v>
      </c>
      <c r="K1828">
        <f t="shared" si="284"/>
        <v>866415</v>
      </c>
      <c r="L1828">
        <f t="shared" si="285"/>
        <v>0</v>
      </c>
      <c r="M1828">
        <f t="shared" si="286"/>
        <v>0</v>
      </c>
      <c r="N1828">
        <f t="shared" si="287"/>
        <v>709</v>
      </c>
    </row>
    <row r="1829" spans="1:14" x14ac:dyDescent="0.35">
      <c r="A1829" s="9">
        <v>3785540</v>
      </c>
      <c r="B1829" s="10">
        <v>42942</v>
      </c>
      <c r="C1829" s="11">
        <v>0.59261574074074075</v>
      </c>
      <c r="D1829" s="12">
        <v>0.60343749999999996</v>
      </c>
      <c r="E1829" s="20">
        <f t="shared" si="280"/>
        <v>1.0821759259259212E-2</v>
      </c>
      <c r="F1829" t="str">
        <f t="shared" si="281"/>
        <v>stacjonarny</v>
      </c>
      <c r="G1829" s="23">
        <f t="shared" si="288"/>
        <v>651777</v>
      </c>
      <c r="H1829">
        <f t="shared" si="289"/>
        <v>215573</v>
      </c>
      <c r="I1829">
        <f t="shared" si="282"/>
        <v>0</v>
      </c>
      <c r="J1829">
        <f t="shared" si="283"/>
        <v>0</v>
      </c>
      <c r="K1829">
        <f t="shared" si="284"/>
        <v>867350</v>
      </c>
      <c r="L1829">
        <f t="shared" si="285"/>
        <v>0</v>
      </c>
      <c r="M1829">
        <f t="shared" si="286"/>
        <v>935</v>
      </c>
      <c r="N1829">
        <f t="shared" si="287"/>
        <v>0</v>
      </c>
    </row>
    <row r="1830" spans="1:14" x14ac:dyDescent="0.35">
      <c r="A1830" s="5">
        <v>9689833</v>
      </c>
      <c r="B1830" s="6">
        <v>42942</v>
      </c>
      <c r="C1830" s="7">
        <v>0.5932291666666667</v>
      </c>
      <c r="D1830" s="8">
        <v>0.59943287037037041</v>
      </c>
      <c r="E1830" s="20">
        <f t="shared" si="280"/>
        <v>6.2037037037037113E-3</v>
      </c>
      <c r="F1830" t="str">
        <f t="shared" si="281"/>
        <v>stacjonarny</v>
      </c>
      <c r="G1830" s="23">
        <f t="shared" si="288"/>
        <v>652313</v>
      </c>
      <c r="H1830">
        <f t="shared" si="289"/>
        <v>215573</v>
      </c>
      <c r="I1830">
        <f t="shared" si="282"/>
        <v>0</v>
      </c>
      <c r="J1830">
        <f t="shared" si="283"/>
        <v>0</v>
      </c>
      <c r="K1830">
        <f t="shared" si="284"/>
        <v>867886</v>
      </c>
      <c r="L1830">
        <f t="shared" si="285"/>
        <v>0</v>
      </c>
      <c r="M1830">
        <f t="shared" si="286"/>
        <v>536</v>
      </c>
      <c r="N1830">
        <f t="shared" si="287"/>
        <v>0</v>
      </c>
    </row>
    <row r="1831" spans="1:14" x14ac:dyDescent="0.35">
      <c r="A1831" s="9">
        <v>8136309</v>
      </c>
      <c r="B1831" s="10">
        <v>42942</v>
      </c>
      <c r="C1831" s="11">
        <v>0.59876157407407404</v>
      </c>
      <c r="D1831" s="12">
        <v>0.60951388888888891</v>
      </c>
      <c r="E1831" s="20">
        <f t="shared" si="280"/>
        <v>1.0752314814814867E-2</v>
      </c>
      <c r="F1831" t="str">
        <f t="shared" si="281"/>
        <v>stacjonarny</v>
      </c>
      <c r="G1831" s="23">
        <f t="shared" si="288"/>
        <v>653242</v>
      </c>
      <c r="H1831">
        <f t="shared" si="289"/>
        <v>215573</v>
      </c>
      <c r="I1831">
        <f t="shared" si="282"/>
        <v>0</v>
      </c>
      <c r="J1831">
        <f t="shared" si="283"/>
        <v>0</v>
      </c>
      <c r="K1831">
        <f t="shared" si="284"/>
        <v>868815</v>
      </c>
      <c r="L1831">
        <f t="shared" si="285"/>
        <v>0</v>
      </c>
      <c r="M1831">
        <f t="shared" si="286"/>
        <v>929</v>
      </c>
      <c r="N1831">
        <f t="shared" si="287"/>
        <v>0</v>
      </c>
    </row>
    <row r="1832" spans="1:14" x14ac:dyDescent="0.35">
      <c r="A1832" s="5">
        <v>1177203</v>
      </c>
      <c r="B1832" s="6">
        <v>42942</v>
      </c>
      <c r="C1832" s="7">
        <v>0.60384259259259254</v>
      </c>
      <c r="D1832" s="8">
        <v>0.60452546296296295</v>
      </c>
      <c r="E1832" s="20">
        <f t="shared" si="280"/>
        <v>6.828703703704031E-4</v>
      </c>
      <c r="F1832" t="str">
        <f t="shared" si="281"/>
        <v>stacjonarny</v>
      </c>
      <c r="G1832" s="23">
        <f t="shared" si="288"/>
        <v>653301</v>
      </c>
      <c r="H1832">
        <f t="shared" si="289"/>
        <v>215573</v>
      </c>
      <c r="I1832">
        <f t="shared" si="282"/>
        <v>0</v>
      </c>
      <c r="J1832">
        <f t="shared" si="283"/>
        <v>0</v>
      </c>
      <c r="K1832">
        <f t="shared" si="284"/>
        <v>868874</v>
      </c>
      <c r="L1832">
        <f t="shared" si="285"/>
        <v>0</v>
      </c>
      <c r="M1832">
        <f t="shared" si="286"/>
        <v>59</v>
      </c>
      <c r="N1832">
        <f t="shared" si="287"/>
        <v>0</v>
      </c>
    </row>
    <row r="1833" spans="1:14" x14ac:dyDescent="0.35">
      <c r="A1833" s="9">
        <v>6060835</v>
      </c>
      <c r="B1833" s="10">
        <v>42942</v>
      </c>
      <c r="C1833" s="11">
        <v>0.60623842592592592</v>
      </c>
      <c r="D1833" s="12">
        <v>0.61055555555555552</v>
      </c>
      <c r="E1833" s="20">
        <f t="shared" si="280"/>
        <v>4.3171296296296013E-3</v>
      </c>
      <c r="F1833" t="str">
        <f t="shared" si="281"/>
        <v>stacjonarny</v>
      </c>
      <c r="G1833" s="23">
        <f t="shared" si="288"/>
        <v>653674</v>
      </c>
      <c r="H1833">
        <f t="shared" si="289"/>
        <v>215573</v>
      </c>
      <c r="I1833">
        <f t="shared" si="282"/>
        <v>0</v>
      </c>
      <c r="J1833">
        <f t="shared" si="283"/>
        <v>0</v>
      </c>
      <c r="K1833">
        <f t="shared" si="284"/>
        <v>869247</v>
      </c>
      <c r="L1833">
        <f t="shared" si="285"/>
        <v>0</v>
      </c>
      <c r="M1833">
        <f t="shared" si="286"/>
        <v>373</v>
      </c>
      <c r="N1833">
        <f t="shared" si="287"/>
        <v>0</v>
      </c>
    </row>
    <row r="1834" spans="1:14" x14ac:dyDescent="0.35">
      <c r="A1834" s="5">
        <v>8534481</v>
      </c>
      <c r="B1834" s="6">
        <v>42942</v>
      </c>
      <c r="C1834" s="7">
        <v>0.60950231481481476</v>
      </c>
      <c r="D1834" s="8">
        <v>0.61940972222222224</v>
      </c>
      <c r="E1834" s="20">
        <f t="shared" si="280"/>
        <v>9.9074074074074758E-3</v>
      </c>
      <c r="F1834" t="str">
        <f t="shared" si="281"/>
        <v>stacjonarny</v>
      </c>
      <c r="G1834" s="23">
        <f t="shared" si="288"/>
        <v>654530</v>
      </c>
      <c r="H1834">
        <f t="shared" si="289"/>
        <v>215573</v>
      </c>
      <c r="I1834">
        <f t="shared" si="282"/>
        <v>0</v>
      </c>
      <c r="J1834">
        <f t="shared" si="283"/>
        <v>0</v>
      </c>
      <c r="K1834">
        <f t="shared" si="284"/>
        <v>870103</v>
      </c>
      <c r="L1834">
        <f t="shared" si="285"/>
        <v>0</v>
      </c>
      <c r="M1834">
        <f t="shared" si="286"/>
        <v>856</v>
      </c>
      <c r="N1834">
        <f t="shared" si="287"/>
        <v>0</v>
      </c>
    </row>
    <row r="1835" spans="1:14" x14ac:dyDescent="0.35">
      <c r="A1835" s="9">
        <v>4959594</v>
      </c>
      <c r="B1835" s="10">
        <v>42942</v>
      </c>
      <c r="C1835" s="11">
        <v>0.61371527777777779</v>
      </c>
      <c r="D1835" s="12">
        <v>0.6235532407407407</v>
      </c>
      <c r="E1835" s="20">
        <f t="shared" si="280"/>
        <v>9.8379629629629095E-3</v>
      </c>
      <c r="F1835" t="str">
        <f t="shared" si="281"/>
        <v>stacjonarny</v>
      </c>
      <c r="G1835" s="23">
        <f t="shared" si="288"/>
        <v>655380</v>
      </c>
      <c r="H1835">
        <f t="shared" si="289"/>
        <v>215573</v>
      </c>
      <c r="I1835">
        <f t="shared" si="282"/>
        <v>0</v>
      </c>
      <c r="J1835">
        <f t="shared" si="283"/>
        <v>0</v>
      </c>
      <c r="K1835">
        <f t="shared" si="284"/>
        <v>870953</v>
      </c>
      <c r="L1835">
        <f t="shared" si="285"/>
        <v>0</v>
      </c>
      <c r="M1835">
        <f t="shared" si="286"/>
        <v>850</v>
      </c>
      <c r="N1835">
        <f t="shared" si="287"/>
        <v>0</v>
      </c>
    </row>
    <row r="1836" spans="1:14" x14ac:dyDescent="0.35">
      <c r="A1836" s="5">
        <v>1047809</v>
      </c>
      <c r="B1836" s="6">
        <v>42942</v>
      </c>
      <c r="C1836" s="7">
        <v>0.61724537037037042</v>
      </c>
      <c r="D1836" s="8">
        <v>0.62866898148148154</v>
      </c>
      <c r="E1836" s="20">
        <f t="shared" si="280"/>
        <v>1.142361111111112E-2</v>
      </c>
      <c r="F1836" t="str">
        <f t="shared" si="281"/>
        <v>stacjonarny</v>
      </c>
      <c r="G1836" s="23">
        <f t="shared" si="288"/>
        <v>656367</v>
      </c>
      <c r="H1836">
        <f t="shared" si="289"/>
        <v>215573</v>
      </c>
      <c r="I1836">
        <f t="shared" si="282"/>
        <v>0</v>
      </c>
      <c r="J1836">
        <f t="shared" si="283"/>
        <v>0</v>
      </c>
      <c r="K1836">
        <f t="shared" si="284"/>
        <v>871940</v>
      </c>
      <c r="L1836">
        <f t="shared" si="285"/>
        <v>0</v>
      </c>
      <c r="M1836">
        <f t="shared" si="286"/>
        <v>987</v>
      </c>
      <c r="N1836">
        <f t="shared" si="287"/>
        <v>0</v>
      </c>
    </row>
    <row r="1837" spans="1:14" x14ac:dyDescent="0.35">
      <c r="A1837" s="9">
        <v>3437033</v>
      </c>
      <c r="B1837" s="10">
        <v>42942</v>
      </c>
      <c r="C1837" s="11">
        <v>0.62089120370370365</v>
      </c>
      <c r="D1837" s="12">
        <v>0.62159722222222225</v>
      </c>
      <c r="E1837" s="20">
        <f t="shared" si="280"/>
        <v>7.0601851851859188E-4</v>
      </c>
      <c r="F1837" t="str">
        <f t="shared" si="281"/>
        <v>stacjonarny</v>
      </c>
      <c r="G1837" s="23">
        <f t="shared" si="288"/>
        <v>656428</v>
      </c>
      <c r="H1837">
        <f t="shared" si="289"/>
        <v>215573</v>
      </c>
      <c r="I1837">
        <f t="shared" si="282"/>
        <v>0</v>
      </c>
      <c r="J1837">
        <f t="shared" si="283"/>
        <v>0</v>
      </c>
      <c r="K1837">
        <f t="shared" si="284"/>
        <v>872001</v>
      </c>
      <c r="L1837">
        <f t="shared" si="285"/>
        <v>0</v>
      </c>
      <c r="M1837">
        <f t="shared" si="286"/>
        <v>61</v>
      </c>
      <c r="N1837">
        <f t="shared" si="287"/>
        <v>0</v>
      </c>
    </row>
    <row r="1838" spans="1:14" x14ac:dyDescent="0.35">
      <c r="A1838" s="5">
        <v>6801890</v>
      </c>
      <c r="B1838" s="6">
        <v>42942</v>
      </c>
      <c r="C1838" s="7">
        <v>0.62467592592592591</v>
      </c>
      <c r="D1838" s="8">
        <v>0.62690972222222219</v>
      </c>
      <c r="E1838" s="20">
        <f t="shared" si="280"/>
        <v>2.2337962962962754E-3</v>
      </c>
      <c r="F1838" t="str">
        <f t="shared" si="281"/>
        <v>stacjonarny</v>
      </c>
      <c r="G1838" s="23">
        <f t="shared" si="288"/>
        <v>656621</v>
      </c>
      <c r="H1838">
        <f t="shared" si="289"/>
        <v>215573</v>
      </c>
      <c r="I1838">
        <f t="shared" si="282"/>
        <v>0</v>
      </c>
      <c r="J1838">
        <f t="shared" si="283"/>
        <v>0</v>
      </c>
      <c r="K1838">
        <f t="shared" si="284"/>
        <v>872194</v>
      </c>
      <c r="L1838">
        <f t="shared" si="285"/>
        <v>0</v>
      </c>
      <c r="M1838">
        <f t="shared" si="286"/>
        <v>193</v>
      </c>
      <c r="N1838">
        <f t="shared" si="287"/>
        <v>0</v>
      </c>
    </row>
    <row r="1839" spans="1:14" x14ac:dyDescent="0.35">
      <c r="A1839" s="9">
        <v>2604004</v>
      </c>
      <c r="B1839" s="10">
        <v>42942</v>
      </c>
      <c r="C1839" s="11">
        <v>0.6277314814814815</v>
      </c>
      <c r="D1839" s="12">
        <v>0.63423611111111111</v>
      </c>
      <c r="E1839" s="20">
        <f t="shared" si="280"/>
        <v>6.5046296296296102E-3</v>
      </c>
      <c r="F1839" t="str">
        <f t="shared" si="281"/>
        <v>stacjonarny</v>
      </c>
      <c r="G1839" s="23">
        <f t="shared" si="288"/>
        <v>657183</v>
      </c>
      <c r="H1839">
        <f t="shared" si="289"/>
        <v>215573</v>
      </c>
      <c r="I1839">
        <f t="shared" si="282"/>
        <v>0</v>
      </c>
      <c r="J1839">
        <f t="shared" si="283"/>
        <v>0</v>
      </c>
      <c r="K1839">
        <f t="shared" si="284"/>
        <v>872756</v>
      </c>
      <c r="L1839">
        <f t="shared" si="285"/>
        <v>0</v>
      </c>
      <c r="M1839">
        <f t="shared" si="286"/>
        <v>562</v>
      </c>
      <c r="N1839">
        <f t="shared" si="287"/>
        <v>0</v>
      </c>
    </row>
    <row r="1840" spans="1:14" x14ac:dyDescent="0.35">
      <c r="A1840" s="5">
        <v>4379524</v>
      </c>
      <c r="B1840" s="6">
        <v>42943</v>
      </c>
      <c r="C1840" s="7">
        <v>0.33751157407407406</v>
      </c>
      <c r="D1840" s="8">
        <v>0.33754629629629629</v>
      </c>
      <c r="E1840" s="20">
        <f t="shared" si="280"/>
        <v>3.472222222222765E-5</v>
      </c>
      <c r="F1840" t="str">
        <f t="shared" si="281"/>
        <v>stacjonarny</v>
      </c>
      <c r="G1840" s="23">
        <f t="shared" si="288"/>
        <v>657186</v>
      </c>
      <c r="H1840">
        <f t="shared" si="289"/>
        <v>215573</v>
      </c>
      <c r="I1840">
        <f t="shared" si="282"/>
        <v>0</v>
      </c>
      <c r="J1840">
        <f t="shared" si="283"/>
        <v>0</v>
      </c>
      <c r="K1840">
        <f t="shared" si="284"/>
        <v>872759</v>
      </c>
      <c r="L1840">
        <f t="shared" si="285"/>
        <v>0</v>
      </c>
      <c r="M1840">
        <f t="shared" si="286"/>
        <v>3</v>
      </c>
      <c r="N1840">
        <f t="shared" si="287"/>
        <v>0</v>
      </c>
    </row>
    <row r="1841" spans="1:14" x14ac:dyDescent="0.35">
      <c r="A1841" s="9">
        <v>12377650</v>
      </c>
      <c r="B1841" s="10">
        <v>42943</v>
      </c>
      <c r="C1841" s="11">
        <v>0.33943287037037034</v>
      </c>
      <c r="D1841" s="12">
        <v>0.34292824074074074</v>
      </c>
      <c r="E1841" s="20">
        <f t="shared" si="280"/>
        <v>3.4953703703703987E-3</v>
      </c>
      <c r="F1841" t="str">
        <f t="shared" si="281"/>
        <v>komorkowy</v>
      </c>
      <c r="G1841" s="23">
        <f t="shared" si="288"/>
        <v>657186</v>
      </c>
      <c r="H1841">
        <f t="shared" si="289"/>
        <v>215875</v>
      </c>
      <c r="I1841">
        <f t="shared" si="282"/>
        <v>0</v>
      </c>
      <c r="J1841">
        <f t="shared" si="283"/>
        <v>0</v>
      </c>
      <c r="K1841">
        <f t="shared" si="284"/>
        <v>873061</v>
      </c>
      <c r="L1841">
        <f t="shared" si="285"/>
        <v>0</v>
      </c>
      <c r="M1841">
        <f t="shared" si="286"/>
        <v>0</v>
      </c>
      <c r="N1841">
        <f t="shared" si="287"/>
        <v>302</v>
      </c>
    </row>
    <row r="1842" spans="1:14" x14ac:dyDescent="0.35">
      <c r="A1842" s="5">
        <v>77869622</v>
      </c>
      <c r="B1842" s="6">
        <v>42943</v>
      </c>
      <c r="C1842" s="7">
        <v>0.34219907407407407</v>
      </c>
      <c r="D1842" s="8">
        <v>0.35170138888888891</v>
      </c>
      <c r="E1842" s="20">
        <f t="shared" si="280"/>
        <v>9.5023148148148384E-3</v>
      </c>
      <c r="F1842" t="str">
        <f t="shared" si="281"/>
        <v>komorkowy</v>
      </c>
      <c r="G1842" s="23">
        <f t="shared" si="288"/>
        <v>657186</v>
      </c>
      <c r="H1842">
        <f t="shared" si="289"/>
        <v>216696</v>
      </c>
      <c r="I1842">
        <f t="shared" si="282"/>
        <v>0</v>
      </c>
      <c r="J1842">
        <f t="shared" si="283"/>
        <v>0</v>
      </c>
      <c r="K1842">
        <f t="shared" si="284"/>
        <v>873882</v>
      </c>
      <c r="L1842">
        <f t="shared" si="285"/>
        <v>0</v>
      </c>
      <c r="M1842">
        <f t="shared" si="286"/>
        <v>0</v>
      </c>
      <c r="N1842">
        <f t="shared" si="287"/>
        <v>821</v>
      </c>
    </row>
    <row r="1843" spans="1:14" x14ac:dyDescent="0.35">
      <c r="A1843" s="9">
        <v>3414247278</v>
      </c>
      <c r="B1843" s="10">
        <v>42943</v>
      </c>
      <c r="C1843" s="11">
        <v>0.34658564814814813</v>
      </c>
      <c r="D1843" s="12">
        <v>0.34666666666666668</v>
      </c>
      <c r="E1843" s="20">
        <f t="shared" si="280"/>
        <v>8.1018518518549687E-5</v>
      </c>
      <c r="F1843" t="str">
        <f t="shared" si="281"/>
        <v>zagraniczny</v>
      </c>
      <c r="G1843" s="23">
        <f t="shared" si="288"/>
        <v>657186</v>
      </c>
      <c r="H1843">
        <f t="shared" si="289"/>
        <v>216696</v>
      </c>
      <c r="I1843">
        <f t="shared" si="282"/>
        <v>7</v>
      </c>
      <c r="J1843">
        <f t="shared" si="283"/>
        <v>1</v>
      </c>
      <c r="K1843">
        <f t="shared" si="284"/>
        <v>873882</v>
      </c>
      <c r="L1843">
        <f t="shared" si="285"/>
        <v>0</v>
      </c>
      <c r="M1843">
        <f t="shared" si="286"/>
        <v>0</v>
      </c>
      <c r="N1843">
        <f t="shared" si="287"/>
        <v>0</v>
      </c>
    </row>
    <row r="1844" spans="1:14" x14ac:dyDescent="0.35">
      <c r="A1844" s="5">
        <v>5839324907</v>
      </c>
      <c r="B1844" s="6">
        <v>42943</v>
      </c>
      <c r="C1844" s="7">
        <v>0.3490509259259259</v>
      </c>
      <c r="D1844" s="8">
        <v>0.35481481481481481</v>
      </c>
      <c r="E1844" s="20">
        <f t="shared" si="280"/>
        <v>5.7638888888889017E-3</v>
      </c>
      <c r="F1844" t="str">
        <f t="shared" si="281"/>
        <v>zagraniczny</v>
      </c>
      <c r="G1844" s="23">
        <f t="shared" si="288"/>
        <v>657186</v>
      </c>
      <c r="H1844">
        <f t="shared" si="289"/>
        <v>216696</v>
      </c>
      <c r="I1844">
        <f t="shared" si="282"/>
        <v>498</v>
      </c>
      <c r="J1844">
        <f t="shared" si="283"/>
        <v>9</v>
      </c>
      <c r="K1844">
        <f t="shared" si="284"/>
        <v>873882</v>
      </c>
      <c r="L1844">
        <f t="shared" si="285"/>
        <v>0</v>
      </c>
      <c r="M1844">
        <f t="shared" si="286"/>
        <v>0</v>
      </c>
      <c r="N1844">
        <f t="shared" si="287"/>
        <v>0</v>
      </c>
    </row>
    <row r="1845" spans="1:14" x14ac:dyDescent="0.35">
      <c r="A1845" s="9">
        <v>4852863</v>
      </c>
      <c r="B1845" s="10">
        <v>42943</v>
      </c>
      <c r="C1845" s="11">
        <v>0.34975694444444444</v>
      </c>
      <c r="D1845" s="12">
        <v>0.35971064814814813</v>
      </c>
      <c r="E1845" s="20">
        <f t="shared" si="280"/>
        <v>9.9537037037036868E-3</v>
      </c>
      <c r="F1845" t="str">
        <f t="shared" si="281"/>
        <v>stacjonarny</v>
      </c>
      <c r="G1845" s="23">
        <f t="shared" si="288"/>
        <v>658046</v>
      </c>
      <c r="H1845">
        <f t="shared" si="289"/>
        <v>216696</v>
      </c>
      <c r="I1845">
        <f t="shared" si="282"/>
        <v>0</v>
      </c>
      <c r="J1845">
        <f t="shared" si="283"/>
        <v>0</v>
      </c>
      <c r="K1845">
        <f t="shared" si="284"/>
        <v>874742</v>
      </c>
      <c r="L1845">
        <f t="shared" si="285"/>
        <v>0</v>
      </c>
      <c r="M1845">
        <f t="shared" si="286"/>
        <v>860</v>
      </c>
      <c r="N1845">
        <f t="shared" si="287"/>
        <v>0</v>
      </c>
    </row>
    <row r="1846" spans="1:14" x14ac:dyDescent="0.35">
      <c r="A1846" s="5">
        <v>3245936</v>
      </c>
      <c r="B1846" s="6">
        <v>42943</v>
      </c>
      <c r="C1846" s="7">
        <v>0.35116898148148146</v>
      </c>
      <c r="D1846" s="8">
        <v>0.35408564814814814</v>
      </c>
      <c r="E1846" s="20">
        <f t="shared" si="280"/>
        <v>2.9166666666666785E-3</v>
      </c>
      <c r="F1846" t="str">
        <f t="shared" si="281"/>
        <v>stacjonarny</v>
      </c>
      <c r="G1846" s="23">
        <f t="shared" si="288"/>
        <v>658298</v>
      </c>
      <c r="H1846">
        <f t="shared" si="289"/>
        <v>216696</v>
      </c>
      <c r="I1846">
        <f t="shared" si="282"/>
        <v>0</v>
      </c>
      <c r="J1846">
        <f t="shared" si="283"/>
        <v>0</v>
      </c>
      <c r="K1846">
        <f t="shared" si="284"/>
        <v>874994</v>
      </c>
      <c r="L1846">
        <f t="shared" si="285"/>
        <v>0</v>
      </c>
      <c r="M1846">
        <f t="shared" si="286"/>
        <v>252</v>
      </c>
      <c r="N1846">
        <f t="shared" si="287"/>
        <v>0</v>
      </c>
    </row>
    <row r="1847" spans="1:14" x14ac:dyDescent="0.35">
      <c r="A1847" s="9">
        <v>6674505</v>
      </c>
      <c r="B1847" s="10">
        <v>42943</v>
      </c>
      <c r="C1847" s="11">
        <v>0.35136574074074073</v>
      </c>
      <c r="D1847" s="12">
        <v>0.35390046296296296</v>
      </c>
      <c r="E1847" s="20">
        <f t="shared" si="280"/>
        <v>2.5347222222222299E-3</v>
      </c>
      <c r="F1847" t="str">
        <f t="shared" si="281"/>
        <v>stacjonarny</v>
      </c>
      <c r="G1847" s="23">
        <f t="shared" si="288"/>
        <v>658517</v>
      </c>
      <c r="H1847">
        <f t="shared" si="289"/>
        <v>216696</v>
      </c>
      <c r="I1847">
        <f t="shared" si="282"/>
        <v>0</v>
      </c>
      <c r="J1847">
        <f t="shared" si="283"/>
        <v>0</v>
      </c>
      <c r="K1847">
        <f t="shared" si="284"/>
        <v>875213</v>
      </c>
      <c r="L1847">
        <f t="shared" si="285"/>
        <v>0</v>
      </c>
      <c r="M1847">
        <f t="shared" si="286"/>
        <v>219</v>
      </c>
      <c r="N1847">
        <f t="shared" si="287"/>
        <v>0</v>
      </c>
    </row>
    <row r="1848" spans="1:14" x14ac:dyDescent="0.35">
      <c r="A1848" s="5">
        <v>9591892</v>
      </c>
      <c r="B1848" s="6">
        <v>42943</v>
      </c>
      <c r="C1848" s="7">
        <v>0.35487268518518517</v>
      </c>
      <c r="D1848" s="8">
        <v>0.36251157407407408</v>
      </c>
      <c r="E1848" s="20">
        <f t="shared" si="280"/>
        <v>7.6388888888889173E-3</v>
      </c>
      <c r="F1848" t="str">
        <f t="shared" si="281"/>
        <v>stacjonarny</v>
      </c>
      <c r="G1848" s="23">
        <f t="shared" si="288"/>
        <v>659177</v>
      </c>
      <c r="H1848">
        <f t="shared" si="289"/>
        <v>216696</v>
      </c>
      <c r="I1848">
        <f t="shared" si="282"/>
        <v>0</v>
      </c>
      <c r="J1848">
        <f t="shared" si="283"/>
        <v>0</v>
      </c>
      <c r="K1848">
        <f t="shared" si="284"/>
        <v>875873</v>
      </c>
      <c r="L1848">
        <f t="shared" si="285"/>
        <v>0</v>
      </c>
      <c r="M1848">
        <f t="shared" si="286"/>
        <v>660</v>
      </c>
      <c r="N1848">
        <f t="shared" si="287"/>
        <v>0</v>
      </c>
    </row>
    <row r="1849" spans="1:14" x14ac:dyDescent="0.35">
      <c r="A1849" s="9">
        <v>96404523</v>
      </c>
      <c r="B1849" s="10">
        <v>42943</v>
      </c>
      <c r="C1849" s="11">
        <v>0.35592592592592592</v>
      </c>
      <c r="D1849" s="12">
        <v>0.36366898148148147</v>
      </c>
      <c r="E1849" s="20">
        <f t="shared" si="280"/>
        <v>7.7430555555555447E-3</v>
      </c>
      <c r="F1849" t="str">
        <f t="shared" si="281"/>
        <v>komorkowy</v>
      </c>
      <c r="G1849" s="23">
        <f t="shared" si="288"/>
        <v>659177</v>
      </c>
      <c r="H1849">
        <f t="shared" si="289"/>
        <v>217365</v>
      </c>
      <c r="I1849">
        <f t="shared" si="282"/>
        <v>0</v>
      </c>
      <c r="J1849">
        <f t="shared" si="283"/>
        <v>0</v>
      </c>
      <c r="K1849">
        <f t="shared" si="284"/>
        <v>876542</v>
      </c>
      <c r="L1849">
        <f t="shared" si="285"/>
        <v>0</v>
      </c>
      <c r="M1849">
        <f t="shared" si="286"/>
        <v>0</v>
      </c>
      <c r="N1849">
        <f t="shared" si="287"/>
        <v>669</v>
      </c>
    </row>
    <row r="1850" spans="1:14" x14ac:dyDescent="0.35">
      <c r="A1850" s="5">
        <v>1405478</v>
      </c>
      <c r="B1850" s="6">
        <v>42943</v>
      </c>
      <c r="C1850" s="7">
        <v>0.35940972222222223</v>
      </c>
      <c r="D1850" s="8">
        <v>0.36412037037037037</v>
      </c>
      <c r="E1850" s="20">
        <f t="shared" si="280"/>
        <v>4.7106481481481444E-3</v>
      </c>
      <c r="F1850" t="str">
        <f t="shared" si="281"/>
        <v>stacjonarny</v>
      </c>
      <c r="G1850" s="23">
        <f t="shared" si="288"/>
        <v>659584</v>
      </c>
      <c r="H1850">
        <f t="shared" si="289"/>
        <v>217365</v>
      </c>
      <c r="I1850">
        <f t="shared" si="282"/>
        <v>0</v>
      </c>
      <c r="J1850">
        <f t="shared" si="283"/>
        <v>0</v>
      </c>
      <c r="K1850">
        <f t="shared" si="284"/>
        <v>876949</v>
      </c>
      <c r="L1850">
        <f t="shared" si="285"/>
        <v>0</v>
      </c>
      <c r="M1850">
        <f t="shared" si="286"/>
        <v>407</v>
      </c>
      <c r="N1850">
        <f t="shared" si="287"/>
        <v>0</v>
      </c>
    </row>
    <row r="1851" spans="1:14" x14ac:dyDescent="0.35">
      <c r="A1851" s="9">
        <v>5900506</v>
      </c>
      <c r="B1851" s="10">
        <v>42943</v>
      </c>
      <c r="C1851" s="11">
        <v>0.36026620370370371</v>
      </c>
      <c r="D1851" s="12">
        <v>0.36319444444444443</v>
      </c>
      <c r="E1851" s="20">
        <f t="shared" si="280"/>
        <v>2.9282407407407174E-3</v>
      </c>
      <c r="F1851" t="str">
        <f t="shared" si="281"/>
        <v>stacjonarny</v>
      </c>
      <c r="G1851" s="23">
        <f t="shared" si="288"/>
        <v>659837</v>
      </c>
      <c r="H1851">
        <f t="shared" si="289"/>
        <v>217365</v>
      </c>
      <c r="I1851">
        <f t="shared" si="282"/>
        <v>0</v>
      </c>
      <c r="J1851">
        <f t="shared" si="283"/>
        <v>0</v>
      </c>
      <c r="K1851">
        <f t="shared" si="284"/>
        <v>877202</v>
      </c>
      <c r="L1851">
        <f t="shared" si="285"/>
        <v>0</v>
      </c>
      <c r="M1851">
        <f t="shared" si="286"/>
        <v>253</v>
      </c>
      <c r="N1851">
        <f t="shared" si="287"/>
        <v>0</v>
      </c>
    </row>
    <row r="1852" spans="1:14" x14ac:dyDescent="0.35">
      <c r="A1852" s="5">
        <v>6060835</v>
      </c>
      <c r="B1852" s="6">
        <v>42943</v>
      </c>
      <c r="C1852" s="7">
        <v>0.36148148148148146</v>
      </c>
      <c r="D1852" s="8">
        <v>0.3721990740740741</v>
      </c>
      <c r="E1852" s="20">
        <f t="shared" si="280"/>
        <v>1.071759259259264E-2</v>
      </c>
      <c r="F1852" t="str">
        <f t="shared" si="281"/>
        <v>stacjonarny</v>
      </c>
      <c r="G1852" s="23">
        <f t="shared" si="288"/>
        <v>660763</v>
      </c>
      <c r="H1852">
        <f t="shared" si="289"/>
        <v>217365</v>
      </c>
      <c r="I1852">
        <f t="shared" si="282"/>
        <v>0</v>
      </c>
      <c r="J1852">
        <f t="shared" si="283"/>
        <v>0</v>
      </c>
      <c r="K1852">
        <f t="shared" si="284"/>
        <v>878128</v>
      </c>
      <c r="L1852">
        <f t="shared" si="285"/>
        <v>0</v>
      </c>
      <c r="M1852">
        <f t="shared" si="286"/>
        <v>926</v>
      </c>
      <c r="N1852">
        <f t="shared" si="287"/>
        <v>0</v>
      </c>
    </row>
    <row r="1853" spans="1:14" x14ac:dyDescent="0.35">
      <c r="A1853" s="9">
        <v>8880275</v>
      </c>
      <c r="B1853" s="10">
        <v>42943</v>
      </c>
      <c r="C1853" s="11">
        <v>0.36598379629629629</v>
      </c>
      <c r="D1853" s="12">
        <v>0.37474537037037037</v>
      </c>
      <c r="E1853" s="20">
        <f t="shared" si="280"/>
        <v>8.7615740740740744E-3</v>
      </c>
      <c r="F1853" t="str">
        <f t="shared" si="281"/>
        <v>stacjonarny</v>
      </c>
      <c r="G1853" s="23">
        <f t="shared" si="288"/>
        <v>661520</v>
      </c>
      <c r="H1853">
        <f t="shared" si="289"/>
        <v>217365</v>
      </c>
      <c r="I1853">
        <f t="shared" si="282"/>
        <v>0</v>
      </c>
      <c r="J1853">
        <f t="shared" si="283"/>
        <v>0</v>
      </c>
      <c r="K1853">
        <f t="shared" si="284"/>
        <v>878885</v>
      </c>
      <c r="L1853">
        <f t="shared" si="285"/>
        <v>0</v>
      </c>
      <c r="M1853">
        <f t="shared" si="286"/>
        <v>757</v>
      </c>
      <c r="N1853">
        <f t="shared" si="287"/>
        <v>0</v>
      </c>
    </row>
    <row r="1854" spans="1:14" x14ac:dyDescent="0.35">
      <c r="A1854" s="5">
        <v>57101974</v>
      </c>
      <c r="B1854" s="6">
        <v>42943</v>
      </c>
      <c r="C1854" s="7">
        <v>0.37133101851851852</v>
      </c>
      <c r="D1854" s="8">
        <v>0.37923611111111111</v>
      </c>
      <c r="E1854" s="20">
        <f t="shared" si="280"/>
        <v>7.9050925925925886E-3</v>
      </c>
      <c r="F1854" t="str">
        <f t="shared" si="281"/>
        <v>komorkowy</v>
      </c>
      <c r="G1854" s="23">
        <f t="shared" si="288"/>
        <v>661520</v>
      </c>
      <c r="H1854">
        <f t="shared" si="289"/>
        <v>218048</v>
      </c>
      <c r="I1854">
        <f t="shared" si="282"/>
        <v>0</v>
      </c>
      <c r="J1854">
        <f t="shared" si="283"/>
        <v>0</v>
      </c>
      <c r="K1854">
        <f t="shared" si="284"/>
        <v>879568</v>
      </c>
      <c r="L1854">
        <f t="shared" si="285"/>
        <v>0</v>
      </c>
      <c r="M1854">
        <f t="shared" si="286"/>
        <v>0</v>
      </c>
      <c r="N1854">
        <f t="shared" si="287"/>
        <v>683</v>
      </c>
    </row>
    <row r="1855" spans="1:14" x14ac:dyDescent="0.35">
      <c r="A1855" s="9">
        <v>2096100</v>
      </c>
      <c r="B1855" s="10">
        <v>42943</v>
      </c>
      <c r="C1855" s="11">
        <v>0.3717361111111111</v>
      </c>
      <c r="D1855" s="12">
        <v>0.37253472222222223</v>
      </c>
      <c r="E1855" s="20">
        <f t="shared" si="280"/>
        <v>7.9861111111112493E-4</v>
      </c>
      <c r="F1855" t="str">
        <f t="shared" si="281"/>
        <v>stacjonarny</v>
      </c>
      <c r="G1855" s="23">
        <f t="shared" si="288"/>
        <v>661589</v>
      </c>
      <c r="H1855">
        <f t="shared" si="289"/>
        <v>218048</v>
      </c>
      <c r="I1855">
        <f t="shared" si="282"/>
        <v>0</v>
      </c>
      <c r="J1855">
        <f t="shared" si="283"/>
        <v>0</v>
      </c>
      <c r="K1855">
        <f t="shared" si="284"/>
        <v>879637</v>
      </c>
      <c r="L1855">
        <f t="shared" si="285"/>
        <v>0</v>
      </c>
      <c r="M1855">
        <f t="shared" si="286"/>
        <v>69</v>
      </c>
      <c r="N1855">
        <f t="shared" si="287"/>
        <v>0</v>
      </c>
    </row>
    <row r="1856" spans="1:14" x14ac:dyDescent="0.35">
      <c r="A1856" s="5">
        <v>2366545</v>
      </c>
      <c r="B1856" s="6">
        <v>42943</v>
      </c>
      <c r="C1856" s="7">
        <v>0.3737152777777778</v>
      </c>
      <c r="D1856" s="8">
        <v>0.37967592592592592</v>
      </c>
      <c r="E1856" s="20">
        <f t="shared" si="280"/>
        <v>5.9606481481481177E-3</v>
      </c>
      <c r="F1856" t="str">
        <f t="shared" si="281"/>
        <v>stacjonarny</v>
      </c>
      <c r="G1856" s="23">
        <f t="shared" si="288"/>
        <v>662104</v>
      </c>
      <c r="H1856">
        <f t="shared" si="289"/>
        <v>218048</v>
      </c>
      <c r="I1856">
        <f t="shared" si="282"/>
        <v>0</v>
      </c>
      <c r="J1856">
        <f t="shared" si="283"/>
        <v>0</v>
      </c>
      <c r="K1856">
        <f t="shared" si="284"/>
        <v>880152</v>
      </c>
      <c r="L1856">
        <f t="shared" si="285"/>
        <v>0</v>
      </c>
      <c r="M1856">
        <f t="shared" si="286"/>
        <v>515</v>
      </c>
      <c r="N1856">
        <f t="shared" si="287"/>
        <v>0</v>
      </c>
    </row>
    <row r="1857" spans="1:14" x14ac:dyDescent="0.35">
      <c r="A1857" s="9">
        <v>2260131</v>
      </c>
      <c r="B1857" s="10">
        <v>42943</v>
      </c>
      <c r="C1857" s="11">
        <v>0.37664351851851852</v>
      </c>
      <c r="D1857" s="12">
        <v>0.38442129629629629</v>
      </c>
      <c r="E1857" s="20">
        <f t="shared" si="280"/>
        <v>7.7777777777777724E-3</v>
      </c>
      <c r="F1857" t="str">
        <f t="shared" si="281"/>
        <v>stacjonarny</v>
      </c>
      <c r="G1857" s="23">
        <f t="shared" si="288"/>
        <v>662776</v>
      </c>
      <c r="H1857">
        <f t="shared" si="289"/>
        <v>218048</v>
      </c>
      <c r="I1857">
        <f t="shared" si="282"/>
        <v>0</v>
      </c>
      <c r="J1857">
        <f t="shared" si="283"/>
        <v>0</v>
      </c>
      <c r="K1857">
        <f t="shared" si="284"/>
        <v>880824</v>
      </c>
      <c r="L1857">
        <f t="shared" si="285"/>
        <v>0</v>
      </c>
      <c r="M1857">
        <f t="shared" si="286"/>
        <v>672</v>
      </c>
      <c r="N1857">
        <f t="shared" si="287"/>
        <v>0</v>
      </c>
    </row>
    <row r="1858" spans="1:14" x14ac:dyDescent="0.35">
      <c r="A1858" s="5">
        <v>75818182</v>
      </c>
      <c r="B1858" s="6">
        <v>42943</v>
      </c>
      <c r="C1858" s="7">
        <v>0.37973379629629628</v>
      </c>
      <c r="D1858" s="8">
        <v>0.38395833333333335</v>
      </c>
      <c r="E1858" s="20">
        <f t="shared" si="280"/>
        <v>4.2245370370370683E-3</v>
      </c>
      <c r="F1858" t="str">
        <f t="shared" si="281"/>
        <v>komorkowy</v>
      </c>
      <c r="G1858" s="23">
        <f t="shared" si="288"/>
        <v>662776</v>
      </c>
      <c r="H1858">
        <f t="shared" si="289"/>
        <v>218413</v>
      </c>
      <c r="I1858">
        <f t="shared" si="282"/>
        <v>0</v>
      </c>
      <c r="J1858">
        <f t="shared" si="283"/>
        <v>0</v>
      </c>
      <c r="K1858">
        <f t="shared" si="284"/>
        <v>881189</v>
      </c>
      <c r="L1858">
        <f t="shared" si="285"/>
        <v>0</v>
      </c>
      <c r="M1858">
        <f t="shared" si="286"/>
        <v>0</v>
      </c>
      <c r="N1858">
        <f t="shared" si="287"/>
        <v>365</v>
      </c>
    </row>
    <row r="1859" spans="1:14" x14ac:dyDescent="0.35">
      <c r="A1859" s="9">
        <v>1247125</v>
      </c>
      <c r="B1859" s="10">
        <v>42943</v>
      </c>
      <c r="C1859" s="11">
        <v>0.38461805555555556</v>
      </c>
      <c r="D1859" s="12">
        <v>0.39339120370370373</v>
      </c>
      <c r="E1859" s="20">
        <f t="shared" ref="E1859:E1922" si="290">D1859-C1859</f>
        <v>8.7731481481481688E-3</v>
      </c>
      <c r="F1859" t="str">
        <f t="shared" ref="F1859:F1922" si="291">IF(LEN(A1859)=7,"stacjonarny",IF(LEN(A1859)=8,"komorkowy","zagraniczny"))</f>
        <v>stacjonarny</v>
      </c>
      <c r="G1859" s="23">
        <f t="shared" si="288"/>
        <v>663534</v>
      </c>
      <c r="H1859">
        <f t="shared" si="289"/>
        <v>218413</v>
      </c>
      <c r="I1859">
        <f t="shared" ref="I1859:I1922" si="292">IF(F1859="zagraniczny",MINUTE(E1859)*60+SECOND(E1859)+HOUR(E1859)*3600,0)</f>
        <v>0</v>
      </c>
      <c r="J1859">
        <f t="shared" ref="J1859:J1922" si="293">ROUNDUP(I1859/60,0)</f>
        <v>0</v>
      </c>
      <c r="K1859">
        <f t="shared" ref="K1859:K1922" si="294">G1859+H1859</f>
        <v>881947</v>
      </c>
      <c r="L1859">
        <f t="shared" ref="L1859:L1922" si="295">IF(K1859&lt;=48000,1,0)</f>
        <v>0</v>
      </c>
      <c r="M1859">
        <f t="shared" ref="M1859:M1922" si="296">IF(AND(L1859=0,F1859="stacjonarny"),SECOND(E1859)+60*MINUTE(E1859),0)</f>
        <v>758</v>
      </c>
      <c r="N1859">
        <f t="shared" ref="N1859:N1922" si="297">IF(AND(L1859=0,F1859="komorkowy"),SECOND(E1859)+60*MINUTE(E1859),0)</f>
        <v>0</v>
      </c>
    </row>
    <row r="1860" spans="1:14" x14ac:dyDescent="0.35">
      <c r="A1860" s="5">
        <v>3733011</v>
      </c>
      <c r="B1860" s="6">
        <v>42943</v>
      </c>
      <c r="C1860" s="7">
        <v>0.38571759259259258</v>
      </c>
      <c r="D1860" s="8">
        <v>0.39556712962962964</v>
      </c>
      <c r="E1860" s="20">
        <f t="shared" si="290"/>
        <v>9.8495370370370594E-3</v>
      </c>
      <c r="F1860" t="str">
        <f t="shared" si="291"/>
        <v>stacjonarny</v>
      </c>
      <c r="G1860" s="23">
        <f t="shared" ref="G1860:G1923" si="298">IF(F1860="stacjonarny",MINUTE(E1860)*60+SECOND(E1860)+G1859,G1859)</f>
        <v>664385</v>
      </c>
      <c r="H1860">
        <f t="shared" ref="H1860:H1923" si="299">IF(F1860="komorkowy",MINUTE(E1860)*60+SECOND(E1860)+H1859,H1859)</f>
        <v>218413</v>
      </c>
      <c r="I1860">
        <f t="shared" si="292"/>
        <v>0</v>
      </c>
      <c r="J1860">
        <f t="shared" si="293"/>
        <v>0</v>
      </c>
      <c r="K1860">
        <f t="shared" si="294"/>
        <v>882798</v>
      </c>
      <c r="L1860">
        <f t="shared" si="295"/>
        <v>0</v>
      </c>
      <c r="M1860">
        <f t="shared" si="296"/>
        <v>851</v>
      </c>
      <c r="N1860">
        <f t="shared" si="297"/>
        <v>0</v>
      </c>
    </row>
    <row r="1861" spans="1:14" x14ac:dyDescent="0.35">
      <c r="A1861" s="9">
        <v>6615729</v>
      </c>
      <c r="B1861" s="10">
        <v>42943</v>
      </c>
      <c r="C1861" s="11">
        <v>0.38997685185185182</v>
      </c>
      <c r="D1861" s="12">
        <v>0.39743055555555556</v>
      </c>
      <c r="E1861" s="20">
        <f t="shared" si="290"/>
        <v>7.4537037037037401E-3</v>
      </c>
      <c r="F1861" t="str">
        <f t="shared" si="291"/>
        <v>stacjonarny</v>
      </c>
      <c r="G1861" s="23">
        <f t="shared" si="298"/>
        <v>665029</v>
      </c>
      <c r="H1861">
        <f t="shared" si="299"/>
        <v>218413</v>
      </c>
      <c r="I1861">
        <f t="shared" si="292"/>
        <v>0</v>
      </c>
      <c r="J1861">
        <f t="shared" si="293"/>
        <v>0</v>
      </c>
      <c r="K1861">
        <f t="shared" si="294"/>
        <v>883442</v>
      </c>
      <c r="L1861">
        <f t="shared" si="295"/>
        <v>0</v>
      </c>
      <c r="M1861">
        <f t="shared" si="296"/>
        <v>644</v>
      </c>
      <c r="N1861">
        <f t="shared" si="297"/>
        <v>0</v>
      </c>
    </row>
    <row r="1862" spans="1:14" x14ac:dyDescent="0.35">
      <c r="A1862" s="5">
        <v>6844342</v>
      </c>
      <c r="B1862" s="6">
        <v>42943</v>
      </c>
      <c r="C1862" s="7">
        <v>0.39451388888888889</v>
      </c>
      <c r="D1862" s="8">
        <v>0.39609953703703704</v>
      </c>
      <c r="E1862" s="20">
        <f t="shared" si="290"/>
        <v>1.5856481481481555E-3</v>
      </c>
      <c r="F1862" t="str">
        <f t="shared" si="291"/>
        <v>stacjonarny</v>
      </c>
      <c r="G1862" s="23">
        <f t="shared" si="298"/>
        <v>665166</v>
      </c>
      <c r="H1862">
        <f t="shared" si="299"/>
        <v>218413</v>
      </c>
      <c r="I1862">
        <f t="shared" si="292"/>
        <v>0</v>
      </c>
      <c r="J1862">
        <f t="shared" si="293"/>
        <v>0</v>
      </c>
      <c r="K1862">
        <f t="shared" si="294"/>
        <v>883579</v>
      </c>
      <c r="L1862">
        <f t="shared" si="295"/>
        <v>0</v>
      </c>
      <c r="M1862">
        <f t="shared" si="296"/>
        <v>137</v>
      </c>
      <c r="N1862">
        <f t="shared" si="297"/>
        <v>0</v>
      </c>
    </row>
    <row r="1863" spans="1:14" x14ac:dyDescent="0.35">
      <c r="A1863" s="9">
        <v>8369815</v>
      </c>
      <c r="B1863" s="10">
        <v>42943</v>
      </c>
      <c r="C1863" s="11">
        <v>0.3967013888888889</v>
      </c>
      <c r="D1863" s="12">
        <v>0.40182870370370372</v>
      </c>
      <c r="E1863" s="20">
        <f t="shared" si="290"/>
        <v>5.1273148148148207E-3</v>
      </c>
      <c r="F1863" t="str">
        <f t="shared" si="291"/>
        <v>stacjonarny</v>
      </c>
      <c r="G1863" s="23">
        <f t="shared" si="298"/>
        <v>665609</v>
      </c>
      <c r="H1863">
        <f t="shared" si="299"/>
        <v>218413</v>
      </c>
      <c r="I1863">
        <f t="shared" si="292"/>
        <v>0</v>
      </c>
      <c r="J1863">
        <f t="shared" si="293"/>
        <v>0</v>
      </c>
      <c r="K1863">
        <f t="shared" si="294"/>
        <v>884022</v>
      </c>
      <c r="L1863">
        <f t="shared" si="295"/>
        <v>0</v>
      </c>
      <c r="M1863">
        <f t="shared" si="296"/>
        <v>443</v>
      </c>
      <c r="N1863">
        <f t="shared" si="297"/>
        <v>0</v>
      </c>
    </row>
    <row r="1864" spans="1:14" x14ac:dyDescent="0.35">
      <c r="A1864" s="5">
        <v>9304830</v>
      </c>
      <c r="B1864" s="6">
        <v>42943</v>
      </c>
      <c r="C1864" s="7">
        <v>0.39812500000000001</v>
      </c>
      <c r="D1864" s="8">
        <v>0.39895833333333336</v>
      </c>
      <c r="E1864" s="20">
        <f t="shared" si="290"/>
        <v>8.3333333333335258E-4</v>
      </c>
      <c r="F1864" t="str">
        <f t="shared" si="291"/>
        <v>stacjonarny</v>
      </c>
      <c r="G1864" s="23">
        <f t="shared" si="298"/>
        <v>665681</v>
      </c>
      <c r="H1864">
        <f t="shared" si="299"/>
        <v>218413</v>
      </c>
      <c r="I1864">
        <f t="shared" si="292"/>
        <v>0</v>
      </c>
      <c r="J1864">
        <f t="shared" si="293"/>
        <v>0</v>
      </c>
      <c r="K1864">
        <f t="shared" si="294"/>
        <v>884094</v>
      </c>
      <c r="L1864">
        <f t="shared" si="295"/>
        <v>0</v>
      </c>
      <c r="M1864">
        <f t="shared" si="296"/>
        <v>72</v>
      </c>
      <c r="N1864">
        <f t="shared" si="297"/>
        <v>0</v>
      </c>
    </row>
    <row r="1865" spans="1:14" x14ac:dyDescent="0.35">
      <c r="A1865" s="9">
        <v>1117708</v>
      </c>
      <c r="B1865" s="10">
        <v>42943</v>
      </c>
      <c r="C1865" s="11">
        <v>0.40266203703703701</v>
      </c>
      <c r="D1865" s="12">
        <v>0.4073148148148148</v>
      </c>
      <c r="E1865" s="20">
        <f t="shared" si="290"/>
        <v>4.6527777777777835E-3</v>
      </c>
      <c r="F1865" t="str">
        <f t="shared" si="291"/>
        <v>stacjonarny</v>
      </c>
      <c r="G1865" s="23">
        <f t="shared" si="298"/>
        <v>666083</v>
      </c>
      <c r="H1865">
        <f t="shared" si="299"/>
        <v>218413</v>
      </c>
      <c r="I1865">
        <f t="shared" si="292"/>
        <v>0</v>
      </c>
      <c r="J1865">
        <f t="shared" si="293"/>
        <v>0</v>
      </c>
      <c r="K1865">
        <f t="shared" si="294"/>
        <v>884496</v>
      </c>
      <c r="L1865">
        <f t="shared" si="295"/>
        <v>0</v>
      </c>
      <c r="M1865">
        <f t="shared" si="296"/>
        <v>402</v>
      </c>
      <c r="N1865">
        <f t="shared" si="297"/>
        <v>0</v>
      </c>
    </row>
    <row r="1866" spans="1:14" x14ac:dyDescent="0.35">
      <c r="A1866" s="5">
        <v>6055986</v>
      </c>
      <c r="B1866" s="6">
        <v>42943</v>
      </c>
      <c r="C1866" s="7">
        <v>0.40710648148148149</v>
      </c>
      <c r="D1866" s="8">
        <v>0.40740740740740738</v>
      </c>
      <c r="E1866" s="20">
        <f t="shared" si="290"/>
        <v>3.0092592592589895E-4</v>
      </c>
      <c r="F1866" t="str">
        <f t="shared" si="291"/>
        <v>stacjonarny</v>
      </c>
      <c r="G1866" s="23">
        <f t="shared" si="298"/>
        <v>666109</v>
      </c>
      <c r="H1866">
        <f t="shared" si="299"/>
        <v>218413</v>
      </c>
      <c r="I1866">
        <f t="shared" si="292"/>
        <v>0</v>
      </c>
      <c r="J1866">
        <f t="shared" si="293"/>
        <v>0</v>
      </c>
      <c r="K1866">
        <f t="shared" si="294"/>
        <v>884522</v>
      </c>
      <c r="L1866">
        <f t="shared" si="295"/>
        <v>0</v>
      </c>
      <c r="M1866">
        <f t="shared" si="296"/>
        <v>26</v>
      </c>
      <c r="N1866">
        <f t="shared" si="297"/>
        <v>0</v>
      </c>
    </row>
    <row r="1867" spans="1:14" x14ac:dyDescent="0.35">
      <c r="A1867" s="9">
        <v>4569864426</v>
      </c>
      <c r="B1867" s="10">
        <v>42943</v>
      </c>
      <c r="C1867" s="11">
        <v>0.40751157407407407</v>
      </c>
      <c r="D1867" s="12">
        <v>0.41725694444444444</v>
      </c>
      <c r="E1867" s="20">
        <f t="shared" si="290"/>
        <v>9.7453703703703765E-3</v>
      </c>
      <c r="F1867" t="str">
        <f t="shared" si="291"/>
        <v>zagraniczny</v>
      </c>
      <c r="G1867" s="23">
        <f t="shared" si="298"/>
        <v>666109</v>
      </c>
      <c r="H1867">
        <f t="shared" si="299"/>
        <v>218413</v>
      </c>
      <c r="I1867">
        <f t="shared" si="292"/>
        <v>842</v>
      </c>
      <c r="J1867">
        <f t="shared" si="293"/>
        <v>15</v>
      </c>
      <c r="K1867">
        <f t="shared" si="294"/>
        <v>884522</v>
      </c>
      <c r="L1867">
        <f t="shared" si="295"/>
        <v>0</v>
      </c>
      <c r="M1867">
        <f t="shared" si="296"/>
        <v>0</v>
      </c>
      <c r="N1867">
        <f t="shared" si="297"/>
        <v>0</v>
      </c>
    </row>
    <row r="1868" spans="1:14" x14ac:dyDescent="0.35">
      <c r="A1868" s="5">
        <v>2781512</v>
      </c>
      <c r="B1868" s="6">
        <v>42943</v>
      </c>
      <c r="C1868" s="7">
        <v>0.41244212962962962</v>
      </c>
      <c r="D1868" s="8">
        <v>0.41619212962962965</v>
      </c>
      <c r="E1868" s="20">
        <f t="shared" si="290"/>
        <v>3.7500000000000311E-3</v>
      </c>
      <c r="F1868" t="str">
        <f t="shared" si="291"/>
        <v>stacjonarny</v>
      </c>
      <c r="G1868" s="23">
        <f t="shared" si="298"/>
        <v>666433</v>
      </c>
      <c r="H1868">
        <f t="shared" si="299"/>
        <v>218413</v>
      </c>
      <c r="I1868">
        <f t="shared" si="292"/>
        <v>0</v>
      </c>
      <c r="J1868">
        <f t="shared" si="293"/>
        <v>0</v>
      </c>
      <c r="K1868">
        <f t="shared" si="294"/>
        <v>884846</v>
      </c>
      <c r="L1868">
        <f t="shared" si="295"/>
        <v>0</v>
      </c>
      <c r="M1868">
        <f t="shared" si="296"/>
        <v>324</v>
      </c>
      <c r="N1868">
        <f t="shared" si="297"/>
        <v>0</v>
      </c>
    </row>
    <row r="1869" spans="1:14" x14ac:dyDescent="0.35">
      <c r="A1869" s="9">
        <v>3093964</v>
      </c>
      <c r="B1869" s="10">
        <v>42943</v>
      </c>
      <c r="C1869" s="11">
        <v>0.41363425925925928</v>
      </c>
      <c r="D1869" s="12">
        <v>0.41902777777777778</v>
      </c>
      <c r="E1869" s="20">
        <f t="shared" si="290"/>
        <v>5.393518518518492E-3</v>
      </c>
      <c r="F1869" t="str">
        <f t="shared" si="291"/>
        <v>stacjonarny</v>
      </c>
      <c r="G1869" s="23">
        <f t="shared" si="298"/>
        <v>666899</v>
      </c>
      <c r="H1869">
        <f t="shared" si="299"/>
        <v>218413</v>
      </c>
      <c r="I1869">
        <f t="shared" si="292"/>
        <v>0</v>
      </c>
      <c r="J1869">
        <f t="shared" si="293"/>
        <v>0</v>
      </c>
      <c r="K1869">
        <f t="shared" si="294"/>
        <v>885312</v>
      </c>
      <c r="L1869">
        <f t="shared" si="295"/>
        <v>0</v>
      </c>
      <c r="M1869">
        <f t="shared" si="296"/>
        <v>466</v>
      </c>
      <c r="N1869">
        <f t="shared" si="297"/>
        <v>0</v>
      </c>
    </row>
    <row r="1870" spans="1:14" x14ac:dyDescent="0.35">
      <c r="A1870" s="5">
        <v>9413315</v>
      </c>
      <c r="B1870" s="6">
        <v>42943</v>
      </c>
      <c r="C1870" s="7">
        <v>0.41783564814814816</v>
      </c>
      <c r="D1870" s="8">
        <v>0.42383101851851851</v>
      </c>
      <c r="E1870" s="20">
        <f t="shared" si="290"/>
        <v>5.9953703703703454E-3</v>
      </c>
      <c r="F1870" t="str">
        <f t="shared" si="291"/>
        <v>stacjonarny</v>
      </c>
      <c r="G1870" s="23">
        <f t="shared" si="298"/>
        <v>667417</v>
      </c>
      <c r="H1870">
        <f t="shared" si="299"/>
        <v>218413</v>
      </c>
      <c r="I1870">
        <f t="shared" si="292"/>
        <v>0</v>
      </c>
      <c r="J1870">
        <f t="shared" si="293"/>
        <v>0</v>
      </c>
      <c r="K1870">
        <f t="shared" si="294"/>
        <v>885830</v>
      </c>
      <c r="L1870">
        <f t="shared" si="295"/>
        <v>0</v>
      </c>
      <c r="M1870">
        <f t="shared" si="296"/>
        <v>518</v>
      </c>
      <c r="N1870">
        <f t="shared" si="297"/>
        <v>0</v>
      </c>
    </row>
    <row r="1871" spans="1:14" x14ac:dyDescent="0.35">
      <c r="A1871" s="9">
        <v>1890121</v>
      </c>
      <c r="B1871" s="10">
        <v>42943</v>
      </c>
      <c r="C1871" s="11">
        <v>0.42357638888888888</v>
      </c>
      <c r="D1871" s="12">
        <v>0.43</v>
      </c>
      <c r="E1871" s="20">
        <f t="shared" si="290"/>
        <v>6.423611111111116E-3</v>
      </c>
      <c r="F1871" t="str">
        <f t="shared" si="291"/>
        <v>stacjonarny</v>
      </c>
      <c r="G1871" s="23">
        <f t="shared" si="298"/>
        <v>667972</v>
      </c>
      <c r="H1871">
        <f t="shared" si="299"/>
        <v>218413</v>
      </c>
      <c r="I1871">
        <f t="shared" si="292"/>
        <v>0</v>
      </c>
      <c r="J1871">
        <f t="shared" si="293"/>
        <v>0</v>
      </c>
      <c r="K1871">
        <f t="shared" si="294"/>
        <v>886385</v>
      </c>
      <c r="L1871">
        <f t="shared" si="295"/>
        <v>0</v>
      </c>
      <c r="M1871">
        <f t="shared" si="296"/>
        <v>555</v>
      </c>
      <c r="N1871">
        <f t="shared" si="297"/>
        <v>0</v>
      </c>
    </row>
    <row r="1872" spans="1:14" x14ac:dyDescent="0.35">
      <c r="A1872" s="5">
        <v>9906846123</v>
      </c>
      <c r="B1872" s="6">
        <v>42943</v>
      </c>
      <c r="C1872" s="7">
        <v>0.424375</v>
      </c>
      <c r="D1872" s="8">
        <v>0.42505787037037035</v>
      </c>
      <c r="E1872" s="20">
        <f t="shared" si="290"/>
        <v>6.8287037037034759E-4</v>
      </c>
      <c r="F1872" t="str">
        <f t="shared" si="291"/>
        <v>zagraniczny</v>
      </c>
      <c r="G1872" s="23">
        <f t="shared" si="298"/>
        <v>667972</v>
      </c>
      <c r="H1872">
        <f t="shared" si="299"/>
        <v>218413</v>
      </c>
      <c r="I1872">
        <f t="shared" si="292"/>
        <v>59</v>
      </c>
      <c r="J1872">
        <f t="shared" si="293"/>
        <v>1</v>
      </c>
      <c r="K1872">
        <f t="shared" si="294"/>
        <v>886385</v>
      </c>
      <c r="L1872">
        <f t="shared" si="295"/>
        <v>0</v>
      </c>
      <c r="M1872">
        <f t="shared" si="296"/>
        <v>0</v>
      </c>
      <c r="N1872">
        <f t="shared" si="297"/>
        <v>0</v>
      </c>
    </row>
    <row r="1873" spans="1:14" x14ac:dyDescent="0.35">
      <c r="A1873" s="9">
        <v>12063341</v>
      </c>
      <c r="B1873" s="10">
        <v>42943</v>
      </c>
      <c r="C1873" s="11">
        <v>0.42849537037037039</v>
      </c>
      <c r="D1873" s="12">
        <v>0.4372800925925926</v>
      </c>
      <c r="E1873" s="20">
        <f t="shared" si="290"/>
        <v>8.7847222222222077E-3</v>
      </c>
      <c r="F1873" t="str">
        <f t="shared" si="291"/>
        <v>komorkowy</v>
      </c>
      <c r="G1873" s="23">
        <f t="shared" si="298"/>
        <v>667972</v>
      </c>
      <c r="H1873">
        <f t="shared" si="299"/>
        <v>219172</v>
      </c>
      <c r="I1873">
        <f t="shared" si="292"/>
        <v>0</v>
      </c>
      <c r="J1873">
        <f t="shared" si="293"/>
        <v>0</v>
      </c>
      <c r="K1873">
        <f t="shared" si="294"/>
        <v>887144</v>
      </c>
      <c r="L1873">
        <f t="shared" si="295"/>
        <v>0</v>
      </c>
      <c r="M1873">
        <f t="shared" si="296"/>
        <v>0</v>
      </c>
      <c r="N1873">
        <f t="shared" si="297"/>
        <v>759</v>
      </c>
    </row>
    <row r="1874" spans="1:14" x14ac:dyDescent="0.35">
      <c r="A1874" s="5">
        <v>27798660</v>
      </c>
      <c r="B1874" s="6">
        <v>42943</v>
      </c>
      <c r="C1874" s="7">
        <v>0.42925925925925928</v>
      </c>
      <c r="D1874" s="8">
        <v>0.43239583333333331</v>
      </c>
      <c r="E1874" s="20">
        <f t="shared" si="290"/>
        <v>3.1365740740740278E-3</v>
      </c>
      <c r="F1874" t="str">
        <f t="shared" si="291"/>
        <v>komorkowy</v>
      </c>
      <c r="G1874" s="23">
        <f t="shared" si="298"/>
        <v>667972</v>
      </c>
      <c r="H1874">
        <f t="shared" si="299"/>
        <v>219443</v>
      </c>
      <c r="I1874">
        <f t="shared" si="292"/>
        <v>0</v>
      </c>
      <c r="J1874">
        <f t="shared" si="293"/>
        <v>0</v>
      </c>
      <c r="K1874">
        <f t="shared" si="294"/>
        <v>887415</v>
      </c>
      <c r="L1874">
        <f t="shared" si="295"/>
        <v>0</v>
      </c>
      <c r="M1874">
        <f t="shared" si="296"/>
        <v>0</v>
      </c>
      <c r="N1874">
        <f t="shared" si="297"/>
        <v>271</v>
      </c>
    </row>
    <row r="1875" spans="1:14" x14ac:dyDescent="0.35">
      <c r="A1875" s="9">
        <v>37077953</v>
      </c>
      <c r="B1875" s="10">
        <v>42943</v>
      </c>
      <c r="C1875" s="11">
        <v>0.43262731481481481</v>
      </c>
      <c r="D1875" s="12">
        <v>0.43929398148148147</v>
      </c>
      <c r="E1875" s="20">
        <f t="shared" si="290"/>
        <v>6.6666666666666541E-3</v>
      </c>
      <c r="F1875" t="str">
        <f t="shared" si="291"/>
        <v>komorkowy</v>
      </c>
      <c r="G1875" s="23">
        <f t="shared" si="298"/>
        <v>667972</v>
      </c>
      <c r="H1875">
        <f t="shared" si="299"/>
        <v>220019</v>
      </c>
      <c r="I1875">
        <f t="shared" si="292"/>
        <v>0</v>
      </c>
      <c r="J1875">
        <f t="shared" si="293"/>
        <v>0</v>
      </c>
      <c r="K1875">
        <f t="shared" si="294"/>
        <v>887991</v>
      </c>
      <c r="L1875">
        <f t="shared" si="295"/>
        <v>0</v>
      </c>
      <c r="M1875">
        <f t="shared" si="296"/>
        <v>0</v>
      </c>
      <c r="N1875">
        <f t="shared" si="297"/>
        <v>576</v>
      </c>
    </row>
    <row r="1876" spans="1:14" x14ac:dyDescent="0.35">
      <c r="A1876" s="5">
        <v>70606958</v>
      </c>
      <c r="B1876" s="6">
        <v>42943</v>
      </c>
      <c r="C1876" s="7">
        <v>0.43387731481481484</v>
      </c>
      <c r="D1876" s="8">
        <v>0.44252314814814814</v>
      </c>
      <c r="E1876" s="20">
        <f t="shared" si="290"/>
        <v>8.6458333333332971E-3</v>
      </c>
      <c r="F1876" t="str">
        <f t="shared" si="291"/>
        <v>komorkowy</v>
      </c>
      <c r="G1876" s="23">
        <f t="shared" si="298"/>
        <v>667972</v>
      </c>
      <c r="H1876">
        <f t="shared" si="299"/>
        <v>220766</v>
      </c>
      <c r="I1876">
        <f t="shared" si="292"/>
        <v>0</v>
      </c>
      <c r="J1876">
        <f t="shared" si="293"/>
        <v>0</v>
      </c>
      <c r="K1876">
        <f t="shared" si="294"/>
        <v>888738</v>
      </c>
      <c r="L1876">
        <f t="shared" si="295"/>
        <v>0</v>
      </c>
      <c r="M1876">
        <f t="shared" si="296"/>
        <v>0</v>
      </c>
      <c r="N1876">
        <f t="shared" si="297"/>
        <v>747</v>
      </c>
    </row>
    <row r="1877" spans="1:14" x14ac:dyDescent="0.35">
      <c r="A1877" s="9">
        <v>21303266</v>
      </c>
      <c r="B1877" s="10">
        <v>42943</v>
      </c>
      <c r="C1877" s="11">
        <v>0.4384953703703704</v>
      </c>
      <c r="D1877" s="12">
        <v>0.44209490740740742</v>
      </c>
      <c r="E1877" s="20">
        <f t="shared" si="290"/>
        <v>3.5995370370370261E-3</v>
      </c>
      <c r="F1877" t="str">
        <f t="shared" si="291"/>
        <v>komorkowy</v>
      </c>
      <c r="G1877" s="23">
        <f t="shared" si="298"/>
        <v>667972</v>
      </c>
      <c r="H1877">
        <f t="shared" si="299"/>
        <v>221077</v>
      </c>
      <c r="I1877">
        <f t="shared" si="292"/>
        <v>0</v>
      </c>
      <c r="J1877">
        <f t="shared" si="293"/>
        <v>0</v>
      </c>
      <c r="K1877">
        <f t="shared" si="294"/>
        <v>889049</v>
      </c>
      <c r="L1877">
        <f t="shared" si="295"/>
        <v>0</v>
      </c>
      <c r="M1877">
        <f t="shared" si="296"/>
        <v>0</v>
      </c>
      <c r="N1877">
        <f t="shared" si="297"/>
        <v>311</v>
      </c>
    </row>
    <row r="1878" spans="1:14" x14ac:dyDescent="0.35">
      <c r="A1878" s="5">
        <v>66871690</v>
      </c>
      <c r="B1878" s="6">
        <v>42943</v>
      </c>
      <c r="C1878" s="7">
        <v>0.44003472222222223</v>
      </c>
      <c r="D1878" s="8">
        <v>0.44219907407407405</v>
      </c>
      <c r="E1878" s="20">
        <f t="shared" si="290"/>
        <v>2.1643518518518201E-3</v>
      </c>
      <c r="F1878" t="str">
        <f t="shared" si="291"/>
        <v>komorkowy</v>
      </c>
      <c r="G1878" s="23">
        <f t="shared" si="298"/>
        <v>667972</v>
      </c>
      <c r="H1878">
        <f t="shared" si="299"/>
        <v>221264</v>
      </c>
      <c r="I1878">
        <f t="shared" si="292"/>
        <v>0</v>
      </c>
      <c r="J1878">
        <f t="shared" si="293"/>
        <v>0</v>
      </c>
      <c r="K1878">
        <f t="shared" si="294"/>
        <v>889236</v>
      </c>
      <c r="L1878">
        <f t="shared" si="295"/>
        <v>0</v>
      </c>
      <c r="M1878">
        <f t="shared" si="296"/>
        <v>0</v>
      </c>
      <c r="N1878">
        <f t="shared" si="297"/>
        <v>187</v>
      </c>
    </row>
    <row r="1879" spans="1:14" x14ac:dyDescent="0.35">
      <c r="A1879" s="9">
        <v>88366261</v>
      </c>
      <c r="B1879" s="10">
        <v>42943</v>
      </c>
      <c r="C1879" s="11">
        <v>0.44006944444444446</v>
      </c>
      <c r="D1879" s="12">
        <v>0.44208333333333333</v>
      </c>
      <c r="E1879" s="20">
        <f t="shared" si="290"/>
        <v>2.0138888888888706E-3</v>
      </c>
      <c r="F1879" t="str">
        <f t="shared" si="291"/>
        <v>komorkowy</v>
      </c>
      <c r="G1879" s="23">
        <f t="shared" si="298"/>
        <v>667972</v>
      </c>
      <c r="H1879">
        <f t="shared" si="299"/>
        <v>221438</v>
      </c>
      <c r="I1879">
        <f t="shared" si="292"/>
        <v>0</v>
      </c>
      <c r="J1879">
        <f t="shared" si="293"/>
        <v>0</v>
      </c>
      <c r="K1879">
        <f t="shared" si="294"/>
        <v>889410</v>
      </c>
      <c r="L1879">
        <f t="shared" si="295"/>
        <v>0</v>
      </c>
      <c r="M1879">
        <f t="shared" si="296"/>
        <v>0</v>
      </c>
      <c r="N1879">
        <f t="shared" si="297"/>
        <v>174</v>
      </c>
    </row>
    <row r="1880" spans="1:14" x14ac:dyDescent="0.35">
      <c r="A1880" s="5">
        <v>9506446</v>
      </c>
      <c r="B1880" s="6">
        <v>42943</v>
      </c>
      <c r="C1880" s="7">
        <v>0.44490740740740742</v>
      </c>
      <c r="D1880" s="8">
        <v>0.45071759259259259</v>
      </c>
      <c r="E1880" s="20">
        <f t="shared" si="290"/>
        <v>5.8101851851851682E-3</v>
      </c>
      <c r="F1880" t="str">
        <f t="shared" si="291"/>
        <v>stacjonarny</v>
      </c>
      <c r="G1880" s="23">
        <f t="shared" si="298"/>
        <v>668474</v>
      </c>
      <c r="H1880">
        <f t="shared" si="299"/>
        <v>221438</v>
      </c>
      <c r="I1880">
        <f t="shared" si="292"/>
        <v>0</v>
      </c>
      <c r="J1880">
        <f t="shared" si="293"/>
        <v>0</v>
      </c>
      <c r="K1880">
        <f t="shared" si="294"/>
        <v>889912</v>
      </c>
      <c r="L1880">
        <f t="shared" si="295"/>
        <v>0</v>
      </c>
      <c r="M1880">
        <f t="shared" si="296"/>
        <v>502</v>
      </c>
      <c r="N1880">
        <f t="shared" si="297"/>
        <v>0</v>
      </c>
    </row>
    <row r="1881" spans="1:14" x14ac:dyDescent="0.35">
      <c r="A1881" s="9">
        <v>9225807</v>
      </c>
      <c r="B1881" s="10">
        <v>42943</v>
      </c>
      <c r="C1881" s="11">
        <v>0.44996527777777778</v>
      </c>
      <c r="D1881" s="12">
        <v>0.45952546296296298</v>
      </c>
      <c r="E1881" s="20">
        <f t="shared" si="290"/>
        <v>9.5601851851851993E-3</v>
      </c>
      <c r="F1881" t="str">
        <f t="shared" si="291"/>
        <v>stacjonarny</v>
      </c>
      <c r="G1881" s="23">
        <f t="shared" si="298"/>
        <v>669300</v>
      </c>
      <c r="H1881">
        <f t="shared" si="299"/>
        <v>221438</v>
      </c>
      <c r="I1881">
        <f t="shared" si="292"/>
        <v>0</v>
      </c>
      <c r="J1881">
        <f t="shared" si="293"/>
        <v>0</v>
      </c>
      <c r="K1881">
        <f t="shared" si="294"/>
        <v>890738</v>
      </c>
      <c r="L1881">
        <f t="shared" si="295"/>
        <v>0</v>
      </c>
      <c r="M1881">
        <f t="shared" si="296"/>
        <v>826</v>
      </c>
      <c r="N1881">
        <f t="shared" si="297"/>
        <v>0</v>
      </c>
    </row>
    <row r="1882" spans="1:14" x14ac:dyDescent="0.35">
      <c r="A1882" s="5">
        <v>6956143</v>
      </c>
      <c r="B1882" s="6">
        <v>42943</v>
      </c>
      <c r="C1882" s="7">
        <v>0.45157407407407407</v>
      </c>
      <c r="D1882" s="8">
        <v>0.455625</v>
      </c>
      <c r="E1882" s="20">
        <f t="shared" si="290"/>
        <v>4.05092592592593E-3</v>
      </c>
      <c r="F1882" t="str">
        <f t="shared" si="291"/>
        <v>stacjonarny</v>
      </c>
      <c r="G1882" s="23">
        <f t="shared" si="298"/>
        <v>669650</v>
      </c>
      <c r="H1882">
        <f t="shared" si="299"/>
        <v>221438</v>
      </c>
      <c r="I1882">
        <f t="shared" si="292"/>
        <v>0</v>
      </c>
      <c r="J1882">
        <f t="shared" si="293"/>
        <v>0</v>
      </c>
      <c r="K1882">
        <f t="shared" si="294"/>
        <v>891088</v>
      </c>
      <c r="L1882">
        <f t="shared" si="295"/>
        <v>0</v>
      </c>
      <c r="M1882">
        <f t="shared" si="296"/>
        <v>350</v>
      </c>
      <c r="N1882">
        <f t="shared" si="297"/>
        <v>0</v>
      </c>
    </row>
    <row r="1883" spans="1:14" x14ac:dyDescent="0.35">
      <c r="A1883" s="9">
        <v>1472253</v>
      </c>
      <c r="B1883" s="10">
        <v>42943</v>
      </c>
      <c r="C1883" s="11">
        <v>0.45729166666666665</v>
      </c>
      <c r="D1883" s="12">
        <v>0.46041666666666664</v>
      </c>
      <c r="E1883" s="20">
        <f t="shared" si="290"/>
        <v>3.1249999999999889E-3</v>
      </c>
      <c r="F1883" t="str">
        <f t="shared" si="291"/>
        <v>stacjonarny</v>
      </c>
      <c r="G1883" s="23">
        <f t="shared" si="298"/>
        <v>669920</v>
      </c>
      <c r="H1883">
        <f t="shared" si="299"/>
        <v>221438</v>
      </c>
      <c r="I1883">
        <f t="shared" si="292"/>
        <v>0</v>
      </c>
      <c r="J1883">
        <f t="shared" si="293"/>
        <v>0</v>
      </c>
      <c r="K1883">
        <f t="shared" si="294"/>
        <v>891358</v>
      </c>
      <c r="L1883">
        <f t="shared" si="295"/>
        <v>0</v>
      </c>
      <c r="M1883">
        <f t="shared" si="296"/>
        <v>270</v>
      </c>
      <c r="N1883">
        <f t="shared" si="297"/>
        <v>0</v>
      </c>
    </row>
    <row r="1884" spans="1:14" x14ac:dyDescent="0.35">
      <c r="A1884" s="5">
        <v>4025325</v>
      </c>
      <c r="B1884" s="6">
        <v>42943</v>
      </c>
      <c r="C1884" s="7">
        <v>0.46151620370370372</v>
      </c>
      <c r="D1884" s="8">
        <v>0.46604166666666669</v>
      </c>
      <c r="E1884" s="20">
        <f t="shared" si="290"/>
        <v>4.5254629629629672E-3</v>
      </c>
      <c r="F1884" t="str">
        <f t="shared" si="291"/>
        <v>stacjonarny</v>
      </c>
      <c r="G1884" s="23">
        <f t="shared" si="298"/>
        <v>670311</v>
      </c>
      <c r="H1884">
        <f t="shared" si="299"/>
        <v>221438</v>
      </c>
      <c r="I1884">
        <f t="shared" si="292"/>
        <v>0</v>
      </c>
      <c r="J1884">
        <f t="shared" si="293"/>
        <v>0</v>
      </c>
      <c r="K1884">
        <f t="shared" si="294"/>
        <v>891749</v>
      </c>
      <c r="L1884">
        <f t="shared" si="295"/>
        <v>0</v>
      </c>
      <c r="M1884">
        <f t="shared" si="296"/>
        <v>391</v>
      </c>
      <c r="N1884">
        <f t="shared" si="297"/>
        <v>0</v>
      </c>
    </row>
    <row r="1885" spans="1:14" x14ac:dyDescent="0.35">
      <c r="A1885" s="9">
        <v>6220398</v>
      </c>
      <c r="B1885" s="10">
        <v>42943</v>
      </c>
      <c r="C1885" s="11">
        <v>0.46175925925925926</v>
      </c>
      <c r="D1885" s="12">
        <v>0.46263888888888888</v>
      </c>
      <c r="E1885" s="20">
        <f t="shared" si="290"/>
        <v>8.796296296296191E-4</v>
      </c>
      <c r="F1885" t="str">
        <f t="shared" si="291"/>
        <v>stacjonarny</v>
      </c>
      <c r="G1885" s="23">
        <f t="shared" si="298"/>
        <v>670387</v>
      </c>
      <c r="H1885">
        <f t="shared" si="299"/>
        <v>221438</v>
      </c>
      <c r="I1885">
        <f t="shared" si="292"/>
        <v>0</v>
      </c>
      <c r="J1885">
        <f t="shared" si="293"/>
        <v>0</v>
      </c>
      <c r="K1885">
        <f t="shared" si="294"/>
        <v>891825</v>
      </c>
      <c r="L1885">
        <f t="shared" si="295"/>
        <v>0</v>
      </c>
      <c r="M1885">
        <f t="shared" si="296"/>
        <v>76</v>
      </c>
      <c r="N1885">
        <f t="shared" si="297"/>
        <v>0</v>
      </c>
    </row>
    <row r="1886" spans="1:14" x14ac:dyDescent="0.35">
      <c r="A1886" s="5">
        <v>6326108</v>
      </c>
      <c r="B1886" s="6">
        <v>42943</v>
      </c>
      <c r="C1886" s="7">
        <v>0.46474537037037039</v>
      </c>
      <c r="D1886" s="8">
        <v>0.47486111111111112</v>
      </c>
      <c r="E1886" s="20">
        <f t="shared" si="290"/>
        <v>1.0115740740740731E-2</v>
      </c>
      <c r="F1886" t="str">
        <f t="shared" si="291"/>
        <v>stacjonarny</v>
      </c>
      <c r="G1886" s="23">
        <f t="shared" si="298"/>
        <v>671261</v>
      </c>
      <c r="H1886">
        <f t="shared" si="299"/>
        <v>221438</v>
      </c>
      <c r="I1886">
        <f t="shared" si="292"/>
        <v>0</v>
      </c>
      <c r="J1886">
        <f t="shared" si="293"/>
        <v>0</v>
      </c>
      <c r="K1886">
        <f t="shared" si="294"/>
        <v>892699</v>
      </c>
      <c r="L1886">
        <f t="shared" si="295"/>
        <v>0</v>
      </c>
      <c r="M1886">
        <f t="shared" si="296"/>
        <v>874</v>
      </c>
      <c r="N1886">
        <f t="shared" si="297"/>
        <v>0</v>
      </c>
    </row>
    <row r="1887" spans="1:14" x14ac:dyDescent="0.35">
      <c r="A1887" s="9">
        <v>88929709</v>
      </c>
      <c r="B1887" s="10">
        <v>42943</v>
      </c>
      <c r="C1887" s="11">
        <v>0.46687499999999998</v>
      </c>
      <c r="D1887" s="12">
        <v>0.47510416666666666</v>
      </c>
      <c r="E1887" s="20">
        <f t="shared" si="290"/>
        <v>8.2291666666666763E-3</v>
      </c>
      <c r="F1887" t="str">
        <f t="shared" si="291"/>
        <v>komorkowy</v>
      </c>
      <c r="G1887" s="23">
        <f t="shared" si="298"/>
        <v>671261</v>
      </c>
      <c r="H1887">
        <f t="shared" si="299"/>
        <v>222149</v>
      </c>
      <c r="I1887">
        <f t="shared" si="292"/>
        <v>0</v>
      </c>
      <c r="J1887">
        <f t="shared" si="293"/>
        <v>0</v>
      </c>
      <c r="K1887">
        <f t="shared" si="294"/>
        <v>893410</v>
      </c>
      <c r="L1887">
        <f t="shared" si="295"/>
        <v>0</v>
      </c>
      <c r="M1887">
        <f t="shared" si="296"/>
        <v>0</v>
      </c>
      <c r="N1887">
        <f t="shared" si="297"/>
        <v>711</v>
      </c>
    </row>
    <row r="1888" spans="1:14" x14ac:dyDescent="0.35">
      <c r="A1888" s="5">
        <v>3004967</v>
      </c>
      <c r="B1888" s="6">
        <v>42943</v>
      </c>
      <c r="C1888" s="7">
        <v>0.4707175925925926</v>
      </c>
      <c r="D1888" s="8">
        <v>0.47547453703703701</v>
      </c>
      <c r="E1888" s="20">
        <f t="shared" si="290"/>
        <v>4.7569444444444109E-3</v>
      </c>
      <c r="F1888" t="str">
        <f t="shared" si="291"/>
        <v>stacjonarny</v>
      </c>
      <c r="G1888" s="23">
        <f t="shared" si="298"/>
        <v>671672</v>
      </c>
      <c r="H1888">
        <f t="shared" si="299"/>
        <v>222149</v>
      </c>
      <c r="I1888">
        <f t="shared" si="292"/>
        <v>0</v>
      </c>
      <c r="J1888">
        <f t="shared" si="293"/>
        <v>0</v>
      </c>
      <c r="K1888">
        <f t="shared" si="294"/>
        <v>893821</v>
      </c>
      <c r="L1888">
        <f t="shared" si="295"/>
        <v>0</v>
      </c>
      <c r="M1888">
        <f t="shared" si="296"/>
        <v>411</v>
      </c>
      <c r="N1888">
        <f t="shared" si="297"/>
        <v>0</v>
      </c>
    </row>
    <row r="1889" spans="1:14" x14ac:dyDescent="0.35">
      <c r="A1889" s="9">
        <v>1721264</v>
      </c>
      <c r="B1889" s="10">
        <v>42943</v>
      </c>
      <c r="C1889" s="11">
        <v>0.47394675925925928</v>
      </c>
      <c r="D1889" s="12">
        <v>0.47922453703703705</v>
      </c>
      <c r="E1889" s="20">
        <f t="shared" si="290"/>
        <v>5.2777777777777701E-3</v>
      </c>
      <c r="F1889" t="str">
        <f t="shared" si="291"/>
        <v>stacjonarny</v>
      </c>
      <c r="G1889" s="23">
        <f t="shared" si="298"/>
        <v>672128</v>
      </c>
      <c r="H1889">
        <f t="shared" si="299"/>
        <v>222149</v>
      </c>
      <c r="I1889">
        <f t="shared" si="292"/>
        <v>0</v>
      </c>
      <c r="J1889">
        <f t="shared" si="293"/>
        <v>0</v>
      </c>
      <c r="K1889">
        <f t="shared" si="294"/>
        <v>894277</v>
      </c>
      <c r="L1889">
        <f t="shared" si="295"/>
        <v>0</v>
      </c>
      <c r="M1889">
        <f t="shared" si="296"/>
        <v>456</v>
      </c>
      <c r="N1889">
        <f t="shared" si="297"/>
        <v>0</v>
      </c>
    </row>
    <row r="1890" spans="1:14" x14ac:dyDescent="0.35">
      <c r="A1890" s="5">
        <v>5231877</v>
      </c>
      <c r="B1890" s="6">
        <v>42943</v>
      </c>
      <c r="C1890" s="7">
        <v>0.47550925925925924</v>
      </c>
      <c r="D1890" s="8">
        <v>0.47930555555555554</v>
      </c>
      <c r="E1890" s="20">
        <f t="shared" si="290"/>
        <v>3.7962962962962976E-3</v>
      </c>
      <c r="F1890" t="str">
        <f t="shared" si="291"/>
        <v>stacjonarny</v>
      </c>
      <c r="G1890" s="23">
        <f t="shared" si="298"/>
        <v>672456</v>
      </c>
      <c r="H1890">
        <f t="shared" si="299"/>
        <v>222149</v>
      </c>
      <c r="I1890">
        <f t="shared" si="292"/>
        <v>0</v>
      </c>
      <c r="J1890">
        <f t="shared" si="293"/>
        <v>0</v>
      </c>
      <c r="K1890">
        <f t="shared" si="294"/>
        <v>894605</v>
      </c>
      <c r="L1890">
        <f t="shared" si="295"/>
        <v>0</v>
      </c>
      <c r="M1890">
        <f t="shared" si="296"/>
        <v>328</v>
      </c>
      <c r="N1890">
        <f t="shared" si="297"/>
        <v>0</v>
      </c>
    </row>
    <row r="1891" spans="1:14" x14ac:dyDescent="0.35">
      <c r="A1891" s="9">
        <v>92414932</v>
      </c>
      <c r="B1891" s="10">
        <v>42943</v>
      </c>
      <c r="C1891" s="11">
        <v>0.48085648148148147</v>
      </c>
      <c r="D1891" s="12">
        <v>0.48893518518518519</v>
      </c>
      <c r="E1891" s="20">
        <f t="shared" si="290"/>
        <v>8.0787037037037268E-3</v>
      </c>
      <c r="F1891" t="str">
        <f t="shared" si="291"/>
        <v>komorkowy</v>
      </c>
      <c r="G1891" s="23">
        <f t="shared" si="298"/>
        <v>672456</v>
      </c>
      <c r="H1891">
        <f t="shared" si="299"/>
        <v>222847</v>
      </c>
      <c r="I1891">
        <f t="shared" si="292"/>
        <v>0</v>
      </c>
      <c r="J1891">
        <f t="shared" si="293"/>
        <v>0</v>
      </c>
      <c r="K1891">
        <f t="shared" si="294"/>
        <v>895303</v>
      </c>
      <c r="L1891">
        <f t="shared" si="295"/>
        <v>0</v>
      </c>
      <c r="M1891">
        <f t="shared" si="296"/>
        <v>0</v>
      </c>
      <c r="N1891">
        <f t="shared" si="297"/>
        <v>698</v>
      </c>
    </row>
    <row r="1892" spans="1:14" x14ac:dyDescent="0.35">
      <c r="A1892" s="5">
        <v>3202610</v>
      </c>
      <c r="B1892" s="6">
        <v>42943</v>
      </c>
      <c r="C1892" s="7">
        <v>0.48528935185185185</v>
      </c>
      <c r="D1892" s="8">
        <v>0.48694444444444446</v>
      </c>
      <c r="E1892" s="20">
        <f t="shared" si="290"/>
        <v>1.6550925925926108E-3</v>
      </c>
      <c r="F1892" t="str">
        <f t="shared" si="291"/>
        <v>stacjonarny</v>
      </c>
      <c r="G1892" s="23">
        <f t="shared" si="298"/>
        <v>672599</v>
      </c>
      <c r="H1892">
        <f t="shared" si="299"/>
        <v>222847</v>
      </c>
      <c r="I1892">
        <f t="shared" si="292"/>
        <v>0</v>
      </c>
      <c r="J1892">
        <f t="shared" si="293"/>
        <v>0</v>
      </c>
      <c r="K1892">
        <f t="shared" si="294"/>
        <v>895446</v>
      </c>
      <c r="L1892">
        <f t="shared" si="295"/>
        <v>0</v>
      </c>
      <c r="M1892">
        <f t="shared" si="296"/>
        <v>143</v>
      </c>
      <c r="N1892">
        <f t="shared" si="297"/>
        <v>0</v>
      </c>
    </row>
    <row r="1893" spans="1:14" x14ac:dyDescent="0.35">
      <c r="A1893" s="9">
        <v>2825289</v>
      </c>
      <c r="B1893" s="10">
        <v>42943</v>
      </c>
      <c r="C1893" s="11">
        <v>0.4855902777777778</v>
      </c>
      <c r="D1893" s="12">
        <v>0.49710648148148145</v>
      </c>
      <c r="E1893" s="20">
        <f t="shared" si="290"/>
        <v>1.1516203703703654E-2</v>
      </c>
      <c r="F1893" t="str">
        <f t="shared" si="291"/>
        <v>stacjonarny</v>
      </c>
      <c r="G1893" s="23">
        <f t="shared" si="298"/>
        <v>673594</v>
      </c>
      <c r="H1893">
        <f t="shared" si="299"/>
        <v>222847</v>
      </c>
      <c r="I1893">
        <f t="shared" si="292"/>
        <v>0</v>
      </c>
      <c r="J1893">
        <f t="shared" si="293"/>
        <v>0</v>
      </c>
      <c r="K1893">
        <f t="shared" si="294"/>
        <v>896441</v>
      </c>
      <c r="L1893">
        <f t="shared" si="295"/>
        <v>0</v>
      </c>
      <c r="M1893">
        <f t="shared" si="296"/>
        <v>995</v>
      </c>
      <c r="N1893">
        <f t="shared" si="297"/>
        <v>0</v>
      </c>
    </row>
    <row r="1894" spans="1:14" x14ac:dyDescent="0.35">
      <c r="A1894" s="5">
        <v>7915936</v>
      </c>
      <c r="B1894" s="6">
        <v>42943</v>
      </c>
      <c r="C1894" s="7">
        <v>0.49075231481481479</v>
      </c>
      <c r="D1894" s="8">
        <v>0.49836805555555558</v>
      </c>
      <c r="E1894" s="20">
        <f t="shared" si="290"/>
        <v>7.615740740740784E-3</v>
      </c>
      <c r="F1894" t="str">
        <f t="shared" si="291"/>
        <v>stacjonarny</v>
      </c>
      <c r="G1894" s="23">
        <f t="shared" si="298"/>
        <v>674252</v>
      </c>
      <c r="H1894">
        <f t="shared" si="299"/>
        <v>222847</v>
      </c>
      <c r="I1894">
        <f t="shared" si="292"/>
        <v>0</v>
      </c>
      <c r="J1894">
        <f t="shared" si="293"/>
        <v>0</v>
      </c>
      <c r="K1894">
        <f t="shared" si="294"/>
        <v>897099</v>
      </c>
      <c r="L1894">
        <f t="shared" si="295"/>
        <v>0</v>
      </c>
      <c r="M1894">
        <f t="shared" si="296"/>
        <v>658</v>
      </c>
      <c r="N1894">
        <f t="shared" si="297"/>
        <v>0</v>
      </c>
    </row>
    <row r="1895" spans="1:14" x14ac:dyDescent="0.35">
      <c r="A1895" s="9">
        <v>3680072</v>
      </c>
      <c r="B1895" s="10">
        <v>42943</v>
      </c>
      <c r="C1895" s="11">
        <v>0.49561342592592594</v>
      </c>
      <c r="D1895" s="12">
        <v>0.49716435185185187</v>
      </c>
      <c r="E1895" s="20">
        <f t="shared" si="290"/>
        <v>1.5509259259259278E-3</v>
      </c>
      <c r="F1895" t="str">
        <f t="shared" si="291"/>
        <v>stacjonarny</v>
      </c>
      <c r="G1895" s="23">
        <f t="shared" si="298"/>
        <v>674386</v>
      </c>
      <c r="H1895">
        <f t="shared" si="299"/>
        <v>222847</v>
      </c>
      <c r="I1895">
        <f t="shared" si="292"/>
        <v>0</v>
      </c>
      <c r="J1895">
        <f t="shared" si="293"/>
        <v>0</v>
      </c>
      <c r="K1895">
        <f t="shared" si="294"/>
        <v>897233</v>
      </c>
      <c r="L1895">
        <f t="shared" si="295"/>
        <v>0</v>
      </c>
      <c r="M1895">
        <f t="shared" si="296"/>
        <v>134</v>
      </c>
      <c r="N1895">
        <f t="shared" si="297"/>
        <v>0</v>
      </c>
    </row>
    <row r="1896" spans="1:14" x14ac:dyDescent="0.35">
      <c r="A1896" s="5">
        <v>6980867</v>
      </c>
      <c r="B1896" s="6">
        <v>42943</v>
      </c>
      <c r="C1896" s="7">
        <v>0.49716435185185187</v>
      </c>
      <c r="D1896" s="8">
        <v>0.50270833333333331</v>
      </c>
      <c r="E1896" s="20">
        <f t="shared" si="290"/>
        <v>5.5439814814814414E-3</v>
      </c>
      <c r="F1896" t="str">
        <f t="shared" si="291"/>
        <v>stacjonarny</v>
      </c>
      <c r="G1896" s="23">
        <f t="shared" si="298"/>
        <v>674865</v>
      </c>
      <c r="H1896">
        <f t="shared" si="299"/>
        <v>222847</v>
      </c>
      <c r="I1896">
        <f t="shared" si="292"/>
        <v>0</v>
      </c>
      <c r="J1896">
        <f t="shared" si="293"/>
        <v>0</v>
      </c>
      <c r="K1896">
        <f t="shared" si="294"/>
        <v>897712</v>
      </c>
      <c r="L1896">
        <f t="shared" si="295"/>
        <v>0</v>
      </c>
      <c r="M1896">
        <f t="shared" si="296"/>
        <v>479</v>
      </c>
      <c r="N1896">
        <f t="shared" si="297"/>
        <v>0</v>
      </c>
    </row>
    <row r="1897" spans="1:14" x14ac:dyDescent="0.35">
      <c r="A1897" s="9">
        <v>3656681</v>
      </c>
      <c r="B1897" s="10">
        <v>42943</v>
      </c>
      <c r="C1897" s="11">
        <v>0.50123842592592593</v>
      </c>
      <c r="D1897" s="12">
        <v>0.5084143518518518</v>
      </c>
      <c r="E1897" s="20">
        <f t="shared" si="290"/>
        <v>7.1759259259258634E-3</v>
      </c>
      <c r="F1897" t="str">
        <f t="shared" si="291"/>
        <v>stacjonarny</v>
      </c>
      <c r="G1897" s="23">
        <f t="shared" si="298"/>
        <v>675485</v>
      </c>
      <c r="H1897">
        <f t="shared" si="299"/>
        <v>222847</v>
      </c>
      <c r="I1897">
        <f t="shared" si="292"/>
        <v>0</v>
      </c>
      <c r="J1897">
        <f t="shared" si="293"/>
        <v>0</v>
      </c>
      <c r="K1897">
        <f t="shared" si="294"/>
        <v>898332</v>
      </c>
      <c r="L1897">
        <f t="shared" si="295"/>
        <v>0</v>
      </c>
      <c r="M1897">
        <f t="shared" si="296"/>
        <v>620</v>
      </c>
      <c r="N1897">
        <f t="shared" si="297"/>
        <v>0</v>
      </c>
    </row>
    <row r="1898" spans="1:14" x14ac:dyDescent="0.35">
      <c r="A1898" s="5">
        <v>4445684</v>
      </c>
      <c r="B1898" s="6">
        <v>42943</v>
      </c>
      <c r="C1898" s="7">
        <v>0.50361111111111112</v>
      </c>
      <c r="D1898" s="8">
        <v>0.51285879629629627</v>
      </c>
      <c r="E1898" s="20">
        <f t="shared" si="290"/>
        <v>9.2476851851851505E-3</v>
      </c>
      <c r="F1898" t="str">
        <f t="shared" si="291"/>
        <v>stacjonarny</v>
      </c>
      <c r="G1898" s="23">
        <f t="shared" si="298"/>
        <v>676284</v>
      </c>
      <c r="H1898">
        <f t="shared" si="299"/>
        <v>222847</v>
      </c>
      <c r="I1898">
        <f t="shared" si="292"/>
        <v>0</v>
      </c>
      <c r="J1898">
        <f t="shared" si="293"/>
        <v>0</v>
      </c>
      <c r="K1898">
        <f t="shared" si="294"/>
        <v>899131</v>
      </c>
      <c r="L1898">
        <f t="shared" si="295"/>
        <v>0</v>
      </c>
      <c r="M1898">
        <f t="shared" si="296"/>
        <v>799</v>
      </c>
      <c r="N1898">
        <f t="shared" si="297"/>
        <v>0</v>
      </c>
    </row>
    <row r="1899" spans="1:14" x14ac:dyDescent="0.35">
      <c r="A1899" s="9">
        <v>9864502</v>
      </c>
      <c r="B1899" s="10">
        <v>42943</v>
      </c>
      <c r="C1899" s="11">
        <v>0.50722222222222224</v>
      </c>
      <c r="D1899" s="12">
        <v>0.50762731481481482</v>
      </c>
      <c r="E1899" s="20">
        <f t="shared" si="290"/>
        <v>4.050925925925819E-4</v>
      </c>
      <c r="F1899" t="str">
        <f t="shared" si="291"/>
        <v>stacjonarny</v>
      </c>
      <c r="G1899" s="23">
        <f t="shared" si="298"/>
        <v>676319</v>
      </c>
      <c r="H1899">
        <f t="shared" si="299"/>
        <v>222847</v>
      </c>
      <c r="I1899">
        <f t="shared" si="292"/>
        <v>0</v>
      </c>
      <c r="J1899">
        <f t="shared" si="293"/>
        <v>0</v>
      </c>
      <c r="K1899">
        <f t="shared" si="294"/>
        <v>899166</v>
      </c>
      <c r="L1899">
        <f t="shared" si="295"/>
        <v>0</v>
      </c>
      <c r="M1899">
        <f t="shared" si="296"/>
        <v>35</v>
      </c>
      <c r="N1899">
        <f t="shared" si="297"/>
        <v>0</v>
      </c>
    </row>
    <row r="1900" spans="1:14" x14ac:dyDescent="0.35">
      <c r="A1900" s="5">
        <v>5881130</v>
      </c>
      <c r="B1900" s="6">
        <v>42943</v>
      </c>
      <c r="C1900" s="7">
        <v>0.51086805555555559</v>
      </c>
      <c r="D1900" s="8">
        <v>0.516087962962963</v>
      </c>
      <c r="E1900" s="20">
        <f t="shared" si="290"/>
        <v>5.2199074074074092E-3</v>
      </c>
      <c r="F1900" t="str">
        <f t="shared" si="291"/>
        <v>stacjonarny</v>
      </c>
      <c r="G1900" s="23">
        <f t="shared" si="298"/>
        <v>676770</v>
      </c>
      <c r="H1900">
        <f t="shared" si="299"/>
        <v>222847</v>
      </c>
      <c r="I1900">
        <f t="shared" si="292"/>
        <v>0</v>
      </c>
      <c r="J1900">
        <f t="shared" si="293"/>
        <v>0</v>
      </c>
      <c r="K1900">
        <f t="shared" si="294"/>
        <v>899617</v>
      </c>
      <c r="L1900">
        <f t="shared" si="295"/>
        <v>0</v>
      </c>
      <c r="M1900">
        <f t="shared" si="296"/>
        <v>451</v>
      </c>
      <c r="N1900">
        <f t="shared" si="297"/>
        <v>0</v>
      </c>
    </row>
    <row r="1901" spans="1:14" x14ac:dyDescent="0.35">
      <c r="A1901" s="9">
        <v>2056567</v>
      </c>
      <c r="B1901" s="10">
        <v>42943</v>
      </c>
      <c r="C1901" s="11">
        <v>0.51563657407407404</v>
      </c>
      <c r="D1901" s="12">
        <v>0.52396990740740745</v>
      </c>
      <c r="E1901" s="20">
        <f t="shared" si="290"/>
        <v>8.3333333333334147E-3</v>
      </c>
      <c r="F1901" t="str">
        <f t="shared" si="291"/>
        <v>stacjonarny</v>
      </c>
      <c r="G1901" s="23">
        <f t="shared" si="298"/>
        <v>677490</v>
      </c>
      <c r="H1901">
        <f t="shared" si="299"/>
        <v>222847</v>
      </c>
      <c r="I1901">
        <f t="shared" si="292"/>
        <v>0</v>
      </c>
      <c r="J1901">
        <f t="shared" si="293"/>
        <v>0</v>
      </c>
      <c r="K1901">
        <f t="shared" si="294"/>
        <v>900337</v>
      </c>
      <c r="L1901">
        <f t="shared" si="295"/>
        <v>0</v>
      </c>
      <c r="M1901">
        <f t="shared" si="296"/>
        <v>720</v>
      </c>
      <c r="N1901">
        <f t="shared" si="297"/>
        <v>0</v>
      </c>
    </row>
    <row r="1902" spans="1:14" x14ac:dyDescent="0.35">
      <c r="A1902" s="5">
        <v>62150310</v>
      </c>
      <c r="B1902" s="6">
        <v>42943</v>
      </c>
      <c r="C1902" s="7">
        <v>0.52003472222222225</v>
      </c>
      <c r="D1902" s="8">
        <v>0.52927083333333336</v>
      </c>
      <c r="E1902" s="20">
        <f t="shared" si="290"/>
        <v>9.2361111111111116E-3</v>
      </c>
      <c r="F1902" t="str">
        <f t="shared" si="291"/>
        <v>komorkowy</v>
      </c>
      <c r="G1902" s="23">
        <f t="shared" si="298"/>
        <v>677490</v>
      </c>
      <c r="H1902">
        <f t="shared" si="299"/>
        <v>223645</v>
      </c>
      <c r="I1902">
        <f t="shared" si="292"/>
        <v>0</v>
      </c>
      <c r="J1902">
        <f t="shared" si="293"/>
        <v>0</v>
      </c>
      <c r="K1902">
        <f t="shared" si="294"/>
        <v>901135</v>
      </c>
      <c r="L1902">
        <f t="shared" si="295"/>
        <v>0</v>
      </c>
      <c r="M1902">
        <f t="shared" si="296"/>
        <v>0</v>
      </c>
      <c r="N1902">
        <f t="shared" si="297"/>
        <v>798</v>
      </c>
    </row>
    <row r="1903" spans="1:14" x14ac:dyDescent="0.35">
      <c r="A1903" s="9">
        <v>9340299</v>
      </c>
      <c r="B1903" s="10">
        <v>42943</v>
      </c>
      <c r="C1903" s="11">
        <v>0.52034722222222218</v>
      </c>
      <c r="D1903" s="12">
        <v>0.52137731481481486</v>
      </c>
      <c r="E1903" s="20">
        <f t="shared" si="290"/>
        <v>1.0300925925926796E-3</v>
      </c>
      <c r="F1903" t="str">
        <f t="shared" si="291"/>
        <v>stacjonarny</v>
      </c>
      <c r="G1903" s="23">
        <f t="shared" si="298"/>
        <v>677579</v>
      </c>
      <c r="H1903">
        <f t="shared" si="299"/>
        <v>223645</v>
      </c>
      <c r="I1903">
        <f t="shared" si="292"/>
        <v>0</v>
      </c>
      <c r="J1903">
        <f t="shared" si="293"/>
        <v>0</v>
      </c>
      <c r="K1903">
        <f t="shared" si="294"/>
        <v>901224</v>
      </c>
      <c r="L1903">
        <f t="shared" si="295"/>
        <v>0</v>
      </c>
      <c r="M1903">
        <f t="shared" si="296"/>
        <v>89</v>
      </c>
      <c r="N1903">
        <f t="shared" si="297"/>
        <v>0</v>
      </c>
    </row>
    <row r="1904" spans="1:14" x14ac:dyDescent="0.35">
      <c r="A1904" s="5">
        <v>3912924</v>
      </c>
      <c r="B1904" s="6">
        <v>42943</v>
      </c>
      <c r="C1904" s="7">
        <v>0.52368055555555559</v>
      </c>
      <c r="D1904" s="8">
        <v>0.52627314814814818</v>
      </c>
      <c r="E1904" s="20">
        <f t="shared" si="290"/>
        <v>2.5925925925925908E-3</v>
      </c>
      <c r="F1904" t="str">
        <f t="shared" si="291"/>
        <v>stacjonarny</v>
      </c>
      <c r="G1904" s="23">
        <f t="shared" si="298"/>
        <v>677803</v>
      </c>
      <c r="H1904">
        <f t="shared" si="299"/>
        <v>223645</v>
      </c>
      <c r="I1904">
        <f t="shared" si="292"/>
        <v>0</v>
      </c>
      <c r="J1904">
        <f t="shared" si="293"/>
        <v>0</v>
      </c>
      <c r="K1904">
        <f t="shared" si="294"/>
        <v>901448</v>
      </c>
      <c r="L1904">
        <f t="shared" si="295"/>
        <v>0</v>
      </c>
      <c r="M1904">
        <f t="shared" si="296"/>
        <v>224</v>
      </c>
      <c r="N1904">
        <f t="shared" si="297"/>
        <v>0</v>
      </c>
    </row>
    <row r="1905" spans="1:14" x14ac:dyDescent="0.35">
      <c r="A1905" s="9">
        <v>8159466</v>
      </c>
      <c r="B1905" s="10">
        <v>42943</v>
      </c>
      <c r="C1905" s="11">
        <v>0.52460648148148148</v>
      </c>
      <c r="D1905" s="12">
        <v>0.52971064814814817</v>
      </c>
      <c r="E1905" s="20">
        <f t="shared" si="290"/>
        <v>5.1041666666666874E-3</v>
      </c>
      <c r="F1905" t="str">
        <f t="shared" si="291"/>
        <v>stacjonarny</v>
      </c>
      <c r="G1905" s="23">
        <f t="shared" si="298"/>
        <v>678244</v>
      </c>
      <c r="H1905">
        <f t="shared" si="299"/>
        <v>223645</v>
      </c>
      <c r="I1905">
        <f t="shared" si="292"/>
        <v>0</v>
      </c>
      <c r="J1905">
        <f t="shared" si="293"/>
        <v>0</v>
      </c>
      <c r="K1905">
        <f t="shared" si="294"/>
        <v>901889</v>
      </c>
      <c r="L1905">
        <f t="shared" si="295"/>
        <v>0</v>
      </c>
      <c r="M1905">
        <f t="shared" si="296"/>
        <v>441</v>
      </c>
      <c r="N1905">
        <f t="shared" si="297"/>
        <v>0</v>
      </c>
    </row>
    <row r="1906" spans="1:14" x14ac:dyDescent="0.35">
      <c r="A1906" s="5">
        <v>7467198</v>
      </c>
      <c r="B1906" s="6">
        <v>42943</v>
      </c>
      <c r="C1906" s="7">
        <v>0.52993055555555557</v>
      </c>
      <c r="D1906" s="8">
        <v>0.53739583333333329</v>
      </c>
      <c r="E1906" s="20">
        <f t="shared" si="290"/>
        <v>7.4652777777777235E-3</v>
      </c>
      <c r="F1906" t="str">
        <f t="shared" si="291"/>
        <v>stacjonarny</v>
      </c>
      <c r="G1906" s="23">
        <f t="shared" si="298"/>
        <v>678889</v>
      </c>
      <c r="H1906">
        <f t="shared" si="299"/>
        <v>223645</v>
      </c>
      <c r="I1906">
        <f t="shared" si="292"/>
        <v>0</v>
      </c>
      <c r="J1906">
        <f t="shared" si="293"/>
        <v>0</v>
      </c>
      <c r="K1906">
        <f t="shared" si="294"/>
        <v>902534</v>
      </c>
      <c r="L1906">
        <f t="shared" si="295"/>
        <v>0</v>
      </c>
      <c r="M1906">
        <f t="shared" si="296"/>
        <v>645</v>
      </c>
      <c r="N1906">
        <f t="shared" si="297"/>
        <v>0</v>
      </c>
    </row>
    <row r="1907" spans="1:14" x14ac:dyDescent="0.35">
      <c r="A1907" s="9">
        <v>4703748</v>
      </c>
      <c r="B1907" s="10">
        <v>42943</v>
      </c>
      <c r="C1907" s="11">
        <v>0.53315972222222219</v>
      </c>
      <c r="D1907" s="12">
        <v>0.53454861111111107</v>
      </c>
      <c r="E1907" s="20">
        <f t="shared" si="290"/>
        <v>1.388888888888884E-3</v>
      </c>
      <c r="F1907" t="str">
        <f t="shared" si="291"/>
        <v>stacjonarny</v>
      </c>
      <c r="G1907" s="23">
        <f t="shared" si="298"/>
        <v>679009</v>
      </c>
      <c r="H1907">
        <f t="shared" si="299"/>
        <v>223645</v>
      </c>
      <c r="I1907">
        <f t="shared" si="292"/>
        <v>0</v>
      </c>
      <c r="J1907">
        <f t="shared" si="293"/>
        <v>0</v>
      </c>
      <c r="K1907">
        <f t="shared" si="294"/>
        <v>902654</v>
      </c>
      <c r="L1907">
        <f t="shared" si="295"/>
        <v>0</v>
      </c>
      <c r="M1907">
        <f t="shared" si="296"/>
        <v>120</v>
      </c>
      <c r="N1907">
        <f t="shared" si="297"/>
        <v>0</v>
      </c>
    </row>
    <row r="1908" spans="1:14" x14ac:dyDescent="0.35">
      <c r="A1908" s="5">
        <v>1165705</v>
      </c>
      <c r="B1908" s="6">
        <v>42943</v>
      </c>
      <c r="C1908" s="7">
        <v>0.53666666666666663</v>
      </c>
      <c r="D1908" s="8">
        <v>0.54100694444444442</v>
      </c>
      <c r="E1908" s="20">
        <f t="shared" si="290"/>
        <v>4.3402777777777901E-3</v>
      </c>
      <c r="F1908" t="str">
        <f t="shared" si="291"/>
        <v>stacjonarny</v>
      </c>
      <c r="G1908" s="23">
        <f t="shared" si="298"/>
        <v>679384</v>
      </c>
      <c r="H1908">
        <f t="shared" si="299"/>
        <v>223645</v>
      </c>
      <c r="I1908">
        <f t="shared" si="292"/>
        <v>0</v>
      </c>
      <c r="J1908">
        <f t="shared" si="293"/>
        <v>0</v>
      </c>
      <c r="K1908">
        <f t="shared" si="294"/>
        <v>903029</v>
      </c>
      <c r="L1908">
        <f t="shared" si="295"/>
        <v>0</v>
      </c>
      <c r="M1908">
        <f t="shared" si="296"/>
        <v>375</v>
      </c>
      <c r="N1908">
        <f t="shared" si="297"/>
        <v>0</v>
      </c>
    </row>
    <row r="1909" spans="1:14" x14ac:dyDescent="0.35">
      <c r="A1909" s="9">
        <v>90762334</v>
      </c>
      <c r="B1909" s="10">
        <v>42943</v>
      </c>
      <c r="C1909" s="11">
        <v>0.54144675925925922</v>
      </c>
      <c r="D1909" s="12">
        <v>0.54313657407407412</v>
      </c>
      <c r="E1909" s="20">
        <f t="shared" si="290"/>
        <v>1.6898148148148939E-3</v>
      </c>
      <c r="F1909" t="str">
        <f t="shared" si="291"/>
        <v>komorkowy</v>
      </c>
      <c r="G1909" s="23">
        <f t="shared" si="298"/>
        <v>679384</v>
      </c>
      <c r="H1909">
        <f t="shared" si="299"/>
        <v>223791</v>
      </c>
      <c r="I1909">
        <f t="shared" si="292"/>
        <v>0</v>
      </c>
      <c r="J1909">
        <f t="shared" si="293"/>
        <v>0</v>
      </c>
      <c r="K1909">
        <f t="shared" si="294"/>
        <v>903175</v>
      </c>
      <c r="L1909">
        <f t="shared" si="295"/>
        <v>0</v>
      </c>
      <c r="M1909">
        <f t="shared" si="296"/>
        <v>0</v>
      </c>
      <c r="N1909">
        <f t="shared" si="297"/>
        <v>146</v>
      </c>
    </row>
    <row r="1910" spans="1:14" x14ac:dyDescent="0.35">
      <c r="A1910" s="5">
        <v>16527855</v>
      </c>
      <c r="B1910" s="6">
        <v>42943</v>
      </c>
      <c r="C1910" s="7">
        <v>0.54194444444444445</v>
      </c>
      <c r="D1910" s="8">
        <v>0.5513541666666667</v>
      </c>
      <c r="E1910" s="20">
        <f t="shared" si="290"/>
        <v>9.4097222222222499E-3</v>
      </c>
      <c r="F1910" t="str">
        <f t="shared" si="291"/>
        <v>komorkowy</v>
      </c>
      <c r="G1910" s="23">
        <f t="shared" si="298"/>
        <v>679384</v>
      </c>
      <c r="H1910">
        <f t="shared" si="299"/>
        <v>224604</v>
      </c>
      <c r="I1910">
        <f t="shared" si="292"/>
        <v>0</v>
      </c>
      <c r="J1910">
        <f t="shared" si="293"/>
        <v>0</v>
      </c>
      <c r="K1910">
        <f t="shared" si="294"/>
        <v>903988</v>
      </c>
      <c r="L1910">
        <f t="shared" si="295"/>
        <v>0</v>
      </c>
      <c r="M1910">
        <f t="shared" si="296"/>
        <v>0</v>
      </c>
      <c r="N1910">
        <f t="shared" si="297"/>
        <v>813</v>
      </c>
    </row>
    <row r="1911" spans="1:14" x14ac:dyDescent="0.35">
      <c r="A1911" s="9">
        <v>1055495</v>
      </c>
      <c r="B1911" s="10">
        <v>42943</v>
      </c>
      <c r="C1911" s="11">
        <v>0.54600694444444442</v>
      </c>
      <c r="D1911" s="12">
        <v>0.54866898148148147</v>
      </c>
      <c r="E1911" s="20">
        <f t="shared" si="290"/>
        <v>2.6620370370370461E-3</v>
      </c>
      <c r="F1911" t="str">
        <f t="shared" si="291"/>
        <v>stacjonarny</v>
      </c>
      <c r="G1911" s="23">
        <f t="shared" si="298"/>
        <v>679614</v>
      </c>
      <c r="H1911">
        <f t="shared" si="299"/>
        <v>224604</v>
      </c>
      <c r="I1911">
        <f t="shared" si="292"/>
        <v>0</v>
      </c>
      <c r="J1911">
        <f t="shared" si="293"/>
        <v>0</v>
      </c>
      <c r="K1911">
        <f t="shared" si="294"/>
        <v>904218</v>
      </c>
      <c r="L1911">
        <f t="shared" si="295"/>
        <v>0</v>
      </c>
      <c r="M1911">
        <f t="shared" si="296"/>
        <v>230</v>
      </c>
      <c r="N1911">
        <f t="shared" si="297"/>
        <v>0</v>
      </c>
    </row>
    <row r="1912" spans="1:14" x14ac:dyDescent="0.35">
      <c r="A1912" s="5">
        <v>9120318</v>
      </c>
      <c r="B1912" s="6">
        <v>42943</v>
      </c>
      <c r="C1912" s="7">
        <v>0.54690972222222223</v>
      </c>
      <c r="D1912" s="8">
        <v>0.54707175925925922</v>
      </c>
      <c r="E1912" s="20">
        <f t="shared" si="290"/>
        <v>1.6203703703698835E-4</v>
      </c>
      <c r="F1912" t="str">
        <f t="shared" si="291"/>
        <v>stacjonarny</v>
      </c>
      <c r="G1912" s="23">
        <f t="shared" si="298"/>
        <v>679628</v>
      </c>
      <c r="H1912">
        <f t="shared" si="299"/>
        <v>224604</v>
      </c>
      <c r="I1912">
        <f t="shared" si="292"/>
        <v>0</v>
      </c>
      <c r="J1912">
        <f t="shared" si="293"/>
        <v>0</v>
      </c>
      <c r="K1912">
        <f t="shared" si="294"/>
        <v>904232</v>
      </c>
      <c r="L1912">
        <f t="shared" si="295"/>
        <v>0</v>
      </c>
      <c r="M1912">
        <f t="shared" si="296"/>
        <v>14</v>
      </c>
      <c r="N1912">
        <f t="shared" si="297"/>
        <v>0</v>
      </c>
    </row>
    <row r="1913" spans="1:14" x14ac:dyDescent="0.35">
      <c r="A1913" s="9">
        <v>4030817</v>
      </c>
      <c r="B1913" s="10">
        <v>42943</v>
      </c>
      <c r="C1913" s="11">
        <v>0.55092592592592593</v>
      </c>
      <c r="D1913" s="12">
        <v>0.56030092592592595</v>
      </c>
      <c r="E1913" s="20">
        <f t="shared" si="290"/>
        <v>9.3750000000000222E-3</v>
      </c>
      <c r="F1913" t="str">
        <f t="shared" si="291"/>
        <v>stacjonarny</v>
      </c>
      <c r="G1913" s="23">
        <f t="shared" si="298"/>
        <v>680438</v>
      </c>
      <c r="H1913">
        <f t="shared" si="299"/>
        <v>224604</v>
      </c>
      <c r="I1913">
        <f t="shared" si="292"/>
        <v>0</v>
      </c>
      <c r="J1913">
        <f t="shared" si="293"/>
        <v>0</v>
      </c>
      <c r="K1913">
        <f t="shared" si="294"/>
        <v>905042</v>
      </c>
      <c r="L1913">
        <f t="shared" si="295"/>
        <v>0</v>
      </c>
      <c r="M1913">
        <f t="shared" si="296"/>
        <v>810</v>
      </c>
      <c r="N1913">
        <f t="shared" si="297"/>
        <v>0</v>
      </c>
    </row>
    <row r="1914" spans="1:14" x14ac:dyDescent="0.35">
      <c r="A1914" s="5">
        <v>1025756</v>
      </c>
      <c r="B1914" s="6">
        <v>42943</v>
      </c>
      <c r="C1914" s="7">
        <v>0.55116898148148152</v>
      </c>
      <c r="D1914" s="8">
        <v>0.56047453703703709</v>
      </c>
      <c r="E1914" s="20">
        <f t="shared" si="290"/>
        <v>9.3055555555555669E-3</v>
      </c>
      <c r="F1914" t="str">
        <f t="shared" si="291"/>
        <v>stacjonarny</v>
      </c>
      <c r="G1914" s="23">
        <f t="shared" si="298"/>
        <v>681242</v>
      </c>
      <c r="H1914">
        <f t="shared" si="299"/>
        <v>224604</v>
      </c>
      <c r="I1914">
        <f t="shared" si="292"/>
        <v>0</v>
      </c>
      <c r="J1914">
        <f t="shared" si="293"/>
        <v>0</v>
      </c>
      <c r="K1914">
        <f t="shared" si="294"/>
        <v>905846</v>
      </c>
      <c r="L1914">
        <f t="shared" si="295"/>
        <v>0</v>
      </c>
      <c r="M1914">
        <f t="shared" si="296"/>
        <v>804</v>
      </c>
      <c r="N1914">
        <f t="shared" si="297"/>
        <v>0</v>
      </c>
    </row>
    <row r="1915" spans="1:14" x14ac:dyDescent="0.35">
      <c r="A1915" s="9">
        <v>29880225</v>
      </c>
      <c r="B1915" s="10">
        <v>42943</v>
      </c>
      <c r="C1915" s="11">
        <v>0.55174768518518513</v>
      </c>
      <c r="D1915" s="12">
        <v>0.55920138888888893</v>
      </c>
      <c r="E1915" s="20">
        <f t="shared" si="290"/>
        <v>7.4537037037037956E-3</v>
      </c>
      <c r="F1915" t="str">
        <f t="shared" si="291"/>
        <v>komorkowy</v>
      </c>
      <c r="G1915" s="23">
        <f t="shared" si="298"/>
        <v>681242</v>
      </c>
      <c r="H1915">
        <f t="shared" si="299"/>
        <v>225248</v>
      </c>
      <c r="I1915">
        <f t="shared" si="292"/>
        <v>0</v>
      </c>
      <c r="J1915">
        <f t="shared" si="293"/>
        <v>0</v>
      </c>
      <c r="K1915">
        <f t="shared" si="294"/>
        <v>906490</v>
      </c>
      <c r="L1915">
        <f t="shared" si="295"/>
        <v>0</v>
      </c>
      <c r="M1915">
        <f t="shared" si="296"/>
        <v>0</v>
      </c>
      <c r="N1915">
        <f t="shared" si="297"/>
        <v>644</v>
      </c>
    </row>
    <row r="1916" spans="1:14" x14ac:dyDescent="0.35">
      <c r="A1916" s="5">
        <v>4791902</v>
      </c>
      <c r="B1916" s="6">
        <v>42943</v>
      </c>
      <c r="C1916" s="7">
        <v>0.55718749999999995</v>
      </c>
      <c r="D1916" s="8">
        <v>0.55753472222222222</v>
      </c>
      <c r="E1916" s="20">
        <f t="shared" si="290"/>
        <v>3.472222222222765E-4</v>
      </c>
      <c r="F1916" t="str">
        <f t="shared" si="291"/>
        <v>stacjonarny</v>
      </c>
      <c r="G1916" s="23">
        <f t="shared" si="298"/>
        <v>681272</v>
      </c>
      <c r="H1916">
        <f t="shared" si="299"/>
        <v>225248</v>
      </c>
      <c r="I1916">
        <f t="shared" si="292"/>
        <v>0</v>
      </c>
      <c r="J1916">
        <f t="shared" si="293"/>
        <v>0</v>
      </c>
      <c r="K1916">
        <f t="shared" si="294"/>
        <v>906520</v>
      </c>
      <c r="L1916">
        <f t="shared" si="295"/>
        <v>0</v>
      </c>
      <c r="M1916">
        <f t="shared" si="296"/>
        <v>30</v>
      </c>
      <c r="N1916">
        <f t="shared" si="297"/>
        <v>0</v>
      </c>
    </row>
    <row r="1917" spans="1:14" x14ac:dyDescent="0.35">
      <c r="A1917" s="9">
        <v>5228419</v>
      </c>
      <c r="B1917" s="10">
        <v>42943</v>
      </c>
      <c r="C1917" s="11">
        <v>0.55995370370370368</v>
      </c>
      <c r="D1917" s="12">
        <v>0.56405092592592587</v>
      </c>
      <c r="E1917" s="20">
        <f t="shared" si="290"/>
        <v>4.0972222222221966E-3</v>
      </c>
      <c r="F1917" t="str">
        <f t="shared" si="291"/>
        <v>stacjonarny</v>
      </c>
      <c r="G1917" s="23">
        <f t="shared" si="298"/>
        <v>681626</v>
      </c>
      <c r="H1917">
        <f t="shared" si="299"/>
        <v>225248</v>
      </c>
      <c r="I1917">
        <f t="shared" si="292"/>
        <v>0</v>
      </c>
      <c r="J1917">
        <f t="shared" si="293"/>
        <v>0</v>
      </c>
      <c r="K1917">
        <f t="shared" si="294"/>
        <v>906874</v>
      </c>
      <c r="L1917">
        <f t="shared" si="295"/>
        <v>0</v>
      </c>
      <c r="M1917">
        <f t="shared" si="296"/>
        <v>354</v>
      </c>
      <c r="N1917">
        <f t="shared" si="297"/>
        <v>0</v>
      </c>
    </row>
    <row r="1918" spans="1:14" x14ac:dyDescent="0.35">
      <c r="A1918" s="5">
        <v>8991671</v>
      </c>
      <c r="B1918" s="6">
        <v>42943</v>
      </c>
      <c r="C1918" s="7">
        <v>0.56268518518518518</v>
      </c>
      <c r="D1918" s="8">
        <v>0.56517361111111108</v>
      </c>
      <c r="E1918" s="20">
        <f t="shared" si="290"/>
        <v>2.4884259259259078E-3</v>
      </c>
      <c r="F1918" t="str">
        <f t="shared" si="291"/>
        <v>stacjonarny</v>
      </c>
      <c r="G1918" s="23">
        <f t="shared" si="298"/>
        <v>681841</v>
      </c>
      <c r="H1918">
        <f t="shared" si="299"/>
        <v>225248</v>
      </c>
      <c r="I1918">
        <f t="shared" si="292"/>
        <v>0</v>
      </c>
      <c r="J1918">
        <f t="shared" si="293"/>
        <v>0</v>
      </c>
      <c r="K1918">
        <f t="shared" si="294"/>
        <v>907089</v>
      </c>
      <c r="L1918">
        <f t="shared" si="295"/>
        <v>0</v>
      </c>
      <c r="M1918">
        <f t="shared" si="296"/>
        <v>215</v>
      </c>
      <c r="N1918">
        <f t="shared" si="297"/>
        <v>0</v>
      </c>
    </row>
    <row r="1919" spans="1:14" x14ac:dyDescent="0.35">
      <c r="A1919" s="9">
        <v>8045338707</v>
      </c>
      <c r="B1919" s="10">
        <v>42943</v>
      </c>
      <c r="C1919" s="11">
        <v>0.56680555555555556</v>
      </c>
      <c r="D1919" s="12">
        <v>0.56877314814814817</v>
      </c>
      <c r="E1919" s="20">
        <f t="shared" si="290"/>
        <v>1.9675925925926041E-3</v>
      </c>
      <c r="F1919" t="str">
        <f t="shared" si="291"/>
        <v>zagraniczny</v>
      </c>
      <c r="G1919" s="23">
        <f t="shared" si="298"/>
        <v>681841</v>
      </c>
      <c r="H1919">
        <f t="shared" si="299"/>
        <v>225248</v>
      </c>
      <c r="I1919">
        <f t="shared" si="292"/>
        <v>170</v>
      </c>
      <c r="J1919">
        <f t="shared" si="293"/>
        <v>3</v>
      </c>
      <c r="K1919">
        <f t="shared" si="294"/>
        <v>907089</v>
      </c>
      <c r="L1919">
        <f t="shared" si="295"/>
        <v>0</v>
      </c>
      <c r="M1919">
        <f t="shared" si="296"/>
        <v>0</v>
      </c>
      <c r="N1919">
        <f t="shared" si="297"/>
        <v>0</v>
      </c>
    </row>
    <row r="1920" spans="1:14" x14ac:dyDescent="0.35">
      <c r="A1920" s="5">
        <v>9192546</v>
      </c>
      <c r="B1920" s="6">
        <v>42943</v>
      </c>
      <c r="C1920" s="7">
        <v>0.57233796296296291</v>
      </c>
      <c r="D1920" s="8">
        <v>0.57620370370370366</v>
      </c>
      <c r="E1920" s="20">
        <f t="shared" si="290"/>
        <v>3.8657407407407529E-3</v>
      </c>
      <c r="F1920" t="str">
        <f t="shared" si="291"/>
        <v>stacjonarny</v>
      </c>
      <c r="G1920" s="23">
        <f t="shared" si="298"/>
        <v>682175</v>
      </c>
      <c r="H1920">
        <f t="shared" si="299"/>
        <v>225248</v>
      </c>
      <c r="I1920">
        <f t="shared" si="292"/>
        <v>0</v>
      </c>
      <c r="J1920">
        <f t="shared" si="293"/>
        <v>0</v>
      </c>
      <c r="K1920">
        <f t="shared" si="294"/>
        <v>907423</v>
      </c>
      <c r="L1920">
        <f t="shared" si="295"/>
        <v>0</v>
      </c>
      <c r="M1920">
        <f t="shared" si="296"/>
        <v>334</v>
      </c>
      <c r="N1920">
        <f t="shared" si="297"/>
        <v>0</v>
      </c>
    </row>
    <row r="1921" spans="1:14" x14ac:dyDescent="0.35">
      <c r="A1921" s="9">
        <v>9664752</v>
      </c>
      <c r="B1921" s="10">
        <v>42943</v>
      </c>
      <c r="C1921" s="11">
        <v>0.57563657407407409</v>
      </c>
      <c r="D1921" s="12">
        <v>0.57976851851851852</v>
      </c>
      <c r="E1921" s="20">
        <f t="shared" si="290"/>
        <v>4.1319444444444242E-3</v>
      </c>
      <c r="F1921" t="str">
        <f t="shared" si="291"/>
        <v>stacjonarny</v>
      </c>
      <c r="G1921" s="23">
        <f t="shared" si="298"/>
        <v>682532</v>
      </c>
      <c r="H1921">
        <f t="shared" si="299"/>
        <v>225248</v>
      </c>
      <c r="I1921">
        <f t="shared" si="292"/>
        <v>0</v>
      </c>
      <c r="J1921">
        <f t="shared" si="293"/>
        <v>0</v>
      </c>
      <c r="K1921">
        <f t="shared" si="294"/>
        <v>907780</v>
      </c>
      <c r="L1921">
        <f t="shared" si="295"/>
        <v>0</v>
      </c>
      <c r="M1921">
        <f t="shared" si="296"/>
        <v>357</v>
      </c>
      <c r="N1921">
        <f t="shared" si="297"/>
        <v>0</v>
      </c>
    </row>
    <row r="1922" spans="1:14" x14ac:dyDescent="0.35">
      <c r="A1922" s="5">
        <v>62653835</v>
      </c>
      <c r="B1922" s="6">
        <v>42943</v>
      </c>
      <c r="C1922" s="7">
        <v>0.58034722222222224</v>
      </c>
      <c r="D1922" s="8">
        <v>0.58803240740740736</v>
      </c>
      <c r="E1922" s="20">
        <f t="shared" si="290"/>
        <v>7.6851851851851283E-3</v>
      </c>
      <c r="F1922" t="str">
        <f t="shared" si="291"/>
        <v>komorkowy</v>
      </c>
      <c r="G1922" s="23">
        <f t="shared" si="298"/>
        <v>682532</v>
      </c>
      <c r="H1922">
        <f t="shared" si="299"/>
        <v>225912</v>
      </c>
      <c r="I1922">
        <f t="shared" si="292"/>
        <v>0</v>
      </c>
      <c r="J1922">
        <f t="shared" si="293"/>
        <v>0</v>
      </c>
      <c r="K1922">
        <f t="shared" si="294"/>
        <v>908444</v>
      </c>
      <c r="L1922">
        <f t="shared" si="295"/>
        <v>0</v>
      </c>
      <c r="M1922">
        <f t="shared" si="296"/>
        <v>0</v>
      </c>
      <c r="N1922">
        <f t="shared" si="297"/>
        <v>664</v>
      </c>
    </row>
    <row r="1923" spans="1:14" x14ac:dyDescent="0.35">
      <c r="A1923" s="9">
        <v>6087301</v>
      </c>
      <c r="B1923" s="10">
        <v>42943</v>
      </c>
      <c r="C1923" s="11">
        <v>0.58589120370370373</v>
      </c>
      <c r="D1923" s="12">
        <v>0.59706018518518522</v>
      </c>
      <c r="E1923" s="20">
        <f t="shared" ref="E1923:E1986" si="300">D1923-C1923</f>
        <v>1.1168981481481488E-2</v>
      </c>
      <c r="F1923" t="str">
        <f t="shared" ref="F1923:F1986" si="301">IF(LEN(A1923)=7,"stacjonarny",IF(LEN(A1923)=8,"komorkowy","zagraniczny"))</f>
        <v>stacjonarny</v>
      </c>
      <c r="G1923" s="23">
        <f t="shared" si="298"/>
        <v>683497</v>
      </c>
      <c r="H1923">
        <f t="shared" si="299"/>
        <v>225912</v>
      </c>
      <c r="I1923">
        <f t="shared" ref="I1923:I1986" si="302">IF(F1923="zagraniczny",MINUTE(E1923)*60+SECOND(E1923)+HOUR(E1923)*3600,0)</f>
        <v>0</v>
      </c>
      <c r="J1923">
        <f t="shared" ref="J1923:J1986" si="303">ROUNDUP(I1923/60,0)</f>
        <v>0</v>
      </c>
      <c r="K1923">
        <f t="shared" ref="K1923:K1986" si="304">G1923+H1923</f>
        <v>909409</v>
      </c>
      <c r="L1923">
        <f t="shared" ref="L1923:L1986" si="305">IF(K1923&lt;=48000,1,0)</f>
        <v>0</v>
      </c>
      <c r="M1923">
        <f t="shared" ref="M1923:M1986" si="306">IF(AND(L1923=0,F1923="stacjonarny"),SECOND(E1923)+60*MINUTE(E1923),0)</f>
        <v>965</v>
      </c>
      <c r="N1923">
        <f t="shared" ref="N1923:N1986" si="307">IF(AND(L1923=0,F1923="komorkowy"),SECOND(E1923)+60*MINUTE(E1923),0)</f>
        <v>0</v>
      </c>
    </row>
    <row r="1924" spans="1:14" x14ac:dyDescent="0.35">
      <c r="A1924" s="5">
        <v>3864488</v>
      </c>
      <c r="B1924" s="6">
        <v>42943</v>
      </c>
      <c r="C1924" s="7">
        <v>0.58601851851851849</v>
      </c>
      <c r="D1924" s="8">
        <v>0.58971064814814811</v>
      </c>
      <c r="E1924" s="20">
        <f t="shared" si="300"/>
        <v>3.6921296296296147E-3</v>
      </c>
      <c r="F1924" t="str">
        <f t="shared" si="301"/>
        <v>stacjonarny</v>
      </c>
      <c r="G1924" s="23">
        <f t="shared" ref="G1924:G1987" si="308">IF(F1924="stacjonarny",MINUTE(E1924)*60+SECOND(E1924)+G1923,G1923)</f>
        <v>683816</v>
      </c>
      <c r="H1924">
        <f t="shared" ref="H1924:H1987" si="309">IF(F1924="komorkowy",MINUTE(E1924)*60+SECOND(E1924)+H1923,H1923)</f>
        <v>225912</v>
      </c>
      <c r="I1924">
        <f t="shared" si="302"/>
        <v>0</v>
      </c>
      <c r="J1924">
        <f t="shared" si="303"/>
        <v>0</v>
      </c>
      <c r="K1924">
        <f t="shared" si="304"/>
        <v>909728</v>
      </c>
      <c r="L1924">
        <f t="shared" si="305"/>
        <v>0</v>
      </c>
      <c r="M1924">
        <f t="shared" si="306"/>
        <v>319</v>
      </c>
      <c r="N1924">
        <f t="shared" si="307"/>
        <v>0</v>
      </c>
    </row>
    <row r="1925" spans="1:14" x14ac:dyDescent="0.35">
      <c r="A1925" s="9">
        <v>5604405</v>
      </c>
      <c r="B1925" s="10">
        <v>42943</v>
      </c>
      <c r="C1925" s="11">
        <v>0.58655092592592595</v>
      </c>
      <c r="D1925" s="12">
        <v>0.59761574074074075</v>
      </c>
      <c r="E1925" s="20">
        <f t="shared" si="300"/>
        <v>1.1064814814814805E-2</v>
      </c>
      <c r="F1925" t="str">
        <f t="shared" si="301"/>
        <v>stacjonarny</v>
      </c>
      <c r="G1925" s="23">
        <f t="shared" si="308"/>
        <v>684772</v>
      </c>
      <c r="H1925">
        <f t="shared" si="309"/>
        <v>225912</v>
      </c>
      <c r="I1925">
        <f t="shared" si="302"/>
        <v>0</v>
      </c>
      <c r="J1925">
        <f t="shared" si="303"/>
        <v>0</v>
      </c>
      <c r="K1925">
        <f t="shared" si="304"/>
        <v>910684</v>
      </c>
      <c r="L1925">
        <f t="shared" si="305"/>
        <v>0</v>
      </c>
      <c r="M1925">
        <f t="shared" si="306"/>
        <v>956</v>
      </c>
      <c r="N1925">
        <f t="shared" si="307"/>
        <v>0</v>
      </c>
    </row>
    <row r="1926" spans="1:14" x14ac:dyDescent="0.35">
      <c r="A1926" s="5">
        <v>4774889</v>
      </c>
      <c r="B1926" s="6">
        <v>42943</v>
      </c>
      <c r="C1926" s="7">
        <v>0.58733796296296292</v>
      </c>
      <c r="D1926" s="8">
        <v>0.59475694444444449</v>
      </c>
      <c r="E1926" s="20">
        <f t="shared" si="300"/>
        <v>7.418981481481568E-3</v>
      </c>
      <c r="F1926" t="str">
        <f t="shared" si="301"/>
        <v>stacjonarny</v>
      </c>
      <c r="G1926" s="23">
        <f t="shared" si="308"/>
        <v>685413</v>
      </c>
      <c r="H1926">
        <f t="shared" si="309"/>
        <v>225912</v>
      </c>
      <c r="I1926">
        <f t="shared" si="302"/>
        <v>0</v>
      </c>
      <c r="J1926">
        <f t="shared" si="303"/>
        <v>0</v>
      </c>
      <c r="K1926">
        <f t="shared" si="304"/>
        <v>911325</v>
      </c>
      <c r="L1926">
        <f t="shared" si="305"/>
        <v>0</v>
      </c>
      <c r="M1926">
        <f t="shared" si="306"/>
        <v>641</v>
      </c>
      <c r="N1926">
        <f t="shared" si="307"/>
        <v>0</v>
      </c>
    </row>
    <row r="1927" spans="1:14" x14ac:dyDescent="0.35">
      <c r="A1927" s="9">
        <v>4017213</v>
      </c>
      <c r="B1927" s="10">
        <v>42943</v>
      </c>
      <c r="C1927" s="11">
        <v>0.59228009259259262</v>
      </c>
      <c r="D1927" s="12">
        <v>0.60034722222222225</v>
      </c>
      <c r="E1927" s="20">
        <f t="shared" si="300"/>
        <v>8.0671296296296324E-3</v>
      </c>
      <c r="F1927" t="str">
        <f t="shared" si="301"/>
        <v>stacjonarny</v>
      </c>
      <c r="G1927" s="23">
        <f t="shared" si="308"/>
        <v>686110</v>
      </c>
      <c r="H1927">
        <f t="shared" si="309"/>
        <v>225912</v>
      </c>
      <c r="I1927">
        <f t="shared" si="302"/>
        <v>0</v>
      </c>
      <c r="J1927">
        <f t="shared" si="303"/>
        <v>0</v>
      </c>
      <c r="K1927">
        <f t="shared" si="304"/>
        <v>912022</v>
      </c>
      <c r="L1927">
        <f t="shared" si="305"/>
        <v>0</v>
      </c>
      <c r="M1927">
        <f t="shared" si="306"/>
        <v>697</v>
      </c>
      <c r="N1927">
        <f t="shared" si="307"/>
        <v>0</v>
      </c>
    </row>
    <row r="1928" spans="1:14" x14ac:dyDescent="0.35">
      <c r="A1928" s="5">
        <v>4720934</v>
      </c>
      <c r="B1928" s="6">
        <v>42943</v>
      </c>
      <c r="C1928" s="7">
        <v>0.59624999999999995</v>
      </c>
      <c r="D1928" s="8">
        <v>0.59810185185185183</v>
      </c>
      <c r="E1928" s="20">
        <f t="shared" si="300"/>
        <v>1.8518518518518823E-3</v>
      </c>
      <c r="F1928" t="str">
        <f t="shared" si="301"/>
        <v>stacjonarny</v>
      </c>
      <c r="G1928" s="23">
        <f t="shared" si="308"/>
        <v>686270</v>
      </c>
      <c r="H1928">
        <f t="shared" si="309"/>
        <v>225912</v>
      </c>
      <c r="I1928">
        <f t="shared" si="302"/>
        <v>0</v>
      </c>
      <c r="J1928">
        <f t="shared" si="303"/>
        <v>0</v>
      </c>
      <c r="K1928">
        <f t="shared" si="304"/>
        <v>912182</v>
      </c>
      <c r="L1928">
        <f t="shared" si="305"/>
        <v>0</v>
      </c>
      <c r="M1928">
        <f t="shared" si="306"/>
        <v>160</v>
      </c>
      <c r="N1928">
        <f t="shared" si="307"/>
        <v>0</v>
      </c>
    </row>
    <row r="1929" spans="1:14" x14ac:dyDescent="0.35">
      <c r="A1929" s="9">
        <v>13494237</v>
      </c>
      <c r="B1929" s="10">
        <v>42943</v>
      </c>
      <c r="C1929" s="11">
        <v>0.60160879629629627</v>
      </c>
      <c r="D1929" s="12">
        <v>0.61234953703703698</v>
      </c>
      <c r="E1929" s="20">
        <f t="shared" si="300"/>
        <v>1.0740740740740717E-2</v>
      </c>
      <c r="F1929" t="str">
        <f t="shared" si="301"/>
        <v>komorkowy</v>
      </c>
      <c r="G1929" s="23">
        <f t="shared" si="308"/>
        <v>686270</v>
      </c>
      <c r="H1929">
        <f t="shared" si="309"/>
        <v>226840</v>
      </c>
      <c r="I1929">
        <f t="shared" si="302"/>
        <v>0</v>
      </c>
      <c r="J1929">
        <f t="shared" si="303"/>
        <v>0</v>
      </c>
      <c r="K1929">
        <f t="shared" si="304"/>
        <v>913110</v>
      </c>
      <c r="L1929">
        <f t="shared" si="305"/>
        <v>0</v>
      </c>
      <c r="M1929">
        <f t="shared" si="306"/>
        <v>0</v>
      </c>
      <c r="N1929">
        <f t="shared" si="307"/>
        <v>928</v>
      </c>
    </row>
    <row r="1930" spans="1:14" x14ac:dyDescent="0.35">
      <c r="A1930" s="5">
        <v>71807686</v>
      </c>
      <c r="B1930" s="6">
        <v>42943</v>
      </c>
      <c r="C1930" s="7">
        <v>0.60339120370370369</v>
      </c>
      <c r="D1930" s="8">
        <v>0.61410879629629633</v>
      </c>
      <c r="E1930" s="20">
        <f t="shared" si="300"/>
        <v>1.071759259259264E-2</v>
      </c>
      <c r="F1930" t="str">
        <f t="shared" si="301"/>
        <v>komorkowy</v>
      </c>
      <c r="G1930" s="23">
        <f t="shared" si="308"/>
        <v>686270</v>
      </c>
      <c r="H1930">
        <f t="shared" si="309"/>
        <v>227766</v>
      </c>
      <c r="I1930">
        <f t="shared" si="302"/>
        <v>0</v>
      </c>
      <c r="J1930">
        <f t="shared" si="303"/>
        <v>0</v>
      </c>
      <c r="K1930">
        <f t="shared" si="304"/>
        <v>914036</v>
      </c>
      <c r="L1930">
        <f t="shared" si="305"/>
        <v>0</v>
      </c>
      <c r="M1930">
        <f t="shared" si="306"/>
        <v>0</v>
      </c>
      <c r="N1930">
        <f t="shared" si="307"/>
        <v>926</v>
      </c>
    </row>
    <row r="1931" spans="1:14" x14ac:dyDescent="0.35">
      <c r="A1931" s="9">
        <v>7865609</v>
      </c>
      <c r="B1931" s="10">
        <v>42943</v>
      </c>
      <c r="C1931" s="11">
        <v>0.60826388888888894</v>
      </c>
      <c r="D1931" s="12">
        <v>0.61071759259259262</v>
      </c>
      <c r="E1931" s="20">
        <f t="shared" si="300"/>
        <v>2.4537037037036802E-3</v>
      </c>
      <c r="F1931" t="str">
        <f t="shared" si="301"/>
        <v>stacjonarny</v>
      </c>
      <c r="G1931" s="23">
        <f t="shared" si="308"/>
        <v>686482</v>
      </c>
      <c r="H1931">
        <f t="shared" si="309"/>
        <v>227766</v>
      </c>
      <c r="I1931">
        <f t="shared" si="302"/>
        <v>0</v>
      </c>
      <c r="J1931">
        <f t="shared" si="303"/>
        <v>0</v>
      </c>
      <c r="K1931">
        <f t="shared" si="304"/>
        <v>914248</v>
      </c>
      <c r="L1931">
        <f t="shared" si="305"/>
        <v>0</v>
      </c>
      <c r="M1931">
        <f t="shared" si="306"/>
        <v>212</v>
      </c>
      <c r="N1931">
        <f t="shared" si="307"/>
        <v>0</v>
      </c>
    </row>
    <row r="1932" spans="1:14" x14ac:dyDescent="0.35">
      <c r="A1932" s="5">
        <v>5318850</v>
      </c>
      <c r="B1932" s="6">
        <v>42943</v>
      </c>
      <c r="C1932" s="7">
        <v>0.61053240740740744</v>
      </c>
      <c r="D1932" s="8">
        <v>0.61406249999999996</v>
      </c>
      <c r="E1932" s="20">
        <f t="shared" si="300"/>
        <v>3.5300925925925153E-3</v>
      </c>
      <c r="F1932" t="str">
        <f t="shared" si="301"/>
        <v>stacjonarny</v>
      </c>
      <c r="G1932" s="23">
        <f t="shared" si="308"/>
        <v>686787</v>
      </c>
      <c r="H1932">
        <f t="shared" si="309"/>
        <v>227766</v>
      </c>
      <c r="I1932">
        <f t="shared" si="302"/>
        <v>0</v>
      </c>
      <c r="J1932">
        <f t="shared" si="303"/>
        <v>0</v>
      </c>
      <c r="K1932">
        <f t="shared" si="304"/>
        <v>914553</v>
      </c>
      <c r="L1932">
        <f t="shared" si="305"/>
        <v>0</v>
      </c>
      <c r="M1932">
        <f t="shared" si="306"/>
        <v>305</v>
      </c>
      <c r="N1932">
        <f t="shared" si="307"/>
        <v>0</v>
      </c>
    </row>
    <row r="1933" spans="1:14" x14ac:dyDescent="0.35">
      <c r="A1933" s="9">
        <v>63613334</v>
      </c>
      <c r="B1933" s="10">
        <v>42943</v>
      </c>
      <c r="C1933" s="11">
        <v>0.61393518518518519</v>
      </c>
      <c r="D1933" s="12">
        <v>0.61831018518518521</v>
      </c>
      <c r="E1933" s="20">
        <f t="shared" si="300"/>
        <v>4.3750000000000178E-3</v>
      </c>
      <c r="F1933" t="str">
        <f t="shared" si="301"/>
        <v>komorkowy</v>
      </c>
      <c r="G1933" s="23">
        <f t="shared" si="308"/>
        <v>686787</v>
      </c>
      <c r="H1933">
        <f t="shared" si="309"/>
        <v>228144</v>
      </c>
      <c r="I1933">
        <f t="shared" si="302"/>
        <v>0</v>
      </c>
      <c r="J1933">
        <f t="shared" si="303"/>
        <v>0</v>
      </c>
      <c r="K1933">
        <f t="shared" si="304"/>
        <v>914931</v>
      </c>
      <c r="L1933">
        <f t="shared" si="305"/>
        <v>0</v>
      </c>
      <c r="M1933">
        <f t="shared" si="306"/>
        <v>0</v>
      </c>
      <c r="N1933">
        <f t="shared" si="307"/>
        <v>378</v>
      </c>
    </row>
    <row r="1934" spans="1:14" x14ac:dyDescent="0.35">
      <c r="A1934" s="5">
        <v>2256093</v>
      </c>
      <c r="B1934" s="6">
        <v>42943</v>
      </c>
      <c r="C1934" s="7">
        <v>0.61958333333333337</v>
      </c>
      <c r="D1934" s="8">
        <v>0.62275462962962957</v>
      </c>
      <c r="E1934" s="20">
        <f t="shared" si="300"/>
        <v>3.1712962962961999E-3</v>
      </c>
      <c r="F1934" t="str">
        <f t="shared" si="301"/>
        <v>stacjonarny</v>
      </c>
      <c r="G1934" s="23">
        <f t="shared" si="308"/>
        <v>687061</v>
      </c>
      <c r="H1934">
        <f t="shared" si="309"/>
        <v>228144</v>
      </c>
      <c r="I1934">
        <f t="shared" si="302"/>
        <v>0</v>
      </c>
      <c r="J1934">
        <f t="shared" si="303"/>
        <v>0</v>
      </c>
      <c r="K1934">
        <f t="shared" si="304"/>
        <v>915205</v>
      </c>
      <c r="L1934">
        <f t="shared" si="305"/>
        <v>0</v>
      </c>
      <c r="M1934">
        <f t="shared" si="306"/>
        <v>274</v>
      </c>
      <c r="N1934">
        <f t="shared" si="307"/>
        <v>0</v>
      </c>
    </row>
    <row r="1935" spans="1:14" x14ac:dyDescent="0.35">
      <c r="A1935" s="9">
        <v>7421094</v>
      </c>
      <c r="B1935" s="10">
        <v>42943</v>
      </c>
      <c r="C1935" s="11">
        <v>0.62206018518518513</v>
      </c>
      <c r="D1935" s="12">
        <v>0.62554398148148149</v>
      </c>
      <c r="E1935" s="20">
        <f t="shared" si="300"/>
        <v>3.4837962962963598E-3</v>
      </c>
      <c r="F1935" t="str">
        <f t="shared" si="301"/>
        <v>stacjonarny</v>
      </c>
      <c r="G1935" s="23">
        <f t="shared" si="308"/>
        <v>687362</v>
      </c>
      <c r="H1935">
        <f t="shared" si="309"/>
        <v>228144</v>
      </c>
      <c r="I1935">
        <f t="shared" si="302"/>
        <v>0</v>
      </c>
      <c r="J1935">
        <f t="shared" si="303"/>
        <v>0</v>
      </c>
      <c r="K1935">
        <f t="shared" si="304"/>
        <v>915506</v>
      </c>
      <c r="L1935">
        <f t="shared" si="305"/>
        <v>0</v>
      </c>
      <c r="M1935">
        <f t="shared" si="306"/>
        <v>301</v>
      </c>
      <c r="N1935">
        <f t="shared" si="307"/>
        <v>0</v>
      </c>
    </row>
    <row r="1936" spans="1:14" x14ac:dyDescent="0.35">
      <c r="A1936" s="5">
        <v>5376362</v>
      </c>
      <c r="B1936" s="6">
        <v>42943</v>
      </c>
      <c r="C1936" s="7">
        <v>0.6255208333333333</v>
      </c>
      <c r="D1936" s="8">
        <v>0.63026620370370368</v>
      </c>
      <c r="E1936" s="20">
        <f t="shared" si="300"/>
        <v>4.745370370370372E-3</v>
      </c>
      <c r="F1936" t="str">
        <f t="shared" si="301"/>
        <v>stacjonarny</v>
      </c>
      <c r="G1936" s="23">
        <f t="shared" si="308"/>
        <v>687772</v>
      </c>
      <c r="H1936">
        <f t="shared" si="309"/>
        <v>228144</v>
      </c>
      <c r="I1936">
        <f t="shared" si="302"/>
        <v>0</v>
      </c>
      <c r="J1936">
        <f t="shared" si="303"/>
        <v>0</v>
      </c>
      <c r="K1936">
        <f t="shared" si="304"/>
        <v>915916</v>
      </c>
      <c r="L1936">
        <f t="shared" si="305"/>
        <v>0</v>
      </c>
      <c r="M1936">
        <f t="shared" si="306"/>
        <v>410</v>
      </c>
      <c r="N1936">
        <f t="shared" si="307"/>
        <v>0</v>
      </c>
    </row>
    <row r="1937" spans="1:14" x14ac:dyDescent="0.35">
      <c r="A1937" s="9">
        <v>8967842</v>
      </c>
      <c r="B1937" s="10">
        <v>42944</v>
      </c>
      <c r="C1937" s="11">
        <v>0.3369328703703704</v>
      </c>
      <c r="D1937" s="12">
        <v>0.34400462962962963</v>
      </c>
      <c r="E1937" s="20">
        <f t="shared" si="300"/>
        <v>7.071759259259236E-3</v>
      </c>
      <c r="F1937" t="str">
        <f t="shared" si="301"/>
        <v>stacjonarny</v>
      </c>
      <c r="G1937" s="23">
        <f t="shared" si="308"/>
        <v>688383</v>
      </c>
      <c r="H1937">
        <f t="shared" si="309"/>
        <v>228144</v>
      </c>
      <c r="I1937">
        <f t="shared" si="302"/>
        <v>0</v>
      </c>
      <c r="J1937">
        <f t="shared" si="303"/>
        <v>0</v>
      </c>
      <c r="K1937">
        <f t="shared" si="304"/>
        <v>916527</v>
      </c>
      <c r="L1937">
        <f t="shared" si="305"/>
        <v>0</v>
      </c>
      <c r="M1937">
        <f t="shared" si="306"/>
        <v>611</v>
      </c>
      <c r="N1937">
        <f t="shared" si="307"/>
        <v>0</v>
      </c>
    </row>
    <row r="1938" spans="1:14" x14ac:dyDescent="0.35">
      <c r="A1938" s="5">
        <v>76644634</v>
      </c>
      <c r="B1938" s="6">
        <v>42944</v>
      </c>
      <c r="C1938" s="7">
        <v>0.33696759259259257</v>
      </c>
      <c r="D1938" s="8">
        <v>0.33809027777777778</v>
      </c>
      <c r="E1938" s="20">
        <f t="shared" si="300"/>
        <v>1.1226851851852127E-3</v>
      </c>
      <c r="F1938" t="str">
        <f t="shared" si="301"/>
        <v>komorkowy</v>
      </c>
      <c r="G1938" s="23">
        <f t="shared" si="308"/>
        <v>688383</v>
      </c>
      <c r="H1938">
        <f t="shared" si="309"/>
        <v>228241</v>
      </c>
      <c r="I1938">
        <f t="shared" si="302"/>
        <v>0</v>
      </c>
      <c r="J1938">
        <f t="shared" si="303"/>
        <v>0</v>
      </c>
      <c r="K1938">
        <f t="shared" si="304"/>
        <v>916624</v>
      </c>
      <c r="L1938">
        <f t="shared" si="305"/>
        <v>0</v>
      </c>
      <c r="M1938">
        <f t="shared" si="306"/>
        <v>0</v>
      </c>
      <c r="N1938">
        <f t="shared" si="307"/>
        <v>97</v>
      </c>
    </row>
    <row r="1939" spans="1:14" x14ac:dyDescent="0.35">
      <c r="A1939" s="9">
        <v>7622819</v>
      </c>
      <c r="B1939" s="10">
        <v>42944</v>
      </c>
      <c r="C1939" s="11">
        <v>0.33831018518518519</v>
      </c>
      <c r="D1939" s="12">
        <v>0.34758101851851853</v>
      </c>
      <c r="E1939" s="20">
        <f t="shared" si="300"/>
        <v>9.2708333333333393E-3</v>
      </c>
      <c r="F1939" t="str">
        <f t="shared" si="301"/>
        <v>stacjonarny</v>
      </c>
      <c r="G1939" s="23">
        <f t="shared" si="308"/>
        <v>689184</v>
      </c>
      <c r="H1939">
        <f t="shared" si="309"/>
        <v>228241</v>
      </c>
      <c r="I1939">
        <f t="shared" si="302"/>
        <v>0</v>
      </c>
      <c r="J1939">
        <f t="shared" si="303"/>
        <v>0</v>
      </c>
      <c r="K1939">
        <f t="shared" si="304"/>
        <v>917425</v>
      </c>
      <c r="L1939">
        <f t="shared" si="305"/>
        <v>0</v>
      </c>
      <c r="M1939">
        <f t="shared" si="306"/>
        <v>801</v>
      </c>
      <c r="N1939">
        <f t="shared" si="307"/>
        <v>0</v>
      </c>
    </row>
    <row r="1940" spans="1:14" x14ac:dyDescent="0.35">
      <c r="A1940" s="5">
        <v>3524259</v>
      </c>
      <c r="B1940" s="6">
        <v>42944</v>
      </c>
      <c r="C1940" s="7">
        <v>0.33927083333333335</v>
      </c>
      <c r="D1940" s="8">
        <v>0.34861111111111109</v>
      </c>
      <c r="E1940" s="20">
        <f t="shared" si="300"/>
        <v>9.340277777777739E-3</v>
      </c>
      <c r="F1940" t="str">
        <f t="shared" si="301"/>
        <v>stacjonarny</v>
      </c>
      <c r="G1940" s="23">
        <f t="shared" si="308"/>
        <v>689991</v>
      </c>
      <c r="H1940">
        <f t="shared" si="309"/>
        <v>228241</v>
      </c>
      <c r="I1940">
        <f t="shared" si="302"/>
        <v>0</v>
      </c>
      <c r="J1940">
        <f t="shared" si="303"/>
        <v>0</v>
      </c>
      <c r="K1940">
        <f t="shared" si="304"/>
        <v>918232</v>
      </c>
      <c r="L1940">
        <f t="shared" si="305"/>
        <v>0</v>
      </c>
      <c r="M1940">
        <f t="shared" si="306"/>
        <v>807</v>
      </c>
      <c r="N1940">
        <f t="shared" si="307"/>
        <v>0</v>
      </c>
    </row>
    <row r="1941" spans="1:14" x14ac:dyDescent="0.35">
      <c r="A1941" s="9">
        <v>5550678</v>
      </c>
      <c r="B1941" s="10">
        <v>42944</v>
      </c>
      <c r="C1941" s="11">
        <v>0.34497685185185184</v>
      </c>
      <c r="D1941" s="12">
        <v>0.35487268518518517</v>
      </c>
      <c r="E1941" s="20">
        <f t="shared" si="300"/>
        <v>9.8958333333333259E-3</v>
      </c>
      <c r="F1941" t="str">
        <f t="shared" si="301"/>
        <v>stacjonarny</v>
      </c>
      <c r="G1941" s="23">
        <f t="shared" si="308"/>
        <v>690846</v>
      </c>
      <c r="H1941">
        <f t="shared" si="309"/>
        <v>228241</v>
      </c>
      <c r="I1941">
        <f t="shared" si="302"/>
        <v>0</v>
      </c>
      <c r="J1941">
        <f t="shared" si="303"/>
        <v>0</v>
      </c>
      <c r="K1941">
        <f t="shared" si="304"/>
        <v>919087</v>
      </c>
      <c r="L1941">
        <f t="shared" si="305"/>
        <v>0</v>
      </c>
      <c r="M1941">
        <f t="shared" si="306"/>
        <v>855</v>
      </c>
      <c r="N1941">
        <f t="shared" si="307"/>
        <v>0</v>
      </c>
    </row>
    <row r="1942" spans="1:14" x14ac:dyDescent="0.35">
      <c r="A1942" s="5">
        <v>41852472</v>
      </c>
      <c r="B1942" s="6">
        <v>42944</v>
      </c>
      <c r="C1942" s="7">
        <v>0.34826388888888887</v>
      </c>
      <c r="D1942" s="8">
        <v>0.34871527777777778</v>
      </c>
      <c r="E1942" s="20">
        <f t="shared" si="300"/>
        <v>4.5138888888890394E-4</v>
      </c>
      <c r="F1942" t="str">
        <f t="shared" si="301"/>
        <v>komorkowy</v>
      </c>
      <c r="G1942" s="23">
        <f t="shared" si="308"/>
        <v>690846</v>
      </c>
      <c r="H1942">
        <f t="shared" si="309"/>
        <v>228280</v>
      </c>
      <c r="I1942">
        <f t="shared" si="302"/>
        <v>0</v>
      </c>
      <c r="J1942">
        <f t="shared" si="303"/>
        <v>0</v>
      </c>
      <c r="K1942">
        <f t="shared" si="304"/>
        <v>919126</v>
      </c>
      <c r="L1942">
        <f t="shared" si="305"/>
        <v>0</v>
      </c>
      <c r="M1942">
        <f t="shared" si="306"/>
        <v>0</v>
      </c>
      <c r="N1942">
        <f t="shared" si="307"/>
        <v>39</v>
      </c>
    </row>
    <row r="1943" spans="1:14" x14ac:dyDescent="0.35">
      <c r="A1943" s="9">
        <v>8799570155</v>
      </c>
      <c r="B1943" s="10">
        <v>42944</v>
      </c>
      <c r="C1943" s="11">
        <v>0.34932870370370372</v>
      </c>
      <c r="D1943" s="12">
        <v>0.35365740740740742</v>
      </c>
      <c r="E1943" s="20">
        <f t="shared" si="300"/>
        <v>4.3287037037036957E-3</v>
      </c>
      <c r="F1943" t="str">
        <f t="shared" si="301"/>
        <v>zagraniczny</v>
      </c>
      <c r="G1943" s="23">
        <f t="shared" si="308"/>
        <v>690846</v>
      </c>
      <c r="H1943">
        <f t="shared" si="309"/>
        <v>228280</v>
      </c>
      <c r="I1943">
        <f t="shared" si="302"/>
        <v>374</v>
      </c>
      <c r="J1943">
        <f t="shared" si="303"/>
        <v>7</v>
      </c>
      <c r="K1943">
        <f t="shared" si="304"/>
        <v>919126</v>
      </c>
      <c r="L1943">
        <f t="shared" si="305"/>
        <v>0</v>
      </c>
      <c r="M1943">
        <f t="shared" si="306"/>
        <v>0</v>
      </c>
      <c r="N1943">
        <f t="shared" si="307"/>
        <v>0</v>
      </c>
    </row>
    <row r="1944" spans="1:14" x14ac:dyDescent="0.35">
      <c r="A1944" s="5">
        <v>9329226</v>
      </c>
      <c r="B1944" s="6">
        <v>42944</v>
      </c>
      <c r="C1944" s="7">
        <v>0.34983796296296299</v>
      </c>
      <c r="D1944" s="8">
        <v>0.35505787037037034</v>
      </c>
      <c r="E1944" s="20">
        <f t="shared" si="300"/>
        <v>5.2199074074073537E-3</v>
      </c>
      <c r="F1944" t="str">
        <f t="shared" si="301"/>
        <v>stacjonarny</v>
      </c>
      <c r="G1944" s="23">
        <f t="shared" si="308"/>
        <v>691297</v>
      </c>
      <c r="H1944">
        <f t="shared" si="309"/>
        <v>228280</v>
      </c>
      <c r="I1944">
        <f t="shared" si="302"/>
        <v>0</v>
      </c>
      <c r="J1944">
        <f t="shared" si="303"/>
        <v>0</v>
      </c>
      <c r="K1944">
        <f t="shared" si="304"/>
        <v>919577</v>
      </c>
      <c r="L1944">
        <f t="shared" si="305"/>
        <v>0</v>
      </c>
      <c r="M1944">
        <f t="shared" si="306"/>
        <v>451</v>
      </c>
      <c r="N1944">
        <f t="shared" si="307"/>
        <v>0</v>
      </c>
    </row>
    <row r="1945" spans="1:14" x14ac:dyDescent="0.35">
      <c r="A1945" s="9">
        <v>9219408</v>
      </c>
      <c r="B1945" s="10">
        <v>42944</v>
      </c>
      <c r="C1945" s="11">
        <v>0.35519675925925925</v>
      </c>
      <c r="D1945" s="12">
        <v>0.36072916666666666</v>
      </c>
      <c r="E1945" s="20">
        <f t="shared" si="300"/>
        <v>5.5324074074074026E-3</v>
      </c>
      <c r="F1945" t="str">
        <f t="shared" si="301"/>
        <v>stacjonarny</v>
      </c>
      <c r="G1945" s="23">
        <f t="shared" si="308"/>
        <v>691775</v>
      </c>
      <c r="H1945">
        <f t="shared" si="309"/>
        <v>228280</v>
      </c>
      <c r="I1945">
        <f t="shared" si="302"/>
        <v>0</v>
      </c>
      <c r="J1945">
        <f t="shared" si="303"/>
        <v>0</v>
      </c>
      <c r="K1945">
        <f t="shared" si="304"/>
        <v>920055</v>
      </c>
      <c r="L1945">
        <f t="shared" si="305"/>
        <v>0</v>
      </c>
      <c r="M1945">
        <f t="shared" si="306"/>
        <v>478</v>
      </c>
      <c r="N1945">
        <f t="shared" si="307"/>
        <v>0</v>
      </c>
    </row>
    <row r="1946" spans="1:14" x14ac:dyDescent="0.35">
      <c r="A1946" s="5">
        <v>2163209</v>
      </c>
      <c r="B1946" s="6">
        <v>42944</v>
      </c>
      <c r="C1946" s="7">
        <v>0.35749999999999998</v>
      </c>
      <c r="D1946" s="8">
        <v>0.36791666666666667</v>
      </c>
      <c r="E1946" s="20">
        <f t="shared" si="300"/>
        <v>1.0416666666666685E-2</v>
      </c>
      <c r="F1946" t="str">
        <f t="shared" si="301"/>
        <v>stacjonarny</v>
      </c>
      <c r="G1946" s="23">
        <f t="shared" si="308"/>
        <v>692675</v>
      </c>
      <c r="H1946">
        <f t="shared" si="309"/>
        <v>228280</v>
      </c>
      <c r="I1946">
        <f t="shared" si="302"/>
        <v>0</v>
      </c>
      <c r="J1946">
        <f t="shared" si="303"/>
        <v>0</v>
      </c>
      <c r="K1946">
        <f t="shared" si="304"/>
        <v>920955</v>
      </c>
      <c r="L1946">
        <f t="shared" si="305"/>
        <v>0</v>
      </c>
      <c r="M1946">
        <f t="shared" si="306"/>
        <v>900</v>
      </c>
      <c r="N1946">
        <f t="shared" si="307"/>
        <v>0</v>
      </c>
    </row>
    <row r="1947" spans="1:14" x14ac:dyDescent="0.35">
      <c r="A1947" s="9">
        <v>98021540</v>
      </c>
      <c r="B1947" s="10">
        <v>42944</v>
      </c>
      <c r="C1947" s="11">
        <v>0.35806712962962961</v>
      </c>
      <c r="D1947" s="12">
        <v>0.36835648148148148</v>
      </c>
      <c r="E1947" s="20">
        <f t="shared" si="300"/>
        <v>1.0289351851851869E-2</v>
      </c>
      <c r="F1947" t="str">
        <f t="shared" si="301"/>
        <v>komorkowy</v>
      </c>
      <c r="G1947" s="23">
        <f t="shared" si="308"/>
        <v>692675</v>
      </c>
      <c r="H1947">
        <f t="shared" si="309"/>
        <v>229169</v>
      </c>
      <c r="I1947">
        <f t="shared" si="302"/>
        <v>0</v>
      </c>
      <c r="J1947">
        <f t="shared" si="303"/>
        <v>0</v>
      </c>
      <c r="K1947">
        <f t="shared" si="304"/>
        <v>921844</v>
      </c>
      <c r="L1947">
        <f t="shared" si="305"/>
        <v>0</v>
      </c>
      <c r="M1947">
        <f t="shared" si="306"/>
        <v>0</v>
      </c>
      <c r="N1947">
        <f t="shared" si="307"/>
        <v>889</v>
      </c>
    </row>
    <row r="1948" spans="1:14" x14ac:dyDescent="0.35">
      <c r="A1948" s="5">
        <v>58420185</v>
      </c>
      <c r="B1948" s="6">
        <v>42944</v>
      </c>
      <c r="C1948" s="7">
        <v>0.35957175925925927</v>
      </c>
      <c r="D1948" s="8">
        <v>0.3616435185185185</v>
      </c>
      <c r="E1948" s="20">
        <f t="shared" si="300"/>
        <v>2.0717592592592315E-3</v>
      </c>
      <c r="F1948" t="str">
        <f t="shared" si="301"/>
        <v>komorkowy</v>
      </c>
      <c r="G1948" s="23">
        <f t="shared" si="308"/>
        <v>692675</v>
      </c>
      <c r="H1948">
        <f t="shared" si="309"/>
        <v>229348</v>
      </c>
      <c r="I1948">
        <f t="shared" si="302"/>
        <v>0</v>
      </c>
      <c r="J1948">
        <f t="shared" si="303"/>
        <v>0</v>
      </c>
      <c r="K1948">
        <f t="shared" si="304"/>
        <v>922023</v>
      </c>
      <c r="L1948">
        <f t="shared" si="305"/>
        <v>0</v>
      </c>
      <c r="M1948">
        <f t="shared" si="306"/>
        <v>0</v>
      </c>
      <c r="N1948">
        <f t="shared" si="307"/>
        <v>179</v>
      </c>
    </row>
    <row r="1949" spans="1:14" x14ac:dyDescent="0.35">
      <c r="A1949" s="9">
        <v>2188847</v>
      </c>
      <c r="B1949" s="10">
        <v>42944</v>
      </c>
      <c r="C1949" s="11">
        <v>0.36321759259259262</v>
      </c>
      <c r="D1949" s="12">
        <v>0.36689814814814814</v>
      </c>
      <c r="E1949" s="20">
        <f t="shared" si="300"/>
        <v>3.6805555555555203E-3</v>
      </c>
      <c r="F1949" t="str">
        <f t="shared" si="301"/>
        <v>stacjonarny</v>
      </c>
      <c r="G1949" s="23">
        <f t="shared" si="308"/>
        <v>692993</v>
      </c>
      <c r="H1949">
        <f t="shared" si="309"/>
        <v>229348</v>
      </c>
      <c r="I1949">
        <f t="shared" si="302"/>
        <v>0</v>
      </c>
      <c r="J1949">
        <f t="shared" si="303"/>
        <v>0</v>
      </c>
      <c r="K1949">
        <f t="shared" si="304"/>
        <v>922341</v>
      </c>
      <c r="L1949">
        <f t="shared" si="305"/>
        <v>0</v>
      </c>
      <c r="M1949">
        <f t="shared" si="306"/>
        <v>318</v>
      </c>
      <c r="N1949">
        <f t="shared" si="307"/>
        <v>0</v>
      </c>
    </row>
    <row r="1950" spans="1:14" x14ac:dyDescent="0.35">
      <c r="A1950" s="5">
        <v>2419817</v>
      </c>
      <c r="B1950" s="6">
        <v>42944</v>
      </c>
      <c r="C1950" s="7">
        <v>0.36768518518518517</v>
      </c>
      <c r="D1950" s="8">
        <v>0.3742476851851852</v>
      </c>
      <c r="E1950" s="20">
        <f t="shared" si="300"/>
        <v>6.5625000000000266E-3</v>
      </c>
      <c r="F1950" t="str">
        <f t="shared" si="301"/>
        <v>stacjonarny</v>
      </c>
      <c r="G1950" s="23">
        <f t="shared" si="308"/>
        <v>693560</v>
      </c>
      <c r="H1950">
        <f t="shared" si="309"/>
        <v>229348</v>
      </c>
      <c r="I1950">
        <f t="shared" si="302"/>
        <v>0</v>
      </c>
      <c r="J1950">
        <f t="shared" si="303"/>
        <v>0</v>
      </c>
      <c r="K1950">
        <f t="shared" si="304"/>
        <v>922908</v>
      </c>
      <c r="L1950">
        <f t="shared" si="305"/>
        <v>0</v>
      </c>
      <c r="M1950">
        <f t="shared" si="306"/>
        <v>567</v>
      </c>
      <c r="N1950">
        <f t="shared" si="307"/>
        <v>0</v>
      </c>
    </row>
    <row r="1951" spans="1:14" x14ac:dyDescent="0.35">
      <c r="A1951" s="9">
        <v>8938444</v>
      </c>
      <c r="B1951" s="10">
        <v>42944</v>
      </c>
      <c r="C1951" s="11">
        <v>0.37162037037037038</v>
      </c>
      <c r="D1951" s="12">
        <v>0.37275462962962963</v>
      </c>
      <c r="E1951" s="20">
        <f t="shared" si="300"/>
        <v>1.1342592592592515E-3</v>
      </c>
      <c r="F1951" t="str">
        <f t="shared" si="301"/>
        <v>stacjonarny</v>
      </c>
      <c r="G1951" s="23">
        <f t="shared" si="308"/>
        <v>693658</v>
      </c>
      <c r="H1951">
        <f t="shared" si="309"/>
        <v>229348</v>
      </c>
      <c r="I1951">
        <f t="shared" si="302"/>
        <v>0</v>
      </c>
      <c r="J1951">
        <f t="shared" si="303"/>
        <v>0</v>
      </c>
      <c r="K1951">
        <f t="shared" si="304"/>
        <v>923006</v>
      </c>
      <c r="L1951">
        <f t="shared" si="305"/>
        <v>0</v>
      </c>
      <c r="M1951">
        <f t="shared" si="306"/>
        <v>98</v>
      </c>
      <c r="N1951">
        <f t="shared" si="307"/>
        <v>0</v>
      </c>
    </row>
    <row r="1952" spans="1:14" x14ac:dyDescent="0.35">
      <c r="A1952" s="5">
        <v>8512255</v>
      </c>
      <c r="B1952" s="6">
        <v>42944</v>
      </c>
      <c r="C1952" s="7">
        <v>0.37327546296296299</v>
      </c>
      <c r="D1952" s="8">
        <v>0.37962962962962965</v>
      </c>
      <c r="E1952" s="20">
        <f t="shared" si="300"/>
        <v>6.3541666666666607E-3</v>
      </c>
      <c r="F1952" t="str">
        <f t="shared" si="301"/>
        <v>stacjonarny</v>
      </c>
      <c r="G1952" s="23">
        <f t="shared" si="308"/>
        <v>694207</v>
      </c>
      <c r="H1952">
        <f t="shared" si="309"/>
        <v>229348</v>
      </c>
      <c r="I1952">
        <f t="shared" si="302"/>
        <v>0</v>
      </c>
      <c r="J1952">
        <f t="shared" si="303"/>
        <v>0</v>
      </c>
      <c r="K1952">
        <f t="shared" si="304"/>
        <v>923555</v>
      </c>
      <c r="L1952">
        <f t="shared" si="305"/>
        <v>0</v>
      </c>
      <c r="M1952">
        <f t="shared" si="306"/>
        <v>549</v>
      </c>
      <c r="N1952">
        <f t="shared" si="307"/>
        <v>0</v>
      </c>
    </row>
    <row r="1953" spans="1:14" x14ac:dyDescent="0.35">
      <c r="A1953" s="9">
        <v>7488966</v>
      </c>
      <c r="B1953" s="10">
        <v>42944</v>
      </c>
      <c r="C1953" s="11">
        <v>0.37513888888888891</v>
      </c>
      <c r="D1953" s="12">
        <v>0.3775</v>
      </c>
      <c r="E1953" s="20">
        <f t="shared" si="300"/>
        <v>2.3611111111110916E-3</v>
      </c>
      <c r="F1953" t="str">
        <f t="shared" si="301"/>
        <v>stacjonarny</v>
      </c>
      <c r="G1953" s="23">
        <f t="shared" si="308"/>
        <v>694411</v>
      </c>
      <c r="H1953">
        <f t="shared" si="309"/>
        <v>229348</v>
      </c>
      <c r="I1953">
        <f t="shared" si="302"/>
        <v>0</v>
      </c>
      <c r="J1953">
        <f t="shared" si="303"/>
        <v>0</v>
      </c>
      <c r="K1953">
        <f t="shared" si="304"/>
        <v>923759</v>
      </c>
      <c r="L1953">
        <f t="shared" si="305"/>
        <v>0</v>
      </c>
      <c r="M1953">
        <f t="shared" si="306"/>
        <v>204</v>
      </c>
      <c r="N1953">
        <f t="shared" si="307"/>
        <v>0</v>
      </c>
    </row>
    <row r="1954" spans="1:14" x14ac:dyDescent="0.35">
      <c r="A1954" s="5">
        <v>6068132</v>
      </c>
      <c r="B1954" s="6">
        <v>42944</v>
      </c>
      <c r="C1954" s="7">
        <v>0.37793981481481481</v>
      </c>
      <c r="D1954" s="8">
        <v>0.3873611111111111</v>
      </c>
      <c r="E1954" s="20">
        <f t="shared" si="300"/>
        <v>9.4212962962962887E-3</v>
      </c>
      <c r="F1954" t="str">
        <f t="shared" si="301"/>
        <v>stacjonarny</v>
      </c>
      <c r="G1954" s="23">
        <f t="shared" si="308"/>
        <v>695225</v>
      </c>
      <c r="H1954">
        <f t="shared" si="309"/>
        <v>229348</v>
      </c>
      <c r="I1954">
        <f t="shared" si="302"/>
        <v>0</v>
      </c>
      <c r="J1954">
        <f t="shared" si="303"/>
        <v>0</v>
      </c>
      <c r="K1954">
        <f t="shared" si="304"/>
        <v>924573</v>
      </c>
      <c r="L1954">
        <f t="shared" si="305"/>
        <v>0</v>
      </c>
      <c r="M1954">
        <f t="shared" si="306"/>
        <v>814</v>
      </c>
      <c r="N1954">
        <f t="shared" si="307"/>
        <v>0</v>
      </c>
    </row>
    <row r="1955" spans="1:14" x14ac:dyDescent="0.35">
      <c r="A1955" s="9">
        <v>6131743</v>
      </c>
      <c r="B1955" s="10">
        <v>42944</v>
      </c>
      <c r="C1955" s="11">
        <v>0.38305555555555554</v>
      </c>
      <c r="D1955" s="12">
        <v>0.38718750000000002</v>
      </c>
      <c r="E1955" s="20">
        <f t="shared" si="300"/>
        <v>4.1319444444444797E-3</v>
      </c>
      <c r="F1955" t="str">
        <f t="shared" si="301"/>
        <v>stacjonarny</v>
      </c>
      <c r="G1955" s="23">
        <f t="shared" si="308"/>
        <v>695582</v>
      </c>
      <c r="H1955">
        <f t="shared" si="309"/>
        <v>229348</v>
      </c>
      <c r="I1955">
        <f t="shared" si="302"/>
        <v>0</v>
      </c>
      <c r="J1955">
        <f t="shared" si="303"/>
        <v>0</v>
      </c>
      <c r="K1955">
        <f t="shared" si="304"/>
        <v>924930</v>
      </c>
      <c r="L1955">
        <f t="shared" si="305"/>
        <v>0</v>
      </c>
      <c r="M1955">
        <f t="shared" si="306"/>
        <v>357</v>
      </c>
      <c r="N1955">
        <f t="shared" si="307"/>
        <v>0</v>
      </c>
    </row>
    <row r="1956" spans="1:14" x14ac:dyDescent="0.35">
      <c r="A1956" s="5">
        <v>71564278</v>
      </c>
      <c r="B1956" s="6">
        <v>42944</v>
      </c>
      <c r="C1956" s="7">
        <v>0.38849537037037035</v>
      </c>
      <c r="D1956" s="8">
        <v>0.39708333333333334</v>
      </c>
      <c r="E1956" s="20">
        <f t="shared" si="300"/>
        <v>8.5879629629629917E-3</v>
      </c>
      <c r="F1956" t="str">
        <f t="shared" si="301"/>
        <v>komorkowy</v>
      </c>
      <c r="G1956" s="23">
        <f t="shared" si="308"/>
        <v>695582</v>
      </c>
      <c r="H1956">
        <f t="shared" si="309"/>
        <v>230090</v>
      </c>
      <c r="I1956">
        <f t="shared" si="302"/>
        <v>0</v>
      </c>
      <c r="J1956">
        <f t="shared" si="303"/>
        <v>0</v>
      </c>
      <c r="K1956">
        <f t="shared" si="304"/>
        <v>925672</v>
      </c>
      <c r="L1956">
        <f t="shared" si="305"/>
        <v>0</v>
      </c>
      <c r="M1956">
        <f t="shared" si="306"/>
        <v>0</v>
      </c>
      <c r="N1956">
        <f t="shared" si="307"/>
        <v>742</v>
      </c>
    </row>
    <row r="1957" spans="1:14" x14ac:dyDescent="0.35">
      <c r="A1957" s="9">
        <v>4529192</v>
      </c>
      <c r="B1957" s="10">
        <v>42944</v>
      </c>
      <c r="C1957" s="11">
        <v>0.39005787037037037</v>
      </c>
      <c r="D1957" s="12">
        <v>0.39561342592592591</v>
      </c>
      <c r="E1957" s="20">
        <f t="shared" si="300"/>
        <v>5.5555555555555358E-3</v>
      </c>
      <c r="F1957" t="str">
        <f t="shared" si="301"/>
        <v>stacjonarny</v>
      </c>
      <c r="G1957" s="23">
        <f t="shared" si="308"/>
        <v>696062</v>
      </c>
      <c r="H1957">
        <f t="shared" si="309"/>
        <v>230090</v>
      </c>
      <c r="I1957">
        <f t="shared" si="302"/>
        <v>0</v>
      </c>
      <c r="J1957">
        <f t="shared" si="303"/>
        <v>0</v>
      </c>
      <c r="K1957">
        <f t="shared" si="304"/>
        <v>926152</v>
      </c>
      <c r="L1957">
        <f t="shared" si="305"/>
        <v>0</v>
      </c>
      <c r="M1957">
        <f t="shared" si="306"/>
        <v>480</v>
      </c>
      <c r="N1957">
        <f t="shared" si="307"/>
        <v>0</v>
      </c>
    </row>
    <row r="1958" spans="1:14" x14ac:dyDescent="0.35">
      <c r="A1958" s="5">
        <v>2193730</v>
      </c>
      <c r="B1958" s="6">
        <v>42944</v>
      </c>
      <c r="C1958" s="7">
        <v>0.39269675925925923</v>
      </c>
      <c r="D1958" s="8">
        <v>0.40126157407407409</v>
      </c>
      <c r="E1958" s="20">
        <f t="shared" si="300"/>
        <v>8.5648148148148584E-3</v>
      </c>
      <c r="F1958" t="str">
        <f t="shared" si="301"/>
        <v>stacjonarny</v>
      </c>
      <c r="G1958" s="23">
        <f t="shared" si="308"/>
        <v>696802</v>
      </c>
      <c r="H1958">
        <f t="shared" si="309"/>
        <v>230090</v>
      </c>
      <c r="I1958">
        <f t="shared" si="302"/>
        <v>0</v>
      </c>
      <c r="J1958">
        <f t="shared" si="303"/>
        <v>0</v>
      </c>
      <c r="K1958">
        <f t="shared" si="304"/>
        <v>926892</v>
      </c>
      <c r="L1958">
        <f t="shared" si="305"/>
        <v>0</v>
      </c>
      <c r="M1958">
        <f t="shared" si="306"/>
        <v>740</v>
      </c>
      <c r="N1958">
        <f t="shared" si="307"/>
        <v>0</v>
      </c>
    </row>
    <row r="1959" spans="1:14" x14ac:dyDescent="0.35">
      <c r="A1959" s="9">
        <v>3120387</v>
      </c>
      <c r="B1959" s="10">
        <v>42944</v>
      </c>
      <c r="C1959" s="11">
        <v>0.39303240740740741</v>
      </c>
      <c r="D1959" s="12">
        <v>0.39657407407407408</v>
      </c>
      <c r="E1959" s="20">
        <f t="shared" si="300"/>
        <v>3.5416666666666652E-3</v>
      </c>
      <c r="F1959" t="str">
        <f t="shared" si="301"/>
        <v>stacjonarny</v>
      </c>
      <c r="G1959" s="23">
        <f t="shared" si="308"/>
        <v>697108</v>
      </c>
      <c r="H1959">
        <f t="shared" si="309"/>
        <v>230090</v>
      </c>
      <c r="I1959">
        <f t="shared" si="302"/>
        <v>0</v>
      </c>
      <c r="J1959">
        <f t="shared" si="303"/>
        <v>0</v>
      </c>
      <c r="K1959">
        <f t="shared" si="304"/>
        <v>927198</v>
      </c>
      <c r="L1959">
        <f t="shared" si="305"/>
        <v>0</v>
      </c>
      <c r="M1959">
        <f t="shared" si="306"/>
        <v>306</v>
      </c>
      <c r="N1959">
        <f t="shared" si="307"/>
        <v>0</v>
      </c>
    </row>
    <row r="1960" spans="1:14" x14ac:dyDescent="0.35">
      <c r="A1960" s="5">
        <v>5726531</v>
      </c>
      <c r="B1960" s="6">
        <v>42944</v>
      </c>
      <c r="C1960" s="7">
        <v>0.39825231481481482</v>
      </c>
      <c r="D1960" s="8">
        <v>0.39855324074074072</v>
      </c>
      <c r="E1960" s="20">
        <f t="shared" si="300"/>
        <v>3.0092592592589895E-4</v>
      </c>
      <c r="F1960" t="str">
        <f t="shared" si="301"/>
        <v>stacjonarny</v>
      </c>
      <c r="G1960" s="23">
        <f t="shared" si="308"/>
        <v>697134</v>
      </c>
      <c r="H1960">
        <f t="shared" si="309"/>
        <v>230090</v>
      </c>
      <c r="I1960">
        <f t="shared" si="302"/>
        <v>0</v>
      </c>
      <c r="J1960">
        <f t="shared" si="303"/>
        <v>0</v>
      </c>
      <c r="K1960">
        <f t="shared" si="304"/>
        <v>927224</v>
      </c>
      <c r="L1960">
        <f t="shared" si="305"/>
        <v>0</v>
      </c>
      <c r="M1960">
        <f t="shared" si="306"/>
        <v>26</v>
      </c>
      <c r="N1960">
        <f t="shared" si="307"/>
        <v>0</v>
      </c>
    </row>
    <row r="1961" spans="1:14" x14ac:dyDescent="0.35">
      <c r="A1961" s="9">
        <v>5076649</v>
      </c>
      <c r="B1961" s="10">
        <v>42944</v>
      </c>
      <c r="C1961" s="11">
        <v>0.39922453703703703</v>
      </c>
      <c r="D1961" s="12">
        <v>0.40482638888888889</v>
      </c>
      <c r="E1961" s="20">
        <f t="shared" si="300"/>
        <v>5.6018518518518579E-3</v>
      </c>
      <c r="F1961" t="str">
        <f t="shared" si="301"/>
        <v>stacjonarny</v>
      </c>
      <c r="G1961" s="23">
        <f t="shared" si="308"/>
        <v>697618</v>
      </c>
      <c r="H1961">
        <f t="shared" si="309"/>
        <v>230090</v>
      </c>
      <c r="I1961">
        <f t="shared" si="302"/>
        <v>0</v>
      </c>
      <c r="J1961">
        <f t="shared" si="303"/>
        <v>0</v>
      </c>
      <c r="K1961">
        <f t="shared" si="304"/>
        <v>927708</v>
      </c>
      <c r="L1961">
        <f t="shared" si="305"/>
        <v>0</v>
      </c>
      <c r="M1961">
        <f t="shared" si="306"/>
        <v>484</v>
      </c>
      <c r="N1961">
        <f t="shared" si="307"/>
        <v>0</v>
      </c>
    </row>
    <row r="1962" spans="1:14" x14ac:dyDescent="0.35">
      <c r="A1962" s="5">
        <v>98939809</v>
      </c>
      <c r="B1962" s="6">
        <v>42944</v>
      </c>
      <c r="C1962" s="7">
        <v>0.40277777777777779</v>
      </c>
      <c r="D1962" s="8">
        <v>0.40599537037037037</v>
      </c>
      <c r="E1962" s="20">
        <f t="shared" si="300"/>
        <v>3.2175925925925775E-3</v>
      </c>
      <c r="F1962" t="str">
        <f t="shared" si="301"/>
        <v>komorkowy</v>
      </c>
      <c r="G1962" s="23">
        <f t="shared" si="308"/>
        <v>697618</v>
      </c>
      <c r="H1962">
        <f t="shared" si="309"/>
        <v>230368</v>
      </c>
      <c r="I1962">
        <f t="shared" si="302"/>
        <v>0</v>
      </c>
      <c r="J1962">
        <f t="shared" si="303"/>
        <v>0</v>
      </c>
      <c r="K1962">
        <f t="shared" si="304"/>
        <v>927986</v>
      </c>
      <c r="L1962">
        <f t="shared" si="305"/>
        <v>0</v>
      </c>
      <c r="M1962">
        <f t="shared" si="306"/>
        <v>0</v>
      </c>
      <c r="N1962">
        <f t="shared" si="307"/>
        <v>278</v>
      </c>
    </row>
    <row r="1963" spans="1:14" x14ac:dyDescent="0.35">
      <c r="A1963" s="9">
        <v>2005653</v>
      </c>
      <c r="B1963" s="10">
        <v>42944</v>
      </c>
      <c r="C1963" s="11">
        <v>0.40842592592592591</v>
      </c>
      <c r="D1963" s="12">
        <v>0.41866898148148146</v>
      </c>
      <c r="E1963" s="20">
        <f t="shared" si="300"/>
        <v>1.0243055555555547E-2</v>
      </c>
      <c r="F1963" t="str">
        <f t="shared" si="301"/>
        <v>stacjonarny</v>
      </c>
      <c r="G1963" s="23">
        <f t="shared" si="308"/>
        <v>698503</v>
      </c>
      <c r="H1963">
        <f t="shared" si="309"/>
        <v>230368</v>
      </c>
      <c r="I1963">
        <f t="shared" si="302"/>
        <v>0</v>
      </c>
      <c r="J1963">
        <f t="shared" si="303"/>
        <v>0</v>
      </c>
      <c r="K1963">
        <f t="shared" si="304"/>
        <v>928871</v>
      </c>
      <c r="L1963">
        <f t="shared" si="305"/>
        <v>0</v>
      </c>
      <c r="M1963">
        <f t="shared" si="306"/>
        <v>885</v>
      </c>
      <c r="N1963">
        <f t="shared" si="307"/>
        <v>0</v>
      </c>
    </row>
    <row r="1964" spans="1:14" x14ac:dyDescent="0.35">
      <c r="A1964" s="5">
        <v>4659808</v>
      </c>
      <c r="B1964" s="6">
        <v>42944</v>
      </c>
      <c r="C1964" s="7">
        <v>0.40956018518518517</v>
      </c>
      <c r="D1964" s="8">
        <v>0.41278935185185184</v>
      </c>
      <c r="E1964" s="20">
        <f t="shared" si="300"/>
        <v>3.2291666666666718E-3</v>
      </c>
      <c r="F1964" t="str">
        <f t="shared" si="301"/>
        <v>stacjonarny</v>
      </c>
      <c r="G1964" s="23">
        <f t="shared" si="308"/>
        <v>698782</v>
      </c>
      <c r="H1964">
        <f t="shared" si="309"/>
        <v>230368</v>
      </c>
      <c r="I1964">
        <f t="shared" si="302"/>
        <v>0</v>
      </c>
      <c r="J1964">
        <f t="shared" si="303"/>
        <v>0</v>
      </c>
      <c r="K1964">
        <f t="shared" si="304"/>
        <v>929150</v>
      </c>
      <c r="L1964">
        <f t="shared" si="305"/>
        <v>0</v>
      </c>
      <c r="M1964">
        <f t="shared" si="306"/>
        <v>279</v>
      </c>
      <c r="N1964">
        <f t="shared" si="307"/>
        <v>0</v>
      </c>
    </row>
    <row r="1965" spans="1:14" x14ac:dyDescent="0.35">
      <c r="A1965" s="9">
        <v>60113139</v>
      </c>
      <c r="B1965" s="10">
        <v>42944</v>
      </c>
      <c r="C1965" s="11">
        <v>0.41228009259259257</v>
      </c>
      <c r="D1965" s="12">
        <v>0.41718749999999999</v>
      </c>
      <c r="E1965" s="20">
        <f t="shared" si="300"/>
        <v>4.9074074074074159E-3</v>
      </c>
      <c r="F1965" t="str">
        <f t="shared" si="301"/>
        <v>komorkowy</v>
      </c>
      <c r="G1965" s="23">
        <f t="shared" si="308"/>
        <v>698782</v>
      </c>
      <c r="H1965">
        <f t="shared" si="309"/>
        <v>230792</v>
      </c>
      <c r="I1965">
        <f t="shared" si="302"/>
        <v>0</v>
      </c>
      <c r="J1965">
        <f t="shared" si="303"/>
        <v>0</v>
      </c>
      <c r="K1965">
        <f t="shared" si="304"/>
        <v>929574</v>
      </c>
      <c r="L1965">
        <f t="shared" si="305"/>
        <v>0</v>
      </c>
      <c r="M1965">
        <f t="shared" si="306"/>
        <v>0</v>
      </c>
      <c r="N1965">
        <f t="shared" si="307"/>
        <v>424</v>
      </c>
    </row>
    <row r="1966" spans="1:14" x14ac:dyDescent="0.35">
      <c r="A1966" s="5">
        <v>55896338</v>
      </c>
      <c r="B1966" s="6">
        <v>42944</v>
      </c>
      <c r="C1966" s="7">
        <v>0.41521990740740738</v>
      </c>
      <c r="D1966" s="8">
        <v>0.41893518518518519</v>
      </c>
      <c r="E1966" s="20">
        <f t="shared" si="300"/>
        <v>3.7152777777778034E-3</v>
      </c>
      <c r="F1966" t="str">
        <f t="shared" si="301"/>
        <v>komorkowy</v>
      </c>
      <c r="G1966" s="23">
        <f t="shared" si="308"/>
        <v>698782</v>
      </c>
      <c r="H1966">
        <f t="shared" si="309"/>
        <v>231113</v>
      </c>
      <c r="I1966">
        <f t="shared" si="302"/>
        <v>0</v>
      </c>
      <c r="J1966">
        <f t="shared" si="303"/>
        <v>0</v>
      </c>
      <c r="K1966">
        <f t="shared" si="304"/>
        <v>929895</v>
      </c>
      <c r="L1966">
        <f t="shared" si="305"/>
        <v>0</v>
      </c>
      <c r="M1966">
        <f t="shared" si="306"/>
        <v>0</v>
      </c>
      <c r="N1966">
        <f t="shared" si="307"/>
        <v>321</v>
      </c>
    </row>
    <row r="1967" spans="1:14" x14ac:dyDescent="0.35">
      <c r="A1967" s="9">
        <v>9747403</v>
      </c>
      <c r="B1967" s="10">
        <v>42944</v>
      </c>
      <c r="C1967" s="11">
        <v>0.42093750000000002</v>
      </c>
      <c r="D1967" s="12">
        <v>0.42825231481481479</v>
      </c>
      <c r="E1967" s="20">
        <f t="shared" si="300"/>
        <v>7.314814814814774E-3</v>
      </c>
      <c r="F1967" t="str">
        <f t="shared" si="301"/>
        <v>stacjonarny</v>
      </c>
      <c r="G1967" s="23">
        <f t="shared" si="308"/>
        <v>699414</v>
      </c>
      <c r="H1967">
        <f t="shared" si="309"/>
        <v>231113</v>
      </c>
      <c r="I1967">
        <f t="shared" si="302"/>
        <v>0</v>
      </c>
      <c r="J1967">
        <f t="shared" si="303"/>
        <v>0</v>
      </c>
      <c r="K1967">
        <f t="shared" si="304"/>
        <v>930527</v>
      </c>
      <c r="L1967">
        <f t="shared" si="305"/>
        <v>0</v>
      </c>
      <c r="M1967">
        <f t="shared" si="306"/>
        <v>632</v>
      </c>
      <c r="N1967">
        <f t="shared" si="307"/>
        <v>0</v>
      </c>
    </row>
    <row r="1968" spans="1:14" x14ac:dyDescent="0.35">
      <c r="A1968" s="5">
        <v>5687447</v>
      </c>
      <c r="B1968" s="6">
        <v>42944</v>
      </c>
      <c r="C1968" s="7">
        <v>0.42295138888888889</v>
      </c>
      <c r="D1968" s="8">
        <v>0.42423611111111109</v>
      </c>
      <c r="E1968" s="20">
        <f t="shared" si="300"/>
        <v>1.284722222222201E-3</v>
      </c>
      <c r="F1968" t="str">
        <f t="shared" si="301"/>
        <v>stacjonarny</v>
      </c>
      <c r="G1968" s="23">
        <f t="shared" si="308"/>
        <v>699525</v>
      </c>
      <c r="H1968">
        <f t="shared" si="309"/>
        <v>231113</v>
      </c>
      <c r="I1968">
        <f t="shared" si="302"/>
        <v>0</v>
      </c>
      <c r="J1968">
        <f t="shared" si="303"/>
        <v>0</v>
      </c>
      <c r="K1968">
        <f t="shared" si="304"/>
        <v>930638</v>
      </c>
      <c r="L1968">
        <f t="shared" si="305"/>
        <v>0</v>
      </c>
      <c r="M1968">
        <f t="shared" si="306"/>
        <v>111</v>
      </c>
      <c r="N1968">
        <f t="shared" si="307"/>
        <v>0</v>
      </c>
    </row>
    <row r="1969" spans="1:14" x14ac:dyDescent="0.35">
      <c r="A1969" s="9">
        <v>78940032</v>
      </c>
      <c r="B1969" s="10">
        <v>42944</v>
      </c>
      <c r="C1969" s="11">
        <v>0.42478009259259258</v>
      </c>
      <c r="D1969" s="12">
        <v>0.43118055555555557</v>
      </c>
      <c r="E1969" s="20">
        <f t="shared" si="300"/>
        <v>6.4004629629629828E-3</v>
      </c>
      <c r="F1969" t="str">
        <f t="shared" si="301"/>
        <v>komorkowy</v>
      </c>
      <c r="G1969" s="23">
        <f t="shared" si="308"/>
        <v>699525</v>
      </c>
      <c r="H1969">
        <f t="shared" si="309"/>
        <v>231666</v>
      </c>
      <c r="I1969">
        <f t="shared" si="302"/>
        <v>0</v>
      </c>
      <c r="J1969">
        <f t="shared" si="303"/>
        <v>0</v>
      </c>
      <c r="K1969">
        <f t="shared" si="304"/>
        <v>931191</v>
      </c>
      <c r="L1969">
        <f t="shared" si="305"/>
        <v>0</v>
      </c>
      <c r="M1969">
        <f t="shared" si="306"/>
        <v>0</v>
      </c>
      <c r="N1969">
        <f t="shared" si="307"/>
        <v>553</v>
      </c>
    </row>
    <row r="1970" spans="1:14" x14ac:dyDescent="0.35">
      <c r="A1970" s="5">
        <v>1094486764</v>
      </c>
      <c r="B1970" s="6">
        <v>42944</v>
      </c>
      <c r="C1970" s="7">
        <v>0.42781249999999998</v>
      </c>
      <c r="D1970" s="8">
        <v>0.43763888888888891</v>
      </c>
      <c r="E1970" s="20">
        <f t="shared" si="300"/>
        <v>9.8263888888889261E-3</v>
      </c>
      <c r="F1970" t="str">
        <f t="shared" si="301"/>
        <v>zagraniczny</v>
      </c>
      <c r="G1970" s="23">
        <f t="shared" si="308"/>
        <v>699525</v>
      </c>
      <c r="H1970">
        <f t="shared" si="309"/>
        <v>231666</v>
      </c>
      <c r="I1970">
        <f t="shared" si="302"/>
        <v>849</v>
      </c>
      <c r="J1970">
        <f t="shared" si="303"/>
        <v>15</v>
      </c>
      <c r="K1970">
        <f t="shared" si="304"/>
        <v>931191</v>
      </c>
      <c r="L1970">
        <f t="shared" si="305"/>
        <v>0</v>
      </c>
      <c r="M1970">
        <f t="shared" si="306"/>
        <v>0</v>
      </c>
      <c r="N1970">
        <f t="shared" si="307"/>
        <v>0</v>
      </c>
    </row>
    <row r="1971" spans="1:14" x14ac:dyDescent="0.35">
      <c r="A1971" s="9">
        <v>2611045</v>
      </c>
      <c r="B1971" s="10">
        <v>42944</v>
      </c>
      <c r="C1971" s="11">
        <v>0.43131944444444442</v>
      </c>
      <c r="D1971" s="12">
        <v>0.4387152777777778</v>
      </c>
      <c r="E1971" s="20">
        <f t="shared" si="300"/>
        <v>7.3958333333333792E-3</v>
      </c>
      <c r="F1971" t="str">
        <f t="shared" si="301"/>
        <v>stacjonarny</v>
      </c>
      <c r="G1971" s="23">
        <f t="shared" si="308"/>
        <v>700164</v>
      </c>
      <c r="H1971">
        <f t="shared" si="309"/>
        <v>231666</v>
      </c>
      <c r="I1971">
        <f t="shared" si="302"/>
        <v>0</v>
      </c>
      <c r="J1971">
        <f t="shared" si="303"/>
        <v>0</v>
      </c>
      <c r="K1971">
        <f t="shared" si="304"/>
        <v>931830</v>
      </c>
      <c r="L1971">
        <f t="shared" si="305"/>
        <v>0</v>
      </c>
      <c r="M1971">
        <f t="shared" si="306"/>
        <v>639</v>
      </c>
      <c r="N1971">
        <f t="shared" si="307"/>
        <v>0</v>
      </c>
    </row>
    <row r="1972" spans="1:14" x14ac:dyDescent="0.35">
      <c r="A1972" s="5">
        <v>6047761</v>
      </c>
      <c r="B1972" s="6">
        <v>42944</v>
      </c>
      <c r="C1972" s="7">
        <v>0.43351851851851853</v>
      </c>
      <c r="D1972" s="8">
        <v>0.4412152777777778</v>
      </c>
      <c r="E1972" s="20">
        <f t="shared" si="300"/>
        <v>7.6967592592592782E-3</v>
      </c>
      <c r="F1972" t="str">
        <f t="shared" si="301"/>
        <v>stacjonarny</v>
      </c>
      <c r="G1972" s="23">
        <f t="shared" si="308"/>
        <v>700829</v>
      </c>
      <c r="H1972">
        <f t="shared" si="309"/>
        <v>231666</v>
      </c>
      <c r="I1972">
        <f t="shared" si="302"/>
        <v>0</v>
      </c>
      <c r="J1972">
        <f t="shared" si="303"/>
        <v>0</v>
      </c>
      <c r="K1972">
        <f t="shared" si="304"/>
        <v>932495</v>
      </c>
      <c r="L1972">
        <f t="shared" si="305"/>
        <v>0</v>
      </c>
      <c r="M1972">
        <f t="shared" si="306"/>
        <v>665</v>
      </c>
      <c r="N1972">
        <f t="shared" si="307"/>
        <v>0</v>
      </c>
    </row>
    <row r="1973" spans="1:14" x14ac:dyDescent="0.35">
      <c r="A1973" s="9">
        <v>4154521</v>
      </c>
      <c r="B1973" s="10">
        <v>42944</v>
      </c>
      <c r="C1973" s="11">
        <v>0.43552083333333336</v>
      </c>
      <c r="D1973" s="12">
        <v>0.44587962962962963</v>
      </c>
      <c r="E1973" s="20">
        <f t="shared" si="300"/>
        <v>1.0358796296296269E-2</v>
      </c>
      <c r="F1973" t="str">
        <f t="shared" si="301"/>
        <v>stacjonarny</v>
      </c>
      <c r="G1973" s="23">
        <f t="shared" si="308"/>
        <v>701724</v>
      </c>
      <c r="H1973">
        <f t="shared" si="309"/>
        <v>231666</v>
      </c>
      <c r="I1973">
        <f t="shared" si="302"/>
        <v>0</v>
      </c>
      <c r="J1973">
        <f t="shared" si="303"/>
        <v>0</v>
      </c>
      <c r="K1973">
        <f t="shared" si="304"/>
        <v>933390</v>
      </c>
      <c r="L1973">
        <f t="shared" si="305"/>
        <v>0</v>
      </c>
      <c r="M1973">
        <f t="shared" si="306"/>
        <v>895</v>
      </c>
      <c r="N1973">
        <f t="shared" si="307"/>
        <v>0</v>
      </c>
    </row>
    <row r="1974" spans="1:14" x14ac:dyDescent="0.35">
      <c r="A1974" s="5">
        <v>8895257</v>
      </c>
      <c r="B1974" s="6">
        <v>42944</v>
      </c>
      <c r="C1974" s="7">
        <v>0.43975694444444446</v>
      </c>
      <c r="D1974" s="8">
        <v>0.4472800925925926</v>
      </c>
      <c r="E1974" s="20">
        <f t="shared" si="300"/>
        <v>7.5231481481481399E-3</v>
      </c>
      <c r="F1974" t="str">
        <f t="shared" si="301"/>
        <v>stacjonarny</v>
      </c>
      <c r="G1974" s="23">
        <f t="shared" si="308"/>
        <v>702374</v>
      </c>
      <c r="H1974">
        <f t="shared" si="309"/>
        <v>231666</v>
      </c>
      <c r="I1974">
        <f t="shared" si="302"/>
        <v>0</v>
      </c>
      <c r="J1974">
        <f t="shared" si="303"/>
        <v>0</v>
      </c>
      <c r="K1974">
        <f t="shared" si="304"/>
        <v>934040</v>
      </c>
      <c r="L1974">
        <f t="shared" si="305"/>
        <v>0</v>
      </c>
      <c r="M1974">
        <f t="shared" si="306"/>
        <v>650</v>
      </c>
      <c r="N1974">
        <f t="shared" si="307"/>
        <v>0</v>
      </c>
    </row>
    <row r="1975" spans="1:14" x14ac:dyDescent="0.35">
      <c r="A1975" s="9">
        <v>2199311</v>
      </c>
      <c r="B1975" s="10">
        <v>42944</v>
      </c>
      <c r="C1975" s="11">
        <v>0.44490740740740742</v>
      </c>
      <c r="D1975" s="12">
        <v>0.44578703703703704</v>
      </c>
      <c r="E1975" s="20">
        <f t="shared" si="300"/>
        <v>8.796296296296191E-4</v>
      </c>
      <c r="F1975" t="str">
        <f t="shared" si="301"/>
        <v>stacjonarny</v>
      </c>
      <c r="G1975" s="23">
        <f t="shared" si="308"/>
        <v>702450</v>
      </c>
      <c r="H1975">
        <f t="shared" si="309"/>
        <v>231666</v>
      </c>
      <c r="I1975">
        <f t="shared" si="302"/>
        <v>0</v>
      </c>
      <c r="J1975">
        <f t="shared" si="303"/>
        <v>0</v>
      </c>
      <c r="K1975">
        <f t="shared" si="304"/>
        <v>934116</v>
      </c>
      <c r="L1975">
        <f t="shared" si="305"/>
        <v>0</v>
      </c>
      <c r="M1975">
        <f t="shared" si="306"/>
        <v>76</v>
      </c>
      <c r="N1975">
        <f t="shared" si="307"/>
        <v>0</v>
      </c>
    </row>
    <row r="1976" spans="1:14" x14ac:dyDescent="0.35">
      <c r="A1976" s="5">
        <v>17864361</v>
      </c>
      <c r="B1976" s="6">
        <v>42944</v>
      </c>
      <c r="C1976" s="7">
        <v>0.44605324074074076</v>
      </c>
      <c r="D1976" s="8">
        <v>0.45253472222222224</v>
      </c>
      <c r="E1976" s="20">
        <f t="shared" si="300"/>
        <v>6.481481481481477E-3</v>
      </c>
      <c r="F1976" t="str">
        <f t="shared" si="301"/>
        <v>komorkowy</v>
      </c>
      <c r="G1976" s="23">
        <f t="shared" si="308"/>
        <v>702450</v>
      </c>
      <c r="H1976">
        <f t="shared" si="309"/>
        <v>232226</v>
      </c>
      <c r="I1976">
        <f t="shared" si="302"/>
        <v>0</v>
      </c>
      <c r="J1976">
        <f t="shared" si="303"/>
        <v>0</v>
      </c>
      <c r="K1976">
        <f t="shared" si="304"/>
        <v>934676</v>
      </c>
      <c r="L1976">
        <f t="shared" si="305"/>
        <v>0</v>
      </c>
      <c r="M1976">
        <f t="shared" si="306"/>
        <v>0</v>
      </c>
      <c r="N1976">
        <f t="shared" si="307"/>
        <v>560</v>
      </c>
    </row>
    <row r="1977" spans="1:14" x14ac:dyDescent="0.35">
      <c r="A1977" s="9">
        <v>6943996503</v>
      </c>
      <c r="B1977" s="10">
        <v>42944</v>
      </c>
      <c r="C1977" s="11">
        <v>0.4506134259259259</v>
      </c>
      <c r="D1977" s="12">
        <v>0.45674768518518516</v>
      </c>
      <c r="E1977" s="20">
        <f t="shared" si="300"/>
        <v>6.134259259259256E-3</v>
      </c>
      <c r="F1977" t="str">
        <f t="shared" si="301"/>
        <v>zagraniczny</v>
      </c>
      <c r="G1977" s="23">
        <f t="shared" si="308"/>
        <v>702450</v>
      </c>
      <c r="H1977">
        <f t="shared" si="309"/>
        <v>232226</v>
      </c>
      <c r="I1977">
        <f t="shared" si="302"/>
        <v>530</v>
      </c>
      <c r="J1977">
        <f t="shared" si="303"/>
        <v>9</v>
      </c>
      <c r="K1977">
        <f t="shared" si="304"/>
        <v>934676</v>
      </c>
      <c r="L1977">
        <f t="shared" si="305"/>
        <v>0</v>
      </c>
      <c r="M1977">
        <f t="shared" si="306"/>
        <v>0</v>
      </c>
      <c r="N1977">
        <f t="shared" si="307"/>
        <v>0</v>
      </c>
    </row>
    <row r="1978" spans="1:14" x14ac:dyDescent="0.35">
      <c r="A1978" s="5">
        <v>9547712</v>
      </c>
      <c r="B1978" s="6">
        <v>42944</v>
      </c>
      <c r="C1978" s="7">
        <v>0.45546296296296296</v>
      </c>
      <c r="D1978" s="8">
        <v>0.46259259259259261</v>
      </c>
      <c r="E1978" s="20">
        <f t="shared" si="300"/>
        <v>7.1296296296296524E-3</v>
      </c>
      <c r="F1978" t="str">
        <f t="shared" si="301"/>
        <v>stacjonarny</v>
      </c>
      <c r="G1978" s="23">
        <f t="shared" si="308"/>
        <v>703066</v>
      </c>
      <c r="H1978">
        <f t="shared" si="309"/>
        <v>232226</v>
      </c>
      <c r="I1978">
        <f t="shared" si="302"/>
        <v>0</v>
      </c>
      <c r="J1978">
        <f t="shared" si="303"/>
        <v>0</v>
      </c>
      <c r="K1978">
        <f t="shared" si="304"/>
        <v>935292</v>
      </c>
      <c r="L1978">
        <f t="shared" si="305"/>
        <v>0</v>
      </c>
      <c r="M1978">
        <f t="shared" si="306"/>
        <v>616</v>
      </c>
      <c r="N1978">
        <f t="shared" si="307"/>
        <v>0</v>
      </c>
    </row>
    <row r="1979" spans="1:14" x14ac:dyDescent="0.35">
      <c r="A1979" s="9">
        <v>3925701</v>
      </c>
      <c r="B1979" s="10">
        <v>42944</v>
      </c>
      <c r="C1979" s="11">
        <v>0.45756944444444442</v>
      </c>
      <c r="D1979" s="12">
        <v>0.46141203703703704</v>
      </c>
      <c r="E1979" s="20">
        <f t="shared" si="300"/>
        <v>3.8425925925926196E-3</v>
      </c>
      <c r="F1979" t="str">
        <f t="shared" si="301"/>
        <v>stacjonarny</v>
      </c>
      <c r="G1979" s="23">
        <f t="shared" si="308"/>
        <v>703398</v>
      </c>
      <c r="H1979">
        <f t="shared" si="309"/>
        <v>232226</v>
      </c>
      <c r="I1979">
        <f t="shared" si="302"/>
        <v>0</v>
      </c>
      <c r="J1979">
        <f t="shared" si="303"/>
        <v>0</v>
      </c>
      <c r="K1979">
        <f t="shared" si="304"/>
        <v>935624</v>
      </c>
      <c r="L1979">
        <f t="shared" si="305"/>
        <v>0</v>
      </c>
      <c r="M1979">
        <f t="shared" si="306"/>
        <v>332</v>
      </c>
      <c r="N1979">
        <f t="shared" si="307"/>
        <v>0</v>
      </c>
    </row>
    <row r="1980" spans="1:14" x14ac:dyDescent="0.35">
      <c r="A1980" s="5">
        <v>97317489</v>
      </c>
      <c r="B1980" s="6">
        <v>42944</v>
      </c>
      <c r="C1980" s="7">
        <v>0.46269675925925924</v>
      </c>
      <c r="D1980" s="8">
        <v>0.46620370370370373</v>
      </c>
      <c r="E1980" s="20">
        <f t="shared" si="300"/>
        <v>3.506944444444493E-3</v>
      </c>
      <c r="F1980" t="str">
        <f t="shared" si="301"/>
        <v>komorkowy</v>
      </c>
      <c r="G1980" s="23">
        <f t="shared" si="308"/>
        <v>703398</v>
      </c>
      <c r="H1980">
        <f t="shared" si="309"/>
        <v>232529</v>
      </c>
      <c r="I1980">
        <f t="shared" si="302"/>
        <v>0</v>
      </c>
      <c r="J1980">
        <f t="shared" si="303"/>
        <v>0</v>
      </c>
      <c r="K1980">
        <f t="shared" si="304"/>
        <v>935927</v>
      </c>
      <c r="L1980">
        <f t="shared" si="305"/>
        <v>0</v>
      </c>
      <c r="M1980">
        <f t="shared" si="306"/>
        <v>0</v>
      </c>
      <c r="N1980">
        <f t="shared" si="307"/>
        <v>303</v>
      </c>
    </row>
    <row r="1981" spans="1:14" x14ac:dyDescent="0.35">
      <c r="A1981" s="9">
        <v>78009874</v>
      </c>
      <c r="B1981" s="10">
        <v>42944</v>
      </c>
      <c r="C1981" s="11">
        <v>0.46400462962962963</v>
      </c>
      <c r="D1981" s="12">
        <v>0.46545138888888887</v>
      </c>
      <c r="E1981" s="20">
        <f t="shared" si="300"/>
        <v>1.4467592592592449E-3</v>
      </c>
      <c r="F1981" t="str">
        <f t="shared" si="301"/>
        <v>komorkowy</v>
      </c>
      <c r="G1981" s="23">
        <f t="shared" si="308"/>
        <v>703398</v>
      </c>
      <c r="H1981">
        <f t="shared" si="309"/>
        <v>232654</v>
      </c>
      <c r="I1981">
        <f t="shared" si="302"/>
        <v>0</v>
      </c>
      <c r="J1981">
        <f t="shared" si="303"/>
        <v>0</v>
      </c>
      <c r="K1981">
        <f t="shared" si="304"/>
        <v>936052</v>
      </c>
      <c r="L1981">
        <f t="shared" si="305"/>
        <v>0</v>
      </c>
      <c r="M1981">
        <f t="shared" si="306"/>
        <v>0</v>
      </c>
      <c r="N1981">
        <f t="shared" si="307"/>
        <v>125</v>
      </c>
    </row>
    <row r="1982" spans="1:14" x14ac:dyDescent="0.35">
      <c r="A1982" s="5">
        <v>8590206</v>
      </c>
      <c r="B1982" s="6">
        <v>42944</v>
      </c>
      <c r="C1982" s="7">
        <v>0.46763888888888888</v>
      </c>
      <c r="D1982" s="8">
        <v>0.47359953703703705</v>
      </c>
      <c r="E1982" s="20">
        <f t="shared" si="300"/>
        <v>5.9606481481481732E-3</v>
      </c>
      <c r="F1982" t="str">
        <f t="shared" si="301"/>
        <v>stacjonarny</v>
      </c>
      <c r="G1982" s="23">
        <f t="shared" si="308"/>
        <v>703913</v>
      </c>
      <c r="H1982">
        <f t="shared" si="309"/>
        <v>232654</v>
      </c>
      <c r="I1982">
        <f t="shared" si="302"/>
        <v>0</v>
      </c>
      <c r="J1982">
        <f t="shared" si="303"/>
        <v>0</v>
      </c>
      <c r="K1982">
        <f t="shared" si="304"/>
        <v>936567</v>
      </c>
      <c r="L1982">
        <f t="shared" si="305"/>
        <v>0</v>
      </c>
      <c r="M1982">
        <f t="shared" si="306"/>
        <v>515</v>
      </c>
      <c r="N1982">
        <f t="shared" si="307"/>
        <v>0</v>
      </c>
    </row>
    <row r="1983" spans="1:14" x14ac:dyDescent="0.35">
      <c r="A1983" s="9">
        <v>7273239</v>
      </c>
      <c r="B1983" s="10">
        <v>42944</v>
      </c>
      <c r="C1983" s="11">
        <v>0.47111111111111109</v>
      </c>
      <c r="D1983" s="12">
        <v>0.48017361111111112</v>
      </c>
      <c r="E1983" s="20">
        <f t="shared" si="300"/>
        <v>9.0625000000000289E-3</v>
      </c>
      <c r="F1983" t="str">
        <f t="shared" si="301"/>
        <v>stacjonarny</v>
      </c>
      <c r="G1983" s="23">
        <f t="shared" si="308"/>
        <v>704696</v>
      </c>
      <c r="H1983">
        <f t="shared" si="309"/>
        <v>232654</v>
      </c>
      <c r="I1983">
        <f t="shared" si="302"/>
        <v>0</v>
      </c>
      <c r="J1983">
        <f t="shared" si="303"/>
        <v>0</v>
      </c>
      <c r="K1983">
        <f t="shared" si="304"/>
        <v>937350</v>
      </c>
      <c r="L1983">
        <f t="shared" si="305"/>
        <v>0</v>
      </c>
      <c r="M1983">
        <f t="shared" si="306"/>
        <v>783</v>
      </c>
      <c r="N1983">
        <f t="shared" si="307"/>
        <v>0</v>
      </c>
    </row>
    <row r="1984" spans="1:14" x14ac:dyDescent="0.35">
      <c r="A1984" s="5">
        <v>9975967</v>
      </c>
      <c r="B1984" s="6">
        <v>42944</v>
      </c>
      <c r="C1984" s="7">
        <v>0.47454861111111113</v>
      </c>
      <c r="D1984" s="8">
        <v>0.47562500000000002</v>
      </c>
      <c r="E1984" s="20">
        <f t="shared" si="300"/>
        <v>1.0763888888888906E-3</v>
      </c>
      <c r="F1984" t="str">
        <f t="shared" si="301"/>
        <v>stacjonarny</v>
      </c>
      <c r="G1984" s="23">
        <f t="shared" si="308"/>
        <v>704789</v>
      </c>
      <c r="H1984">
        <f t="shared" si="309"/>
        <v>232654</v>
      </c>
      <c r="I1984">
        <f t="shared" si="302"/>
        <v>0</v>
      </c>
      <c r="J1984">
        <f t="shared" si="303"/>
        <v>0</v>
      </c>
      <c r="K1984">
        <f t="shared" si="304"/>
        <v>937443</v>
      </c>
      <c r="L1984">
        <f t="shared" si="305"/>
        <v>0</v>
      </c>
      <c r="M1984">
        <f t="shared" si="306"/>
        <v>93</v>
      </c>
      <c r="N1984">
        <f t="shared" si="307"/>
        <v>0</v>
      </c>
    </row>
    <row r="1985" spans="1:14" x14ac:dyDescent="0.35">
      <c r="A1985" s="9">
        <v>2134315</v>
      </c>
      <c r="B1985" s="10">
        <v>42944</v>
      </c>
      <c r="C1985" s="11">
        <v>0.47733796296296294</v>
      </c>
      <c r="D1985" s="12">
        <v>0.48003472222222221</v>
      </c>
      <c r="E1985" s="20">
        <f t="shared" si="300"/>
        <v>2.6967592592592737E-3</v>
      </c>
      <c r="F1985" t="str">
        <f t="shared" si="301"/>
        <v>stacjonarny</v>
      </c>
      <c r="G1985" s="23">
        <f t="shared" si="308"/>
        <v>705022</v>
      </c>
      <c r="H1985">
        <f t="shared" si="309"/>
        <v>232654</v>
      </c>
      <c r="I1985">
        <f t="shared" si="302"/>
        <v>0</v>
      </c>
      <c r="J1985">
        <f t="shared" si="303"/>
        <v>0</v>
      </c>
      <c r="K1985">
        <f t="shared" si="304"/>
        <v>937676</v>
      </c>
      <c r="L1985">
        <f t="shared" si="305"/>
        <v>0</v>
      </c>
      <c r="M1985">
        <f t="shared" si="306"/>
        <v>233</v>
      </c>
      <c r="N1985">
        <f t="shared" si="307"/>
        <v>0</v>
      </c>
    </row>
    <row r="1986" spans="1:14" x14ac:dyDescent="0.35">
      <c r="A1986" s="5">
        <v>6919928</v>
      </c>
      <c r="B1986" s="6">
        <v>42944</v>
      </c>
      <c r="C1986" s="7">
        <v>0.4783101851851852</v>
      </c>
      <c r="D1986" s="8">
        <v>0.48770833333333335</v>
      </c>
      <c r="E1986" s="20">
        <f t="shared" si="300"/>
        <v>9.3981481481481555E-3</v>
      </c>
      <c r="F1986" t="str">
        <f t="shared" si="301"/>
        <v>stacjonarny</v>
      </c>
      <c r="G1986" s="23">
        <f t="shared" si="308"/>
        <v>705834</v>
      </c>
      <c r="H1986">
        <f t="shared" si="309"/>
        <v>232654</v>
      </c>
      <c r="I1986">
        <f t="shared" si="302"/>
        <v>0</v>
      </c>
      <c r="J1986">
        <f t="shared" si="303"/>
        <v>0</v>
      </c>
      <c r="K1986">
        <f t="shared" si="304"/>
        <v>938488</v>
      </c>
      <c r="L1986">
        <f t="shared" si="305"/>
        <v>0</v>
      </c>
      <c r="M1986">
        <f t="shared" si="306"/>
        <v>812</v>
      </c>
      <c r="N1986">
        <f t="shared" si="307"/>
        <v>0</v>
      </c>
    </row>
    <row r="1987" spans="1:14" x14ac:dyDescent="0.35">
      <c r="A1987" s="9">
        <v>45081794</v>
      </c>
      <c r="B1987" s="10">
        <v>42944</v>
      </c>
      <c r="C1987" s="11">
        <v>0.47928240740740741</v>
      </c>
      <c r="D1987" s="12">
        <v>0.481875</v>
      </c>
      <c r="E1987" s="20">
        <f t="shared" ref="E1987:E2050" si="310">D1987-C1987</f>
        <v>2.5925925925925908E-3</v>
      </c>
      <c r="F1987" t="str">
        <f t="shared" ref="F1987:F2050" si="311">IF(LEN(A1987)=7,"stacjonarny",IF(LEN(A1987)=8,"komorkowy","zagraniczny"))</f>
        <v>komorkowy</v>
      </c>
      <c r="G1987" s="23">
        <f t="shared" si="308"/>
        <v>705834</v>
      </c>
      <c r="H1987">
        <f t="shared" si="309"/>
        <v>232878</v>
      </c>
      <c r="I1987">
        <f t="shared" ref="I1987:I2050" si="312">IF(F1987="zagraniczny",MINUTE(E1987)*60+SECOND(E1987)+HOUR(E1987)*3600,0)</f>
        <v>0</v>
      </c>
      <c r="J1987">
        <f t="shared" ref="J1987:J2050" si="313">ROUNDUP(I1987/60,0)</f>
        <v>0</v>
      </c>
      <c r="K1987">
        <f t="shared" ref="K1987:K2050" si="314">G1987+H1987</f>
        <v>938712</v>
      </c>
      <c r="L1987">
        <f t="shared" ref="L1987:L2050" si="315">IF(K1987&lt;=48000,1,0)</f>
        <v>0</v>
      </c>
      <c r="M1987">
        <f t="shared" ref="M1987:M2050" si="316">IF(AND(L1987=0,F1987="stacjonarny"),SECOND(E1987)+60*MINUTE(E1987),0)</f>
        <v>0</v>
      </c>
      <c r="N1987">
        <f t="shared" ref="N1987:N2050" si="317">IF(AND(L1987=0,F1987="komorkowy"),SECOND(E1987)+60*MINUTE(E1987),0)</f>
        <v>224</v>
      </c>
    </row>
    <row r="1988" spans="1:14" x14ac:dyDescent="0.35">
      <c r="A1988" s="5">
        <v>1661633</v>
      </c>
      <c r="B1988" s="6">
        <v>42944</v>
      </c>
      <c r="C1988" s="7">
        <v>0.48042824074074075</v>
      </c>
      <c r="D1988" s="8">
        <v>0.48422453703703705</v>
      </c>
      <c r="E1988" s="20">
        <f t="shared" si="310"/>
        <v>3.7962962962962976E-3</v>
      </c>
      <c r="F1988" t="str">
        <f t="shared" si="311"/>
        <v>stacjonarny</v>
      </c>
      <c r="G1988" s="23">
        <f t="shared" ref="G1988:G2051" si="318">IF(F1988="stacjonarny",MINUTE(E1988)*60+SECOND(E1988)+G1987,G1987)</f>
        <v>706162</v>
      </c>
      <c r="H1988">
        <f t="shared" ref="H1988:H2051" si="319">IF(F1988="komorkowy",MINUTE(E1988)*60+SECOND(E1988)+H1987,H1987)</f>
        <v>232878</v>
      </c>
      <c r="I1988">
        <f t="shared" si="312"/>
        <v>0</v>
      </c>
      <c r="J1988">
        <f t="shared" si="313"/>
        <v>0</v>
      </c>
      <c r="K1988">
        <f t="shared" si="314"/>
        <v>939040</v>
      </c>
      <c r="L1988">
        <f t="shared" si="315"/>
        <v>0</v>
      </c>
      <c r="M1988">
        <f t="shared" si="316"/>
        <v>328</v>
      </c>
      <c r="N1988">
        <f t="shared" si="317"/>
        <v>0</v>
      </c>
    </row>
    <row r="1989" spans="1:14" x14ac:dyDescent="0.35">
      <c r="A1989" s="9">
        <v>1639829</v>
      </c>
      <c r="B1989" s="10">
        <v>42944</v>
      </c>
      <c r="C1989" s="11">
        <v>0.4815740740740741</v>
      </c>
      <c r="D1989" s="12">
        <v>0.48802083333333335</v>
      </c>
      <c r="E1989" s="20">
        <f t="shared" si="310"/>
        <v>6.4467592592592493E-3</v>
      </c>
      <c r="F1989" t="str">
        <f t="shared" si="311"/>
        <v>stacjonarny</v>
      </c>
      <c r="G1989" s="23">
        <f t="shared" si="318"/>
        <v>706719</v>
      </c>
      <c r="H1989">
        <f t="shared" si="319"/>
        <v>232878</v>
      </c>
      <c r="I1989">
        <f t="shared" si="312"/>
        <v>0</v>
      </c>
      <c r="J1989">
        <f t="shared" si="313"/>
        <v>0</v>
      </c>
      <c r="K1989">
        <f t="shared" si="314"/>
        <v>939597</v>
      </c>
      <c r="L1989">
        <f t="shared" si="315"/>
        <v>0</v>
      </c>
      <c r="M1989">
        <f t="shared" si="316"/>
        <v>557</v>
      </c>
      <c r="N1989">
        <f t="shared" si="317"/>
        <v>0</v>
      </c>
    </row>
    <row r="1990" spans="1:14" x14ac:dyDescent="0.35">
      <c r="A1990" s="5">
        <v>8585321</v>
      </c>
      <c r="B1990" s="6">
        <v>42944</v>
      </c>
      <c r="C1990" s="7">
        <v>0.4836111111111111</v>
      </c>
      <c r="D1990" s="8">
        <v>0.48996527777777776</v>
      </c>
      <c r="E1990" s="20">
        <f t="shared" si="310"/>
        <v>6.3541666666666607E-3</v>
      </c>
      <c r="F1990" t="str">
        <f t="shared" si="311"/>
        <v>stacjonarny</v>
      </c>
      <c r="G1990" s="23">
        <f t="shared" si="318"/>
        <v>707268</v>
      </c>
      <c r="H1990">
        <f t="shared" si="319"/>
        <v>232878</v>
      </c>
      <c r="I1990">
        <f t="shared" si="312"/>
        <v>0</v>
      </c>
      <c r="J1990">
        <f t="shared" si="313"/>
        <v>0</v>
      </c>
      <c r="K1990">
        <f t="shared" si="314"/>
        <v>940146</v>
      </c>
      <c r="L1990">
        <f t="shared" si="315"/>
        <v>0</v>
      </c>
      <c r="M1990">
        <f t="shared" si="316"/>
        <v>549</v>
      </c>
      <c r="N1990">
        <f t="shared" si="317"/>
        <v>0</v>
      </c>
    </row>
    <row r="1991" spans="1:14" x14ac:dyDescent="0.35">
      <c r="A1991" s="9">
        <v>1661643168</v>
      </c>
      <c r="B1991" s="10">
        <v>42944</v>
      </c>
      <c r="C1991" s="11">
        <v>0.48609953703703701</v>
      </c>
      <c r="D1991" s="12">
        <v>0.48850694444444442</v>
      </c>
      <c r="E1991" s="20">
        <f t="shared" si="310"/>
        <v>2.4074074074074137E-3</v>
      </c>
      <c r="F1991" t="str">
        <f t="shared" si="311"/>
        <v>zagraniczny</v>
      </c>
      <c r="G1991" s="23">
        <f t="shared" si="318"/>
        <v>707268</v>
      </c>
      <c r="H1991">
        <f t="shared" si="319"/>
        <v>232878</v>
      </c>
      <c r="I1991">
        <f t="shared" si="312"/>
        <v>208</v>
      </c>
      <c r="J1991">
        <f t="shared" si="313"/>
        <v>4</v>
      </c>
      <c r="K1991">
        <f t="shared" si="314"/>
        <v>940146</v>
      </c>
      <c r="L1991">
        <f t="shared" si="315"/>
        <v>0</v>
      </c>
      <c r="M1991">
        <f t="shared" si="316"/>
        <v>0</v>
      </c>
      <c r="N1991">
        <f t="shared" si="317"/>
        <v>0</v>
      </c>
    </row>
    <row r="1992" spans="1:14" x14ac:dyDescent="0.35">
      <c r="A1992" s="5">
        <v>5136126</v>
      </c>
      <c r="B1992" s="6">
        <v>42944</v>
      </c>
      <c r="C1992" s="7">
        <v>0.49048611111111112</v>
      </c>
      <c r="D1992" s="8">
        <v>0.49685185185185188</v>
      </c>
      <c r="E1992" s="20">
        <f t="shared" si="310"/>
        <v>6.3657407407407551E-3</v>
      </c>
      <c r="F1992" t="str">
        <f t="shared" si="311"/>
        <v>stacjonarny</v>
      </c>
      <c r="G1992" s="23">
        <f t="shared" si="318"/>
        <v>707818</v>
      </c>
      <c r="H1992">
        <f t="shared" si="319"/>
        <v>232878</v>
      </c>
      <c r="I1992">
        <f t="shared" si="312"/>
        <v>0</v>
      </c>
      <c r="J1992">
        <f t="shared" si="313"/>
        <v>0</v>
      </c>
      <c r="K1992">
        <f t="shared" si="314"/>
        <v>940696</v>
      </c>
      <c r="L1992">
        <f t="shared" si="315"/>
        <v>0</v>
      </c>
      <c r="M1992">
        <f t="shared" si="316"/>
        <v>550</v>
      </c>
      <c r="N1992">
        <f t="shared" si="317"/>
        <v>0</v>
      </c>
    </row>
    <row r="1993" spans="1:14" x14ac:dyDescent="0.35">
      <c r="A1993" s="9">
        <v>9747700</v>
      </c>
      <c r="B1993" s="10">
        <v>42944</v>
      </c>
      <c r="C1993" s="11">
        <v>0.49305555555555558</v>
      </c>
      <c r="D1993" s="12">
        <v>0.50435185185185183</v>
      </c>
      <c r="E1993" s="20">
        <f t="shared" si="310"/>
        <v>1.1296296296296249E-2</v>
      </c>
      <c r="F1993" t="str">
        <f t="shared" si="311"/>
        <v>stacjonarny</v>
      </c>
      <c r="G1993" s="23">
        <f t="shared" si="318"/>
        <v>708794</v>
      </c>
      <c r="H1993">
        <f t="shared" si="319"/>
        <v>232878</v>
      </c>
      <c r="I1993">
        <f t="shared" si="312"/>
        <v>0</v>
      </c>
      <c r="J1993">
        <f t="shared" si="313"/>
        <v>0</v>
      </c>
      <c r="K1993">
        <f t="shared" si="314"/>
        <v>941672</v>
      </c>
      <c r="L1993">
        <f t="shared" si="315"/>
        <v>0</v>
      </c>
      <c r="M1993">
        <f t="shared" si="316"/>
        <v>976</v>
      </c>
      <c r="N1993">
        <f t="shared" si="317"/>
        <v>0</v>
      </c>
    </row>
    <row r="1994" spans="1:14" x14ac:dyDescent="0.35">
      <c r="A1994" s="5">
        <v>8387594</v>
      </c>
      <c r="B1994" s="6">
        <v>42944</v>
      </c>
      <c r="C1994" s="7">
        <v>0.49401620370370369</v>
      </c>
      <c r="D1994" s="8">
        <v>0.49682870370370369</v>
      </c>
      <c r="E1994" s="20">
        <f t="shared" si="310"/>
        <v>2.8124999999999956E-3</v>
      </c>
      <c r="F1994" t="str">
        <f t="shared" si="311"/>
        <v>stacjonarny</v>
      </c>
      <c r="G1994" s="23">
        <f t="shared" si="318"/>
        <v>709037</v>
      </c>
      <c r="H1994">
        <f t="shared" si="319"/>
        <v>232878</v>
      </c>
      <c r="I1994">
        <f t="shared" si="312"/>
        <v>0</v>
      </c>
      <c r="J1994">
        <f t="shared" si="313"/>
        <v>0</v>
      </c>
      <c r="K1994">
        <f t="shared" si="314"/>
        <v>941915</v>
      </c>
      <c r="L1994">
        <f t="shared" si="315"/>
        <v>0</v>
      </c>
      <c r="M1994">
        <f t="shared" si="316"/>
        <v>243</v>
      </c>
      <c r="N1994">
        <f t="shared" si="317"/>
        <v>0</v>
      </c>
    </row>
    <row r="1995" spans="1:14" x14ac:dyDescent="0.35">
      <c r="A1995" s="9">
        <v>65166542</v>
      </c>
      <c r="B1995" s="10">
        <v>42944</v>
      </c>
      <c r="C1995" s="11">
        <v>0.49554398148148149</v>
      </c>
      <c r="D1995" s="12">
        <v>0.49667824074074074</v>
      </c>
      <c r="E1995" s="20">
        <f t="shared" si="310"/>
        <v>1.1342592592592515E-3</v>
      </c>
      <c r="F1995" t="str">
        <f t="shared" si="311"/>
        <v>komorkowy</v>
      </c>
      <c r="G1995" s="23">
        <f t="shared" si="318"/>
        <v>709037</v>
      </c>
      <c r="H1995">
        <f t="shared" si="319"/>
        <v>232976</v>
      </c>
      <c r="I1995">
        <f t="shared" si="312"/>
        <v>0</v>
      </c>
      <c r="J1995">
        <f t="shared" si="313"/>
        <v>0</v>
      </c>
      <c r="K1995">
        <f t="shared" si="314"/>
        <v>942013</v>
      </c>
      <c r="L1995">
        <f t="shared" si="315"/>
        <v>0</v>
      </c>
      <c r="M1995">
        <f t="shared" si="316"/>
        <v>0</v>
      </c>
      <c r="N1995">
        <f t="shared" si="317"/>
        <v>98</v>
      </c>
    </row>
    <row r="1996" spans="1:14" x14ac:dyDescent="0.35">
      <c r="A1996" s="5">
        <v>77607017</v>
      </c>
      <c r="B1996" s="6">
        <v>42944</v>
      </c>
      <c r="C1996" s="7">
        <v>0.49858796296296298</v>
      </c>
      <c r="D1996" s="8">
        <v>0.50891203703703702</v>
      </c>
      <c r="E1996" s="20">
        <f t="shared" si="310"/>
        <v>1.0324074074074041E-2</v>
      </c>
      <c r="F1996" t="str">
        <f t="shared" si="311"/>
        <v>komorkowy</v>
      </c>
      <c r="G1996" s="23">
        <f t="shared" si="318"/>
        <v>709037</v>
      </c>
      <c r="H1996">
        <f t="shared" si="319"/>
        <v>233868</v>
      </c>
      <c r="I1996">
        <f t="shared" si="312"/>
        <v>0</v>
      </c>
      <c r="J1996">
        <f t="shared" si="313"/>
        <v>0</v>
      </c>
      <c r="K1996">
        <f t="shared" si="314"/>
        <v>942905</v>
      </c>
      <c r="L1996">
        <f t="shared" si="315"/>
        <v>0</v>
      </c>
      <c r="M1996">
        <f t="shared" si="316"/>
        <v>0</v>
      </c>
      <c r="N1996">
        <f t="shared" si="317"/>
        <v>892</v>
      </c>
    </row>
    <row r="1997" spans="1:14" x14ac:dyDescent="0.35">
      <c r="A1997" s="9">
        <v>9028434625</v>
      </c>
      <c r="B1997" s="10">
        <v>42944</v>
      </c>
      <c r="C1997" s="11">
        <v>0.50208333333333333</v>
      </c>
      <c r="D1997" s="12">
        <v>0.5110069444444445</v>
      </c>
      <c r="E1997" s="20">
        <f t="shared" si="310"/>
        <v>8.9236111111111738E-3</v>
      </c>
      <c r="F1997" t="str">
        <f t="shared" si="311"/>
        <v>zagraniczny</v>
      </c>
      <c r="G1997" s="23">
        <f t="shared" si="318"/>
        <v>709037</v>
      </c>
      <c r="H1997">
        <f t="shared" si="319"/>
        <v>233868</v>
      </c>
      <c r="I1997">
        <f t="shared" si="312"/>
        <v>771</v>
      </c>
      <c r="J1997">
        <f t="shared" si="313"/>
        <v>13</v>
      </c>
      <c r="K1997">
        <f t="shared" si="314"/>
        <v>942905</v>
      </c>
      <c r="L1997">
        <f t="shared" si="315"/>
        <v>0</v>
      </c>
      <c r="M1997">
        <f t="shared" si="316"/>
        <v>0</v>
      </c>
      <c r="N1997">
        <f t="shared" si="317"/>
        <v>0</v>
      </c>
    </row>
    <row r="1998" spans="1:14" x14ac:dyDescent="0.35">
      <c r="A1998" s="5">
        <v>7503173</v>
      </c>
      <c r="B1998" s="6">
        <v>42944</v>
      </c>
      <c r="C1998" s="7">
        <v>0.50390046296296298</v>
      </c>
      <c r="D1998" s="8">
        <v>0.50619212962962967</v>
      </c>
      <c r="E1998" s="20">
        <f t="shared" si="310"/>
        <v>2.2916666666666918E-3</v>
      </c>
      <c r="F1998" t="str">
        <f t="shared" si="311"/>
        <v>stacjonarny</v>
      </c>
      <c r="G1998" s="23">
        <f t="shared" si="318"/>
        <v>709235</v>
      </c>
      <c r="H1998">
        <f t="shared" si="319"/>
        <v>233868</v>
      </c>
      <c r="I1998">
        <f t="shared" si="312"/>
        <v>0</v>
      </c>
      <c r="J1998">
        <f t="shared" si="313"/>
        <v>0</v>
      </c>
      <c r="K1998">
        <f t="shared" si="314"/>
        <v>943103</v>
      </c>
      <c r="L1998">
        <f t="shared" si="315"/>
        <v>0</v>
      </c>
      <c r="M1998">
        <f t="shared" si="316"/>
        <v>198</v>
      </c>
      <c r="N1998">
        <f t="shared" si="317"/>
        <v>0</v>
      </c>
    </row>
    <row r="1999" spans="1:14" x14ac:dyDescent="0.35">
      <c r="A1999" s="9">
        <v>9039872</v>
      </c>
      <c r="B1999" s="10">
        <v>42944</v>
      </c>
      <c r="C1999" s="11">
        <v>0.50825231481481481</v>
      </c>
      <c r="D1999" s="12">
        <v>0.5168518518518519</v>
      </c>
      <c r="E1999" s="20">
        <f t="shared" si="310"/>
        <v>8.5995370370370861E-3</v>
      </c>
      <c r="F1999" t="str">
        <f t="shared" si="311"/>
        <v>stacjonarny</v>
      </c>
      <c r="G1999" s="23">
        <f t="shared" si="318"/>
        <v>709978</v>
      </c>
      <c r="H1999">
        <f t="shared" si="319"/>
        <v>233868</v>
      </c>
      <c r="I1999">
        <f t="shared" si="312"/>
        <v>0</v>
      </c>
      <c r="J1999">
        <f t="shared" si="313"/>
        <v>0</v>
      </c>
      <c r="K1999">
        <f t="shared" si="314"/>
        <v>943846</v>
      </c>
      <c r="L1999">
        <f t="shared" si="315"/>
        <v>0</v>
      </c>
      <c r="M1999">
        <f t="shared" si="316"/>
        <v>743</v>
      </c>
      <c r="N1999">
        <f t="shared" si="317"/>
        <v>0</v>
      </c>
    </row>
    <row r="2000" spans="1:14" x14ac:dyDescent="0.35">
      <c r="A2000" s="5">
        <v>45940361</v>
      </c>
      <c r="B2000" s="6">
        <v>42944</v>
      </c>
      <c r="C2000" s="7">
        <v>0.50982638888888887</v>
      </c>
      <c r="D2000" s="8">
        <v>0.51537037037037037</v>
      </c>
      <c r="E2000" s="20">
        <f t="shared" si="310"/>
        <v>5.5439814814814969E-3</v>
      </c>
      <c r="F2000" t="str">
        <f t="shared" si="311"/>
        <v>komorkowy</v>
      </c>
      <c r="G2000" s="23">
        <f t="shared" si="318"/>
        <v>709978</v>
      </c>
      <c r="H2000">
        <f t="shared" si="319"/>
        <v>234347</v>
      </c>
      <c r="I2000">
        <f t="shared" si="312"/>
        <v>0</v>
      </c>
      <c r="J2000">
        <f t="shared" si="313"/>
        <v>0</v>
      </c>
      <c r="K2000">
        <f t="shared" si="314"/>
        <v>944325</v>
      </c>
      <c r="L2000">
        <f t="shared" si="315"/>
        <v>0</v>
      </c>
      <c r="M2000">
        <f t="shared" si="316"/>
        <v>0</v>
      </c>
      <c r="N2000">
        <f t="shared" si="317"/>
        <v>479</v>
      </c>
    </row>
    <row r="2001" spans="1:14" x14ac:dyDescent="0.35">
      <c r="A2001" s="9">
        <v>6242177</v>
      </c>
      <c r="B2001" s="10">
        <v>42944</v>
      </c>
      <c r="C2001" s="11">
        <v>0.5138773148148148</v>
      </c>
      <c r="D2001" s="12">
        <v>0.52096064814814813</v>
      </c>
      <c r="E2001" s="20">
        <f t="shared" si="310"/>
        <v>7.0833333333333304E-3</v>
      </c>
      <c r="F2001" t="str">
        <f t="shared" si="311"/>
        <v>stacjonarny</v>
      </c>
      <c r="G2001" s="23">
        <f t="shared" si="318"/>
        <v>710590</v>
      </c>
      <c r="H2001">
        <f t="shared" si="319"/>
        <v>234347</v>
      </c>
      <c r="I2001">
        <f t="shared" si="312"/>
        <v>0</v>
      </c>
      <c r="J2001">
        <f t="shared" si="313"/>
        <v>0</v>
      </c>
      <c r="K2001">
        <f t="shared" si="314"/>
        <v>944937</v>
      </c>
      <c r="L2001">
        <f t="shared" si="315"/>
        <v>0</v>
      </c>
      <c r="M2001">
        <f t="shared" si="316"/>
        <v>612</v>
      </c>
      <c r="N2001">
        <f t="shared" si="317"/>
        <v>0</v>
      </c>
    </row>
    <row r="2002" spans="1:14" x14ac:dyDescent="0.35">
      <c r="A2002" s="5">
        <v>60454232</v>
      </c>
      <c r="B2002" s="6">
        <v>42944</v>
      </c>
      <c r="C2002" s="7">
        <v>0.5149421296296296</v>
      </c>
      <c r="D2002" s="8">
        <v>0.5248032407407407</v>
      </c>
      <c r="E2002" s="20">
        <f t="shared" si="310"/>
        <v>9.8611111111110983E-3</v>
      </c>
      <c r="F2002" t="str">
        <f t="shared" si="311"/>
        <v>komorkowy</v>
      </c>
      <c r="G2002" s="23">
        <f t="shared" si="318"/>
        <v>710590</v>
      </c>
      <c r="H2002">
        <f t="shared" si="319"/>
        <v>235199</v>
      </c>
      <c r="I2002">
        <f t="shared" si="312"/>
        <v>0</v>
      </c>
      <c r="J2002">
        <f t="shared" si="313"/>
        <v>0</v>
      </c>
      <c r="K2002">
        <f t="shared" si="314"/>
        <v>945789</v>
      </c>
      <c r="L2002">
        <f t="shared" si="315"/>
        <v>0</v>
      </c>
      <c r="M2002">
        <f t="shared" si="316"/>
        <v>0</v>
      </c>
      <c r="N2002">
        <f t="shared" si="317"/>
        <v>852</v>
      </c>
    </row>
    <row r="2003" spans="1:14" x14ac:dyDescent="0.35">
      <c r="A2003" s="9">
        <v>4060894</v>
      </c>
      <c r="B2003" s="10">
        <v>42944</v>
      </c>
      <c r="C2003" s="11">
        <v>0.51730324074074074</v>
      </c>
      <c r="D2003" s="12">
        <v>0.51848379629629626</v>
      </c>
      <c r="E2003" s="20">
        <f t="shared" si="310"/>
        <v>1.1805555555555181E-3</v>
      </c>
      <c r="F2003" t="str">
        <f t="shared" si="311"/>
        <v>stacjonarny</v>
      </c>
      <c r="G2003" s="23">
        <f t="shared" si="318"/>
        <v>710692</v>
      </c>
      <c r="H2003">
        <f t="shared" si="319"/>
        <v>235199</v>
      </c>
      <c r="I2003">
        <f t="shared" si="312"/>
        <v>0</v>
      </c>
      <c r="J2003">
        <f t="shared" si="313"/>
        <v>0</v>
      </c>
      <c r="K2003">
        <f t="shared" si="314"/>
        <v>945891</v>
      </c>
      <c r="L2003">
        <f t="shared" si="315"/>
        <v>0</v>
      </c>
      <c r="M2003">
        <f t="shared" si="316"/>
        <v>102</v>
      </c>
      <c r="N2003">
        <f t="shared" si="317"/>
        <v>0</v>
      </c>
    </row>
    <row r="2004" spans="1:14" x14ac:dyDescent="0.35">
      <c r="A2004" s="5">
        <v>8223406</v>
      </c>
      <c r="B2004" s="6">
        <v>42944</v>
      </c>
      <c r="C2004" s="7">
        <v>0.51908564814814817</v>
      </c>
      <c r="D2004" s="8">
        <v>0.51929398148148154</v>
      </c>
      <c r="E2004" s="20">
        <f t="shared" si="310"/>
        <v>2.083333333333659E-4</v>
      </c>
      <c r="F2004" t="str">
        <f t="shared" si="311"/>
        <v>stacjonarny</v>
      </c>
      <c r="G2004" s="23">
        <f t="shared" si="318"/>
        <v>710710</v>
      </c>
      <c r="H2004">
        <f t="shared" si="319"/>
        <v>235199</v>
      </c>
      <c r="I2004">
        <f t="shared" si="312"/>
        <v>0</v>
      </c>
      <c r="J2004">
        <f t="shared" si="313"/>
        <v>0</v>
      </c>
      <c r="K2004">
        <f t="shared" si="314"/>
        <v>945909</v>
      </c>
      <c r="L2004">
        <f t="shared" si="315"/>
        <v>0</v>
      </c>
      <c r="M2004">
        <f t="shared" si="316"/>
        <v>18</v>
      </c>
      <c r="N2004">
        <f t="shared" si="317"/>
        <v>0</v>
      </c>
    </row>
    <row r="2005" spans="1:14" x14ac:dyDescent="0.35">
      <c r="A2005" s="9">
        <v>43109897</v>
      </c>
      <c r="B2005" s="10">
        <v>42944</v>
      </c>
      <c r="C2005" s="11">
        <v>0.52467592592592593</v>
      </c>
      <c r="D2005" s="12">
        <v>0.53178240740740745</v>
      </c>
      <c r="E2005" s="20">
        <f t="shared" si="310"/>
        <v>7.1064814814815191E-3</v>
      </c>
      <c r="F2005" t="str">
        <f t="shared" si="311"/>
        <v>komorkowy</v>
      </c>
      <c r="G2005" s="23">
        <f t="shared" si="318"/>
        <v>710710</v>
      </c>
      <c r="H2005">
        <f t="shared" si="319"/>
        <v>235813</v>
      </c>
      <c r="I2005">
        <f t="shared" si="312"/>
        <v>0</v>
      </c>
      <c r="J2005">
        <f t="shared" si="313"/>
        <v>0</v>
      </c>
      <c r="K2005">
        <f t="shared" si="314"/>
        <v>946523</v>
      </c>
      <c r="L2005">
        <f t="shared" si="315"/>
        <v>0</v>
      </c>
      <c r="M2005">
        <f t="shared" si="316"/>
        <v>0</v>
      </c>
      <c r="N2005">
        <f t="shared" si="317"/>
        <v>614</v>
      </c>
    </row>
    <row r="2006" spans="1:14" x14ac:dyDescent="0.35">
      <c r="A2006" s="5">
        <v>95805020</v>
      </c>
      <c r="B2006" s="6">
        <v>42944</v>
      </c>
      <c r="C2006" s="7">
        <v>0.52603009259259259</v>
      </c>
      <c r="D2006" s="8">
        <v>0.53304398148148147</v>
      </c>
      <c r="E2006" s="20">
        <f t="shared" si="310"/>
        <v>7.0138888888888751E-3</v>
      </c>
      <c r="F2006" t="str">
        <f t="shared" si="311"/>
        <v>komorkowy</v>
      </c>
      <c r="G2006" s="23">
        <f t="shared" si="318"/>
        <v>710710</v>
      </c>
      <c r="H2006">
        <f t="shared" si="319"/>
        <v>236419</v>
      </c>
      <c r="I2006">
        <f t="shared" si="312"/>
        <v>0</v>
      </c>
      <c r="J2006">
        <f t="shared" si="313"/>
        <v>0</v>
      </c>
      <c r="K2006">
        <f t="shared" si="314"/>
        <v>947129</v>
      </c>
      <c r="L2006">
        <f t="shared" si="315"/>
        <v>0</v>
      </c>
      <c r="M2006">
        <f t="shared" si="316"/>
        <v>0</v>
      </c>
      <c r="N2006">
        <f t="shared" si="317"/>
        <v>606</v>
      </c>
    </row>
    <row r="2007" spans="1:14" x14ac:dyDescent="0.35">
      <c r="A2007" s="9">
        <v>2849439</v>
      </c>
      <c r="B2007" s="10">
        <v>42944</v>
      </c>
      <c r="C2007" s="11">
        <v>0.52813657407407411</v>
      </c>
      <c r="D2007" s="12">
        <v>0.53039351851851857</v>
      </c>
      <c r="E2007" s="20">
        <f t="shared" si="310"/>
        <v>2.2569444444444642E-3</v>
      </c>
      <c r="F2007" t="str">
        <f t="shared" si="311"/>
        <v>stacjonarny</v>
      </c>
      <c r="G2007" s="23">
        <f t="shared" si="318"/>
        <v>710905</v>
      </c>
      <c r="H2007">
        <f t="shared" si="319"/>
        <v>236419</v>
      </c>
      <c r="I2007">
        <f t="shared" si="312"/>
        <v>0</v>
      </c>
      <c r="J2007">
        <f t="shared" si="313"/>
        <v>0</v>
      </c>
      <c r="K2007">
        <f t="shared" si="314"/>
        <v>947324</v>
      </c>
      <c r="L2007">
        <f t="shared" si="315"/>
        <v>0</v>
      </c>
      <c r="M2007">
        <f t="shared" si="316"/>
        <v>195</v>
      </c>
      <c r="N2007">
        <f t="shared" si="317"/>
        <v>0</v>
      </c>
    </row>
    <row r="2008" spans="1:14" x14ac:dyDescent="0.35">
      <c r="A2008" s="5">
        <v>9589060</v>
      </c>
      <c r="B2008" s="6">
        <v>42944</v>
      </c>
      <c r="C2008" s="7">
        <v>0.53310185185185188</v>
      </c>
      <c r="D2008" s="8">
        <v>0.53871527777777772</v>
      </c>
      <c r="E2008" s="20">
        <f t="shared" si="310"/>
        <v>5.6134259259258412E-3</v>
      </c>
      <c r="F2008" t="str">
        <f t="shared" si="311"/>
        <v>stacjonarny</v>
      </c>
      <c r="G2008" s="23">
        <f t="shared" si="318"/>
        <v>711390</v>
      </c>
      <c r="H2008">
        <f t="shared" si="319"/>
        <v>236419</v>
      </c>
      <c r="I2008">
        <f t="shared" si="312"/>
        <v>0</v>
      </c>
      <c r="J2008">
        <f t="shared" si="313"/>
        <v>0</v>
      </c>
      <c r="K2008">
        <f t="shared" si="314"/>
        <v>947809</v>
      </c>
      <c r="L2008">
        <f t="shared" si="315"/>
        <v>0</v>
      </c>
      <c r="M2008">
        <f t="shared" si="316"/>
        <v>485</v>
      </c>
      <c r="N2008">
        <f t="shared" si="317"/>
        <v>0</v>
      </c>
    </row>
    <row r="2009" spans="1:14" x14ac:dyDescent="0.35">
      <c r="A2009" s="9">
        <v>2603125</v>
      </c>
      <c r="B2009" s="10">
        <v>42944</v>
      </c>
      <c r="C2009" s="11">
        <v>0.53541666666666665</v>
      </c>
      <c r="D2009" s="12">
        <v>0.53666666666666663</v>
      </c>
      <c r="E2009" s="20">
        <f t="shared" si="310"/>
        <v>1.2499999999999734E-3</v>
      </c>
      <c r="F2009" t="str">
        <f t="shared" si="311"/>
        <v>stacjonarny</v>
      </c>
      <c r="G2009" s="23">
        <f t="shared" si="318"/>
        <v>711498</v>
      </c>
      <c r="H2009">
        <f t="shared" si="319"/>
        <v>236419</v>
      </c>
      <c r="I2009">
        <f t="shared" si="312"/>
        <v>0</v>
      </c>
      <c r="J2009">
        <f t="shared" si="313"/>
        <v>0</v>
      </c>
      <c r="K2009">
        <f t="shared" si="314"/>
        <v>947917</v>
      </c>
      <c r="L2009">
        <f t="shared" si="315"/>
        <v>0</v>
      </c>
      <c r="M2009">
        <f t="shared" si="316"/>
        <v>108</v>
      </c>
      <c r="N2009">
        <f t="shared" si="317"/>
        <v>0</v>
      </c>
    </row>
    <row r="2010" spans="1:14" x14ac:dyDescent="0.35">
      <c r="A2010" s="5">
        <v>8770898</v>
      </c>
      <c r="B2010" s="6">
        <v>42944</v>
      </c>
      <c r="C2010" s="7">
        <v>0.53773148148148153</v>
      </c>
      <c r="D2010" s="8">
        <v>0.54628472222222224</v>
      </c>
      <c r="E2010" s="20">
        <f t="shared" si="310"/>
        <v>8.5532407407407085E-3</v>
      </c>
      <c r="F2010" t="str">
        <f t="shared" si="311"/>
        <v>stacjonarny</v>
      </c>
      <c r="G2010" s="23">
        <f t="shared" si="318"/>
        <v>712237</v>
      </c>
      <c r="H2010">
        <f t="shared" si="319"/>
        <v>236419</v>
      </c>
      <c r="I2010">
        <f t="shared" si="312"/>
        <v>0</v>
      </c>
      <c r="J2010">
        <f t="shared" si="313"/>
        <v>0</v>
      </c>
      <c r="K2010">
        <f t="shared" si="314"/>
        <v>948656</v>
      </c>
      <c r="L2010">
        <f t="shared" si="315"/>
        <v>0</v>
      </c>
      <c r="M2010">
        <f t="shared" si="316"/>
        <v>739</v>
      </c>
      <c r="N2010">
        <f t="shared" si="317"/>
        <v>0</v>
      </c>
    </row>
    <row r="2011" spans="1:14" x14ac:dyDescent="0.35">
      <c r="A2011" s="9">
        <v>3224960</v>
      </c>
      <c r="B2011" s="10">
        <v>42944</v>
      </c>
      <c r="C2011" s="11">
        <v>0.54221064814814812</v>
      </c>
      <c r="D2011" s="12">
        <v>0.54947916666666663</v>
      </c>
      <c r="E2011" s="20">
        <f t="shared" si="310"/>
        <v>7.2685185185185075E-3</v>
      </c>
      <c r="F2011" t="str">
        <f t="shared" si="311"/>
        <v>stacjonarny</v>
      </c>
      <c r="G2011" s="23">
        <f t="shared" si="318"/>
        <v>712865</v>
      </c>
      <c r="H2011">
        <f t="shared" si="319"/>
        <v>236419</v>
      </c>
      <c r="I2011">
        <f t="shared" si="312"/>
        <v>0</v>
      </c>
      <c r="J2011">
        <f t="shared" si="313"/>
        <v>0</v>
      </c>
      <c r="K2011">
        <f t="shared" si="314"/>
        <v>949284</v>
      </c>
      <c r="L2011">
        <f t="shared" si="315"/>
        <v>0</v>
      </c>
      <c r="M2011">
        <f t="shared" si="316"/>
        <v>628</v>
      </c>
      <c r="N2011">
        <f t="shared" si="317"/>
        <v>0</v>
      </c>
    </row>
    <row r="2012" spans="1:14" x14ac:dyDescent="0.35">
      <c r="A2012" s="5">
        <v>4150421</v>
      </c>
      <c r="B2012" s="6">
        <v>42944</v>
      </c>
      <c r="C2012" s="7">
        <v>0.54599537037037038</v>
      </c>
      <c r="D2012" s="8">
        <v>0.54759259259259263</v>
      </c>
      <c r="E2012" s="20">
        <f t="shared" si="310"/>
        <v>1.5972222222222499E-3</v>
      </c>
      <c r="F2012" t="str">
        <f t="shared" si="311"/>
        <v>stacjonarny</v>
      </c>
      <c r="G2012" s="23">
        <f t="shared" si="318"/>
        <v>713003</v>
      </c>
      <c r="H2012">
        <f t="shared" si="319"/>
        <v>236419</v>
      </c>
      <c r="I2012">
        <f t="shared" si="312"/>
        <v>0</v>
      </c>
      <c r="J2012">
        <f t="shared" si="313"/>
        <v>0</v>
      </c>
      <c r="K2012">
        <f t="shared" si="314"/>
        <v>949422</v>
      </c>
      <c r="L2012">
        <f t="shared" si="315"/>
        <v>0</v>
      </c>
      <c r="M2012">
        <f t="shared" si="316"/>
        <v>138</v>
      </c>
      <c r="N2012">
        <f t="shared" si="317"/>
        <v>0</v>
      </c>
    </row>
    <row r="2013" spans="1:14" x14ac:dyDescent="0.35">
      <c r="A2013" s="9">
        <v>44302763</v>
      </c>
      <c r="B2013" s="10">
        <v>42944</v>
      </c>
      <c r="C2013" s="11">
        <v>0.54905092592592597</v>
      </c>
      <c r="D2013" s="12">
        <v>0.55343750000000003</v>
      </c>
      <c r="E2013" s="20">
        <f t="shared" si="310"/>
        <v>4.3865740740740566E-3</v>
      </c>
      <c r="F2013" t="str">
        <f t="shared" si="311"/>
        <v>komorkowy</v>
      </c>
      <c r="G2013" s="23">
        <f t="shared" si="318"/>
        <v>713003</v>
      </c>
      <c r="H2013">
        <f t="shared" si="319"/>
        <v>236798</v>
      </c>
      <c r="I2013">
        <f t="shared" si="312"/>
        <v>0</v>
      </c>
      <c r="J2013">
        <f t="shared" si="313"/>
        <v>0</v>
      </c>
      <c r="K2013">
        <f t="shared" si="314"/>
        <v>949801</v>
      </c>
      <c r="L2013">
        <f t="shared" si="315"/>
        <v>0</v>
      </c>
      <c r="M2013">
        <f t="shared" si="316"/>
        <v>0</v>
      </c>
      <c r="N2013">
        <f t="shared" si="317"/>
        <v>379</v>
      </c>
    </row>
    <row r="2014" spans="1:14" x14ac:dyDescent="0.35">
      <c r="A2014" s="5">
        <v>1922212</v>
      </c>
      <c r="B2014" s="6">
        <v>42944</v>
      </c>
      <c r="C2014" s="7">
        <v>0.55334490740740738</v>
      </c>
      <c r="D2014" s="8">
        <v>0.56339120370370366</v>
      </c>
      <c r="E2014" s="20">
        <f t="shared" si="310"/>
        <v>1.0046296296296275E-2</v>
      </c>
      <c r="F2014" t="str">
        <f t="shared" si="311"/>
        <v>stacjonarny</v>
      </c>
      <c r="G2014" s="23">
        <f t="shared" si="318"/>
        <v>713871</v>
      </c>
      <c r="H2014">
        <f t="shared" si="319"/>
        <v>236798</v>
      </c>
      <c r="I2014">
        <f t="shared" si="312"/>
        <v>0</v>
      </c>
      <c r="J2014">
        <f t="shared" si="313"/>
        <v>0</v>
      </c>
      <c r="K2014">
        <f t="shared" si="314"/>
        <v>950669</v>
      </c>
      <c r="L2014">
        <f t="shared" si="315"/>
        <v>0</v>
      </c>
      <c r="M2014">
        <f t="shared" si="316"/>
        <v>868</v>
      </c>
      <c r="N2014">
        <f t="shared" si="317"/>
        <v>0</v>
      </c>
    </row>
    <row r="2015" spans="1:14" x14ac:dyDescent="0.35">
      <c r="A2015" s="9">
        <v>9603024</v>
      </c>
      <c r="B2015" s="10">
        <v>42944</v>
      </c>
      <c r="C2015" s="11">
        <v>0.55806712962962968</v>
      </c>
      <c r="D2015" s="12">
        <v>0.55923611111111116</v>
      </c>
      <c r="E2015" s="20">
        <f t="shared" si="310"/>
        <v>1.1689814814814792E-3</v>
      </c>
      <c r="F2015" t="str">
        <f t="shared" si="311"/>
        <v>stacjonarny</v>
      </c>
      <c r="G2015" s="23">
        <f t="shared" si="318"/>
        <v>713972</v>
      </c>
      <c r="H2015">
        <f t="shared" si="319"/>
        <v>236798</v>
      </c>
      <c r="I2015">
        <f t="shared" si="312"/>
        <v>0</v>
      </c>
      <c r="J2015">
        <f t="shared" si="313"/>
        <v>0</v>
      </c>
      <c r="K2015">
        <f t="shared" si="314"/>
        <v>950770</v>
      </c>
      <c r="L2015">
        <f t="shared" si="315"/>
        <v>0</v>
      </c>
      <c r="M2015">
        <f t="shared" si="316"/>
        <v>101</v>
      </c>
      <c r="N2015">
        <f t="shared" si="317"/>
        <v>0</v>
      </c>
    </row>
    <row r="2016" spans="1:14" x14ac:dyDescent="0.35">
      <c r="A2016" s="5">
        <v>1640513</v>
      </c>
      <c r="B2016" s="6">
        <v>42944</v>
      </c>
      <c r="C2016" s="7">
        <v>0.56162037037037038</v>
      </c>
      <c r="D2016" s="8">
        <v>0.56876157407407413</v>
      </c>
      <c r="E2016" s="20">
        <f t="shared" si="310"/>
        <v>7.1412037037037468E-3</v>
      </c>
      <c r="F2016" t="str">
        <f t="shared" si="311"/>
        <v>stacjonarny</v>
      </c>
      <c r="G2016" s="23">
        <f t="shared" si="318"/>
        <v>714589</v>
      </c>
      <c r="H2016">
        <f t="shared" si="319"/>
        <v>236798</v>
      </c>
      <c r="I2016">
        <f t="shared" si="312"/>
        <v>0</v>
      </c>
      <c r="J2016">
        <f t="shared" si="313"/>
        <v>0</v>
      </c>
      <c r="K2016">
        <f t="shared" si="314"/>
        <v>951387</v>
      </c>
      <c r="L2016">
        <f t="shared" si="315"/>
        <v>0</v>
      </c>
      <c r="M2016">
        <f t="shared" si="316"/>
        <v>617</v>
      </c>
      <c r="N2016">
        <f t="shared" si="317"/>
        <v>0</v>
      </c>
    </row>
    <row r="2017" spans="1:14" x14ac:dyDescent="0.35">
      <c r="A2017" s="9">
        <v>16592072</v>
      </c>
      <c r="B2017" s="10">
        <v>42944</v>
      </c>
      <c r="C2017" s="11">
        <v>0.56673611111111111</v>
      </c>
      <c r="D2017" s="12">
        <v>0.57725694444444442</v>
      </c>
      <c r="E2017" s="20">
        <f t="shared" si="310"/>
        <v>1.0520833333333313E-2</v>
      </c>
      <c r="F2017" t="str">
        <f t="shared" si="311"/>
        <v>komorkowy</v>
      </c>
      <c r="G2017" s="23">
        <f t="shared" si="318"/>
        <v>714589</v>
      </c>
      <c r="H2017">
        <f t="shared" si="319"/>
        <v>237707</v>
      </c>
      <c r="I2017">
        <f t="shared" si="312"/>
        <v>0</v>
      </c>
      <c r="J2017">
        <f t="shared" si="313"/>
        <v>0</v>
      </c>
      <c r="K2017">
        <f t="shared" si="314"/>
        <v>952296</v>
      </c>
      <c r="L2017">
        <f t="shared" si="315"/>
        <v>0</v>
      </c>
      <c r="M2017">
        <f t="shared" si="316"/>
        <v>0</v>
      </c>
      <c r="N2017">
        <f t="shared" si="317"/>
        <v>909</v>
      </c>
    </row>
    <row r="2018" spans="1:14" x14ac:dyDescent="0.35">
      <c r="A2018" s="5">
        <v>4895290</v>
      </c>
      <c r="B2018" s="6">
        <v>42944</v>
      </c>
      <c r="C2018" s="7">
        <v>0.56821759259259264</v>
      </c>
      <c r="D2018" s="8">
        <v>0.5773611111111111</v>
      </c>
      <c r="E2018" s="20">
        <f t="shared" si="310"/>
        <v>9.1435185185184675E-3</v>
      </c>
      <c r="F2018" t="str">
        <f t="shared" si="311"/>
        <v>stacjonarny</v>
      </c>
      <c r="G2018" s="23">
        <f t="shared" si="318"/>
        <v>715379</v>
      </c>
      <c r="H2018">
        <f t="shared" si="319"/>
        <v>237707</v>
      </c>
      <c r="I2018">
        <f t="shared" si="312"/>
        <v>0</v>
      </c>
      <c r="J2018">
        <f t="shared" si="313"/>
        <v>0</v>
      </c>
      <c r="K2018">
        <f t="shared" si="314"/>
        <v>953086</v>
      </c>
      <c r="L2018">
        <f t="shared" si="315"/>
        <v>0</v>
      </c>
      <c r="M2018">
        <f t="shared" si="316"/>
        <v>790</v>
      </c>
      <c r="N2018">
        <f t="shared" si="317"/>
        <v>0</v>
      </c>
    </row>
    <row r="2019" spans="1:14" x14ac:dyDescent="0.35">
      <c r="A2019" s="9">
        <v>5277660</v>
      </c>
      <c r="B2019" s="10">
        <v>42944</v>
      </c>
      <c r="C2019" s="11">
        <v>0.57050925925925922</v>
      </c>
      <c r="D2019" s="12">
        <v>0.58049768518518519</v>
      </c>
      <c r="E2019" s="20">
        <f t="shared" si="310"/>
        <v>9.98842592592597E-3</v>
      </c>
      <c r="F2019" t="str">
        <f t="shared" si="311"/>
        <v>stacjonarny</v>
      </c>
      <c r="G2019" s="23">
        <f t="shared" si="318"/>
        <v>716242</v>
      </c>
      <c r="H2019">
        <f t="shared" si="319"/>
        <v>237707</v>
      </c>
      <c r="I2019">
        <f t="shared" si="312"/>
        <v>0</v>
      </c>
      <c r="J2019">
        <f t="shared" si="313"/>
        <v>0</v>
      </c>
      <c r="K2019">
        <f t="shared" si="314"/>
        <v>953949</v>
      </c>
      <c r="L2019">
        <f t="shared" si="315"/>
        <v>0</v>
      </c>
      <c r="M2019">
        <f t="shared" si="316"/>
        <v>863</v>
      </c>
      <c r="N2019">
        <f t="shared" si="317"/>
        <v>0</v>
      </c>
    </row>
    <row r="2020" spans="1:14" x14ac:dyDescent="0.35">
      <c r="A2020" s="5">
        <v>8715278</v>
      </c>
      <c r="B2020" s="6">
        <v>42944</v>
      </c>
      <c r="C2020" s="7">
        <v>0.57146990740740744</v>
      </c>
      <c r="D2020" s="8">
        <v>0.57642361111111107</v>
      </c>
      <c r="E2020" s="20">
        <f t="shared" si="310"/>
        <v>4.9537037037036269E-3</v>
      </c>
      <c r="F2020" t="str">
        <f t="shared" si="311"/>
        <v>stacjonarny</v>
      </c>
      <c r="G2020" s="23">
        <f t="shared" si="318"/>
        <v>716670</v>
      </c>
      <c r="H2020">
        <f t="shared" si="319"/>
        <v>237707</v>
      </c>
      <c r="I2020">
        <f t="shared" si="312"/>
        <v>0</v>
      </c>
      <c r="J2020">
        <f t="shared" si="313"/>
        <v>0</v>
      </c>
      <c r="K2020">
        <f t="shared" si="314"/>
        <v>954377</v>
      </c>
      <c r="L2020">
        <f t="shared" si="315"/>
        <v>0</v>
      </c>
      <c r="M2020">
        <f t="shared" si="316"/>
        <v>428</v>
      </c>
      <c r="N2020">
        <f t="shared" si="317"/>
        <v>0</v>
      </c>
    </row>
    <row r="2021" spans="1:14" x14ac:dyDescent="0.35">
      <c r="A2021" s="9">
        <v>1462418</v>
      </c>
      <c r="B2021" s="10">
        <v>42944</v>
      </c>
      <c r="C2021" s="11">
        <v>0.57186342592592587</v>
      </c>
      <c r="D2021" s="12">
        <v>0.57379629629629625</v>
      </c>
      <c r="E2021" s="20">
        <f t="shared" si="310"/>
        <v>1.9328703703703765E-3</v>
      </c>
      <c r="F2021" t="str">
        <f t="shared" si="311"/>
        <v>stacjonarny</v>
      </c>
      <c r="G2021" s="23">
        <f t="shared" si="318"/>
        <v>716837</v>
      </c>
      <c r="H2021">
        <f t="shared" si="319"/>
        <v>237707</v>
      </c>
      <c r="I2021">
        <f t="shared" si="312"/>
        <v>0</v>
      </c>
      <c r="J2021">
        <f t="shared" si="313"/>
        <v>0</v>
      </c>
      <c r="K2021">
        <f t="shared" si="314"/>
        <v>954544</v>
      </c>
      <c r="L2021">
        <f t="shared" si="315"/>
        <v>0</v>
      </c>
      <c r="M2021">
        <f t="shared" si="316"/>
        <v>167</v>
      </c>
      <c r="N2021">
        <f t="shared" si="317"/>
        <v>0</v>
      </c>
    </row>
    <row r="2022" spans="1:14" x14ac:dyDescent="0.35">
      <c r="A2022" s="5">
        <v>8077806</v>
      </c>
      <c r="B2022" s="6">
        <v>42944</v>
      </c>
      <c r="C2022" s="7">
        <v>0.57629629629629631</v>
      </c>
      <c r="D2022" s="8">
        <v>0.58628472222222228</v>
      </c>
      <c r="E2022" s="20">
        <f t="shared" si="310"/>
        <v>9.98842592592597E-3</v>
      </c>
      <c r="F2022" t="str">
        <f t="shared" si="311"/>
        <v>stacjonarny</v>
      </c>
      <c r="G2022" s="23">
        <f t="shared" si="318"/>
        <v>717700</v>
      </c>
      <c r="H2022">
        <f t="shared" si="319"/>
        <v>237707</v>
      </c>
      <c r="I2022">
        <f t="shared" si="312"/>
        <v>0</v>
      </c>
      <c r="J2022">
        <f t="shared" si="313"/>
        <v>0</v>
      </c>
      <c r="K2022">
        <f t="shared" si="314"/>
        <v>955407</v>
      </c>
      <c r="L2022">
        <f t="shared" si="315"/>
        <v>0</v>
      </c>
      <c r="M2022">
        <f t="shared" si="316"/>
        <v>863</v>
      </c>
      <c r="N2022">
        <f t="shared" si="317"/>
        <v>0</v>
      </c>
    </row>
    <row r="2023" spans="1:14" x14ac:dyDescent="0.35">
      <c r="A2023" s="9">
        <v>5759409</v>
      </c>
      <c r="B2023" s="10">
        <v>42944</v>
      </c>
      <c r="C2023" s="11">
        <v>0.57835648148148144</v>
      </c>
      <c r="D2023" s="12">
        <v>0.58644675925925926</v>
      </c>
      <c r="E2023" s="20">
        <f t="shared" si="310"/>
        <v>8.0902777777778212E-3</v>
      </c>
      <c r="F2023" t="str">
        <f t="shared" si="311"/>
        <v>stacjonarny</v>
      </c>
      <c r="G2023" s="23">
        <f t="shared" si="318"/>
        <v>718399</v>
      </c>
      <c r="H2023">
        <f t="shared" si="319"/>
        <v>237707</v>
      </c>
      <c r="I2023">
        <f t="shared" si="312"/>
        <v>0</v>
      </c>
      <c r="J2023">
        <f t="shared" si="313"/>
        <v>0</v>
      </c>
      <c r="K2023">
        <f t="shared" si="314"/>
        <v>956106</v>
      </c>
      <c r="L2023">
        <f t="shared" si="315"/>
        <v>0</v>
      </c>
      <c r="M2023">
        <f t="shared" si="316"/>
        <v>699</v>
      </c>
      <c r="N2023">
        <f t="shared" si="317"/>
        <v>0</v>
      </c>
    </row>
    <row r="2024" spans="1:14" x14ac:dyDescent="0.35">
      <c r="A2024" s="5">
        <v>6257971</v>
      </c>
      <c r="B2024" s="6">
        <v>42944</v>
      </c>
      <c r="C2024" s="7">
        <v>0.58331018518518518</v>
      </c>
      <c r="D2024" s="8">
        <v>0.58539351851851851</v>
      </c>
      <c r="E2024" s="20">
        <f t="shared" si="310"/>
        <v>2.0833333333333259E-3</v>
      </c>
      <c r="F2024" t="str">
        <f t="shared" si="311"/>
        <v>stacjonarny</v>
      </c>
      <c r="G2024" s="23">
        <f t="shared" si="318"/>
        <v>718579</v>
      </c>
      <c r="H2024">
        <f t="shared" si="319"/>
        <v>237707</v>
      </c>
      <c r="I2024">
        <f t="shared" si="312"/>
        <v>0</v>
      </c>
      <c r="J2024">
        <f t="shared" si="313"/>
        <v>0</v>
      </c>
      <c r="K2024">
        <f t="shared" si="314"/>
        <v>956286</v>
      </c>
      <c r="L2024">
        <f t="shared" si="315"/>
        <v>0</v>
      </c>
      <c r="M2024">
        <f t="shared" si="316"/>
        <v>180</v>
      </c>
      <c r="N2024">
        <f t="shared" si="317"/>
        <v>0</v>
      </c>
    </row>
    <row r="2025" spans="1:14" x14ac:dyDescent="0.35">
      <c r="A2025" s="9">
        <v>91129571</v>
      </c>
      <c r="B2025" s="10">
        <v>42944</v>
      </c>
      <c r="C2025" s="11">
        <v>0.58353009259259259</v>
      </c>
      <c r="D2025" s="12">
        <v>0.58950231481481485</v>
      </c>
      <c r="E2025" s="20">
        <f t="shared" si="310"/>
        <v>5.9722222222222676E-3</v>
      </c>
      <c r="F2025" t="str">
        <f t="shared" si="311"/>
        <v>komorkowy</v>
      </c>
      <c r="G2025" s="23">
        <f t="shared" si="318"/>
        <v>718579</v>
      </c>
      <c r="H2025">
        <f t="shared" si="319"/>
        <v>238223</v>
      </c>
      <c r="I2025">
        <f t="shared" si="312"/>
        <v>0</v>
      </c>
      <c r="J2025">
        <f t="shared" si="313"/>
        <v>0</v>
      </c>
      <c r="K2025">
        <f t="shared" si="314"/>
        <v>956802</v>
      </c>
      <c r="L2025">
        <f t="shared" si="315"/>
        <v>0</v>
      </c>
      <c r="M2025">
        <f t="shared" si="316"/>
        <v>0</v>
      </c>
      <c r="N2025">
        <f t="shared" si="317"/>
        <v>516</v>
      </c>
    </row>
    <row r="2026" spans="1:14" x14ac:dyDescent="0.35">
      <c r="A2026" s="5">
        <v>6884037</v>
      </c>
      <c r="B2026" s="6">
        <v>42944</v>
      </c>
      <c r="C2026" s="7">
        <v>0.58892361111111113</v>
      </c>
      <c r="D2026" s="8">
        <v>0.59381944444444446</v>
      </c>
      <c r="E2026" s="20">
        <f t="shared" si="310"/>
        <v>4.8958333333333215E-3</v>
      </c>
      <c r="F2026" t="str">
        <f t="shared" si="311"/>
        <v>stacjonarny</v>
      </c>
      <c r="G2026" s="23">
        <f t="shared" si="318"/>
        <v>719002</v>
      </c>
      <c r="H2026">
        <f t="shared" si="319"/>
        <v>238223</v>
      </c>
      <c r="I2026">
        <f t="shared" si="312"/>
        <v>0</v>
      </c>
      <c r="J2026">
        <f t="shared" si="313"/>
        <v>0</v>
      </c>
      <c r="K2026">
        <f t="shared" si="314"/>
        <v>957225</v>
      </c>
      <c r="L2026">
        <f t="shared" si="315"/>
        <v>0</v>
      </c>
      <c r="M2026">
        <f t="shared" si="316"/>
        <v>423</v>
      </c>
      <c r="N2026">
        <f t="shared" si="317"/>
        <v>0</v>
      </c>
    </row>
    <row r="2027" spans="1:14" x14ac:dyDescent="0.35">
      <c r="A2027" s="9">
        <v>6657074</v>
      </c>
      <c r="B2027" s="10">
        <v>42944</v>
      </c>
      <c r="C2027" s="11">
        <v>0.59035879629629628</v>
      </c>
      <c r="D2027" s="12">
        <v>0.5992939814814815</v>
      </c>
      <c r="E2027" s="20">
        <f t="shared" si="310"/>
        <v>8.9351851851852127E-3</v>
      </c>
      <c r="F2027" t="str">
        <f t="shared" si="311"/>
        <v>stacjonarny</v>
      </c>
      <c r="G2027" s="23">
        <f t="shared" si="318"/>
        <v>719774</v>
      </c>
      <c r="H2027">
        <f t="shared" si="319"/>
        <v>238223</v>
      </c>
      <c r="I2027">
        <f t="shared" si="312"/>
        <v>0</v>
      </c>
      <c r="J2027">
        <f t="shared" si="313"/>
        <v>0</v>
      </c>
      <c r="K2027">
        <f t="shared" si="314"/>
        <v>957997</v>
      </c>
      <c r="L2027">
        <f t="shared" si="315"/>
        <v>0</v>
      </c>
      <c r="M2027">
        <f t="shared" si="316"/>
        <v>772</v>
      </c>
      <c r="N2027">
        <f t="shared" si="317"/>
        <v>0</v>
      </c>
    </row>
    <row r="2028" spans="1:14" x14ac:dyDescent="0.35">
      <c r="A2028" s="5">
        <v>2211277198</v>
      </c>
      <c r="B2028" s="6">
        <v>42944</v>
      </c>
      <c r="C2028" s="7">
        <v>0.59439814814814818</v>
      </c>
      <c r="D2028" s="8">
        <v>0.60048611111111116</v>
      </c>
      <c r="E2028" s="20">
        <f t="shared" si="310"/>
        <v>6.0879629629629894E-3</v>
      </c>
      <c r="F2028" t="str">
        <f t="shared" si="311"/>
        <v>zagraniczny</v>
      </c>
      <c r="G2028" s="23">
        <f t="shared" si="318"/>
        <v>719774</v>
      </c>
      <c r="H2028">
        <f t="shared" si="319"/>
        <v>238223</v>
      </c>
      <c r="I2028">
        <f t="shared" si="312"/>
        <v>526</v>
      </c>
      <c r="J2028">
        <f t="shared" si="313"/>
        <v>9</v>
      </c>
      <c r="K2028">
        <f t="shared" si="314"/>
        <v>957997</v>
      </c>
      <c r="L2028">
        <f t="shared" si="315"/>
        <v>0</v>
      </c>
      <c r="M2028">
        <f t="shared" si="316"/>
        <v>0</v>
      </c>
      <c r="N2028">
        <f t="shared" si="317"/>
        <v>0</v>
      </c>
    </row>
    <row r="2029" spans="1:14" x14ac:dyDescent="0.35">
      <c r="A2029" s="9">
        <v>26766818</v>
      </c>
      <c r="B2029" s="10">
        <v>42944</v>
      </c>
      <c r="C2029" s="11">
        <v>0.59788194444444442</v>
      </c>
      <c r="D2029" s="12">
        <v>0.60576388888888888</v>
      </c>
      <c r="E2029" s="20">
        <f t="shared" si="310"/>
        <v>7.8819444444444553E-3</v>
      </c>
      <c r="F2029" t="str">
        <f t="shared" si="311"/>
        <v>komorkowy</v>
      </c>
      <c r="G2029" s="23">
        <f t="shared" si="318"/>
        <v>719774</v>
      </c>
      <c r="H2029">
        <f t="shared" si="319"/>
        <v>238904</v>
      </c>
      <c r="I2029">
        <f t="shared" si="312"/>
        <v>0</v>
      </c>
      <c r="J2029">
        <f t="shared" si="313"/>
        <v>0</v>
      </c>
      <c r="K2029">
        <f t="shared" si="314"/>
        <v>958678</v>
      </c>
      <c r="L2029">
        <f t="shared" si="315"/>
        <v>0</v>
      </c>
      <c r="M2029">
        <f t="shared" si="316"/>
        <v>0</v>
      </c>
      <c r="N2029">
        <f t="shared" si="317"/>
        <v>681</v>
      </c>
    </row>
    <row r="2030" spans="1:14" x14ac:dyDescent="0.35">
      <c r="A2030" s="5">
        <v>4473835</v>
      </c>
      <c r="B2030" s="6">
        <v>42944</v>
      </c>
      <c r="C2030" s="7">
        <v>0.60322916666666671</v>
      </c>
      <c r="D2030" s="8">
        <v>0.60628472222222218</v>
      </c>
      <c r="E2030" s="20">
        <f t="shared" si="310"/>
        <v>3.0555555555554781E-3</v>
      </c>
      <c r="F2030" t="str">
        <f t="shared" si="311"/>
        <v>stacjonarny</v>
      </c>
      <c r="G2030" s="23">
        <f t="shared" si="318"/>
        <v>720038</v>
      </c>
      <c r="H2030">
        <f t="shared" si="319"/>
        <v>238904</v>
      </c>
      <c r="I2030">
        <f t="shared" si="312"/>
        <v>0</v>
      </c>
      <c r="J2030">
        <f t="shared" si="313"/>
        <v>0</v>
      </c>
      <c r="K2030">
        <f t="shared" si="314"/>
        <v>958942</v>
      </c>
      <c r="L2030">
        <f t="shared" si="315"/>
        <v>0</v>
      </c>
      <c r="M2030">
        <f t="shared" si="316"/>
        <v>264</v>
      </c>
      <c r="N2030">
        <f t="shared" si="317"/>
        <v>0</v>
      </c>
    </row>
    <row r="2031" spans="1:14" x14ac:dyDescent="0.35">
      <c r="A2031" s="9">
        <v>9941776</v>
      </c>
      <c r="B2031" s="10">
        <v>42944</v>
      </c>
      <c r="C2031" s="11">
        <v>0.60745370370370366</v>
      </c>
      <c r="D2031" s="12">
        <v>0.61017361111111112</v>
      </c>
      <c r="E2031" s="20">
        <f t="shared" si="310"/>
        <v>2.7199074074074625E-3</v>
      </c>
      <c r="F2031" t="str">
        <f t="shared" si="311"/>
        <v>stacjonarny</v>
      </c>
      <c r="G2031" s="23">
        <f t="shared" si="318"/>
        <v>720273</v>
      </c>
      <c r="H2031">
        <f t="shared" si="319"/>
        <v>238904</v>
      </c>
      <c r="I2031">
        <f t="shared" si="312"/>
        <v>0</v>
      </c>
      <c r="J2031">
        <f t="shared" si="313"/>
        <v>0</v>
      </c>
      <c r="K2031">
        <f t="shared" si="314"/>
        <v>959177</v>
      </c>
      <c r="L2031">
        <f t="shared" si="315"/>
        <v>0</v>
      </c>
      <c r="M2031">
        <f t="shared" si="316"/>
        <v>235</v>
      </c>
      <c r="N2031">
        <f t="shared" si="317"/>
        <v>0</v>
      </c>
    </row>
    <row r="2032" spans="1:14" x14ac:dyDescent="0.35">
      <c r="A2032" s="5">
        <v>9045402</v>
      </c>
      <c r="B2032" s="6">
        <v>42944</v>
      </c>
      <c r="C2032" s="7">
        <v>0.61322916666666671</v>
      </c>
      <c r="D2032" s="8">
        <v>0.62153935185185183</v>
      </c>
      <c r="E2032" s="20">
        <f t="shared" si="310"/>
        <v>8.310185185185115E-3</v>
      </c>
      <c r="F2032" t="str">
        <f t="shared" si="311"/>
        <v>stacjonarny</v>
      </c>
      <c r="G2032" s="23">
        <f t="shared" si="318"/>
        <v>720991</v>
      </c>
      <c r="H2032">
        <f t="shared" si="319"/>
        <v>238904</v>
      </c>
      <c r="I2032">
        <f t="shared" si="312"/>
        <v>0</v>
      </c>
      <c r="J2032">
        <f t="shared" si="313"/>
        <v>0</v>
      </c>
      <c r="K2032">
        <f t="shared" si="314"/>
        <v>959895</v>
      </c>
      <c r="L2032">
        <f t="shared" si="315"/>
        <v>0</v>
      </c>
      <c r="M2032">
        <f t="shared" si="316"/>
        <v>718</v>
      </c>
      <c r="N2032">
        <f t="shared" si="317"/>
        <v>0</v>
      </c>
    </row>
    <row r="2033" spans="1:14" x14ac:dyDescent="0.35">
      <c r="A2033" s="9">
        <v>7662302259</v>
      </c>
      <c r="B2033" s="10">
        <v>42944</v>
      </c>
      <c r="C2033" s="11">
        <v>0.61570601851851847</v>
      </c>
      <c r="D2033" s="12">
        <v>0.62429398148148152</v>
      </c>
      <c r="E2033" s="20">
        <f t="shared" si="310"/>
        <v>8.5879629629630472E-3</v>
      </c>
      <c r="F2033" t="str">
        <f t="shared" si="311"/>
        <v>zagraniczny</v>
      </c>
      <c r="G2033" s="23">
        <f t="shared" si="318"/>
        <v>720991</v>
      </c>
      <c r="H2033">
        <f t="shared" si="319"/>
        <v>238904</v>
      </c>
      <c r="I2033">
        <f t="shared" si="312"/>
        <v>742</v>
      </c>
      <c r="J2033">
        <f t="shared" si="313"/>
        <v>13</v>
      </c>
      <c r="K2033">
        <f t="shared" si="314"/>
        <v>959895</v>
      </c>
      <c r="L2033">
        <f t="shared" si="315"/>
        <v>0</v>
      </c>
      <c r="M2033">
        <f t="shared" si="316"/>
        <v>0</v>
      </c>
      <c r="N2033">
        <f t="shared" si="317"/>
        <v>0</v>
      </c>
    </row>
    <row r="2034" spans="1:14" x14ac:dyDescent="0.35">
      <c r="A2034" s="5">
        <v>2756059784</v>
      </c>
      <c r="B2034" s="6">
        <v>42944</v>
      </c>
      <c r="C2034" s="7">
        <v>0.61962962962962964</v>
      </c>
      <c r="D2034" s="8">
        <v>0.62399305555555551</v>
      </c>
      <c r="E2034" s="20">
        <f t="shared" si="310"/>
        <v>4.3634259259258679E-3</v>
      </c>
      <c r="F2034" t="str">
        <f t="shared" si="311"/>
        <v>zagraniczny</v>
      </c>
      <c r="G2034" s="23">
        <f t="shared" si="318"/>
        <v>720991</v>
      </c>
      <c r="H2034">
        <f t="shared" si="319"/>
        <v>238904</v>
      </c>
      <c r="I2034">
        <f t="shared" si="312"/>
        <v>377</v>
      </c>
      <c r="J2034">
        <f t="shared" si="313"/>
        <v>7</v>
      </c>
      <c r="K2034">
        <f t="shared" si="314"/>
        <v>959895</v>
      </c>
      <c r="L2034">
        <f t="shared" si="315"/>
        <v>0</v>
      </c>
      <c r="M2034">
        <f t="shared" si="316"/>
        <v>0</v>
      </c>
      <c r="N2034">
        <f t="shared" si="317"/>
        <v>0</v>
      </c>
    </row>
    <row r="2035" spans="1:14" x14ac:dyDescent="0.35">
      <c r="A2035" s="9">
        <v>8667012</v>
      </c>
      <c r="B2035" s="10">
        <v>42944</v>
      </c>
      <c r="C2035" s="11">
        <v>0.62204861111111109</v>
      </c>
      <c r="D2035" s="12">
        <v>0.62440972222222224</v>
      </c>
      <c r="E2035" s="20">
        <f t="shared" si="310"/>
        <v>2.3611111111111471E-3</v>
      </c>
      <c r="F2035" t="str">
        <f t="shared" si="311"/>
        <v>stacjonarny</v>
      </c>
      <c r="G2035" s="23">
        <f t="shared" si="318"/>
        <v>721195</v>
      </c>
      <c r="H2035">
        <f t="shared" si="319"/>
        <v>238904</v>
      </c>
      <c r="I2035">
        <f t="shared" si="312"/>
        <v>0</v>
      </c>
      <c r="J2035">
        <f t="shared" si="313"/>
        <v>0</v>
      </c>
      <c r="K2035">
        <f t="shared" si="314"/>
        <v>960099</v>
      </c>
      <c r="L2035">
        <f t="shared" si="315"/>
        <v>0</v>
      </c>
      <c r="M2035">
        <f t="shared" si="316"/>
        <v>204</v>
      </c>
      <c r="N2035">
        <f t="shared" si="317"/>
        <v>0</v>
      </c>
    </row>
    <row r="2036" spans="1:14" x14ac:dyDescent="0.35">
      <c r="A2036" s="5">
        <v>34964547</v>
      </c>
      <c r="B2036" s="6">
        <v>42944</v>
      </c>
      <c r="C2036" s="7">
        <v>0.62502314814814819</v>
      </c>
      <c r="D2036" s="8">
        <v>0.63574074074074072</v>
      </c>
      <c r="E2036" s="20">
        <f t="shared" si="310"/>
        <v>1.0717592592592529E-2</v>
      </c>
      <c r="F2036" t="str">
        <f t="shared" si="311"/>
        <v>komorkowy</v>
      </c>
      <c r="G2036" s="23">
        <f t="shared" si="318"/>
        <v>721195</v>
      </c>
      <c r="H2036">
        <f t="shared" si="319"/>
        <v>239830</v>
      </c>
      <c r="I2036">
        <f t="shared" si="312"/>
        <v>0</v>
      </c>
      <c r="J2036">
        <f t="shared" si="313"/>
        <v>0</v>
      </c>
      <c r="K2036">
        <f t="shared" si="314"/>
        <v>961025</v>
      </c>
      <c r="L2036">
        <f t="shared" si="315"/>
        <v>0</v>
      </c>
      <c r="M2036">
        <f t="shared" si="316"/>
        <v>0</v>
      </c>
      <c r="N2036">
        <f t="shared" si="317"/>
        <v>926</v>
      </c>
    </row>
    <row r="2037" spans="1:14" x14ac:dyDescent="0.35">
      <c r="A2037" s="9">
        <v>9357185</v>
      </c>
      <c r="B2037" s="10">
        <v>42947</v>
      </c>
      <c r="C2037" s="11">
        <v>0.3342013888888889</v>
      </c>
      <c r="D2037" s="12">
        <v>0.34159722222222222</v>
      </c>
      <c r="E2037" s="20">
        <f t="shared" si="310"/>
        <v>7.3958333333333237E-3</v>
      </c>
      <c r="F2037" t="str">
        <f t="shared" si="311"/>
        <v>stacjonarny</v>
      </c>
      <c r="G2037" s="23">
        <f t="shared" si="318"/>
        <v>721834</v>
      </c>
      <c r="H2037">
        <f t="shared" si="319"/>
        <v>239830</v>
      </c>
      <c r="I2037">
        <f t="shared" si="312"/>
        <v>0</v>
      </c>
      <c r="J2037">
        <f t="shared" si="313"/>
        <v>0</v>
      </c>
      <c r="K2037">
        <f t="shared" si="314"/>
        <v>961664</v>
      </c>
      <c r="L2037">
        <f t="shared" si="315"/>
        <v>0</v>
      </c>
      <c r="M2037">
        <f t="shared" si="316"/>
        <v>639</v>
      </c>
      <c r="N2037">
        <f t="shared" si="317"/>
        <v>0</v>
      </c>
    </row>
    <row r="2038" spans="1:14" x14ac:dyDescent="0.35">
      <c r="A2038" s="5">
        <v>12471534</v>
      </c>
      <c r="B2038" s="6">
        <v>42947</v>
      </c>
      <c r="C2038" s="7">
        <v>0.33929398148148149</v>
      </c>
      <c r="D2038" s="8">
        <v>0.34349537037037037</v>
      </c>
      <c r="E2038" s="20">
        <f t="shared" si="310"/>
        <v>4.2013888888888795E-3</v>
      </c>
      <c r="F2038" t="str">
        <f t="shared" si="311"/>
        <v>komorkowy</v>
      </c>
      <c r="G2038" s="23">
        <f t="shared" si="318"/>
        <v>721834</v>
      </c>
      <c r="H2038">
        <f t="shared" si="319"/>
        <v>240193</v>
      </c>
      <c r="I2038">
        <f t="shared" si="312"/>
        <v>0</v>
      </c>
      <c r="J2038">
        <f t="shared" si="313"/>
        <v>0</v>
      </c>
      <c r="K2038">
        <f t="shared" si="314"/>
        <v>962027</v>
      </c>
      <c r="L2038">
        <f t="shared" si="315"/>
        <v>0</v>
      </c>
      <c r="M2038">
        <f t="shared" si="316"/>
        <v>0</v>
      </c>
      <c r="N2038">
        <f t="shared" si="317"/>
        <v>363</v>
      </c>
    </row>
    <row r="2039" spans="1:14" x14ac:dyDescent="0.35">
      <c r="A2039" s="9">
        <v>1003402</v>
      </c>
      <c r="B2039" s="10">
        <v>42947</v>
      </c>
      <c r="C2039" s="11">
        <v>0.34378472222222223</v>
      </c>
      <c r="D2039" s="12">
        <v>0.34677083333333331</v>
      </c>
      <c r="E2039" s="20">
        <f t="shared" si="310"/>
        <v>2.9861111111110783E-3</v>
      </c>
      <c r="F2039" t="str">
        <f t="shared" si="311"/>
        <v>stacjonarny</v>
      </c>
      <c r="G2039" s="23">
        <f t="shared" si="318"/>
        <v>722092</v>
      </c>
      <c r="H2039">
        <f t="shared" si="319"/>
        <v>240193</v>
      </c>
      <c r="I2039">
        <f t="shared" si="312"/>
        <v>0</v>
      </c>
      <c r="J2039">
        <f t="shared" si="313"/>
        <v>0</v>
      </c>
      <c r="K2039">
        <f t="shared" si="314"/>
        <v>962285</v>
      </c>
      <c r="L2039">
        <f t="shared" si="315"/>
        <v>0</v>
      </c>
      <c r="M2039">
        <f t="shared" si="316"/>
        <v>258</v>
      </c>
      <c r="N2039">
        <f t="shared" si="317"/>
        <v>0</v>
      </c>
    </row>
    <row r="2040" spans="1:14" x14ac:dyDescent="0.35">
      <c r="A2040" s="5">
        <v>4509550</v>
      </c>
      <c r="B2040" s="6">
        <v>42947</v>
      </c>
      <c r="C2040" s="7">
        <v>0.34609953703703705</v>
      </c>
      <c r="D2040" s="8">
        <v>0.35118055555555555</v>
      </c>
      <c r="E2040" s="20">
        <f t="shared" si="310"/>
        <v>5.0810185185184986E-3</v>
      </c>
      <c r="F2040" t="str">
        <f t="shared" si="311"/>
        <v>stacjonarny</v>
      </c>
      <c r="G2040" s="23">
        <f t="shared" si="318"/>
        <v>722531</v>
      </c>
      <c r="H2040">
        <f t="shared" si="319"/>
        <v>240193</v>
      </c>
      <c r="I2040">
        <f t="shared" si="312"/>
        <v>0</v>
      </c>
      <c r="J2040">
        <f t="shared" si="313"/>
        <v>0</v>
      </c>
      <c r="K2040">
        <f t="shared" si="314"/>
        <v>962724</v>
      </c>
      <c r="L2040">
        <f t="shared" si="315"/>
        <v>0</v>
      </c>
      <c r="M2040">
        <f t="shared" si="316"/>
        <v>439</v>
      </c>
      <c r="N2040">
        <f t="shared" si="317"/>
        <v>0</v>
      </c>
    </row>
    <row r="2041" spans="1:14" x14ac:dyDescent="0.35">
      <c r="A2041" s="9">
        <v>5356824</v>
      </c>
      <c r="B2041" s="10">
        <v>42947</v>
      </c>
      <c r="C2041" s="11">
        <v>0.35167824074074072</v>
      </c>
      <c r="D2041" s="12">
        <v>0.35538194444444443</v>
      </c>
      <c r="E2041" s="20">
        <f t="shared" si="310"/>
        <v>3.703703703703709E-3</v>
      </c>
      <c r="F2041" t="str">
        <f t="shared" si="311"/>
        <v>stacjonarny</v>
      </c>
      <c r="G2041" s="23">
        <f t="shared" si="318"/>
        <v>722851</v>
      </c>
      <c r="H2041">
        <f t="shared" si="319"/>
        <v>240193</v>
      </c>
      <c r="I2041">
        <f t="shared" si="312"/>
        <v>0</v>
      </c>
      <c r="J2041">
        <f t="shared" si="313"/>
        <v>0</v>
      </c>
      <c r="K2041">
        <f t="shared" si="314"/>
        <v>963044</v>
      </c>
      <c r="L2041">
        <f t="shared" si="315"/>
        <v>0</v>
      </c>
      <c r="M2041">
        <f t="shared" si="316"/>
        <v>320</v>
      </c>
      <c r="N2041">
        <f t="shared" si="317"/>
        <v>0</v>
      </c>
    </row>
    <row r="2042" spans="1:14" x14ac:dyDescent="0.35">
      <c r="A2042" s="5">
        <v>4293872</v>
      </c>
      <c r="B2042" s="6">
        <v>42947</v>
      </c>
      <c r="C2042" s="7">
        <v>0.35333333333333333</v>
      </c>
      <c r="D2042" s="8">
        <v>0.35844907407407406</v>
      </c>
      <c r="E2042" s="20">
        <f t="shared" si="310"/>
        <v>5.1157407407407263E-3</v>
      </c>
      <c r="F2042" t="str">
        <f t="shared" si="311"/>
        <v>stacjonarny</v>
      </c>
      <c r="G2042" s="23">
        <f t="shared" si="318"/>
        <v>723293</v>
      </c>
      <c r="H2042">
        <f t="shared" si="319"/>
        <v>240193</v>
      </c>
      <c r="I2042">
        <f t="shared" si="312"/>
        <v>0</v>
      </c>
      <c r="J2042">
        <f t="shared" si="313"/>
        <v>0</v>
      </c>
      <c r="K2042">
        <f t="shared" si="314"/>
        <v>963486</v>
      </c>
      <c r="L2042">
        <f t="shared" si="315"/>
        <v>0</v>
      </c>
      <c r="M2042">
        <f t="shared" si="316"/>
        <v>442</v>
      </c>
      <c r="N2042">
        <f t="shared" si="317"/>
        <v>0</v>
      </c>
    </row>
    <row r="2043" spans="1:14" x14ac:dyDescent="0.35">
      <c r="A2043" s="9">
        <v>5086182</v>
      </c>
      <c r="B2043" s="10">
        <v>42947</v>
      </c>
      <c r="C2043" s="11">
        <v>0.35793981481481479</v>
      </c>
      <c r="D2043" s="12">
        <v>0.36571759259259257</v>
      </c>
      <c r="E2043" s="20">
        <f t="shared" si="310"/>
        <v>7.7777777777777724E-3</v>
      </c>
      <c r="F2043" t="str">
        <f t="shared" si="311"/>
        <v>stacjonarny</v>
      </c>
      <c r="G2043" s="23">
        <f t="shared" si="318"/>
        <v>723965</v>
      </c>
      <c r="H2043">
        <f t="shared" si="319"/>
        <v>240193</v>
      </c>
      <c r="I2043">
        <f t="shared" si="312"/>
        <v>0</v>
      </c>
      <c r="J2043">
        <f t="shared" si="313"/>
        <v>0</v>
      </c>
      <c r="K2043">
        <f t="shared" si="314"/>
        <v>964158</v>
      </c>
      <c r="L2043">
        <f t="shared" si="315"/>
        <v>0</v>
      </c>
      <c r="M2043">
        <f t="shared" si="316"/>
        <v>672</v>
      </c>
      <c r="N2043">
        <f t="shared" si="317"/>
        <v>0</v>
      </c>
    </row>
    <row r="2044" spans="1:14" x14ac:dyDescent="0.35">
      <c r="A2044" s="5">
        <v>6175467</v>
      </c>
      <c r="B2044" s="6">
        <v>42947</v>
      </c>
      <c r="C2044" s="7">
        <v>0.35976851851851854</v>
      </c>
      <c r="D2044" s="8">
        <v>0.36883101851851852</v>
      </c>
      <c r="E2044" s="20">
        <f t="shared" si="310"/>
        <v>9.0624999999999734E-3</v>
      </c>
      <c r="F2044" t="str">
        <f t="shared" si="311"/>
        <v>stacjonarny</v>
      </c>
      <c r="G2044" s="23">
        <f t="shared" si="318"/>
        <v>724748</v>
      </c>
      <c r="H2044">
        <f t="shared" si="319"/>
        <v>240193</v>
      </c>
      <c r="I2044">
        <f t="shared" si="312"/>
        <v>0</v>
      </c>
      <c r="J2044">
        <f t="shared" si="313"/>
        <v>0</v>
      </c>
      <c r="K2044">
        <f t="shared" si="314"/>
        <v>964941</v>
      </c>
      <c r="L2044">
        <f t="shared" si="315"/>
        <v>0</v>
      </c>
      <c r="M2044">
        <f t="shared" si="316"/>
        <v>783</v>
      </c>
      <c r="N2044">
        <f t="shared" si="317"/>
        <v>0</v>
      </c>
    </row>
    <row r="2045" spans="1:14" x14ac:dyDescent="0.35">
      <c r="A2045" s="9">
        <v>2107985</v>
      </c>
      <c r="B2045" s="10">
        <v>42947</v>
      </c>
      <c r="C2045" s="11">
        <v>0.36394675925925923</v>
      </c>
      <c r="D2045" s="12">
        <v>0.37373842592592593</v>
      </c>
      <c r="E2045" s="20">
        <f t="shared" si="310"/>
        <v>9.7916666666666985E-3</v>
      </c>
      <c r="F2045" t="str">
        <f t="shared" si="311"/>
        <v>stacjonarny</v>
      </c>
      <c r="G2045" s="23">
        <f t="shared" si="318"/>
        <v>725594</v>
      </c>
      <c r="H2045">
        <f t="shared" si="319"/>
        <v>240193</v>
      </c>
      <c r="I2045">
        <f t="shared" si="312"/>
        <v>0</v>
      </c>
      <c r="J2045">
        <f t="shared" si="313"/>
        <v>0</v>
      </c>
      <c r="K2045">
        <f t="shared" si="314"/>
        <v>965787</v>
      </c>
      <c r="L2045">
        <f t="shared" si="315"/>
        <v>0</v>
      </c>
      <c r="M2045">
        <f t="shared" si="316"/>
        <v>846</v>
      </c>
      <c r="N2045">
        <f t="shared" si="317"/>
        <v>0</v>
      </c>
    </row>
    <row r="2046" spans="1:14" x14ac:dyDescent="0.35">
      <c r="A2046" s="5">
        <v>9388066</v>
      </c>
      <c r="B2046" s="6">
        <v>42947</v>
      </c>
      <c r="C2046" s="7">
        <v>0.36552083333333335</v>
      </c>
      <c r="D2046" s="8">
        <v>0.3696990740740741</v>
      </c>
      <c r="E2046" s="20">
        <f t="shared" si="310"/>
        <v>4.1782407407407463E-3</v>
      </c>
      <c r="F2046" t="str">
        <f t="shared" si="311"/>
        <v>stacjonarny</v>
      </c>
      <c r="G2046" s="23">
        <f t="shared" si="318"/>
        <v>725955</v>
      </c>
      <c r="H2046">
        <f t="shared" si="319"/>
        <v>240193</v>
      </c>
      <c r="I2046">
        <f t="shared" si="312"/>
        <v>0</v>
      </c>
      <c r="J2046">
        <f t="shared" si="313"/>
        <v>0</v>
      </c>
      <c r="K2046">
        <f t="shared" si="314"/>
        <v>966148</v>
      </c>
      <c r="L2046">
        <f t="shared" si="315"/>
        <v>0</v>
      </c>
      <c r="M2046">
        <f t="shared" si="316"/>
        <v>361</v>
      </c>
      <c r="N2046">
        <f t="shared" si="317"/>
        <v>0</v>
      </c>
    </row>
    <row r="2047" spans="1:14" x14ac:dyDescent="0.35">
      <c r="A2047" s="9">
        <v>4614100</v>
      </c>
      <c r="B2047" s="10">
        <v>42947</v>
      </c>
      <c r="C2047" s="11">
        <v>0.36776620370370372</v>
      </c>
      <c r="D2047" s="12">
        <v>0.37584490740740739</v>
      </c>
      <c r="E2047" s="20">
        <f t="shared" si="310"/>
        <v>8.0787037037036713E-3</v>
      </c>
      <c r="F2047" t="str">
        <f t="shared" si="311"/>
        <v>stacjonarny</v>
      </c>
      <c r="G2047" s="23">
        <f t="shared" si="318"/>
        <v>726653</v>
      </c>
      <c r="H2047">
        <f t="shared" si="319"/>
        <v>240193</v>
      </c>
      <c r="I2047">
        <f t="shared" si="312"/>
        <v>0</v>
      </c>
      <c r="J2047">
        <f t="shared" si="313"/>
        <v>0</v>
      </c>
      <c r="K2047">
        <f t="shared" si="314"/>
        <v>966846</v>
      </c>
      <c r="L2047">
        <f t="shared" si="315"/>
        <v>0</v>
      </c>
      <c r="M2047">
        <f t="shared" si="316"/>
        <v>698</v>
      </c>
      <c r="N2047">
        <f t="shared" si="317"/>
        <v>0</v>
      </c>
    </row>
    <row r="2048" spans="1:14" x14ac:dyDescent="0.35">
      <c r="A2048" s="5">
        <v>8279741</v>
      </c>
      <c r="B2048" s="6">
        <v>42947</v>
      </c>
      <c r="C2048" s="7">
        <v>0.37170138888888887</v>
      </c>
      <c r="D2048" s="8">
        <v>0.38305555555555554</v>
      </c>
      <c r="E2048" s="20">
        <f t="shared" si="310"/>
        <v>1.1354166666666665E-2</v>
      </c>
      <c r="F2048" t="str">
        <f t="shared" si="311"/>
        <v>stacjonarny</v>
      </c>
      <c r="G2048" s="23">
        <f t="shared" si="318"/>
        <v>727634</v>
      </c>
      <c r="H2048">
        <f t="shared" si="319"/>
        <v>240193</v>
      </c>
      <c r="I2048">
        <f t="shared" si="312"/>
        <v>0</v>
      </c>
      <c r="J2048">
        <f t="shared" si="313"/>
        <v>0</v>
      </c>
      <c r="K2048">
        <f t="shared" si="314"/>
        <v>967827</v>
      </c>
      <c r="L2048">
        <f t="shared" si="315"/>
        <v>0</v>
      </c>
      <c r="M2048">
        <f t="shared" si="316"/>
        <v>981</v>
      </c>
      <c r="N2048">
        <f t="shared" si="317"/>
        <v>0</v>
      </c>
    </row>
    <row r="2049" spans="1:14" x14ac:dyDescent="0.35">
      <c r="A2049" s="9">
        <v>9564752674</v>
      </c>
      <c r="B2049" s="10">
        <v>42947</v>
      </c>
      <c r="C2049" s="11">
        <v>0.37239583333333331</v>
      </c>
      <c r="D2049" s="12">
        <v>0.37680555555555556</v>
      </c>
      <c r="E2049" s="20">
        <f t="shared" si="310"/>
        <v>4.4097222222222454E-3</v>
      </c>
      <c r="F2049" t="str">
        <f t="shared" si="311"/>
        <v>zagraniczny</v>
      </c>
      <c r="G2049" s="23">
        <f t="shared" si="318"/>
        <v>727634</v>
      </c>
      <c r="H2049">
        <f t="shared" si="319"/>
        <v>240193</v>
      </c>
      <c r="I2049">
        <f t="shared" si="312"/>
        <v>381</v>
      </c>
      <c r="J2049">
        <f t="shared" si="313"/>
        <v>7</v>
      </c>
      <c r="K2049">
        <f t="shared" si="314"/>
        <v>967827</v>
      </c>
      <c r="L2049">
        <f t="shared" si="315"/>
        <v>0</v>
      </c>
      <c r="M2049">
        <f t="shared" si="316"/>
        <v>0</v>
      </c>
      <c r="N2049">
        <f t="shared" si="317"/>
        <v>0</v>
      </c>
    </row>
    <row r="2050" spans="1:14" x14ac:dyDescent="0.35">
      <c r="A2050" s="5">
        <v>1451455</v>
      </c>
      <c r="B2050" s="6">
        <v>42947</v>
      </c>
      <c r="C2050" s="7">
        <v>0.37714120370370369</v>
      </c>
      <c r="D2050" s="8">
        <v>0.38119212962962962</v>
      </c>
      <c r="E2050" s="20">
        <f t="shared" si="310"/>
        <v>4.05092592592593E-3</v>
      </c>
      <c r="F2050" t="str">
        <f t="shared" si="311"/>
        <v>stacjonarny</v>
      </c>
      <c r="G2050" s="23">
        <f t="shared" si="318"/>
        <v>727984</v>
      </c>
      <c r="H2050">
        <f t="shared" si="319"/>
        <v>240193</v>
      </c>
      <c r="I2050">
        <f t="shared" si="312"/>
        <v>0</v>
      </c>
      <c r="J2050">
        <f t="shared" si="313"/>
        <v>0</v>
      </c>
      <c r="K2050">
        <f t="shared" si="314"/>
        <v>968177</v>
      </c>
      <c r="L2050">
        <f t="shared" si="315"/>
        <v>0</v>
      </c>
      <c r="M2050">
        <f t="shared" si="316"/>
        <v>350</v>
      </c>
      <c r="N2050">
        <f t="shared" si="317"/>
        <v>0</v>
      </c>
    </row>
    <row r="2051" spans="1:14" x14ac:dyDescent="0.35">
      <c r="A2051" s="9">
        <v>8156713</v>
      </c>
      <c r="B2051" s="10">
        <v>42947</v>
      </c>
      <c r="C2051" s="11">
        <v>0.38130787037037039</v>
      </c>
      <c r="D2051" s="12">
        <v>0.38280092592592591</v>
      </c>
      <c r="E2051" s="20">
        <f t="shared" ref="E2051:E2114" si="320">D2051-C2051</f>
        <v>1.4930555555555114E-3</v>
      </c>
      <c r="F2051" t="str">
        <f t="shared" ref="F2051:F2114" si="321">IF(LEN(A2051)=7,"stacjonarny",IF(LEN(A2051)=8,"komorkowy","zagraniczny"))</f>
        <v>stacjonarny</v>
      </c>
      <c r="G2051" s="23">
        <f t="shared" si="318"/>
        <v>728113</v>
      </c>
      <c r="H2051">
        <f t="shared" si="319"/>
        <v>240193</v>
      </c>
      <c r="I2051">
        <f t="shared" ref="I2051:I2114" si="322">IF(F2051="zagraniczny",MINUTE(E2051)*60+SECOND(E2051)+HOUR(E2051)*3600,0)</f>
        <v>0</v>
      </c>
      <c r="J2051">
        <f t="shared" ref="J2051:J2114" si="323">ROUNDUP(I2051/60,0)</f>
        <v>0</v>
      </c>
      <c r="K2051">
        <f t="shared" ref="K2051:K2114" si="324">G2051+H2051</f>
        <v>968306</v>
      </c>
      <c r="L2051">
        <f t="shared" ref="L2051:L2114" si="325">IF(K2051&lt;=48000,1,0)</f>
        <v>0</v>
      </c>
      <c r="M2051">
        <f t="shared" ref="M2051:M2114" si="326">IF(AND(L2051=0,F2051="stacjonarny"),SECOND(E2051)+60*MINUTE(E2051),0)</f>
        <v>129</v>
      </c>
      <c r="N2051">
        <f t="shared" ref="N2051:N2114" si="327">IF(AND(L2051=0,F2051="komorkowy"),SECOND(E2051)+60*MINUTE(E2051),0)</f>
        <v>0</v>
      </c>
    </row>
    <row r="2052" spans="1:14" x14ac:dyDescent="0.35">
      <c r="A2052" s="5">
        <v>24024164</v>
      </c>
      <c r="B2052" s="6">
        <v>42947</v>
      </c>
      <c r="C2052" s="7">
        <v>0.38135416666666666</v>
      </c>
      <c r="D2052" s="8">
        <v>0.38210648148148146</v>
      </c>
      <c r="E2052" s="20">
        <f t="shared" si="320"/>
        <v>7.5231481481480289E-4</v>
      </c>
      <c r="F2052" t="str">
        <f t="shared" si="321"/>
        <v>komorkowy</v>
      </c>
      <c r="G2052" s="23">
        <f t="shared" ref="G2052:G2115" si="328">IF(F2052="stacjonarny",MINUTE(E2052)*60+SECOND(E2052)+G2051,G2051)</f>
        <v>728113</v>
      </c>
      <c r="H2052">
        <f t="shared" ref="H2052:H2115" si="329">IF(F2052="komorkowy",MINUTE(E2052)*60+SECOND(E2052)+H2051,H2051)</f>
        <v>240258</v>
      </c>
      <c r="I2052">
        <f t="shared" si="322"/>
        <v>0</v>
      </c>
      <c r="J2052">
        <f t="shared" si="323"/>
        <v>0</v>
      </c>
      <c r="K2052">
        <f t="shared" si="324"/>
        <v>968371</v>
      </c>
      <c r="L2052">
        <f t="shared" si="325"/>
        <v>0</v>
      </c>
      <c r="M2052">
        <f t="shared" si="326"/>
        <v>0</v>
      </c>
      <c r="N2052">
        <f t="shared" si="327"/>
        <v>65</v>
      </c>
    </row>
    <row r="2053" spans="1:14" x14ac:dyDescent="0.35">
      <c r="A2053" s="9">
        <v>75122204</v>
      </c>
      <c r="B2053" s="10">
        <v>42947</v>
      </c>
      <c r="C2053" s="11">
        <v>0.38641203703703703</v>
      </c>
      <c r="D2053" s="12">
        <v>0.39549768518518519</v>
      </c>
      <c r="E2053" s="20">
        <f t="shared" si="320"/>
        <v>9.0856481481481621E-3</v>
      </c>
      <c r="F2053" t="str">
        <f t="shared" si="321"/>
        <v>komorkowy</v>
      </c>
      <c r="G2053" s="23">
        <f t="shared" si="328"/>
        <v>728113</v>
      </c>
      <c r="H2053">
        <f t="shared" si="329"/>
        <v>241043</v>
      </c>
      <c r="I2053">
        <f t="shared" si="322"/>
        <v>0</v>
      </c>
      <c r="J2053">
        <f t="shared" si="323"/>
        <v>0</v>
      </c>
      <c r="K2053">
        <f t="shared" si="324"/>
        <v>969156</v>
      </c>
      <c r="L2053">
        <f t="shared" si="325"/>
        <v>0</v>
      </c>
      <c r="M2053">
        <f t="shared" si="326"/>
        <v>0</v>
      </c>
      <c r="N2053">
        <f t="shared" si="327"/>
        <v>785</v>
      </c>
    </row>
    <row r="2054" spans="1:14" x14ac:dyDescent="0.35">
      <c r="A2054" s="5">
        <v>33166727</v>
      </c>
      <c r="B2054" s="6">
        <v>42947</v>
      </c>
      <c r="C2054" s="7">
        <v>0.38927083333333334</v>
      </c>
      <c r="D2054" s="8">
        <v>0.39721064814814816</v>
      </c>
      <c r="E2054" s="20">
        <f t="shared" si="320"/>
        <v>7.9398148148148162E-3</v>
      </c>
      <c r="F2054" t="str">
        <f t="shared" si="321"/>
        <v>komorkowy</v>
      </c>
      <c r="G2054" s="23">
        <f t="shared" si="328"/>
        <v>728113</v>
      </c>
      <c r="H2054">
        <f t="shared" si="329"/>
        <v>241729</v>
      </c>
      <c r="I2054">
        <f t="shared" si="322"/>
        <v>0</v>
      </c>
      <c r="J2054">
        <f t="shared" si="323"/>
        <v>0</v>
      </c>
      <c r="K2054">
        <f t="shared" si="324"/>
        <v>969842</v>
      </c>
      <c r="L2054">
        <f t="shared" si="325"/>
        <v>0</v>
      </c>
      <c r="M2054">
        <f t="shared" si="326"/>
        <v>0</v>
      </c>
      <c r="N2054">
        <f t="shared" si="327"/>
        <v>686</v>
      </c>
    </row>
    <row r="2055" spans="1:14" x14ac:dyDescent="0.35">
      <c r="A2055" s="9">
        <v>4293872</v>
      </c>
      <c r="B2055" s="10">
        <v>42947</v>
      </c>
      <c r="C2055" s="11">
        <v>0.39023148148148146</v>
      </c>
      <c r="D2055" s="12">
        <v>0.39748842592592593</v>
      </c>
      <c r="E2055" s="20">
        <f t="shared" si="320"/>
        <v>7.2569444444444686E-3</v>
      </c>
      <c r="F2055" t="str">
        <f t="shared" si="321"/>
        <v>stacjonarny</v>
      </c>
      <c r="G2055" s="23">
        <f t="shared" si="328"/>
        <v>728740</v>
      </c>
      <c r="H2055">
        <f t="shared" si="329"/>
        <v>241729</v>
      </c>
      <c r="I2055">
        <f t="shared" si="322"/>
        <v>0</v>
      </c>
      <c r="J2055">
        <f t="shared" si="323"/>
        <v>0</v>
      </c>
      <c r="K2055">
        <f t="shared" si="324"/>
        <v>970469</v>
      </c>
      <c r="L2055">
        <f t="shared" si="325"/>
        <v>0</v>
      </c>
      <c r="M2055">
        <f t="shared" si="326"/>
        <v>627</v>
      </c>
      <c r="N2055">
        <f t="shared" si="327"/>
        <v>0</v>
      </c>
    </row>
    <row r="2056" spans="1:14" x14ac:dyDescent="0.35">
      <c r="A2056" s="5">
        <v>3017523</v>
      </c>
      <c r="B2056" s="6">
        <v>42947</v>
      </c>
      <c r="C2056" s="7">
        <v>0.3934259259259259</v>
      </c>
      <c r="D2056" s="8">
        <v>0.40181712962962962</v>
      </c>
      <c r="E2056" s="20">
        <f t="shared" si="320"/>
        <v>8.3912037037037202E-3</v>
      </c>
      <c r="F2056" t="str">
        <f t="shared" si="321"/>
        <v>stacjonarny</v>
      </c>
      <c r="G2056" s="23">
        <f t="shared" si="328"/>
        <v>729465</v>
      </c>
      <c r="H2056">
        <f t="shared" si="329"/>
        <v>241729</v>
      </c>
      <c r="I2056">
        <f t="shared" si="322"/>
        <v>0</v>
      </c>
      <c r="J2056">
        <f t="shared" si="323"/>
        <v>0</v>
      </c>
      <c r="K2056">
        <f t="shared" si="324"/>
        <v>971194</v>
      </c>
      <c r="L2056">
        <f t="shared" si="325"/>
        <v>0</v>
      </c>
      <c r="M2056">
        <f t="shared" si="326"/>
        <v>725</v>
      </c>
      <c r="N2056">
        <f t="shared" si="327"/>
        <v>0</v>
      </c>
    </row>
    <row r="2057" spans="1:14" x14ac:dyDescent="0.35">
      <c r="A2057" s="9">
        <v>5087484</v>
      </c>
      <c r="B2057" s="10">
        <v>42947</v>
      </c>
      <c r="C2057" s="11">
        <v>0.39766203703703706</v>
      </c>
      <c r="D2057" s="12">
        <v>0.39957175925925925</v>
      </c>
      <c r="E2057" s="20">
        <f t="shared" si="320"/>
        <v>1.9097222222221877E-3</v>
      </c>
      <c r="F2057" t="str">
        <f t="shared" si="321"/>
        <v>stacjonarny</v>
      </c>
      <c r="G2057" s="23">
        <f t="shared" si="328"/>
        <v>729630</v>
      </c>
      <c r="H2057">
        <f t="shared" si="329"/>
        <v>241729</v>
      </c>
      <c r="I2057">
        <f t="shared" si="322"/>
        <v>0</v>
      </c>
      <c r="J2057">
        <f t="shared" si="323"/>
        <v>0</v>
      </c>
      <c r="K2057">
        <f t="shared" si="324"/>
        <v>971359</v>
      </c>
      <c r="L2057">
        <f t="shared" si="325"/>
        <v>0</v>
      </c>
      <c r="M2057">
        <f t="shared" si="326"/>
        <v>165</v>
      </c>
      <c r="N2057">
        <f t="shared" si="327"/>
        <v>0</v>
      </c>
    </row>
    <row r="2058" spans="1:14" x14ac:dyDescent="0.35">
      <c r="A2058" s="5">
        <v>47615054</v>
      </c>
      <c r="B2058" s="6">
        <v>42947</v>
      </c>
      <c r="C2058" s="7">
        <v>0.39878472222222222</v>
      </c>
      <c r="D2058" s="8">
        <v>0.40041666666666664</v>
      </c>
      <c r="E2058" s="20">
        <f t="shared" si="320"/>
        <v>1.631944444444422E-3</v>
      </c>
      <c r="F2058" t="str">
        <f t="shared" si="321"/>
        <v>komorkowy</v>
      </c>
      <c r="G2058" s="23">
        <f t="shared" si="328"/>
        <v>729630</v>
      </c>
      <c r="H2058">
        <f t="shared" si="329"/>
        <v>241870</v>
      </c>
      <c r="I2058">
        <f t="shared" si="322"/>
        <v>0</v>
      </c>
      <c r="J2058">
        <f t="shared" si="323"/>
        <v>0</v>
      </c>
      <c r="K2058">
        <f t="shared" si="324"/>
        <v>971500</v>
      </c>
      <c r="L2058">
        <f t="shared" si="325"/>
        <v>0</v>
      </c>
      <c r="M2058">
        <f t="shared" si="326"/>
        <v>0</v>
      </c>
      <c r="N2058">
        <f t="shared" si="327"/>
        <v>141</v>
      </c>
    </row>
    <row r="2059" spans="1:14" x14ac:dyDescent="0.35">
      <c r="A2059" s="9">
        <v>7775602353</v>
      </c>
      <c r="B2059" s="10">
        <v>42947</v>
      </c>
      <c r="C2059" s="11">
        <v>0.40313657407407405</v>
      </c>
      <c r="D2059" s="12">
        <v>0.40773148148148147</v>
      </c>
      <c r="E2059" s="20">
        <f t="shared" si="320"/>
        <v>4.5949074074074225E-3</v>
      </c>
      <c r="F2059" t="str">
        <f t="shared" si="321"/>
        <v>zagraniczny</v>
      </c>
      <c r="G2059" s="23">
        <f t="shared" si="328"/>
        <v>729630</v>
      </c>
      <c r="H2059">
        <f t="shared" si="329"/>
        <v>241870</v>
      </c>
      <c r="I2059">
        <f t="shared" si="322"/>
        <v>397</v>
      </c>
      <c r="J2059">
        <f t="shared" si="323"/>
        <v>7</v>
      </c>
      <c r="K2059">
        <f t="shared" si="324"/>
        <v>971500</v>
      </c>
      <c r="L2059">
        <f t="shared" si="325"/>
        <v>0</v>
      </c>
      <c r="M2059">
        <f t="shared" si="326"/>
        <v>0</v>
      </c>
      <c r="N2059">
        <f t="shared" si="327"/>
        <v>0</v>
      </c>
    </row>
    <row r="2060" spans="1:14" x14ac:dyDescent="0.35">
      <c r="A2060" s="5">
        <v>9533304954</v>
      </c>
      <c r="B2060" s="6">
        <v>42947</v>
      </c>
      <c r="C2060" s="7">
        <v>0.40328703703703705</v>
      </c>
      <c r="D2060" s="8">
        <v>0.41405092592592591</v>
      </c>
      <c r="E2060" s="20">
        <f t="shared" si="320"/>
        <v>1.0763888888888851E-2</v>
      </c>
      <c r="F2060" t="str">
        <f t="shared" si="321"/>
        <v>zagraniczny</v>
      </c>
      <c r="G2060" s="23">
        <f t="shared" si="328"/>
        <v>729630</v>
      </c>
      <c r="H2060">
        <f t="shared" si="329"/>
        <v>241870</v>
      </c>
      <c r="I2060">
        <f t="shared" si="322"/>
        <v>930</v>
      </c>
      <c r="J2060">
        <f t="shared" si="323"/>
        <v>16</v>
      </c>
      <c r="K2060">
        <f t="shared" si="324"/>
        <v>971500</v>
      </c>
      <c r="L2060">
        <f t="shared" si="325"/>
        <v>0</v>
      </c>
      <c r="M2060">
        <f t="shared" si="326"/>
        <v>0</v>
      </c>
      <c r="N2060">
        <f t="shared" si="327"/>
        <v>0</v>
      </c>
    </row>
    <row r="2061" spans="1:14" x14ac:dyDescent="0.35">
      <c r="A2061" s="9">
        <v>5147651</v>
      </c>
      <c r="B2061" s="10">
        <v>42947</v>
      </c>
      <c r="C2061" s="11">
        <v>0.40497685185185184</v>
      </c>
      <c r="D2061" s="12">
        <v>0.41167824074074072</v>
      </c>
      <c r="E2061" s="20">
        <f t="shared" si="320"/>
        <v>6.7013888888888817E-3</v>
      </c>
      <c r="F2061" t="str">
        <f t="shared" si="321"/>
        <v>stacjonarny</v>
      </c>
      <c r="G2061" s="23">
        <f t="shared" si="328"/>
        <v>730209</v>
      </c>
      <c r="H2061">
        <f t="shared" si="329"/>
        <v>241870</v>
      </c>
      <c r="I2061">
        <f t="shared" si="322"/>
        <v>0</v>
      </c>
      <c r="J2061">
        <f t="shared" si="323"/>
        <v>0</v>
      </c>
      <c r="K2061">
        <f t="shared" si="324"/>
        <v>972079</v>
      </c>
      <c r="L2061">
        <f t="shared" si="325"/>
        <v>0</v>
      </c>
      <c r="M2061">
        <f t="shared" si="326"/>
        <v>579</v>
      </c>
      <c r="N2061">
        <f t="shared" si="327"/>
        <v>0</v>
      </c>
    </row>
    <row r="2062" spans="1:14" x14ac:dyDescent="0.35">
      <c r="A2062" s="5">
        <v>7564861</v>
      </c>
      <c r="B2062" s="6">
        <v>42947</v>
      </c>
      <c r="C2062" s="7">
        <v>0.40725694444444444</v>
      </c>
      <c r="D2062" s="8">
        <v>0.41819444444444442</v>
      </c>
      <c r="E2062" s="20">
        <f t="shared" si="320"/>
        <v>1.0937499999999989E-2</v>
      </c>
      <c r="F2062" t="str">
        <f t="shared" si="321"/>
        <v>stacjonarny</v>
      </c>
      <c r="G2062" s="23">
        <f t="shared" si="328"/>
        <v>731154</v>
      </c>
      <c r="H2062">
        <f t="shared" si="329"/>
        <v>241870</v>
      </c>
      <c r="I2062">
        <f t="shared" si="322"/>
        <v>0</v>
      </c>
      <c r="J2062">
        <f t="shared" si="323"/>
        <v>0</v>
      </c>
      <c r="K2062">
        <f t="shared" si="324"/>
        <v>973024</v>
      </c>
      <c r="L2062">
        <f t="shared" si="325"/>
        <v>0</v>
      </c>
      <c r="M2062">
        <f t="shared" si="326"/>
        <v>945</v>
      </c>
      <c r="N2062">
        <f t="shared" si="327"/>
        <v>0</v>
      </c>
    </row>
    <row r="2063" spans="1:14" x14ac:dyDescent="0.35">
      <c r="A2063" s="9">
        <v>8163790</v>
      </c>
      <c r="B2063" s="10">
        <v>42947</v>
      </c>
      <c r="C2063" s="11">
        <v>0.40787037037037038</v>
      </c>
      <c r="D2063" s="12">
        <v>0.40846064814814814</v>
      </c>
      <c r="E2063" s="20">
        <f t="shared" si="320"/>
        <v>5.9027777777775903E-4</v>
      </c>
      <c r="F2063" t="str">
        <f t="shared" si="321"/>
        <v>stacjonarny</v>
      </c>
      <c r="G2063" s="23">
        <f t="shared" si="328"/>
        <v>731205</v>
      </c>
      <c r="H2063">
        <f t="shared" si="329"/>
        <v>241870</v>
      </c>
      <c r="I2063">
        <f t="shared" si="322"/>
        <v>0</v>
      </c>
      <c r="J2063">
        <f t="shared" si="323"/>
        <v>0</v>
      </c>
      <c r="K2063">
        <f t="shared" si="324"/>
        <v>973075</v>
      </c>
      <c r="L2063">
        <f t="shared" si="325"/>
        <v>0</v>
      </c>
      <c r="M2063">
        <f t="shared" si="326"/>
        <v>51</v>
      </c>
      <c r="N2063">
        <f t="shared" si="327"/>
        <v>0</v>
      </c>
    </row>
    <row r="2064" spans="1:14" x14ac:dyDescent="0.35">
      <c r="A2064" s="5">
        <v>37930610</v>
      </c>
      <c r="B2064" s="6">
        <v>42947</v>
      </c>
      <c r="C2064" s="7">
        <v>0.41334490740740742</v>
      </c>
      <c r="D2064" s="8">
        <v>0.4239236111111111</v>
      </c>
      <c r="E2064" s="20">
        <f t="shared" si="320"/>
        <v>1.0578703703703674E-2</v>
      </c>
      <c r="F2064" t="str">
        <f t="shared" si="321"/>
        <v>komorkowy</v>
      </c>
      <c r="G2064" s="23">
        <f t="shared" si="328"/>
        <v>731205</v>
      </c>
      <c r="H2064">
        <f t="shared" si="329"/>
        <v>242784</v>
      </c>
      <c r="I2064">
        <f t="shared" si="322"/>
        <v>0</v>
      </c>
      <c r="J2064">
        <f t="shared" si="323"/>
        <v>0</v>
      </c>
      <c r="K2064">
        <f t="shared" si="324"/>
        <v>973989</v>
      </c>
      <c r="L2064">
        <f t="shared" si="325"/>
        <v>0</v>
      </c>
      <c r="M2064">
        <f t="shared" si="326"/>
        <v>0</v>
      </c>
      <c r="N2064">
        <f t="shared" si="327"/>
        <v>914</v>
      </c>
    </row>
    <row r="2065" spans="1:14" x14ac:dyDescent="0.35">
      <c r="A2065" s="9">
        <v>7518300</v>
      </c>
      <c r="B2065" s="10">
        <v>42947</v>
      </c>
      <c r="C2065" s="11">
        <v>0.41337962962962965</v>
      </c>
      <c r="D2065" s="12">
        <v>0.41743055555555558</v>
      </c>
      <c r="E2065" s="20">
        <f t="shared" si="320"/>
        <v>4.05092592592593E-3</v>
      </c>
      <c r="F2065" t="str">
        <f t="shared" si="321"/>
        <v>stacjonarny</v>
      </c>
      <c r="G2065" s="23">
        <f t="shared" si="328"/>
        <v>731555</v>
      </c>
      <c r="H2065">
        <f t="shared" si="329"/>
        <v>242784</v>
      </c>
      <c r="I2065">
        <f t="shared" si="322"/>
        <v>0</v>
      </c>
      <c r="J2065">
        <f t="shared" si="323"/>
        <v>0</v>
      </c>
      <c r="K2065">
        <f t="shared" si="324"/>
        <v>974339</v>
      </c>
      <c r="L2065">
        <f t="shared" si="325"/>
        <v>0</v>
      </c>
      <c r="M2065">
        <f t="shared" si="326"/>
        <v>350</v>
      </c>
      <c r="N2065">
        <f t="shared" si="327"/>
        <v>0</v>
      </c>
    </row>
    <row r="2066" spans="1:14" x14ac:dyDescent="0.35">
      <c r="A2066" s="5">
        <v>9233918039</v>
      </c>
      <c r="B2066" s="6">
        <v>42947</v>
      </c>
      <c r="C2066" s="7">
        <v>0.41523148148148148</v>
      </c>
      <c r="D2066" s="8">
        <v>0.42322916666666666</v>
      </c>
      <c r="E2066" s="20">
        <f t="shared" si="320"/>
        <v>7.9976851851851771E-3</v>
      </c>
      <c r="F2066" t="str">
        <f t="shared" si="321"/>
        <v>zagraniczny</v>
      </c>
      <c r="G2066" s="23">
        <f t="shared" si="328"/>
        <v>731555</v>
      </c>
      <c r="H2066">
        <f t="shared" si="329"/>
        <v>242784</v>
      </c>
      <c r="I2066">
        <f t="shared" si="322"/>
        <v>691</v>
      </c>
      <c r="J2066">
        <f t="shared" si="323"/>
        <v>12</v>
      </c>
      <c r="K2066">
        <f t="shared" si="324"/>
        <v>974339</v>
      </c>
      <c r="L2066">
        <f t="shared" si="325"/>
        <v>0</v>
      </c>
      <c r="M2066">
        <f t="shared" si="326"/>
        <v>0</v>
      </c>
      <c r="N2066">
        <f t="shared" si="327"/>
        <v>0</v>
      </c>
    </row>
    <row r="2067" spans="1:14" x14ac:dyDescent="0.35">
      <c r="A2067" s="9">
        <v>5744555</v>
      </c>
      <c r="B2067" s="10">
        <v>42947</v>
      </c>
      <c r="C2067" s="11">
        <v>0.41841435185185183</v>
      </c>
      <c r="D2067" s="12">
        <v>0.42677083333333332</v>
      </c>
      <c r="E2067" s="20">
        <f t="shared" si="320"/>
        <v>8.3564814814814925E-3</v>
      </c>
      <c r="F2067" t="str">
        <f t="shared" si="321"/>
        <v>stacjonarny</v>
      </c>
      <c r="G2067" s="23">
        <f t="shared" si="328"/>
        <v>732277</v>
      </c>
      <c r="H2067">
        <f t="shared" si="329"/>
        <v>242784</v>
      </c>
      <c r="I2067">
        <f t="shared" si="322"/>
        <v>0</v>
      </c>
      <c r="J2067">
        <f t="shared" si="323"/>
        <v>0</v>
      </c>
      <c r="K2067">
        <f t="shared" si="324"/>
        <v>975061</v>
      </c>
      <c r="L2067">
        <f t="shared" si="325"/>
        <v>0</v>
      </c>
      <c r="M2067">
        <f t="shared" si="326"/>
        <v>722</v>
      </c>
      <c r="N2067">
        <f t="shared" si="327"/>
        <v>0</v>
      </c>
    </row>
    <row r="2068" spans="1:14" x14ac:dyDescent="0.35">
      <c r="A2068" s="5">
        <v>17005785</v>
      </c>
      <c r="B2068" s="6">
        <v>42947</v>
      </c>
      <c r="C2068" s="7">
        <v>0.41873842592592592</v>
      </c>
      <c r="D2068" s="8">
        <v>0.42502314814814812</v>
      </c>
      <c r="E2068" s="20">
        <f t="shared" si="320"/>
        <v>6.2847222222222054E-3</v>
      </c>
      <c r="F2068" t="str">
        <f t="shared" si="321"/>
        <v>komorkowy</v>
      </c>
      <c r="G2068" s="23">
        <f t="shared" si="328"/>
        <v>732277</v>
      </c>
      <c r="H2068">
        <f t="shared" si="329"/>
        <v>243327</v>
      </c>
      <c r="I2068">
        <f t="shared" si="322"/>
        <v>0</v>
      </c>
      <c r="J2068">
        <f t="shared" si="323"/>
        <v>0</v>
      </c>
      <c r="K2068">
        <f t="shared" si="324"/>
        <v>975604</v>
      </c>
      <c r="L2068">
        <f t="shared" si="325"/>
        <v>0</v>
      </c>
      <c r="M2068">
        <f t="shared" si="326"/>
        <v>0</v>
      </c>
      <c r="N2068">
        <f t="shared" si="327"/>
        <v>543</v>
      </c>
    </row>
    <row r="2069" spans="1:14" x14ac:dyDescent="0.35">
      <c r="A2069" s="9">
        <v>35281950</v>
      </c>
      <c r="B2069" s="10">
        <v>42947</v>
      </c>
      <c r="C2069" s="11">
        <v>0.41952546296296295</v>
      </c>
      <c r="D2069" s="12">
        <v>0.42105324074074074</v>
      </c>
      <c r="E2069" s="20">
        <f t="shared" si="320"/>
        <v>1.5277777777777946E-3</v>
      </c>
      <c r="F2069" t="str">
        <f t="shared" si="321"/>
        <v>komorkowy</v>
      </c>
      <c r="G2069" s="23">
        <f t="shared" si="328"/>
        <v>732277</v>
      </c>
      <c r="H2069">
        <f t="shared" si="329"/>
        <v>243459</v>
      </c>
      <c r="I2069">
        <f t="shared" si="322"/>
        <v>0</v>
      </c>
      <c r="J2069">
        <f t="shared" si="323"/>
        <v>0</v>
      </c>
      <c r="K2069">
        <f t="shared" si="324"/>
        <v>975736</v>
      </c>
      <c r="L2069">
        <f t="shared" si="325"/>
        <v>0</v>
      </c>
      <c r="M2069">
        <f t="shared" si="326"/>
        <v>0</v>
      </c>
      <c r="N2069">
        <f t="shared" si="327"/>
        <v>132</v>
      </c>
    </row>
    <row r="2070" spans="1:14" x14ac:dyDescent="0.35">
      <c r="A2070" s="5">
        <v>54840810</v>
      </c>
      <c r="B2070" s="6">
        <v>42947</v>
      </c>
      <c r="C2070" s="7">
        <v>0.4211111111111111</v>
      </c>
      <c r="D2070" s="8">
        <v>0.42442129629629627</v>
      </c>
      <c r="E2070" s="20">
        <f t="shared" si="320"/>
        <v>3.310185185185166E-3</v>
      </c>
      <c r="F2070" t="str">
        <f t="shared" si="321"/>
        <v>komorkowy</v>
      </c>
      <c r="G2070" s="23">
        <f t="shared" si="328"/>
        <v>732277</v>
      </c>
      <c r="H2070">
        <f t="shared" si="329"/>
        <v>243745</v>
      </c>
      <c r="I2070">
        <f t="shared" si="322"/>
        <v>0</v>
      </c>
      <c r="J2070">
        <f t="shared" si="323"/>
        <v>0</v>
      </c>
      <c r="K2070">
        <f t="shared" si="324"/>
        <v>976022</v>
      </c>
      <c r="L2070">
        <f t="shared" si="325"/>
        <v>0</v>
      </c>
      <c r="M2070">
        <f t="shared" si="326"/>
        <v>0</v>
      </c>
      <c r="N2070">
        <f t="shared" si="327"/>
        <v>286</v>
      </c>
    </row>
    <row r="2071" spans="1:14" x14ac:dyDescent="0.35">
      <c r="A2071" s="9">
        <v>3236046</v>
      </c>
      <c r="B2071" s="10">
        <v>42947</v>
      </c>
      <c r="C2071" s="11">
        <v>0.42247685185185185</v>
      </c>
      <c r="D2071" s="12">
        <v>0.4268865740740741</v>
      </c>
      <c r="E2071" s="20">
        <f t="shared" si="320"/>
        <v>4.4097222222222454E-3</v>
      </c>
      <c r="F2071" t="str">
        <f t="shared" si="321"/>
        <v>stacjonarny</v>
      </c>
      <c r="G2071" s="23">
        <f t="shared" si="328"/>
        <v>732658</v>
      </c>
      <c r="H2071">
        <f t="shared" si="329"/>
        <v>243745</v>
      </c>
      <c r="I2071">
        <f t="shared" si="322"/>
        <v>0</v>
      </c>
      <c r="J2071">
        <f t="shared" si="323"/>
        <v>0</v>
      </c>
      <c r="K2071">
        <f t="shared" si="324"/>
        <v>976403</v>
      </c>
      <c r="L2071">
        <f t="shared" si="325"/>
        <v>0</v>
      </c>
      <c r="M2071">
        <f t="shared" si="326"/>
        <v>381</v>
      </c>
      <c r="N2071">
        <f t="shared" si="327"/>
        <v>0</v>
      </c>
    </row>
    <row r="2072" spans="1:14" x14ac:dyDescent="0.35">
      <c r="A2072" s="5">
        <v>20149106</v>
      </c>
      <c r="B2072" s="6">
        <v>42947</v>
      </c>
      <c r="C2072" s="7">
        <v>0.42586805555555557</v>
      </c>
      <c r="D2072" s="8">
        <v>0.42711805555555554</v>
      </c>
      <c r="E2072" s="20">
        <f t="shared" si="320"/>
        <v>1.2499999999999734E-3</v>
      </c>
      <c r="F2072" t="str">
        <f t="shared" si="321"/>
        <v>komorkowy</v>
      </c>
      <c r="G2072" s="23">
        <f t="shared" si="328"/>
        <v>732658</v>
      </c>
      <c r="H2072">
        <f t="shared" si="329"/>
        <v>243853</v>
      </c>
      <c r="I2072">
        <f t="shared" si="322"/>
        <v>0</v>
      </c>
      <c r="J2072">
        <f t="shared" si="323"/>
        <v>0</v>
      </c>
      <c r="K2072">
        <f t="shared" si="324"/>
        <v>976511</v>
      </c>
      <c r="L2072">
        <f t="shared" si="325"/>
        <v>0</v>
      </c>
      <c r="M2072">
        <f t="shared" si="326"/>
        <v>0</v>
      </c>
      <c r="N2072">
        <f t="shared" si="327"/>
        <v>108</v>
      </c>
    </row>
    <row r="2073" spans="1:14" x14ac:dyDescent="0.35">
      <c r="A2073" s="9">
        <v>6124638</v>
      </c>
      <c r="B2073" s="10">
        <v>42947</v>
      </c>
      <c r="C2073" s="11">
        <v>0.43162037037037038</v>
      </c>
      <c r="D2073" s="12">
        <v>0.44153935185185184</v>
      </c>
      <c r="E2073" s="20">
        <f t="shared" si="320"/>
        <v>9.9189814814814592E-3</v>
      </c>
      <c r="F2073" t="str">
        <f t="shared" si="321"/>
        <v>stacjonarny</v>
      </c>
      <c r="G2073" s="23">
        <f t="shared" si="328"/>
        <v>733515</v>
      </c>
      <c r="H2073">
        <f t="shared" si="329"/>
        <v>243853</v>
      </c>
      <c r="I2073">
        <f t="shared" si="322"/>
        <v>0</v>
      </c>
      <c r="J2073">
        <f t="shared" si="323"/>
        <v>0</v>
      </c>
      <c r="K2073">
        <f t="shared" si="324"/>
        <v>977368</v>
      </c>
      <c r="L2073">
        <f t="shared" si="325"/>
        <v>0</v>
      </c>
      <c r="M2073">
        <f t="shared" si="326"/>
        <v>857</v>
      </c>
      <c r="N2073">
        <f t="shared" si="327"/>
        <v>0</v>
      </c>
    </row>
    <row r="2074" spans="1:14" x14ac:dyDescent="0.35">
      <c r="A2074" s="5">
        <v>1090396060</v>
      </c>
      <c r="B2074" s="6">
        <v>42947</v>
      </c>
      <c r="C2074" s="7">
        <v>0.43663194444444442</v>
      </c>
      <c r="D2074" s="8">
        <v>0.43993055555555555</v>
      </c>
      <c r="E2074" s="20">
        <f t="shared" si="320"/>
        <v>3.2986111111111271E-3</v>
      </c>
      <c r="F2074" t="str">
        <f t="shared" si="321"/>
        <v>zagraniczny</v>
      </c>
      <c r="G2074" s="23">
        <f t="shared" si="328"/>
        <v>733515</v>
      </c>
      <c r="H2074">
        <f t="shared" si="329"/>
        <v>243853</v>
      </c>
      <c r="I2074">
        <f t="shared" si="322"/>
        <v>285</v>
      </c>
      <c r="J2074">
        <f t="shared" si="323"/>
        <v>5</v>
      </c>
      <c r="K2074">
        <f t="shared" si="324"/>
        <v>977368</v>
      </c>
      <c r="L2074">
        <f t="shared" si="325"/>
        <v>0</v>
      </c>
      <c r="M2074">
        <f t="shared" si="326"/>
        <v>0</v>
      </c>
      <c r="N2074">
        <f t="shared" si="327"/>
        <v>0</v>
      </c>
    </row>
    <row r="2075" spans="1:14" x14ac:dyDescent="0.35">
      <c r="A2075" s="9">
        <v>9355422</v>
      </c>
      <c r="B2075" s="10">
        <v>42947</v>
      </c>
      <c r="C2075" s="11">
        <v>0.43686342592592592</v>
      </c>
      <c r="D2075" s="12">
        <v>0.44393518518518521</v>
      </c>
      <c r="E2075" s="20">
        <f t="shared" si="320"/>
        <v>7.0717592592592915E-3</v>
      </c>
      <c r="F2075" t="str">
        <f t="shared" si="321"/>
        <v>stacjonarny</v>
      </c>
      <c r="G2075" s="23">
        <f t="shared" si="328"/>
        <v>734126</v>
      </c>
      <c r="H2075">
        <f t="shared" si="329"/>
        <v>243853</v>
      </c>
      <c r="I2075">
        <f t="shared" si="322"/>
        <v>0</v>
      </c>
      <c r="J2075">
        <f t="shared" si="323"/>
        <v>0</v>
      </c>
      <c r="K2075">
        <f t="shared" si="324"/>
        <v>977979</v>
      </c>
      <c r="L2075">
        <f t="shared" si="325"/>
        <v>0</v>
      </c>
      <c r="M2075">
        <f t="shared" si="326"/>
        <v>611</v>
      </c>
      <c r="N2075">
        <f t="shared" si="327"/>
        <v>0</v>
      </c>
    </row>
    <row r="2076" spans="1:14" x14ac:dyDescent="0.35">
      <c r="A2076" s="5">
        <v>9950462</v>
      </c>
      <c r="B2076" s="6">
        <v>42947</v>
      </c>
      <c r="C2076" s="7">
        <v>0.44243055555555555</v>
      </c>
      <c r="D2076" s="8">
        <v>0.45349537037037035</v>
      </c>
      <c r="E2076" s="20">
        <f t="shared" si="320"/>
        <v>1.1064814814814805E-2</v>
      </c>
      <c r="F2076" t="str">
        <f t="shared" si="321"/>
        <v>stacjonarny</v>
      </c>
      <c r="G2076" s="23">
        <f t="shared" si="328"/>
        <v>735082</v>
      </c>
      <c r="H2076">
        <f t="shared" si="329"/>
        <v>243853</v>
      </c>
      <c r="I2076">
        <f t="shared" si="322"/>
        <v>0</v>
      </c>
      <c r="J2076">
        <f t="shared" si="323"/>
        <v>0</v>
      </c>
      <c r="K2076">
        <f t="shared" si="324"/>
        <v>978935</v>
      </c>
      <c r="L2076">
        <f t="shared" si="325"/>
        <v>0</v>
      </c>
      <c r="M2076">
        <f t="shared" si="326"/>
        <v>956</v>
      </c>
      <c r="N2076">
        <f t="shared" si="327"/>
        <v>0</v>
      </c>
    </row>
    <row r="2077" spans="1:14" x14ac:dyDescent="0.35">
      <c r="A2077" s="9">
        <v>2474506</v>
      </c>
      <c r="B2077" s="10">
        <v>42947</v>
      </c>
      <c r="C2077" s="11">
        <v>0.44802083333333331</v>
      </c>
      <c r="D2077" s="12">
        <v>0.45892361111111113</v>
      </c>
      <c r="E2077" s="20">
        <f t="shared" si="320"/>
        <v>1.0902777777777817E-2</v>
      </c>
      <c r="F2077" t="str">
        <f t="shared" si="321"/>
        <v>stacjonarny</v>
      </c>
      <c r="G2077" s="23">
        <f t="shared" si="328"/>
        <v>736024</v>
      </c>
      <c r="H2077">
        <f t="shared" si="329"/>
        <v>243853</v>
      </c>
      <c r="I2077">
        <f t="shared" si="322"/>
        <v>0</v>
      </c>
      <c r="J2077">
        <f t="shared" si="323"/>
        <v>0</v>
      </c>
      <c r="K2077">
        <f t="shared" si="324"/>
        <v>979877</v>
      </c>
      <c r="L2077">
        <f t="shared" si="325"/>
        <v>0</v>
      </c>
      <c r="M2077">
        <f t="shared" si="326"/>
        <v>942</v>
      </c>
      <c r="N2077">
        <f t="shared" si="327"/>
        <v>0</v>
      </c>
    </row>
    <row r="2078" spans="1:14" x14ac:dyDescent="0.35">
      <c r="A2078" s="5">
        <v>2462682</v>
      </c>
      <c r="B2078" s="6">
        <v>42947</v>
      </c>
      <c r="C2078" s="7">
        <v>0.45243055555555556</v>
      </c>
      <c r="D2078" s="8">
        <v>0.45275462962962965</v>
      </c>
      <c r="E2078" s="20">
        <f t="shared" si="320"/>
        <v>3.2407407407408773E-4</v>
      </c>
      <c r="F2078" t="str">
        <f t="shared" si="321"/>
        <v>stacjonarny</v>
      </c>
      <c r="G2078" s="23">
        <f t="shared" si="328"/>
        <v>736052</v>
      </c>
      <c r="H2078">
        <f t="shared" si="329"/>
        <v>243853</v>
      </c>
      <c r="I2078">
        <f t="shared" si="322"/>
        <v>0</v>
      </c>
      <c r="J2078">
        <f t="shared" si="323"/>
        <v>0</v>
      </c>
      <c r="K2078">
        <f t="shared" si="324"/>
        <v>979905</v>
      </c>
      <c r="L2078">
        <f t="shared" si="325"/>
        <v>0</v>
      </c>
      <c r="M2078">
        <f t="shared" si="326"/>
        <v>28</v>
      </c>
      <c r="N2078">
        <f t="shared" si="327"/>
        <v>0</v>
      </c>
    </row>
    <row r="2079" spans="1:14" x14ac:dyDescent="0.35">
      <c r="A2079" s="9">
        <v>8159788</v>
      </c>
      <c r="B2079" s="10">
        <v>42947</v>
      </c>
      <c r="C2079" s="11">
        <v>0.45399305555555558</v>
      </c>
      <c r="D2079" s="12">
        <v>0.46392361111111113</v>
      </c>
      <c r="E2079" s="20">
        <f t="shared" si="320"/>
        <v>9.9305555555555536E-3</v>
      </c>
      <c r="F2079" t="str">
        <f t="shared" si="321"/>
        <v>stacjonarny</v>
      </c>
      <c r="G2079" s="23">
        <f t="shared" si="328"/>
        <v>736910</v>
      </c>
      <c r="H2079">
        <f t="shared" si="329"/>
        <v>243853</v>
      </c>
      <c r="I2079">
        <f t="shared" si="322"/>
        <v>0</v>
      </c>
      <c r="J2079">
        <f t="shared" si="323"/>
        <v>0</v>
      </c>
      <c r="K2079">
        <f t="shared" si="324"/>
        <v>980763</v>
      </c>
      <c r="L2079">
        <f t="shared" si="325"/>
        <v>0</v>
      </c>
      <c r="M2079">
        <f t="shared" si="326"/>
        <v>858</v>
      </c>
      <c r="N2079">
        <f t="shared" si="327"/>
        <v>0</v>
      </c>
    </row>
    <row r="2080" spans="1:14" x14ac:dyDescent="0.35">
      <c r="A2080" s="5">
        <v>8802222</v>
      </c>
      <c r="B2080" s="6">
        <v>42947</v>
      </c>
      <c r="C2080" s="7">
        <v>0.4572222222222222</v>
      </c>
      <c r="D2080" s="8">
        <v>0.45910879629629631</v>
      </c>
      <c r="E2080" s="20">
        <f t="shared" si="320"/>
        <v>1.8865740740741099E-3</v>
      </c>
      <c r="F2080" t="str">
        <f t="shared" si="321"/>
        <v>stacjonarny</v>
      </c>
      <c r="G2080" s="23">
        <f t="shared" si="328"/>
        <v>737073</v>
      </c>
      <c r="H2080">
        <f t="shared" si="329"/>
        <v>243853</v>
      </c>
      <c r="I2080">
        <f t="shared" si="322"/>
        <v>0</v>
      </c>
      <c r="J2080">
        <f t="shared" si="323"/>
        <v>0</v>
      </c>
      <c r="K2080">
        <f t="shared" si="324"/>
        <v>980926</v>
      </c>
      <c r="L2080">
        <f t="shared" si="325"/>
        <v>0</v>
      </c>
      <c r="M2080">
        <f t="shared" si="326"/>
        <v>163</v>
      </c>
      <c r="N2080">
        <f t="shared" si="327"/>
        <v>0</v>
      </c>
    </row>
    <row r="2081" spans="1:14" x14ac:dyDescent="0.35">
      <c r="A2081" s="9">
        <v>6384230</v>
      </c>
      <c r="B2081" s="10">
        <v>42947</v>
      </c>
      <c r="C2081" s="11">
        <v>0.45846064814814813</v>
      </c>
      <c r="D2081" s="12">
        <v>0.46900462962962963</v>
      </c>
      <c r="E2081" s="20">
        <f t="shared" si="320"/>
        <v>1.0543981481481501E-2</v>
      </c>
      <c r="F2081" t="str">
        <f t="shared" si="321"/>
        <v>stacjonarny</v>
      </c>
      <c r="G2081" s="23">
        <f t="shared" si="328"/>
        <v>737984</v>
      </c>
      <c r="H2081">
        <f t="shared" si="329"/>
        <v>243853</v>
      </c>
      <c r="I2081">
        <f t="shared" si="322"/>
        <v>0</v>
      </c>
      <c r="J2081">
        <f t="shared" si="323"/>
        <v>0</v>
      </c>
      <c r="K2081">
        <f t="shared" si="324"/>
        <v>981837</v>
      </c>
      <c r="L2081">
        <f t="shared" si="325"/>
        <v>0</v>
      </c>
      <c r="M2081">
        <f t="shared" si="326"/>
        <v>911</v>
      </c>
      <c r="N2081">
        <f t="shared" si="327"/>
        <v>0</v>
      </c>
    </row>
    <row r="2082" spans="1:14" x14ac:dyDescent="0.35">
      <c r="A2082" s="5">
        <v>48676568</v>
      </c>
      <c r="B2082" s="6">
        <v>42947</v>
      </c>
      <c r="C2082" s="7">
        <v>0.45945601851851853</v>
      </c>
      <c r="D2082" s="8">
        <v>0.46525462962962966</v>
      </c>
      <c r="E2082" s="20">
        <f t="shared" si="320"/>
        <v>5.7986111111111294E-3</v>
      </c>
      <c r="F2082" t="str">
        <f t="shared" si="321"/>
        <v>komorkowy</v>
      </c>
      <c r="G2082" s="23">
        <f t="shared" si="328"/>
        <v>737984</v>
      </c>
      <c r="H2082">
        <f t="shared" si="329"/>
        <v>244354</v>
      </c>
      <c r="I2082">
        <f t="shared" si="322"/>
        <v>0</v>
      </c>
      <c r="J2082">
        <f t="shared" si="323"/>
        <v>0</v>
      </c>
      <c r="K2082">
        <f t="shared" si="324"/>
        <v>982338</v>
      </c>
      <c r="L2082">
        <f t="shared" si="325"/>
        <v>0</v>
      </c>
      <c r="M2082">
        <f t="shared" si="326"/>
        <v>0</v>
      </c>
      <c r="N2082">
        <f t="shared" si="327"/>
        <v>501</v>
      </c>
    </row>
    <row r="2083" spans="1:14" x14ac:dyDescent="0.35">
      <c r="A2083" s="9">
        <v>3691457</v>
      </c>
      <c r="B2083" s="10">
        <v>42947</v>
      </c>
      <c r="C2083" s="11">
        <v>0.46119212962962963</v>
      </c>
      <c r="D2083" s="12">
        <v>0.4725347222222222</v>
      </c>
      <c r="E2083" s="20">
        <f t="shared" si="320"/>
        <v>1.1342592592592571E-2</v>
      </c>
      <c r="F2083" t="str">
        <f t="shared" si="321"/>
        <v>stacjonarny</v>
      </c>
      <c r="G2083" s="23">
        <f t="shared" si="328"/>
        <v>738964</v>
      </c>
      <c r="H2083">
        <f t="shared" si="329"/>
        <v>244354</v>
      </c>
      <c r="I2083">
        <f t="shared" si="322"/>
        <v>0</v>
      </c>
      <c r="J2083">
        <f t="shared" si="323"/>
        <v>0</v>
      </c>
      <c r="K2083">
        <f t="shared" si="324"/>
        <v>983318</v>
      </c>
      <c r="L2083">
        <f t="shared" si="325"/>
        <v>0</v>
      </c>
      <c r="M2083">
        <f t="shared" si="326"/>
        <v>980</v>
      </c>
      <c r="N2083">
        <f t="shared" si="327"/>
        <v>0</v>
      </c>
    </row>
    <row r="2084" spans="1:14" x14ac:dyDescent="0.35">
      <c r="A2084" s="5">
        <v>3263854</v>
      </c>
      <c r="B2084" s="6">
        <v>42947</v>
      </c>
      <c r="C2084" s="7">
        <v>0.46311342592592591</v>
      </c>
      <c r="D2084" s="8">
        <v>0.46394675925925927</v>
      </c>
      <c r="E2084" s="20">
        <f t="shared" si="320"/>
        <v>8.3333333333335258E-4</v>
      </c>
      <c r="F2084" t="str">
        <f t="shared" si="321"/>
        <v>stacjonarny</v>
      </c>
      <c r="G2084" s="23">
        <f t="shared" si="328"/>
        <v>739036</v>
      </c>
      <c r="H2084">
        <f t="shared" si="329"/>
        <v>244354</v>
      </c>
      <c r="I2084">
        <f t="shared" si="322"/>
        <v>0</v>
      </c>
      <c r="J2084">
        <f t="shared" si="323"/>
        <v>0</v>
      </c>
      <c r="K2084">
        <f t="shared" si="324"/>
        <v>983390</v>
      </c>
      <c r="L2084">
        <f t="shared" si="325"/>
        <v>0</v>
      </c>
      <c r="M2084">
        <f t="shared" si="326"/>
        <v>72</v>
      </c>
      <c r="N2084">
        <f t="shared" si="327"/>
        <v>0</v>
      </c>
    </row>
    <row r="2085" spans="1:14" x14ac:dyDescent="0.35">
      <c r="A2085" s="9">
        <v>8489588</v>
      </c>
      <c r="B2085" s="10">
        <v>42947</v>
      </c>
      <c r="C2085" s="11">
        <v>0.46803240740740742</v>
      </c>
      <c r="D2085" s="12">
        <v>0.47423611111111114</v>
      </c>
      <c r="E2085" s="20">
        <f t="shared" si="320"/>
        <v>6.2037037037037113E-3</v>
      </c>
      <c r="F2085" t="str">
        <f t="shared" si="321"/>
        <v>stacjonarny</v>
      </c>
      <c r="G2085" s="23">
        <f t="shared" si="328"/>
        <v>739572</v>
      </c>
      <c r="H2085">
        <f t="shared" si="329"/>
        <v>244354</v>
      </c>
      <c r="I2085">
        <f t="shared" si="322"/>
        <v>0</v>
      </c>
      <c r="J2085">
        <f t="shared" si="323"/>
        <v>0</v>
      </c>
      <c r="K2085">
        <f t="shared" si="324"/>
        <v>983926</v>
      </c>
      <c r="L2085">
        <f t="shared" si="325"/>
        <v>0</v>
      </c>
      <c r="M2085">
        <f t="shared" si="326"/>
        <v>536</v>
      </c>
      <c r="N2085">
        <f t="shared" si="327"/>
        <v>0</v>
      </c>
    </row>
    <row r="2086" spans="1:14" x14ac:dyDescent="0.35">
      <c r="A2086" s="5">
        <v>57211290</v>
      </c>
      <c r="B2086" s="6">
        <v>42947</v>
      </c>
      <c r="C2086" s="7">
        <v>0.46987268518518521</v>
      </c>
      <c r="D2086" s="8">
        <v>0.47664351851851849</v>
      </c>
      <c r="E2086" s="20">
        <f t="shared" si="320"/>
        <v>6.7708333333332815E-3</v>
      </c>
      <c r="F2086" t="str">
        <f t="shared" si="321"/>
        <v>komorkowy</v>
      </c>
      <c r="G2086" s="23">
        <f t="shared" si="328"/>
        <v>739572</v>
      </c>
      <c r="H2086">
        <f t="shared" si="329"/>
        <v>244939</v>
      </c>
      <c r="I2086">
        <f t="shared" si="322"/>
        <v>0</v>
      </c>
      <c r="J2086">
        <f t="shared" si="323"/>
        <v>0</v>
      </c>
      <c r="K2086">
        <f t="shared" si="324"/>
        <v>984511</v>
      </c>
      <c r="L2086">
        <f t="shared" si="325"/>
        <v>0</v>
      </c>
      <c r="M2086">
        <f t="shared" si="326"/>
        <v>0</v>
      </c>
      <c r="N2086">
        <f t="shared" si="327"/>
        <v>585</v>
      </c>
    </row>
    <row r="2087" spans="1:14" x14ac:dyDescent="0.35">
      <c r="A2087" s="9">
        <v>67748426</v>
      </c>
      <c r="B2087" s="10">
        <v>42947</v>
      </c>
      <c r="C2087" s="11">
        <v>0.47158564814814813</v>
      </c>
      <c r="D2087" s="12">
        <v>0.47471064814814817</v>
      </c>
      <c r="E2087" s="20">
        <f t="shared" si="320"/>
        <v>3.1250000000000444E-3</v>
      </c>
      <c r="F2087" t="str">
        <f t="shared" si="321"/>
        <v>komorkowy</v>
      </c>
      <c r="G2087" s="23">
        <f t="shared" si="328"/>
        <v>739572</v>
      </c>
      <c r="H2087">
        <f t="shared" si="329"/>
        <v>245209</v>
      </c>
      <c r="I2087">
        <f t="shared" si="322"/>
        <v>0</v>
      </c>
      <c r="J2087">
        <f t="shared" si="323"/>
        <v>0</v>
      </c>
      <c r="K2087">
        <f t="shared" si="324"/>
        <v>984781</v>
      </c>
      <c r="L2087">
        <f t="shared" si="325"/>
        <v>0</v>
      </c>
      <c r="M2087">
        <f t="shared" si="326"/>
        <v>0</v>
      </c>
      <c r="N2087">
        <f t="shared" si="327"/>
        <v>270</v>
      </c>
    </row>
    <row r="2088" spans="1:14" x14ac:dyDescent="0.35">
      <c r="A2088" s="5">
        <v>7225111</v>
      </c>
      <c r="B2088" s="6">
        <v>42947</v>
      </c>
      <c r="C2088" s="7">
        <v>0.47314814814814815</v>
      </c>
      <c r="D2088" s="8">
        <v>0.47643518518518518</v>
      </c>
      <c r="E2088" s="20">
        <f t="shared" si="320"/>
        <v>3.2870370370370328E-3</v>
      </c>
      <c r="F2088" t="str">
        <f t="shared" si="321"/>
        <v>stacjonarny</v>
      </c>
      <c r="G2088" s="23">
        <f t="shared" si="328"/>
        <v>739856</v>
      </c>
      <c r="H2088">
        <f t="shared" si="329"/>
        <v>245209</v>
      </c>
      <c r="I2088">
        <f t="shared" si="322"/>
        <v>0</v>
      </c>
      <c r="J2088">
        <f t="shared" si="323"/>
        <v>0</v>
      </c>
      <c r="K2088">
        <f t="shared" si="324"/>
        <v>985065</v>
      </c>
      <c r="L2088">
        <f t="shared" si="325"/>
        <v>0</v>
      </c>
      <c r="M2088">
        <f t="shared" si="326"/>
        <v>284</v>
      </c>
      <c r="N2088">
        <f t="shared" si="327"/>
        <v>0</v>
      </c>
    </row>
    <row r="2089" spans="1:14" x14ac:dyDescent="0.35">
      <c r="A2089" s="9">
        <v>5418543</v>
      </c>
      <c r="B2089" s="10">
        <v>42947</v>
      </c>
      <c r="C2089" s="11">
        <v>0.47315972222222225</v>
      </c>
      <c r="D2089" s="12">
        <v>0.47687499999999999</v>
      </c>
      <c r="E2089" s="20">
        <f t="shared" si="320"/>
        <v>3.7152777777777479E-3</v>
      </c>
      <c r="F2089" t="str">
        <f t="shared" si="321"/>
        <v>stacjonarny</v>
      </c>
      <c r="G2089" s="23">
        <f t="shared" si="328"/>
        <v>740177</v>
      </c>
      <c r="H2089">
        <f t="shared" si="329"/>
        <v>245209</v>
      </c>
      <c r="I2089">
        <f t="shared" si="322"/>
        <v>0</v>
      </c>
      <c r="J2089">
        <f t="shared" si="323"/>
        <v>0</v>
      </c>
      <c r="K2089">
        <f t="shared" si="324"/>
        <v>985386</v>
      </c>
      <c r="L2089">
        <f t="shared" si="325"/>
        <v>0</v>
      </c>
      <c r="M2089">
        <f t="shared" si="326"/>
        <v>321</v>
      </c>
      <c r="N2089">
        <f t="shared" si="327"/>
        <v>0</v>
      </c>
    </row>
    <row r="2090" spans="1:14" x14ac:dyDescent="0.35">
      <c r="A2090" s="5">
        <v>6439414</v>
      </c>
      <c r="B2090" s="6">
        <v>42947</v>
      </c>
      <c r="C2090" s="7">
        <v>0.47349537037037037</v>
      </c>
      <c r="D2090" s="8">
        <v>0.47881944444444446</v>
      </c>
      <c r="E2090" s="20">
        <f t="shared" si="320"/>
        <v>5.3240740740740922E-3</v>
      </c>
      <c r="F2090" t="str">
        <f t="shared" si="321"/>
        <v>stacjonarny</v>
      </c>
      <c r="G2090" s="23">
        <f t="shared" si="328"/>
        <v>740637</v>
      </c>
      <c r="H2090">
        <f t="shared" si="329"/>
        <v>245209</v>
      </c>
      <c r="I2090">
        <f t="shared" si="322"/>
        <v>0</v>
      </c>
      <c r="J2090">
        <f t="shared" si="323"/>
        <v>0</v>
      </c>
      <c r="K2090">
        <f t="shared" si="324"/>
        <v>985846</v>
      </c>
      <c r="L2090">
        <f t="shared" si="325"/>
        <v>0</v>
      </c>
      <c r="M2090">
        <f t="shared" si="326"/>
        <v>460</v>
      </c>
      <c r="N2090">
        <f t="shared" si="327"/>
        <v>0</v>
      </c>
    </row>
    <row r="2091" spans="1:14" x14ac:dyDescent="0.35">
      <c r="A2091" s="9">
        <v>3478173</v>
      </c>
      <c r="B2091" s="10">
        <v>42947</v>
      </c>
      <c r="C2091" s="11">
        <v>0.47357638888888887</v>
      </c>
      <c r="D2091" s="12">
        <v>0.47564814814814815</v>
      </c>
      <c r="E2091" s="20">
        <f t="shared" si="320"/>
        <v>2.0717592592592871E-3</v>
      </c>
      <c r="F2091" t="str">
        <f t="shared" si="321"/>
        <v>stacjonarny</v>
      </c>
      <c r="G2091" s="23">
        <f t="shared" si="328"/>
        <v>740816</v>
      </c>
      <c r="H2091">
        <f t="shared" si="329"/>
        <v>245209</v>
      </c>
      <c r="I2091">
        <f t="shared" si="322"/>
        <v>0</v>
      </c>
      <c r="J2091">
        <f t="shared" si="323"/>
        <v>0</v>
      </c>
      <c r="K2091">
        <f t="shared" si="324"/>
        <v>986025</v>
      </c>
      <c r="L2091">
        <f t="shared" si="325"/>
        <v>0</v>
      </c>
      <c r="M2091">
        <f t="shared" si="326"/>
        <v>179</v>
      </c>
      <c r="N2091">
        <f t="shared" si="327"/>
        <v>0</v>
      </c>
    </row>
    <row r="2092" spans="1:14" x14ac:dyDescent="0.35">
      <c r="A2092" s="5">
        <v>3691457</v>
      </c>
      <c r="B2092" s="6">
        <v>42947</v>
      </c>
      <c r="C2092" s="7">
        <v>0.47366898148148145</v>
      </c>
      <c r="D2092" s="8">
        <v>0.48020833333333335</v>
      </c>
      <c r="E2092" s="20">
        <f t="shared" si="320"/>
        <v>6.5393518518518934E-3</v>
      </c>
      <c r="F2092" t="str">
        <f t="shared" si="321"/>
        <v>stacjonarny</v>
      </c>
      <c r="G2092" s="23">
        <f t="shared" si="328"/>
        <v>741381</v>
      </c>
      <c r="H2092">
        <f t="shared" si="329"/>
        <v>245209</v>
      </c>
      <c r="I2092">
        <f t="shared" si="322"/>
        <v>0</v>
      </c>
      <c r="J2092">
        <f t="shared" si="323"/>
        <v>0</v>
      </c>
      <c r="K2092">
        <f t="shared" si="324"/>
        <v>986590</v>
      </c>
      <c r="L2092">
        <f t="shared" si="325"/>
        <v>0</v>
      </c>
      <c r="M2092">
        <f t="shared" si="326"/>
        <v>565</v>
      </c>
      <c r="N2092">
        <f t="shared" si="327"/>
        <v>0</v>
      </c>
    </row>
    <row r="2093" spans="1:14" x14ac:dyDescent="0.35">
      <c r="A2093" s="9">
        <v>6717763</v>
      </c>
      <c r="B2093" s="10">
        <v>42947</v>
      </c>
      <c r="C2093" s="11">
        <v>0.47851851851851851</v>
      </c>
      <c r="D2093" s="12">
        <v>0.48517361111111112</v>
      </c>
      <c r="E2093" s="20">
        <f t="shared" si="320"/>
        <v>6.6550925925926152E-3</v>
      </c>
      <c r="F2093" t="str">
        <f t="shared" si="321"/>
        <v>stacjonarny</v>
      </c>
      <c r="G2093" s="23">
        <f t="shared" si="328"/>
        <v>741956</v>
      </c>
      <c r="H2093">
        <f t="shared" si="329"/>
        <v>245209</v>
      </c>
      <c r="I2093">
        <f t="shared" si="322"/>
        <v>0</v>
      </c>
      <c r="J2093">
        <f t="shared" si="323"/>
        <v>0</v>
      </c>
      <c r="K2093">
        <f t="shared" si="324"/>
        <v>987165</v>
      </c>
      <c r="L2093">
        <f t="shared" si="325"/>
        <v>0</v>
      </c>
      <c r="M2093">
        <f t="shared" si="326"/>
        <v>575</v>
      </c>
      <c r="N2093">
        <f t="shared" si="327"/>
        <v>0</v>
      </c>
    </row>
    <row r="2094" spans="1:14" x14ac:dyDescent="0.35">
      <c r="A2094" s="5">
        <v>61228399</v>
      </c>
      <c r="B2094" s="6">
        <v>42947</v>
      </c>
      <c r="C2094" s="7">
        <v>0.48053240740740738</v>
      </c>
      <c r="D2094" s="8">
        <v>0.48828703703703702</v>
      </c>
      <c r="E2094" s="20">
        <f t="shared" si="320"/>
        <v>7.7546296296296391E-3</v>
      </c>
      <c r="F2094" t="str">
        <f t="shared" si="321"/>
        <v>komorkowy</v>
      </c>
      <c r="G2094" s="23">
        <f t="shared" si="328"/>
        <v>741956</v>
      </c>
      <c r="H2094">
        <f t="shared" si="329"/>
        <v>245879</v>
      </c>
      <c r="I2094">
        <f t="shared" si="322"/>
        <v>0</v>
      </c>
      <c r="J2094">
        <f t="shared" si="323"/>
        <v>0</v>
      </c>
      <c r="K2094">
        <f t="shared" si="324"/>
        <v>987835</v>
      </c>
      <c r="L2094">
        <f t="shared" si="325"/>
        <v>0</v>
      </c>
      <c r="M2094">
        <f t="shared" si="326"/>
        <v>0</v>
      </c>
      <c r="N2094">
        <f t="shared" si="327"/>
        <v>670</v>
      </c>
    </row>
    <row r="2095" spans="1:14" x14ac:dyDescent="0.35">
      <c r="A2095" s="9">
        <v>9282166</v>
      </c>
      <c r="B2095" s="10">
        <v>42947</v>
      </c>
      <c r="C2095" s="11">
        <v>0.48141203703703705</v>
      </c>
      <c r="D2095" s="12">
        <v>0.49063657407407407</v>
      </c>
      <c r="E2095" s="20">
        <f t="shared" si="320"/>
        <v>9.2245370370370172E-3</v>
      </c>
      <c r="F2095" t="str">
        <f t="shared" si="321"/>
        <v>stacjonarny</v>
      </c>
      <c r="G2095" s="23">
        <f t="shared" si="328"/>
        <v>742753</v>
      </c>
      <c r="H2095">
        <f t="shared" si="329"/>
        <v>245879</v>
      </c>
      <c r="I2095">
        <f t="shared" si="322"/>
        <v>0</v>
      </c>
      <c r="J2095">
        <f t="shared" si="323"/>
        <v>0</v>
      </c>
      <c r="K2095">
        <f t="shared" si="324"/>
        <v>988632</v>
      </c>
      <c r="L2095">
        <f t="shared" si="325"/>
        <v>0</v>
      </c>
      <c r="M2095">
        <f t="shared" si="326"/>
        <v>797</v>
      </c>
      <c r="N2095">
        <f t="shared" si="327"/>
        <v>0</v>
      </c>
    </row>
    <row r="2096" spans="1:14" x14ac:dyDescent="0.35">
      <c r="A2096" s="5">
        <v>6426246</v>
      </c>
      <c r="B2096" s="6">
        <v>42947</v>
      </c>
      <c r="C2096" s="7">
        <v>0.48174768518518518</v>
      </c>
      <c r="D2096" s="8">
        <v>0.48682870370370368</v>
      </c>
      <c r="E2096" s="20">
        <f t="shared" si="320"/>
        <v>5.0810185185184986E-3</v>
      </c>
      <c r="F2096" t="str">
        <f t="shared" si="321"/>
        <v>stacjonarny</v>
      </c>
      <c r="G2096" s="23">
        <f t="shared" si="328"/>
        <v>743192</v>
      </c>
      <c r="H2096">
        <f t="shared" si="329"/>
        <v>245879</v>
      </c>
      <c r="I2096">
        <f t="shared" si="322"/>
        <v>0</v>
      </c>
      <c r="J2096">
        <f t="shared" si="323"/>
        <v>0</v>
      </c>
      <c r="K2096">
        <f t="shared" si="324"/>
        <v>989071</v>
      </c>
      <c r="L2096">
        <f t="shared" si="325"/>
        <v>0</v>
      </c>
      <c r="M2096">
        <f t="shared" si="326"/>
        <v>439</v>
      </c>
      <c r="N2096">
        <f t="shared" si="327"/>
        <v>0</v>
      </c>
    </row>
    <row r="2097" spans="1:14" x14ac:dyDescent="0.35">
      <c r="A2097" s="9">
        <v>8585321</v>
      </c>
      <c r="B2097" s="10">
        <v>42947</v>
      </c>
      <c r="C2097" s="11">
        <v>0.48424768518518518</v>
      </c>
      <c r="D2097" s="12">
        <v>0.48873842592592592</v>
      </c>
      <c r="E2097" s="20">
        <f t="shared" si="320"/>
        <v>4.4907407407407396E-3</v>
      </c>
      <c r="F2097" t="str">
        <f t="shared" si="321"/>
        <v>stacjonarny</v>
      </c>
      <c r="G2097" s="23">
        <f t="shared" si="328"/>
        <v>743580</v>
      </c>
      <c r="H2097">
        <f t="shared" si="329"/>
        <v>245879</v>
      </c>
      <c r="I2097">
        <f t="shared" si="322"/>
        <v>0</v>
      </c>
      <c r="J2097">
        <f t="shared" si="323"/>
        <v>0</v>
      </c>
      <c r="K2097">
        <f t="shared" si="324"/>
        <v>989459</v>
      </c>
      <c r="L2097">
        <f t="shared" si="325"/>
        <v>0</v>
      </c>
      <c r="M2097">
        <f t="shared" si="326"/>
        <v>388</v>
      </c>
      <c r="N2097">
        <f t="shared" si="327"/>
        <v>0</v>
      </c>
    </row>
    <row r="2098" spans="1:14" x14ac:dyDescent="0.35">
      <c r="A2098" s="5">
        <v>9791237</v>
      </c>
      <c r="B2098" s="6">
        <v>42947</v>
      </c>
      <c r="C2098" s="7">
        <v>0.48635416666666664</v>
      </c>
      <c r="D2098" s="8">
        <v>0.49025462962962962</v>
      </c>
      <c r="E2098" s="20">
        <f t="shared" si="320"/>
        <v>3.9004629629629806E-3</v>
      </c>
      <c r="F2098" t="str">
        <f t="shared" si="321"/>
        <v>stacjonarny</v>
      </c>
      <c r="G2098" s="23">
        <f t="shared" si="328"/>
        <v>743917</v>
      </c>
      <c r="H2098">
        <f t="shared" si="329"/>
        <v>245879</v>
      </c>
      <c r="I2098">
        <f t="shared" si="322"/>
        <v>0</v>
      </c>
      <c r="J2098">
        <f t="shared" si="323"/>
        <v>0</v>
      </c>
      <c r="K2098">
        <f t="shared" si="324"/>
        <v>989796</v>
      </c>
      <c r="L2098">
        <f t="shared" si="325"/>
        <v>0</v>
      </c>
      <c r="M2098">
        <f t="shared" si="326"/>
        <v>337</v>
      </c>
      <c r="N2098">
        <f t="shared" si="327"/>
        <v>0</v>
      </c>
    </row>
    <row r="2099" spans="1:14" x14ac:dyDescent="0.35">
      <c r="A2099" s="9">
        <v>1830251</v>
      </c>
      <c r="B2099" s="10">
        <v>42947</v>
      </c>
      <c r="C2099" s="11">
        <v>0.48893518518518519</v>
      </c>
      <c r="D2099" s="12">
        <v>0.49787037037037035</v>
      </c>
      <c r="E2099" s="20">
        <f t="shared" si="320"/>
        <v>8.9351851851851571E-3</v>
      </c>
      <c r="F2099" t="str">
        <f t="shared" si="321"/>
        <v>stacjonarny</v>
      </c>
      <c r="G2099" s="23">
        <f t="shared" si="328"/>
        <v>744689</v>
      </c>
      <c r="H2099">
        <f t="shared" si="329"/>
        <v>245879</v>
      </c>
      <c r="I2099">
        <f t="shared" si="322"/>
        <v>0</v>
      </c>
      <c r="J2099">
        <f t="shared" si="323"/>
        <v>0</v>
      </c>
      <c r="K2099">
        <f t="shared" si="324"/>
        <v>990568</v>
      </c>
      <c r="L2099">
        <f t="shared" si="325"/>
        <v>0</v>
      </c>
      <c r="M2099">
        <f t="shared" si="326"/>
        <v>772</v>
      </c>
      <c r="N2099">
        <f t="shared" si="327"/>
        <v>0</v>
      </c>
    </row>
    <row r="2100" spans="1:14" x14ac:dyDescent="0.35">
      <c r="A2100" s="5">
        <v>42603700</v>
      </c>
      <c r="B2100" s="6">
        <v>42947</v>
      </c>
      <c r="C2100" s="7">
        <v>0.49409722222222224</v>
      </c>
      <c r="D2100" s="8">
        <v>0.50521990740740741</v>
      </c>
      <c r="E2100" s="20">
        <f t="shared" si="320"/>
        <v>1.1122685185185166E-2</v>
      </c>
      <c r="F2100" t="str">
        <f t="shared" si="321"/>
        <v>komorkowy</v>
      </c>
      <c r="G2100" s="23">
        <f t="shared" si="328"/>
        <v>744689</v>
      </c>
      <c r="H2100">
        <f t="shared" si="329"/>
        <v>246840</v>
      </c>
      <c r="I2100">
        <f t="shared" si="322"/>
        <v>0</v>
      </c>
      <c r="J2100">
        <f t="shared" si="323"/>
        <v>0</v>
      </c>
      <c r="K2100">
        <f t="shared" si="324"/>
        <v>991529</v>
      </c>
      <c r="L2100">
        <f t="shared" si="325"/>
        <v>0</v>
      </c>
      <c r="M2100">
        <f t="shared" si="326"/>
        <v>0</v>
      </c>
      <c r="N2100">
        <f t="shared" si="327"/>
        <v>961</v>
      </c>
    </row>
    <row r="2101" spans="1:14" x14ac:dyDescent="0.35">
      <c r="A2101" s="9">
        <v>3983714</v>
      </c>
      <c r="B2101" s="10">
        <v>42947</v>
      </c>
      <c r="C2101" s="11">
        <v>0.49849537037037039</v>
      </c>
      <c r="D2101" s="12">
        <v>0.5092592592592593</v>
      </c>
      <c r="E2101" s="20">
        <f t="shared" si="320"/>
        <v>1.0763888888888906E-2</v>
      </c>
      <c r="F2101" t="str">
        <f t="shared" si="321"/>
        <v>stacjonarny</v>
      </c>
      <c r="G2101" s="23">
        <f t="shared" si="328"/>
        <v>745619</v>
      </c>
      <c r="H2101">
        <f t="shared" si="329"/>
        <v>246840</v>
      </c>
      <c r="I2101">
        <f t="shared" si="322"/>
        <v>0</v>
      </c>
      <c r="J2101">
        <f t="shared" si="323"/>
        <v>0</v>
      </c>
      <c r="K2101">
        <f t="shared" si="324"/>
        <v>992459</v>
      </c>
      <c r="L2101">
        <f t="shared" si="325"/>
        <v>0</v>
      </c>
      <c r="M2101">
        <f t="shared" si="326"/>
        <v>930</v>
      </c>
      <c r="N2101">
        <f t="shared" si="327"/>
        <v>0</v>
      </c>
    </row>
    <row r="2102" spans="1:14" x14ac:dyDescent="0.35">
      <c r="A2102" s="5">
        <v>4520226</v>
      </c>
      <c r="B2102" s="6">
        <v>42947</v>
      </c>
      <c r="C2102" s="7">
        <v>0.49903935185185183</v>
      </c>
      <c r="D2102" s="8">
        <v>0.51059027777777777</v>
      </c>
      <c r="E2102" s="20">
        <f t="shared" si="320"/>
        <v>1.1550925925925937E-2</v>
      </c>
      <c r="F2102" t="str">
        <f t="shared" si="321"/>
        <v>stacjonarny</v>
      </c>
      <c r="G2102" s="23">
        <f t="shared" si="328"/>
        <v>746617</v>
      </c>
      <c r="H2102">
        <f t="shared" si="329"/>
        <v>246840</v>
      </c>
      <c r="I2102">
        <f t="shared" si="322"/>
        <v>0</v>
      </c>
      <c r="J2102">
        <f t="shared" si="323"/>
        <v>0</v>
      </c>
      <c r="K2102">
        <f t="shared" si="324"/>
        <v>993457</v>
      </c>
      <c r="L2102">
        <f t="shared" si="325"/>
        <v>0</v>
      </c>
      <c r="M2102">
        <f t="shared" si="326"/>
        <v>998</v>
      </c>
      <c r="N2102">
        <f t="shared" si="327"/>
        <v>0</v>
      </c>
    </row>
    <row r="2103" spans="1:14" x14ac:dyDescent="0.35">
      <c r="A2103" s="9">
        <v>6999348</v>
      </c>
      <c r="B2103" s="10">
        <v>42947</v>
      </c>
      <c r="C2103" s="11">
        <v>0.50065972222222221</v>
      </c>
      <c r="D2103" s="12">
        <v>0.50898148148148148</v>
      </c>
      <c r="E2103" s="20">
        <f t="shared" si="320"/>
        <v>8.3217592592592649E-3</v>
      </c>
      <c r="F2103" t="str">
        <f t="shared" si="321"/>
        <v>stacjonarny</v>
      </c>
      <c r="G2103" s="23">
        <f t="shared" si="328"/>
        <v>747336</v>
      </c>
      <c r="H2103">
        <f t="shared" si="329"/>
        <v>246840</v>
      </c>
      <c r="I2103">
        <f t="shared" si="322"/>
        <v>0</v>
      </c>
      <c r="J2103">
        <f t="shared" si="323"/>
        <v>0</v>
      </c>
      <c r="K2103">
        <f t="shared" si="324"/>
        <v>994176</v>
      </c>
      <c r="L2103">
        <f t="shared" si="325"/>
        <v>0</v>
      </c>
      <c r="M2103">
        <f t="shared" si="326"/>
        <v>719</v>
      </c>
      <c r="N2103">
        <f t="shared" si="327"/>
        <v>0</v>
      </c>
    </row>
    <row r="2104" spans="1:14" x14ac:dyDescent="0.35">
      <c r="A2104" s="5">
        <v>3767866</v>
      </c>
      <c r="B2104" s="6">
        <v>42947</v>
      </c>
      <c r="C2104" s="7">
        <v>0.5040972222222222</v>
      </c>
      <c r="D2104" s="8">
        <v>0.50971064814814815</v>
      </c>
      <c r="E2104" s="20">
        <f t="shared" si="320"/>
        <v>5.6134259259259522E-3</v>
      </c>
      <c r="F2104" t="str">
        <f t="shared" si="321"/>
        <v>stacjonarny</v>
      </c>
      <c r="G2104" s="23">
        <f t="shared" si="328"/>
        <v>747821</v>
      </c>
      <c r="H2104">
        <f t="shared" si="329"/>
        <v>246840</v>
      </c>
      <c r="I2104">
        <f t="shared" si="322"/>
        <v>0</v>
      </c>
      <c r="J2104">
        <f t="shared" si="323"/>
        <v>0</v>
      </c>
      <c r="K2104">
        <f t="shared" si="324"/>
        <v>994661</v>
      </c>
      <c r="L2104">
        <f t="shared" si="325"/>
        <v>0</v>
      </c>
      <c r="M2104">
        <f t="shared" si="326"/>
        <v>485</v>
      </c>
      <c r="N2104">
        <f t="shared" si="327"/>
        <v>0</v>
      </c>
    </row>
    <row r="2105" spans="1:14" x14ac:dyDescent="0.35">
      <c r="A2105" s="9">
        <v>49342013</v>
      </c>
      <c r="B2105" s="10">
        <v>42947</v>
      </c>
      <c r="C2105" s="11">
        <v>0.50410879629629635</v>
      </c>
      <c r="D2105" s="12">
        <v>0.50539351851851855</v>
      </c>
      <c r="E2105" s="20">
        <f t="shared" si="320"/>
        <v>1.284722222222201E-3</v>
      </c>
      <c r="F2105" t="str">
        <f t="shared" si="321"/>
        <v>komorkowy</v>
      </c>
      <c r="G2105" s="23">
        <f t="shared" si="328"/>
        <v>747821</v>
      </c>
      <c r="H2105">
        <f t="shared" si="329"/>
        <v>246951</v>
      </c>
      <c r="I2105">
        <f t="shared" si="322"/>
        <v>0</v>
      </c>
      <c r="J2105">
        <f t="shared" si="323"/>
        <v>0</v>
      </c>
      <c r="K2105">
        <f t="shared" si="324"/>
        <v>994772</v>
      </c>
      <c r="L2105">
        <f t="shared" si="325"/>
        <v>0</v>
      </c>
      <c r="M2105">
        <f t="shared" si="326"/>
        <v>0</v>
      </c>
      <c r="N2105">
        <f t="shared" si="327"/>
        <v>111</v>
      </c>
    </row>
    <row r="2106" spans="1:14" x14ac:dyDescent="0.35">
      <c r="A2106" s="5">
        <v>6051341</v>
      </c>
      <c r="B2106" s="6">
        <v>42947</v>
      </c>
      <c r="C2106" s="7">
        <v>0.50980324074074079</v>
      </c>
      <c r="D2106" s="8">
        <v>0.51123842592592594</v>
      </c>
      <c r="E2106" s="20">
        <f t="shared" si="320"/>
        <v>1.4351851851851505E-3</v>
      </c>
      <c r="F2106" t="str">
        <f t="shared" si="321"/>
        <v>stacjonarny</v>
      </c>
      <c r="G2106" s="23">
        <f t="shared" si="328"/>
        <v>747945</v>
      </c>
      <c r="H2106">
        <f t="shared" si="329"/>
        <v>246951</v>
      </c>
      <c r="I2106">
        <f t="shared" si="322"/>
        <v>0</v>
      </c>
      <c r="J2106">
        <f t="shared" si="323"/>
        <v>0</v>
      </c>
      <c r="K2106">
        <f t="shared" si="324"/>
        <v>994896</v>
      </c>
      <c r="L2106">
        <f t="shared" si="325"/>
        <v>0</v>
      </c>
      <c r="M2106">
        <f t="shared" si="326"/>
        <v>124</v>
      </c>
      <c r="N2106">
        <f t="shared" si="327"/>
        <v>0</v>
      </c>
    </row>
    <row r="2107" spans="1:14" x14ac:dyDescent="0.35">
      <c r="A2107" s="9">
        <v>4326245</v>
      </c>
      <c r="B2107" s="10">
        <v>42947</v>
      </c>
      <c r="C2107" s="11">
        <v>0.51331018518518523</v>
      </c>
      <c r="D2107" s="12">
        <v>0.51490740740740737</v>
      </c>
      <c r="E2107" s="20">
        <f t="shared" si="320"/>
        <v>1.5972222222221388E-3</v>
      </c>
      <c r="F2107" t="str">
        <f t="shared" si="321"/>
        <v>stacjonarny</v>
      </c>
      <c r="G2107" s="23">
        <f t="shared" si="328"/>
        <v>748083</v>
      </c>
      <c r="H2107">
        <f t="shared" si="329"/>
        <v>246951</v>
      </c>
      <c r="I2107">
        <f t="shared" si="322"/>
        <v>0</v>
      </c>
      <c r="J2107">
        <f t="shared" si="323"/>
        <v>0</v>
      </c>
      <c r="K2107">
        <f t="shared" si="324"/>
        <v>995034</v>
      </c>
      <c r="L2107">
        <f t="shared" si="325"/>
        <v>0</v>
      </c>
      <c r="M2107">
        <f t="shared" si="326"/>
        <v>138</v>
      </c>
      <c r="N2107">
        <f t="shared" si="327"/>
        <v>0</v>
      </c>
    </row>
    <row r="2108" spans="1:14" x14ac:dyDescent="0.35">
      <c r="A2108" s="5">
        <v>5356378</v>
      </c>
      <c r="B2108" s="6">
        <v>42947</v>
      </c>
      <c r="C2108" s="7">
        <v>0.51811342592592591</v>
      </c>
      <c r="D2108" s="8">
        <v>0.51965277777777774</v>
      </c>
      <c r="E2108" s="20">
        <f t="shared" si="320"/>
        <v>1.5393518518518334E-3</v>
      </c>
      <c r="F2108" t="str">
        <f t="shared" si="321"/>
        <v>stacjonarny</v>
      </c>
      <c r="G2108" s="23">
        <f t="shared" si="328"/>
        <v>748216</v>
      </c>
      <c r="H2108">
        <f t="shared" si="329"/>
        <v>246951</v>
      </c>
      <c r="I2108">
        <f t="shared" si="322"/>
        <v>0</v>
      </c>
      <c r="J2108">
        <f t="shared" si="323"/>
        <v>0</v>
      </c>
      <c r="K2108">
        <f t="shared" si="324"/>
        <v>995167</v>
      </c>
      <c r="L2108">
        <f t="shared" si="325"/>
        <v>0</v>
      </c>
      <c r="M2108">
        <f t="shared" si="326"/>
        <v>133</v>
      </c>
      <c r="N2108">
        <f t="shared" si="327"/>
        <v>0</v>
      </c>
    </row>
    <row r="2109" spans="1:14" x14ac:dyDescent="0.35">
      <c r="A2109" s="9">
        <v>1302842</v>
      </c>
      <c r="B2109" s="10">
        <v>42947</v>
      </c>
      <c r="C2109" s="11">
        <v>0.52203703703703708</v>
      </c>
      <c r="D2109" s="12">
        <v>0.53162037037037035</v>
      </c>
      <c r="E2109" s="20">
        <f t="shared" si="320"/>
        <v>9.5833333333332771E-3</v>
      </c>
      <c r="F2109" t="str">
        <f t="shared" si="321"/>
        <v>stacjonarny</v>
      </c>
      <c r="G2109" s="23">
        <f t="shared" si="328"/>
        <v>749044</v>
      </c>
      <c r="H2109">
        <f t="shared" si="329"/>
        <v>246951</v>
      </c>
      <c r="I2109">
        <f t="shared" si="322"/>
        <v>0</v>
      </c>
      <c r="J2109">
        <f t="shared" si="323"/>
        <v>0</v>
      </c>
      <c r="K2109">
        <f t="shared" si="324"/>
        <v>995995</v>
      </c>
      <c r="L2109">
        <f t="shared" si="325"/>
        <v>0</v>
      </c>
      <c r="M2109">
        <f t="shared" si="326"/>
        <v>828</v>
      </c>
      <c r="N2109">
        <f t="shared" si="327"/>
        <v>0</v>
      </c>
    </row>
    <row r="2110" spans="1:14" x14ac:dyDescent="0.35">
      <c r="A2110" s="5">
        <v>2025194</v>
      </c>
      <c r="B2110" s="6">
        <v>42947</v>
      </c>
      <c r="C2110" s="7">
        <v>0.52238425925925924</v>
      </c>
      <c r="D2110" s="8">
        <v>0.52749999999999997</v>
      </c>
      <c r="E2110" s="20">
        <f t="shared" si="320"/>
        <v>5.1157407407407263E-3</v>
      </c>
      <c r="F2110" t="str">
        <f t="shared" si="321"/>
        <v>stacjonarny</v>
      </c>
      <c r="G2110" s="23">
        <f t="shared" si="328"/>
        <v>749486</v>
      </c>
      <c r="H2110">
        <f t="shared" si="329"/>
        <v>246951</v>
      </c>
      <c r="I2110">
        <f t="shared" si="322"/>
        <v>0</v>
      </c>
      <c r="J2110">
        <f t="shared" si="323"/>
        <v>0</v>
      </c>
      <c r="K2110">
        <f t="shared" si="324"/>
        <v>996437</v>
      </c>
      <c r="L2110">
        <f t="shared" si="325"/>
        <v>0</v>
      </c>
      <c r="M2110">
        <f t="shared" si="326"/>
        <v>442</v>
      </c>
      <c r="N2110">
        <f t="shared" si="327"/>
        <v>0</v>
      </c>
    </row>
    <row r="2111" spans="1:14" x14ac:dyDescent="0.35">
      <c r="A2111" s="9">
        <v>6703754</v>
      </c>
      <c r="B2111" s="10">
        <v>42947</v>
      </c>
      <c r="C2111" s="11">
        <v>0.5237384259259259</v>
      </c>
      <c r="D2111" s="12">
        <v>0.52431712962962962</v>
      </c>
      <c r="E2111" s="20">
        <f t="shared" si="320"/>
        <v>5.7870370370372015E-4</v>
      </c>
      <c r="F2111" t="str">
        <f t="shared" si="321"/>
        <v>stacjonarny</v>
      </c>
      <c r="G2111" s="23">
        <f t="shared" si="328"/>
        <v>749536</v>
      </c>
      <c r="H2111">
        <f t="shared" si="329"/>
        <v>246951</v>
      </c>
      <c r="I2111">
        <f t="shared" si="322"/>
        <v>0</v>
      </c>
      <c r="J2111">
        <f t="shared" si="323"/>
        <v>0</v>
      </c>
      <c r="K2111">
        <f t="shared" si="324"/>
        <v>996487</v>
      </c>
      <c r="L2111">
        <f t="shared" si="325"/>
        <v>0</v>
      </c>
      <c r="M2111">
        <f t="shared" si="326"/>
        <v>50</v>
      </c>
      <c r="N2111">
        <f t="shared" si="327"/>
        <v>0</v>
      </c>
    </row>
    <row r="2112" spans="1:14" x14ac:dyDescent="0.35">
      <c r="A2112" s="5">
        <v>86965710</v>
      </c>
      <c r="B2112" s="6">
        <v>42947</v>
      </c>
      <c r="C2112" s="7">
        <v>0.52516203703703701</v>
      </c>
      <c r="D2112" s="8">
        <v>0.52825231481481483</v>
      </c>
      <c r="E2112" s="20">
        <f t="shared" si="320"/>
        <v>3.0902777777778168E-3</v>
      </c>
      <c r="F2112" t="str">
        <f t="shared" si="321"/>
        <v>komorkowy</v>
      </c>
      <c r="G2112" s="23">
        <f t="shared" si="328"/>
        <v>749536</v>
      </c>
      <c r="H2112">
        <f t="shared" si="329"/>
        <v>247218</v>
      </c>
      <c r="I2112">
        <f t="shared" si="322"/>
        <v>0</v>
      </c>
      <c r="J2112">
        <f t="shared" si="323"/>
        <v>0</v>
      </c>
      <c r="K2112">
        <f t="shared" si="324"/>
        <v>996754</v>
      </c>
      <c r="L2112">
        <f t="shared" si="325"/>
        <v>0</v>
      </c>
      <c r="M2112">
        <f t="shared" si="326"/>
        <v>0</v>
      </c>
      <c r="N2112">
        <f t="shared" si="327"/>
        <v>267</v>
      </c>
    </row>
    <row r="2113" spans="1:14" x14ac:dyDescent="0.35">
      <c r="A2113" s="9">
        <v>9797571</v>
      </c>
      <c r="B2113" s="10">
        <v>42947</v>
      </c>
      <c r="C2113" s="11">
        <v>0.53011574074074075</v>
      </c>
      <c r="D2113" s="12">
        <v>0.5342824074074074</v>
      </c>
      <c r="E2113" s="20">
        <f t="shared" si="320"/>
        <v>4.1666666666666519E-3</v>
      </c>
      <c r="F2113" t="str">
        <f t="shared" si="321"/>
        <v>stacjonarny</v>
      </c>
      <c r="G2113" s="23">
        <f t="shared" si="328"/>
        <v>749896</v>
      </c>
      <c r="H2113">
        <f t="shared" si="329"/>
        <v>247218</v>
      </c>
      <c r="I2113">
        <f t="shared" si="322"/>
        <v>0</v>
      </c>
      <c r="J2113">
        <f t="shared" si="323"/>
        <v>0</v>
      </c>
      <c r="K2113">
        <f t="shared" si="324"/>
        <v>997114</v>
      </c>
      <c r="L2113">
        <f t="shared" si="325"/>
        <v>0</v>
      </c>
      <c r="M2113">
        <f t="shared" si="326"/>
        <v>360</v>
      </c>
      <c r="N2113">
        <f t="shared" si="327"/>
        <v>0</v>
      </c>
    </row>
    <row r="2114" spans="1:14" x14ac:dyDescent="0.35">
      <c r="A2114" s="5">
        <v>34628061</v>
      </c>
      <c r="B2114" s="6">
        <v>42947</v>
      </c>
      <c r="C2114" s="7">
        <v>0.53206018518518516</v>
      </c>
      <c r="D2114" s="8">
        <v>0.53396990740740746</v>
      </c>
      <c r="E2114" s="20">
        <f t="shared" si="320"/>
        <v>1.9097222222222987E-3</v>
      </c>
      <c r="F2114" t="str">
        <f t="shared" si="321"/>
        <v>komorkowy</v>
      </c>
      <c r="G2114" s="23">
        <f t="shared" si="328"/>
        <v>749896</v>
      </c>
      <c r="H2114">
        <f t="shared" si="329"/>
        <v>247383</v>
      </c>
      <c r="I2114">
        <f t="shared" si="322"/>
        <v>0</v>
      </c>
      <c r="J2114">
        <f t="shared" si="323"/>
        <v>0</v>
      </c>
      <c r="K2114">
        <f t="shared" si="324"/>
        <v>997279</v>
      </c>
      <c r="L2114">
        <f t="shared" si="325"/>
        <v>0</v>
      </c>
      <c r="M2114">
        <f t="shared" si="326"/>
        <v>0</v>
      </c>
      <c r="N2114">
        <f t="shared" si="327"/>
        <v>165</v>
      </c>
    </row>
    <row r="2115" spans="1:14" x14ac:dyDescent="0.35">
      <c r="A2115" s="9">
        <v>6716140</v>
      </c>
      <c r="B2115" s="10">
        <v>42947</v>
      </c>
      <c r="C2115" s="11">
        <v>0.53451388888888884</v>
      </c>
      <c r="D2115" s="12">
        <v>0.54087962962962965</v>
      </c>
      <c r="E2115" s="20">
        <f t="shared" ref="E2115:E2149" si="330">D2115-C2115</f>
        <v>6.3657407407408106E-3</v>
      </c>
      <c r="F2115" t="str">
        <f t="shared" ref="F2115:F2149" si="331">IF(LEN(A2115)=7,"stacjonarny",IF(LEN(A2115)=8,"komorkowy","zagraniczny"))</f>
        <v>stacjonarny</v>
      </c>
      <c r="G2115" s="23">
        <f t="shared" si="328"/>
        <v>750446</v>
      </c>
      <c r="H2115">
        <f t="shared" si="329"/>
        <v>247383</v>
      </c>
      <c r="I2115">
        <f t="shared" ref="I2115:I2149" si="332">IF(F2115="zagraniczny",MINUTE(E2115)*60+SECOND(E2115)+HOUR(E2115)*3600,0)</f>
        <v>0</v>
      </c>
      <c r="J2115">
        <f t="shared" ref="J2115:J2149" si="333">ROUNDUP(I2115/60,0)</f>
        <v>0</v>
      </c>
      <c r="K2115">
        <f t="shared" ref="K2115:K2149" si="334">G2115+H2115</f>
        <v>997829</v>
      </c>
      <c r="L2115">
        <f t="shared" ref="L2115:L2149" si="335">IF(K2115&lt;=48000,1,0)</f>
        <v>0</v>
      </c>
      <c r="M2115">
        <f t="shared" ref="M2115:M2149" si="336">IF(AND(L2115=0,F2115="stacjonarny"),SECOND(E2115)+60*MINUTE(E2115),0)</f>
        <v>550</v>
      </c>
      <c r="N2115">
        <f t="shared" ref="N2115:N2149" si="337">IF(AND(L2115=0,F2115="komorkowy"),SECOND(E2115)+60*MINUTE(E2115),0)</f>
        <v>0</v>
      </c>
    </row>
    <row r="2116" spans="1:14" x14ac:dyDescent="0.35">
      <c r="A2116" s="5">
        <v>9709339</v>
      </c>
      <c r="B2116" s="6">
        <v>42947</v>
      </c>
      <c r="C2116" s="7">
        <v>0.53622685185185182</v>
      </c>
      <c r="D2116" s="8">
        <v>0.54399305555555555</v>
      </c>
      <c r="E2116" s="20">
        <f t="shared" si="330"/>
        <v>7.7662037037037335E-3</v>
      </c>
      <c r="F2116" t="str">
        <f t="shared" si="331"/>
        <v>stacjonarny</v>
      </c>
      <c r="G2116" s="23">
        <f t="shared" ref="G2116:G2149" si="338">IF(F2116="stacjonarny",MINUTE(E2116)*60+SECOND(E2116)+G2115,G2115)</f>
        <v>751117</v>
      </c>
      <c r="H2116">
        <f t="shared" ref="H2116:H2149" si="339">IF(F2116="komorkowy",MINUTE(E2116)*60+SECOND(E2116)+H2115,H2115)</f>
        <v>247383</v>
      </c>
      <c r="I2116">
        <f t="shared" si="332"/>
        <v>0</v>
      </c>
      <c r="J2116">
        <f t="shared" si="333"/>
        <v>0</v>
      </c>
      <c r="K2116">
        <f t="shared" si="334"/>
        <v>998500</v>
      </c>
      <c r="L2116">
        <f t="shared" si="335"/>
        <v>0</v>
      </c>
      <c r="M2116">
        <f t="shared" si="336"/>
        <v>671</v>
      </c>
      <c r="N2116">
        <f t="shared" si="337"/>
        <v>0</v>
      </c>
    </row>
    <row r="2117" spans="1:14" x14ac:dyDescent="0.35">
      <c r="A2117" s="9">
        <v>1331802</v>
      </c>
      <c r="B2117" s="10">
        <v>42947</v>
      </c>
      <c r="C2117" s="11">
        <v>0.5376967592592593</v>
      </c>
      <c r="D2117" s="12">
        <v>0.54113425925925929</v>
      </c>
      <c r="E2117" s="20">
        <f t="shared" si="330"/>
        <v>3.4374999999999822E-3</v>
      </c>
      <c r="F2117" t="str">
        <f t="shared" si="331"/>
        <v>stacjonarny</v>
      </c>
      <c r="G2117" s="23">
        <f t="shared" si="338"/>
        <v>751414</v>
      </c>
      <c r="H2117">
        <f t="shared" si="339"/>
        <v>247383</v>
      </c>
      <c r="I2117">
        <f t="shared" si="332"/>
        <v>0</v>
      </c>
      <c r="J2117">
        <f t="shared" si="333"/>
        <v>0</v>
      </c>
      <c r="K2117">
        <f t="shared" si="334"/>
        <v>998797</v>
      </c>
      <c r="L2117">
        <f t="shared" si="335"/>
        <v>0</v>
      </c>
      <c r="M2117">
        <f t="shared" si="336"/>
        <v>297</v>
      </c>
      <c r="N2117">
        <f t="shared" si="337"/>
        <v>0</v>
      </c>
    </row>
    <row r="2118" spans="1:14" x14ac:dyDescent="0.35">
      <c r="A2118" s="5">
        <v>9413315</v>
      </c>
      <c r="B2118" s="6">
        <v>42947</v>
      </c>
      <c r="C2118" s="7">
        <v>0.53961805555555553</v>
      </c>
      <c r="D2118" s="8">
        <v>0.54870370370370369</v>
      </c>
      <c r="E2118" s="20">
        <f t="shared" si="330"/>
        <v>9.0856481481481621E-3</v>
      </c>
      <c r="F2118" t="str">
        <f t="shared" si="331"/>
        <v>stacjonarny</v>
      </c>
      <c r="G2118" s="23">
        <f t="shared" si="338"/>
        <v>752199</v>
      </c>
      <c r="H2118">
        <f t="shared" si="339"/>
        <v>247383</v>
      </c>
      <c r="I2118">
        <f t="shared" si="332"/>
        <v>0</v>
      </c>
      <c r="J2118">
        <f t="shared" si="333"/>
        <v>0</v>
      </c>
      <c r="K2118">
        <f t="shared" si="334"/>
        <v>999582</v>
      </c>
      <c r="L2118">
        <f t="shared" si="335"/>
        <v>0</v>
      </c>
      <c r="M2118">
        <f t="shared" si="336"/>
        <v>785</v>
      </c>
      <c r="N2118">
        <f t="shared" si="337"/>
        <v>0</v>
      </c>
    </row>
    <row r="2119" spans="1:14" x14ac:dyDescent="0.35">
      <c r="A2119" s="9">
        <v>9555643</v>
      </c>
      <c r="B2119" s="10">
        <v>42947</v>
      </c>
      <c r="C2119" s="11">
        <v>0.5415740740740741</v>
      </c>
      <c r="D2119" s="12">
        <v>0.54230324074074077</v>
      </c>
      <c r="E2119" s="20">
        <f t="shared" si="330"/>
        <v>7.2916666666666963E-4</v>
      </c>
      <c r="F2119" t="str">
        <f t="shared" si="331"/>
        <v>stacjonarny</v>
      </c>
      <c r="G2119" s="23">
        <f t="shared" si="338"/>
        <v>752262</v>
      </c>
      <c r="H2119">
        <f t="shared" si="339"/>
        <v>247383</v>
      </c>
      <c r="I2119">
        <f t="shared" si="332"/>
        <v>0</v>
      </c>
      <c r="J2119">
        <f t="shared" si="333"/>
        <v>0</v>
      </c>
      <c r="K2119">
        <f t="shared" si="334"/>
        <v>999645</v>
      </c>
      <c r="L2119">
        <f t="shared" si="335"/>
        <v>0</v>
      </c>
      <c r="M2119">
        <f t="shared" si="336"/>
        <v>63</v>
      </c>
      <c r="N2119">
        <f t="shared" si="337"/>
        <v>0</v>
      </c>
    </row>
    <row r="2120" spans="1:14" x14ac:dyDescent="0.35">
      <c r="A2120" s="5">
        <v>4824250</v>
      </c>
      <c r="B2120" s="6">
        <v>42947</v>
      </c>
      <c r="C2120" s="7">
        <v>0.54670138888888886</v>
      </c>
      <c r="D2120" s="8">
        <v>0.55440972222222218</v>
      </c>
      <c r="E2120" s="20">
        <f t="shared" si="330"/>
        <v>7.7083333333333171E-3</v>
      </c>
      <c r="F2120" t="str">
        <f t="shared" si="331"/>
        <v>stacjonarny</v>
      </c>
      <c r="G2120" s="23">
        <f t="shared" si="338"/>
        <v>752928</v>
      </c>
      <c r="H2120">
        <f t="shared" si="339"/>
        <v>247383</v>
      </c>
      <c r="I2120">
        <f t="shared" si="332"/>
        <v>0</v>
      </c>
      <c r="J2120">
        <f t="shared" si="333"/>
        <v>0</v>
      </c>
      <c r="K2120">
        <f t="shared" si="334"/>
        <v>1000311</v>
      </c>
      <c r="L2120">
        <f t="shared" si="335"/>
        <v>0</v>
      </c>
      <c r="M2120">
        <f t="shared" si="336"/>
        <v>666</v>
      </c>
      <c r="N2120">
        <f t="shared" si="337"/>
        <v>0</v>
      </c>
    </row>
    <row r="2121" spans="1:14" x14ac:dyDescent="0.35">
      <c r="A2121" s="9">
        <v>3931914</v>
      </c>
      <c r="B2121" s="10">
        <v>42947</v>
      </c>
      <c r="C2121" s="11">
        <v>0.55063657407407407</v>
      </c>
      <c r="D2121" s="12">
        <v>0.55451388888888886</v>
      </c>
      <c r="E2121" s="20">
        <f t="shared" si="330"/>
        <v>3.8773148148147918E-3</v>
      </c>
      <c r="F2121" t="str">
        <f t="shared" si="331"/>
        <v>stacjonarny</v>
      </c>
      <c r="G2121" s="23">
        <f t="shared" si="338"/>
        <v>753263</v>
      </c>
      <c r="H2121">
        <f t="shared" si="339"/>
        <v>247383</v>
      </c>
      <c r="I2121">
        <f t="shared" si="332"/>
        <v>0</v>
      </c>
      <c r="J2121">
        <f t="shared" si="333"/>
        <v>0</v>
      </c>
      <c r="K2121">
        <f t="shared" si="334"/>
        <v>1000646</v>
      </c>
      <c r="L2121">
        <f t="shared" si="335"/>
        <v>0</v>
      </c>
      <c r="M2121">
        <f t="shared" si="336"/>
        <v>335</v>
      </c>
      <c r="N2121">
        <f t="shared" si="337"/>
        <v>0</v>
      </c>
    </row>
    <row r="2122" spans="1:14" x14ac:dyDescent="0.35">
      <c r="A2122" s="5">
        <v>79698655</v>
      </c>
      <c r="B2122" s="6">
        <v>42947</v>
      </c>
      <c r="C2122" s="7">
        <v>0.55182870370370374</v>
      </c>
      <c r="D2122" s="8">
        <v>0.55775462962962963</v>
      </c>
      <c r="E2122" s="20">
        <f t="shared" si="330"/>
        <v>5.9259259259258901E-3</v>
      </c>
      <c r="F2122" t="str">
        <f t="shared" si="331"/>
        <v>komorkowy</v>
      </c>
      <c r="G2122" s="23">
        <f t="shared" si="338"/>
        <v>753263</v>
      </c>
      <c r="H2122">
        <f t="shared" si="339"/>
        <v>247895</v>
      </c>
      <c r="I2122">
        <f t="shared" si="332"/>
        <v>0</v>
      </c>
      <c r="J2122">
        <f t="shared" si="333"/>
        <v>0</v>
      </c>
      <c r="K2122">
        <f t="shared" si="334"/>
        <v>1001158</v>
      </c>
      <c r="L2122">
        <f t="shared" si="335"/>
        <v>0</v>
      </c>
      <c r="M2122">
        <f t="shared" si="336"/>
        <v>0</v>
      </c>
      <c r="N2122">
        <f t="shared" si="337"/>
        <v>512</v>
      </c>
    </row>
    <row r="2123" spans="1:14" x14ac:dyDescent="0.35">
      <c r="A2123" s="9">
        <v>5387521845</v>
      </c>
      <c r="B2123" s="10">
        <v>42947</v>
      </c>
      <c r="C2123" s="11">
        <v>0.55717592592592591</v>
      </c>
      <c r="D2123" s="12">
        <v>0.56000000000000005</v>
      </c>
      <c r="E2123" s="20">
        <f t="shared" si="330"/>
        <v>2.8240740740741455E-3</v>
      </c>
      <c r="F2123" t="str">
        <f t="shared" si="331"/>
        <v>zagraniczny</v>
      </c>
      <c r="G2123" s="23">
        <f t="shared" si="338"/>
        <v>753263</v>
      </c>
      <c r="H2123">
        <f t="shared" si="339"/>
        <v>247895</v>
      </c>
      <c r="I2123">
        <f t="shared" si="332"/>
        <v>244</v>
      </c>
      <c r="J2123">
        <f t="shared" si="333"/>
        <v>5</v>
      </c>
      <c r="K2123">
        <f t="shared" si="334"/>
        <v>1001158</v>
      </c>
      <c r="L2123">
        <f t="shared" si="335"/>
        <v>0</v>
      </c>
      <c r="M2123">
        <f t="shared" si="336"/>
        <v>0</v>
      </c>
      <c r="N2123">
        <f t="shared" si="337"/>
        <v>0</v>
      </c>
    </row>
    <row r="2124" spans="1:14" x14ac:dyDescent="0.35">
      <c r="A2124" s="5">
        <v>84589848</v>
      </c>
      <c r="B2124" s="6">
        <v>42947</v>
      </c>
      <c r="C2124" s="7">
        <v>0.56119212962962961</v>
      </c>
      <c r="D2124" s="8">
        <v>0.56221064814814814</v>
      </c>
      <c r="E2124" s="20">
        <f t="shared" si="330"/>
        <v>1.0185185185185297E-3</v>
      </c>
      <c r="F2124" t="str">
        <f t="shared" si="331"/>
        <v>komorkowy</v>
      </c>
      <c r="G2124" s="23">
        <f t="shared" si="338"/>
        <v>753263</v>
      </c>
      <c r="H2124">
        <f t="shared" si="339"/>
        <v>247983</v>
      </c>
      <c r="I2124">
        <f t="shared" si="332"/>
        <v>0</v>
      </c>
      <c r="J2124">
        <f t="shared" si="333"/>
        <v>0</v>
      </c>
      <c r="K2124">
        <f t="shared" si="334"/>
        <v>1001246</v>
      </c>
      <c r="L2124">
        <f t="shared" si="335"/>
        <v>0</v>
      </c>
      <c r="M2124">
        <f t="shared" si="336"/>
        <v>0</v>
      </c>
      <c r="N2124">
        <f t="shared" si="337"/>
        <v>88</v>
      </c>
    </row>
    <row r="2125" spans="1:14" x14ac:dyDescent="0.35">
      <c r="A2125" s="9">
        <v>1927908</v>
      </c>
      <c r="B2125" s="10">
        <v>42947</v>
      </c>
      <c r="C2125" s="11">
        <v>0.56452546296296291</v>
      </c>
      <c r="D2125" s="12">
        <v>0.5725231481481482</v>
      </c>
      <c r="E2125" s="20">
        <f t="shared" si="330"/>
        <v>7.9976851851852881E-3</v>
      </c>
      <c r="F2125" t="str">
        <f t="shared" si="331"/>
        <v>stacjonarny</v>
      </c>
      <c r="G2125" s="23">
        <f t="shared" si="338"/>
        <v>753954</v>
      </c>
      <c r="H2125">
        <f t="shared" si="339"/>
        <v>247983</v>
      </c>
      <c r="I2125">
        <f t="shared" si="332"/>
        <v>0</v>
      </c>
      <c r="J2125">
        <f t="shared" si="333"/>
        <v>0</v>
      </c>
      <c r="K2125">
        <f t="shared" si="334"/>
        <v>1001937</v>
      </c>
      <c r="L2125">
        <f t="shared" si="335"/>
        <v>0</v>
      </c>
      <c r="M2125">
        <f t="shared" si="336"/>
        <v>691</v>
      </c>
      <c r="N2125">
        <f t="shared" si="337"/>
        <v>0</v>
      </c>
    </row>
    <row r="2126" spans="1:14" x14ac:dyDescent="0.35">
      <c r="A2126" s="5">
        <v>7975900</v>
      </c>
      <c r="B2126" s="6">
        <v>42947</v>
      </c>
      <c r="C2126" s="7">
        <v>0.56582175925925926</v>
      </c>
      <c r="D2126" s="8">
        <v>0.57314814814814818</v>
      </c>
      <c r="E2126" s="20">
        <f t="shared" si="330"/>
        <v>7.3263888888889239E-3</v>
      </c>
      <c r="F2126" t="str">
        <f t="shared" si="331"/>
        <v>stacjonarny</v>
      </c>
      <c r="G2126" s="23">
        <f t="shared" si="338"/>
        <v>754587</v>
      </c>
      <c r="H2126">
        <f t="shared" si="339"/>
        <v>247983</v>
      </c>
      <c r="I2126">
        <f t="shared" si="332"/>
        <v>0</v>
      </c>
      <c r="J2126">
        <f t="shared" si="333"/>
        <v>0</v>
      </c>
      <c r="K2126">
        <f t="shared" si="334"/>
        <v>1002570</v>
      </c>
      <c r="L2126">
        <f t="shared" si="335"/>
        <v>0</v>
      </c>
      <c r="M2126">
        <f t="shared" si="336"/>
        <v>633</v>
      </c>
      <c r="N2126">
        <f t="shared" si="337"/>
        <v>0</v>
      </c>
    </row>
    <row r="2127" spans="1:14" x14ac:dyDescent="0.35">
      <c r="A2127" s="9">
        <v>1731500345</v>
      </c>
      <c r="B2127" s="10">
        <v>42947</v>
      </c>
      <c r="C2127" s="11">
        <v>0.56916666666666671</v>
      </c>
      <c r="D2127" s="12">
        <v>0.57851851851851854</v>
      </c>
      <c r="E2127" s="20">
        <f t="shared" si="330"/>
        <v>9.3518518518518334E-3</v>
      </c>
      <c r="F2127" t="str">
        <f t="shared" si="331"/>
        <v>zagraniczny</v>
      </c>
      <c r="G2127" s="23">
        <f t="shared" si="338"/>
        <v>754587</v>
      </c>
      <c r="H2127">
        <f t="shared" si="339"/>
        <v>247983</v>
      </c>
      <c r="I2127">
        <f t="shared" si="332"/>
        <v>808</v>
      </c>
      <c r="J2127">
        <f t="shared" si="333"/>
        <v>14</v>
      </c>
      <c r="K2127">
        <f t="shared" si="334"/>
        <v>1002570</v>
      </c>
      <c r="L2127">
        <f t="shared" si="335"/>
        <v>0</v>
      </c>
      <c r="M2127">
        <f t="shared" si="336"/>
        <v>0</v>
      </c>
      <c r="N2127">
        <f t="shared" si="337"/>
        <v>0</v>
      </c>
    </row>
    <row r="2128" spans="1:14" x14ac:dyDescent="0.35">
      <c r="A2128" s="5">
        <v>5926011</v>
      </c>
      <c r="B2128" s="6">
        <v>42947</v>
      </c>
      <c r="C2128" s="7">
        <v>0.57268518518518519</v>
      </c>
      <c r="D2128" s="8">
        <v>0.58170138888888889</v>
      </c>
      <c r="E2128" s="20">
        <f t="shared" si="330"/>
        <v>9.0162037037037068E-3</v>
      </c>
      <c r="F2128" t="str">
        <f t="shared" si="331"/>
        <v>stacjonarny</v>
      </c>
      <c r="G2128" s="23">
        <f t="shared" si="338"/>
        <v>755366</v>
      </c>
      <c r="H2128">
        <f t="shared" si="339"/>
        <v>247983</v>
      </c>
      <c r="I2128">
        <f t="shared" si="332"/>
        <v>0</v>
      </c>
      <c r="J2128">
        <f t="shared" si="333"/>
        <v>0</v>
      </c>
      <c r="K2128">
        <f t="shared" si="334"/>
        <v>1003349</v>
      </c>
      <c r="L2128">
        <f t="shared" si="335"/>
        <v>0</v>
      </c>
      <c r="M2128">
        <f t="shared" si="336"/>
        <v>779</v>
      </c>
      <c r="N2128">
        <f t="shared" si="337"/>
        <v>0</v>
      </c>
    </row>
    <row r="2129" spans="1:14" x14ac:dyDescent="0.35">
      <c r="A2129" s="9">
        <v>6408952</v>
      </c>
      <c r="B2129" s="10">
        <v>42947</v>
      </c>
      <c r="C2129" s="11">
        <v>0.57740740740740737</v>
      </c>
      <c r="D2129" s="12">
        <v>0.58895833333333336</v>
      </c>
      <c r="E2129" s="20">
        <f t="shared" si="330"/>
        <v>1.1550925925925992E-2</v>
      </c>
      <c r="F2129" t="str">
        <f t="shared" si="331"/>
        <v>stacjonarny</v>
      </c>
      <c r="G2129" s="23">
        <f t="shared" si="338"/>
        <v>756364</v>
      </c>
      <c r="H2129">
        <f t="shared" si="339"/>
        <v>247983</v>
      </c>
      <c r="I2129">
        <f t="shared" si="332"/>
        <v>0</v>
      </c>
      <c r="J2129">
        <f t="shared" si="333"/>
        <v>0</v>
      </c>
      <c r="K2129">
        <f t="shared" si="334"/>
        <v>1004347</v>
      </c>
      <c r="L2129">
        <f t="shared" si="335"/>
        <v>0</v>
      </c>
      <c r="M2129">
        <f t="shared" si="336"/>
        <v>998</v>
      </c>
      <c r="N2129">
        <f t="shared" si="337"/>
        <v>0</v>
      </c>
    </row>
    <row r="2130" spans="1:14" x14ac:dyDescent="0.35">
      <c r="A2130" s="5">
        <v>53370610</v>
      </c>
      <c r="B2130" s="6">
        <v>42947</v>
      </c>
      <c r="C2130" s="7">
        <v>0.57822916666666668</v>
      </c>
      <c r="D2130" s="8">
        <v>0.57994212962962965</v>
      </c>
      <c r="E2130" s="20">
        <f t="shared" si="330"/>
        <v>1.7129629629629717E-3</v>
      </c>
      <c r="F2130" t="str">
        <f t="shared" si="331"/>
        <v>komorkowy</v>
      </c>
      <c r="G2130" s="23">
        <f t="shared" si="338"/>
        <v>756364</v>
      </c>
      <c r="H2130">
        <f t="shared" si="339"/>
        <v>248131</v>
      </c>
      <c r="I2130">
        <f t="shared" si="332"/>
        <v>0</v>
      </c>
      <c r="J2130">
        <f t="shared" si="333"/>
        <v>0</v>
      </c>
      <c r="K2130">
        <f t="shared" si="334"/>
        <v>1004495</v>
      </c>
      <c r="L2130">
        <f t="shared" si="335"/>
        <v>0</v>
      </c>
      <c r="M2130">
        <f t="shared" si="336"/>
        <v>0</v>
      </c>
      <c r="N2130">
        <f t="shared" si="337"/>
        <v>148</v>
      </c>
    </row>
    <row r="2131" spans="1:14" x14ac:dyDescent="0.35">
      <c r="A2131" s="9">
        <v>8060169</v>
      </c>
      <c r="B2131" s="10">
        <v>42947</v>
      </c>
      <c r="C2131" s="11">
        <v>0.57874999999999999</v>
      </c>
      <c r="D2131" s="12">
        <v>0.58307870370370374</v>
      </c>
      <c r="E2131" s="20">
        <f t="shared" si="330"/>
        <v>4.3287037037037512E-3</v>
      </c>
      <c r="F2131" t="str">
        <f t="shared" si="331"/>
        <v>stacjonarny</v>
      </c>
      <c r="G2131" s="23">
        <f t="shared" si="338"/>
        <v>756738</v>
      </c>
      <c r="H2131">
        <f t="shared" si="339"/>
        <v>248131</v>
      </c>
      <c r="I2131">
        <f t="shared" si="332"/>
        <v>0</v>
      </c>
      <c r="J2131">
        <f t="shared" si="333"/>
        <v>0</v>
      </c>
      <c r="K2131">
        <f t="shared" si="334"/>
        <v>1004869</v>
      </c>
      <c r="L2131">
        <f t="shared" si="335"/>
        <v>0</v>
      </c>
      <c r="M2131">
        <f t="shared" si="336"/>
        <v>374</v>
      </c>
      <c r="N2131">
        <f t="shared" si="337"/>
        <v>0</v>
      </c>
    </row>
    <row r="2132" spans="1:14" x14ac:dyDescent="0.35">
      <c r="A2132" s="5">
        <v>9147613</v>
      </c>
      <c r="B2132" s="6">
        <v>42947</v>
      </c>
      <c r="C2132" s="7">
        <v>0.57952546296296292</v>
      </c>
      <c r="D2132" s="8">
        <v>0.58090277777777777</v>
      </c>
      <c r="E2132" s="20">
        <f t="shared" si="330"/>
        <v>1.3773148148148451E-3</v>
      </c>
      <c r="F2132" t="str">
        <f t="shared" si="331"/>
        <v>stacjonarny</v>
      </c>
      <c r="G2132" s="23">
        <f t="shared" si="338"/>
        <v>756857</v>
      </c>
      <c r="H2132">
        <f t="shared" si="339"/>
        <v>248131</v>
      </c>
      <c r="I2132">
        <f t="shared" si="332"/>
        <v>0</v>
      </c>
      <c r="J2132">
        <f t="shared" si="333"/>
        <v>0</v>
      </c>
      <c r="K2132">
        <f t="shared" si="334"/>
        <v>1004988</v>
      </c>
      <c r="L2132">
        <f t="shared" si="335"/>
        <v>0</v>
      </c>
      <c r="M2132">
        <f t="shared" si="336"/>
        <v>119</v>
      </c>
      <c r="N2132">
        <f t="shared" si="337"/>
        <v>0</v>
      </c>
    </row>
    <row r="2133" spans="1:14" x14ac:dyDescent="0.35">
      <c r="A2133" s="9">
        <v>4505950</v>
      </c>
      <c r="B2133" s="10">
        <v>42947</v>
      </c>
      <c r="C2133" s="11">
        <v>0.58163194444444444</v>
      </c>
      <c r="D2133" s="12">
        <v>0.5872222222222222</v>
      </c>
      <c r="E2133" s="20">
        <f t="shared" si="330"/>
        <v>5.5902777777777635E-3</v>
      </c>
      <c r="F2133" t="str">
        <f t="shared" si="331"/>
        <v>stacjonarny</v>
      </c>
      <c r="G2133" s="23">
        <f t="shared" si="338"/>
        <v>757340</v>
      </c>
      <c r="H2133">
        <f t="shared" si="339"/>
        <v>248131</v>
      </c>
      <c r="I2133">
        <f t="shared" si="332"/>
        <v>0</v>
      </c>
      <c r="J2133">
        <f t="shared" si="333"/>
        <v>0</v>
      </c>
      <c r="K2133">
        <f t="shared" si="334"/>
        <v>1005471</v>
      </c>
      <c r="L2133">
        <f t="shared" si="335"/>
        <v>0</v>
      </c>
      <c r="M2133">
        <f t="shared" si="336"/>
        <v>483</v>
      </c>
      <c r="N2133">
        <f t="shared" si="337"/>
        <v>0</v>
      </c>
    </row>
    <row r="2134" spans="1:14" x14ac:dyDescent="0.35">
      <c r="A2134" s="5">
        <v>3537655</v>
      </c>
      <c r="B2134" s="6">
        <v>42947</v>
      </c>
      <c r="C2134" s="7">
        <v>0.58287037037037037</v>
      </c>
      <c r="D2134" s="8">
        <v>0.58347222222222217</v>
      </c>
      <c r="E2134" s="20">
        <f t="shared" si="330"/>
        <v>6.018518518517979E-4</v>
      </c>
      <c r="F2134" t="str">
        <f t="shared" si="331"/>
        <v>stacjonarny</v>
      </c>
      <c r="G2134" s="23">
        <f t="shared" si="338"/>
        <v>757392</v>
      </c>
      <c r="H2134">
        <f t="shared" si="339"/>
        <v>248131</v>
      </c>
      <c r="I2134">
        <f t="shared" si="332"/>
        <v>0</v>
      </c>
      <c r="J2134">
        <f t="shared" si="333"/>
        <v>0</v>
      </c>
      <c r="K2134">
        <f t="shared" si="334"/>
        <v>1005523</v>
      </c>
      <c r="L2134">
        <f t="shared" si="335"/>
        <v>0</v>
      </c>
      <c r="M2134">
        <f t="shared" si="336"/>
        <v>52</v>
      </c>
      <c r="N2134">
        <f t="shared" si="337"/>
        <v>0</v>
      </c>
    </row>
    <row r="2135" spans="1:14" x14ac:dyDescent="0.35">
      <c r="A2135" s="9">
        <v>1583683</v>
      </c>
      <c r="B2135" s="10">
        <v>42947</v>
      </c>
      <c r="C2135" s="11">
        <v>0.58784722222222219</v>
      </c>
      <c r="D2135" s="12">
        <v>0.58940972222222221</v>
      </c>
      <c r="E2135" s="20">
        <f t="shared" si="330"/>
        <v>1.5625000000000222E-3</v>
      </c>
      <c r="F2135" t="str">
        <f t="shared" si="331"/>
        <v>stacjonarny</v>
      </c>
      <c r="G2135" s="23">
        <f t="shared" si="338"/>
        <v>757527</v>
      </c>
      <c r="H2135">
        <f t="shared" si="339"/>
        <v>248131</v>
      </c>
      <c r="I2135">
        <f t="shared" si="332"/>
        <v>0</v>
      </c>
      <c r="J2135">
        <f t="shared" si="333"/>
        <v>0</v>
      </c>
      <c r="K2135">
        <f t="shared" si="334"/>
        <v>1005658</v>
      </c>
      <c r="L2135">
        <f t="shared" si="335"/>
        <v>0</v>
      </c>
      <c r="M2135">
        <f t="shared" si="336"/>
        <v>135</v>
      </c>
      <c r="N2135">
        <f t="shared" si="337"/>
        <v>0</v>
      </c>
    </row>
    <row r="2136" spans="1:14" x14ac:dyDescent="0.35">
      <c r="A2136" s="5">
        <v>96302157</v>
      </c>
      <c r="B2136" s="6">
        <v>42947</v>
      </c>
      <c r="C2136" s="7">
        <v>0.59052083333333338</v>
      </c>
      <c r="D2136" s="8">
        <v>0.59702546296296299</v>
      </c>
      <c r="E2136" s="20">
        <f t="shared" si="330"/>
        <v>6.5046296296296102E-3</v>
      </c>
      <c r="F2136" t="str">
        <f t="shared" si="331"/>
        <v>komorkowy</v>
      </c>
      <c r="G2136" s="23">
        <f t="shared" si="338"/>
        <v>757527</v>
      </c>
      <c r="H2136">
        <f t="shared" si="339"/>
        <v>248693</v>
      </c>
      <c r="I2136">
        <f t="shared" si="332"/>
        <v>0</v>
      </c>
      <c r="J2136">
        <f t="shared" si="333"/>
        <v>0</v>
      </c>
      <c r="K2136">
        <f t="shared" si="334"/>
        <v>1006220</v>
      </c>
      <c r="L2136">
        <f t="shared" si="335"/>
        <v>0</v>
      </c>
      <c r="M2136">
        <f t="shared" si="336"/>
        <v>0</v>
      </c>
      <c r="N2136">
        <f t="shared" si="337"/>
        <v>562</v>
      </c>
    </row>
    <row r="2137" spans="1:14" x14ac:dyDescent="0.35">
      <c r="A2137" s="9">
        <v>1809111</v>
      </c>
      <c r="B2137" s="10">
        <v>42947</v>
      </c>
      <c r="C2137" s="11">
        <v>0.59290509259259261</v>
      </c>
      <c r="D2137" s="12">
        <v>0.60322916666666671</v>
      </c>
      <c r="E2137" s="20">
        <f t="shared" si="330"/>
        <v>1.0324074074074097E-2</v>
      </c>
      <c r="F2137" t="str">
        <f t="shared" si="331"/>
        <v>stacjonarny</v>
      </c>
      <c r="G2137" s="23">
        <f t="shared" si="338"/>
        <v>758419</v>
      </c>
      <c r="H2137">
        <f t="shared" si="339"/>
        <v>248693</v>
      </c>
      <c r="I2137">
        <f t="shared" si="332"/>
        <v>0</v>
      </c>
      <c r="J2137">
        <f t="shared" si="333"/>
        <v>0</v>
      </c>
      <c r="K2137">
        <f t="shared" si="334"/>
        <v>1007112</v>
      </c>
      <c r="L2137">
        <f t="shared" si="335"/>
        <v>0</v>
      </c>
      <c r="M2137">
        <f t="shared" si="336"/>
        <v>892</v>
      </c>
      <c r="N2137">
        <f t="shared" si="337"/>
        <v>0</v>
      </c>
    </row>
    <row r="2138" spans="1:14" x14ac:dyDescent="0.35">
      <c r="A2138" s="5">
        <v>8493652</v>
      </c>
      <c r="B2138" s="6">
        <v>42947</v>
      </c>
      <c r="C2138" s="7">
        <v>0.59569444444444442</v>
      </c>
      <c r="D2138" s="8">
        <v>0.60372685185185182</v>
      </c>
      <c r="E2138" s="20">
        <f t="shared" si="330"/>
        <v>8.0324074074074048E-3</v>
      </c>
      <c r="F2138" t="str">
        <f t="shared" si="331"/>
        <v>stacjonarny</v>
      </c>
      <c r="G2138" s="23">
        <f t="shared" si="338"/>
        <v>759113</v>
      </c>
      <c r="H2138">
        <f t="shared" si="339"/>
        <v>248693</v>
      </c>
      <c r="I2138">
        <f t="shared" si="332"/>
        <v>0</v>
      </c>
      <c r="J2138">
        <f t="shared" si="333"/>
        <v>0</v>
      </c>
      <c r="K2138">
        <f t="shared" si="334"/>
        <v>1007806</v>
      </c>
      <c r="L2138">
        <f t="shared" si="335"/>
        <v>0</v>
      </c>
      <c r="M2138">
        <f t="shared" si="336"/>
        <v>694</v>
      </c>
      <c r="N2138">
        <f t="shared" si="337"/>
        <v>0</v>
      </c>
    </row>
    <row r="2139" spans="1:14" x14ac:dyDescent="0.35">
      <c r="A2139" s="9">
        <v>1026326</v>
      </c>
      <c r="B2139" s="10">
        <v>42947</v>
      </c>
      <c r="C2139" s="11">
        <v>0.59736111111111112</v>
      </c>
      <c r="D2139" s="12">
        <v>0.60046296296296298</v>
      </c>
      <c r="E2139" s="20">
        <f t="shared" si="330"/>
        <v>3.1018518518518556E-3</v>
      </c>
      <c r="F2139" t="str">
        <f t="shared" si="331"/>
        <v>stacjonarny</v>
      </c>
      <c r="G2139" s="23">
        <f t="shared" si="338"/>
        <v>759381</v>
      </c>
      <c r="H2139">
        <f t="shared" si="339"/>
        <v>248693</v>
      </c>
      <c r="I2139">
        <f t="shared" si="332"/>
        <v>0</v>
      </c>
      <c r="J2139">
        <f t="shared" si="333"/>
        <v>0</v>
      </c>
      <c r="K2139">
        <f t="shared" si="334"/>
        <v>1008074</v>
      </c>
      <c r="L2139">
        <f t="shared" si="335"/>
        <v>0</v>
      </c>
      <c r="M2139">
        <f t="shared" si="336"/>
        <v>268</v>
      </c>
      <c r="N2139">
        <f t="shared" si="337"/>
        <v>0</v>
      </c>
    </row>
    <row r="2140" spans="1:14" x14ac:dyDescent="0.35">
      <c r="A2140" s="5">
        <v>1475165</v>
      </c>
      <c r="B2140" s="6">
        <v>42947</v>
      </c>
      <c r="C2140" s="7">
        <v>0.60197916666666662</v>
      </c>
      <c r="D2140" s="8">
        <v>0.60856481481481484</v>
      </c>
      <c r="E2140" s="20">
        <f t="shared" si="330"/>
        <v>6.5856481481482154E-3</v>
      </c>
      <c r="F2140" t="str">
        <f t="shared" si="331"/>
        <v>stacjonarny</v>
      </c>
      <c r="G2140" s="23">
        <f t="shared" si="338"/>
        <v>759950</v>
      </c>
      <c r="H2140">
        <f t="shared" si="339"/>
        <v>248693</v>
      </c>
      <c r="I2140">
        <f t="shared" si="332"/>
        <v>0</v>
      </c>
      <c r="J2140">
        <f t="shared" si="333"/>
        <v>0</v>
      </c>
      <c r="K2140">
        <f t="shared" si="334"/>
        <v>1008643</v>
      </c>
      <c r="L2140">
        <f t="shared" si="335"/>
        <v>0</v>
      </c>
      <c r="M2140">
        <f t="shared" si="336"/>
        <v>569</v>
      </c>
      <c r="N2140">
        <f t="shared" si="337"/>
        <v>0</v>
      </c>
    </row>
    <row r="2141" spans="1:14" x14ac:dyDescent="0.35">
      <c r="A2141" s="9">
        <v>6264844</v>
      </c>
      <c r="B2141" s="10">
        <v>42947</v>
      </c>
      <c r="C2141" s="11">
        <v>0.60348379629629634</v>
      </c>
      <c r="D2141" s="12">
        <v>0.61365740740740737</v>
      </c>
      <c r="E2141" s="20">
        <f t="shared" si="330"/>
        <v>1.0173611111111036E-2</v>
      </c>
      <c r="F2141" t="str">
        <f t="shared" si="331"/>
        <v>stacjonarny</v>
      </c>
      <c r="G2141" s="23">
        <f t="shared" si="338"/>
        <v>760829</v>
      </c>
      <c r="H2141">
        <f t="shared" si="339"/>
        <v>248693</v>
      </c>
      <c r="I2141">
        <f t="shared" si="332"/>
        <v>0</v>
      </c>
      <c r="J2141">
        <f t="shared" si="333"/>
        <v>0</v>
      </c>
      <c r="K2141">
        <f t="shared" si="334"/>
        <v>1009522</v>
      </c>
      <c r="L2141">
        <f t="shared" si="335"/>
        <v>0</v>
      </c>
      <c r="M2141">
        <f t="shared" si="336"/>
        <v>879</v>
      </c>
      <c r="N2141">
        <f t="shared" si="337"/>
        <v>0</v>
      </c>
    </row>
    <row r="2142" spans="1:14" x14ac:dyDescent="0.35">
      <c r="A2142" s="5">
        <v>9861652</v>
      </c>
      <c r="B2142" s="6">
        <v>42947</v>
      </c>
      <c r="C2142" s="7">
        <v>0.60519675925925931</v>
      </c>
      <c r="D2142" s="8">
        <v>0.61221064814814818</v>
      </c>
      <c r="E2142" s="20">
        <f t="shared" si="330"/>
        <v>7.0138888888888751E-3</v>
      </c>
      <c r="F2142" t="str">
        <f t="shared" si="331"/>
        <v>stacjonarny</v>
      </c>
      <c r="G2142" s="23">
        <f t="shared" si="338"/>
        <v>761435</v>
      </c>
      <c r="H2142">
        <f t="shared" si="339"/>
        <v>248693</v>
      </c>
      <c r="I2142">
        <f t="shared" si="332"/>
        <v>0</v>
      </c>
      <c r="J2142">
        <f t="shared" si="333"/>
        <v>0</v>
      </c>
      <c r="K2142">
        <f t="shared" si="334"/>
        <v>1010128</v>
      </c>
      <c r="L2142">
        <f t="shared" si="335"/>
        <v>0</v>
      </c>
      <c r="M2142">
        <f t="shared" si="336"/>
        <v>606</v>
      </c>
      <c r="N2142">
        <f t="shared" si="337"/>
        <v>0</v>
      </c>
    </row>
    <row r="2143" spans="1:14" x14ac:dyDescent="0.35">
      <c r="A2143" s="9">
        <v>5446203</v>
      </c>
      <c r="B2143" s="10">
        <v>42947</v>
      </c>
      <c r="C2143" s="11">
        <v>0.60825231481481479</v>
      </c>
      <c r="D2143" s="12">
        <v>0.61048611111111106</v>
      </c>
      <c r="E2143" s="20">
        <f t="shared" si="330"/>
        <v>2.2337962962962754E-3</v>
      </c>
      <c r="F2143" t="str">
        <f t="shared" si="331"/>
        <v>stacjonarny</v>
      </c>
      <c r="G2143" s="23">
        <f t="shared" si="338"/>
        <v>761628</v>
      </c>
      <c r="H2143">
        <f t="shared" si="339"/>
        <v>248693</v>
      </c>
      <c r="I2143">
        <f t="shared" si="332"/>
        <v>0</v>
      </c>
      <c r="J2143">
        <f t="shared" si="333"/>
        <v>0</v>
      </c>
      <c r="K2143">
        <f t="shared" si="334"/>
        <v>1010321</v>
      </c>
      <c r="L2143">
        <f t="shared" si="335"/>
        <v>0</v>
      </c>
      <c r="M2143">
        <f t="shared" si="336"/>
        <v>193</v>
      </c>
      <c r="N2143">
        <f t="shared" si="337"/>
        <v>0</v>
      </c>
    </row>
    <row r="2144" spans="1:14" x14ac:dyDescent="0.35">
      <c r="A2144" s="5">
        <v>7762020</v>
      </c>
      <c r="B2144" s="6">
        <v>42947</v>
      </c>
      <c r="C2144" s="7">
        <v>0.61159722222222224</v>
      </c>
      <c r="D2144" s="8">
        <v>0.61434027777777778</v>
      </c>
      <c r="E2144" s="20">
        <f t="shared" si="330"/>
        <v>2.7430555555555403E-3</v>
      </c>
      <c r="F2144" t="str">
        <f t="shared" si="331"/>
        <v>stacjonarny</v>
      </c>
      <c r="G2144" s="23">
        <f t="shared" si="338"/>
        <v>761865</v>
      </c>
      <c r="H2144">
        <f t="shared" si="339"/>
        <v>248693</v>
      </c>
      <c r="I2144">
        <f t="shared" si="332"/>
        <v>0</v>
      </c>
      <c r="J2144">
        <f t="shared" si="333"/>
        <v>0</v>
      </c>
      <c r="K2144">
        <f t="shared" si="334"/>
        <v>1010558</v>
      </c>
      <c r="L2144">
        <f t="shared" si="335"/>
        <v>0</v>
      </c>
      <c r="M2144">
        <f t="shared" si="336"/>
        <v>237</v>
      </c>
      <c r="N2144">
        <f t="shared" si="337"/>
        <v>0</v>
      </c>
    </row>
    <row r="2145" spans="1:14" x14ac:dyDescent="0.35">
      <c r="A2145" s="9">
        <v>4045129075</v>
      </c>
      <c r="B2145" s="10">
        <v>42947</v>
      </c>
      <c r="C2145" s="11">
        <v>0.61328703703703702</v>
      </c>
      <c r="D2145" s="12">
        <v>0.61828703703703702</v>
      </c>
      <c r="E2145" s="20">
        <f t="shared" si="330"/>
        <v>5.0000000000000044E-3</v>
      </c>
      <c r="F2145" t="str">
        <f t="shared" si="331"/>
        <v>zagraniczny</v>
      </c>
      <c r="G2145" s="23">
        <f t="shared" si="338"/>
        <v>761865</v>
      </c>
      <c r="H2145">
        <f t="shared" si="339"/>
        <v>248693</v>
      </c>
      <c r="I2145">
        <f t="shared" si="332"/>
        <v>432</v>
      </c>
      <c r="J2145">
        <f t="shared" si="333"/>
        <v>8</v>
      </c>
      <c r="K2145">
        <f t="shared" si="334"/>
        <v>1010558</v>
      </c>
      <c r="L2145">
        <f t="shared" si="335"/>
        <v>0</v>
      </c>
      <c r="M2145">
        <f t="shared" si="336"/>
        <v>0</v>
      </c>
      <c r="N2145">
        <f t="shared" si="337"/>
        <v>0</v>
      </c>
    </row>
    <row r="2146" spans="1:14" x14ac:dyDescent="0.35">
      <c r="A2146" s="5">
        <v>96736796</v>
      </c>
      <c r="B2146" s="6">
        <v>42947</v>
      </c>
      <c r="C2146" s="7">
        <v>0.61524305555555558</v>
      </c>
      <c r="D2146" s="8">
        <v>0.62432870370370375</v>
      </c>
      <c r="E2146" s="20">
        <f t="shared" si="330"/>
        <v>9.0856481481481621E-3</v>
      </c>
      <c r="F2146" t="str">
        <f t="shared" si="331"/>
        <v>komorkowy</v>
      </c>
      <c r="G2146" s="23">
        <f t="shared" si="338"/>
        <v>761865</v>
      </c>
      <c r="H2146">
        <f t="shared" si="339"/>
        <v>249478</v>
      </c>
      <c r="I2146">
        <f t="shared" si="332"/>
        <v>0</v>
      </c>
      <c r="J2146">
        <f t="shared" si="333"/>
        <v>0</v>
      </c>
      <c r="K2146">
        <f t="shared" si="334"/>
        <v>1011343</v>
      </c>
      <c r="L2146">
        <f t="shared" si="335"/>
        <v>0</v>
      </c>
      <c r="M2146">
        <f t="shared" si="336"/>
        <v>0</v>
      </c>
      <c r="N2146">
        <f t="shared" si="337"/>
        <v>785</v>
      </c>
    </row>
    <row r="2147" spans="1:14" x14ac:dyDescent="0.35">
      <c r="A2147" s="9">
        <v>1035023</v>
      </c>
      <c r="B2147" s="10">
        <v>42947</v>
      </c>
      <c r="C2147" s="11">
        <v>0.61821759259259257</v>
      </c>
      <c r="D2147" s="12">
        <v>0.62706018518518514</v>
      </c>
      <c r="E2147" s="20">
        <f t="shared" si="330"/>
        <v>8.8425925925925686E-3</v>
      </c>
      <c r="F2147" t="str">
        <f t="shared" si="331"/>
        <v>stacjonarny</v>
      </c>
      <c r="G2147" s="23">
        <f t="shared" si="338"/>
        <v>762629</v>
      </c>
      <c r="H2147">
        <f t="shared" si="339"/>
        <v>249478</v>
      </c>
      <c r="I2147">
        <f t="shared" si="332"/>
        <v>0</v>
      </c>
      <c r="J2147">
        <f t="shared" si="333"/>
        <v>0</v>
      </c>
      <c r="K2147">
        <f t="shared" si="334"/>
        <v>1012107</v>
      </c>
      <c r="L2147">
        <f t="shared" si="335"/>
        <v>0</v>
      </c>
      <c r="M2147">
        <f t="shared" si="336"/>
        <v>764</v>
      </c>
      <c r="N2147">
        <f t="shared" si="337"/>
        <v>0</v>
      </c>
    </row>
    <row r="2148" spans="1:14" x14ac:dyDescent="0.35">
      <c r="A2148" s="5">
        <v>9941776</v>
      </c>
      <c r="B2148" s="6">
        <v>42947</v>
      </c>
      <c r="C2148" s="7">
        <v>0.62299768518518517</v>
      </c>
      <c r="D2148" s="8">
        <v>0.62311342592592589</v>
      </c>
      <c r="E2148" s="20">
        <f t="shared" si="330"/>
        <v>1.1574074074072183E-4</v>
      </c>
      <c r="F2148" t="str">
        <f t="shared" si="331"/>
        <v>stacjonarny</v>
      </c>
      <c r="G2148" s="23">
        <f t="shared" si="338"/>
        <v>762639</v>
      </c>
      <c r="H2148">
        <f t="shared" si="339"/>
        <v>249478</v>
      </c>
      <c r="I2148">
        <f t="shared" si="332"/>
        <v>0</v>
      </c>
      <c r="J2148">
        <f t="shared" si="333"/>
        <v>0</v>
      </c>
      <c r="K2148">
        <f t="shared" si="334"/>
        <v>1012117</v>
      </c>
      <c r="L2148">
        <f t="shared" si="335"/>
        <v>0</v>
      </c>
      <c r="M2148">
        <f t="shared" si="336"/>
        <v>10</v>
      </c>
      <c r="N2148">
        <f t="shared" si="337"/>
        <v>0</v>
      </c>
    </row>
    <row r="2149" spans="1:14" x14ac:dyDescent="0.35">
      <c r="A2149" s="1">
        <v>6401011</v>
      </c>
      <c r="B2149" s="13">
        <v>42947</v>
      </c>
      <c r="C2149" s="14">
        <v>0.62693287037037038</v>
      </c>
      <c r="D2149" s="15">
        <v>0.62837962962962968</v>
      </c>
      <c r="E2149" s="20">
        <f t="shared" si="330"/>
        <v>1.4467592592593004E-3</v>
      </c>
      <c r="F2149" t="str">
        <f t="shared" si="331"/>
        <v>stacjonarny</v>
      </c>
      <c r="G2149" s="23">
        <f t="shared" si="338"/>
        <v>762764</v>
      </c>
      <c r="H2149">
        <f t="shared" si="339"/>
        <v>249478</v>
      </c>
      <c r="I2149">
        <f t="shared" si="332"/>
        <v>0</v>
      </c>
      <c r="J2149">
        <f t="shared" si="333"/>
        <v>0</v>
      </c>
      <c r="K2149">
        <f t="shared" si="334"/>
        <v>1012242</v>
      </c>
      <c r="L2149">
        <f t="shared" si="335"/>
        <v>0</v>
      </c>
      <c r="M2149">
        <f t="shared" si="336"/>
        <v>125</v>
      </c>
      <c r="N2149">
        <f t="shared" si="337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D2F173-16BD-4CAD-B9FA-6B57E6879D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telefony</vt:lpstr>
      <vt:lpstr>5.1</vt:lpstr>
      <vt:lpstr>5.2</vt:lpstr>
      <vt:lpstr>5.3</vt:lpstr>
      <vt:lpstr>5.4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2024-10-28T21:56:24Z</dcterms:created>
  <dcterms:modified xsi:type="dcterms:W3CDTF">2024-11-03T19:30:31Z</dcterms:modified>
</cp:coreProperties>
</file>